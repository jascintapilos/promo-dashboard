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ddc13446d54be6" /></Relationships>
</file>

<file path=xl/workbook.xml><?xml version="1.0" encoding="utf-8"?>
<x:workbook xmlns:x="http://schemas.openxmlformats.org/spreadsheetml/2006/main">
  <x:sheets>
    <x:sheet xmlns:r="http://schemas.openxmlformats.org/officeDocument/2006/relationships" name="Dashboard" sheetId="1" r:id="R5cb4062f13c64ac7"/>
    <x:sheet xmlns:r="http://schemas.openxmlformats.org/officeDocument/2006/relationships" name="Campaign Tracker" sheetId="2" r:id="R39011874e3b34569"/>
    <x:sheet xmlns:r="http://schemas.openxmlformats.org/officeDocument/2006/relationships" name="Recovered Executions" sheetId="3" r:id="R5fdf9f124eeb4f83"/>
    <x:sheet xmlns:r="http://schemas.openxmlformats.org/officeDocument/2006/relationships" name="Quality Gate" sheetId="4" r:id="Ra0e3a6902cc34e5f"/>
    <x:sheet xmlns:r="http://schemas.openxmlformats.org/officeDocument/2006/relationships" name="Source Assignments" sheetId="5" r:id="R6ba4ae8fdacf4aa9"/>
    <x:sheet xmlns:r="http://schemas.openxmlformats.org/officeDocument/2006/relationships" name="Bonus Menu" sheetId="6" r:id="Rb69e51e64b9a4280"/>
    <x:sheet xmlns:r="http://schemas.openxmlformats.org/officeDocument/2006/relationships" name="Handler-Team Map" sheetId="7" r:id="R173bb703f4c2452f"/>
    <x:sheet xmlns:r="http://schemas.openxmlformats.org/officeDocument/2006/relationships" name="Definitions" sheetId="8" r:id="Rdc8f908364bc40e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
    <x:numFmt numFmtId="202" formatCode="&quot;MYR&quot; #,##0.00"/>
    <x:numFmt numFmtId="203" formatCode="mmm yyyy"/>
    <x:numFmt numFmtId="204" formatCode="yyyy-mm-dd"/>
    <x:numFmt numFmtId="205" formatCode="yyyy-mm-dd hh:mm"/>
  </x:numFmts>
  <x:fonts count="12">
    <x:font>
      <x:sz val="11"/>
      <x:name val="Carlito"/>
    </x:font>
    <x:font>
      <x:b/>
      <x:sz val="18"/>
      <x:color rgb="FFFFFFFF"/>
      <x:name val="Aptos Display"/>
    </x:font>
    <x:font>
      <x:b/>
      <x:sz val="11"/>
      <x:color rgb="FF15324B"/>
      <x:name val="Aptos"/>
    </x:font>
    <x:font>
      <x:b/>
      <x:sz val="20"/>
      <x:color rgb="FF117C78"/>
      <x:name val="Aptos Display"/>
    </x:font>
    <x:font>
      <x:b/>
      <x:sz val="11"/>
      <x:color rgb="FFFFFFFF"/>
      <x:name val="Aptos"/>
    </x:font>
    <x:font>
      <x:sz val="11"/>
      <x:name val="Aptos"/>
    </x:font>
    <x:font>
      <x:b/>
      <x:sz val="11"/>
      <x:color rgb="FF7A5200"/>
      <x:name val="Aptos"/>
    </x:font>
    <x:font>
      <x:sz val="11"/>
      <x:color rgb="FF245B89"/>
      <x:name val="Aptos"/>
    </x:font>
    <x:font>
      <x:sz val="11"/>
      <x:color rgb="FF15324B"/>
      <x:name val="Aptos"/>
    </x:font>
    <x:font>
      <x:b/>
      <x:sz val="18"/>
      <x:color rgb="FFFFFFFF"/>
      <x:name val="Aptos"/>
    </x:font>
    <x:font>
      <x:b/>
      <x:sz val="20"/>
      <x:color rgb="FF117C78"/>
      <x:name val="Aptos"/>
    </x:font>
    <x:font>
      <x:i/>
      <x:sz val="11"/>
      <x:color rgb="FF7A5200"/>
      <x:name val="Aptos"/>
    </x:font>
  </x:fonts>
  <x:fills count="9">
    <x:fill>
      <x:patternFill patternType="none"/>
    </x:fill>
    <x:fill>
      <x:patternFill patternType="gray125"/>
    </x:fill>
    <x:fill>
      <x:patternFill patternType="solid">
        <x:fgColor rgb="FF15324B"/>
      </x:patternFill>
    </x:fill>
    <x:fill>
      <x:patternFill patternType="solid">
        <x:fgColor rgb="FFDDF2F0"/>
      </x:patternFill>
    </x:fill>
    <x:fill>
      <x:patternFill patternType="solid">
        <x:fgColor rgb="FFE7EDF3"/>
      </x:patternFill>
    </x:fill>
    <x:fill>
      <x:patternFill patternType="solid">
        <x:fgColor rgb="FFF5F7FA"/>
      </x:patternFill>
    </x:fill>
    <x:fill>
      <x:patternFill patternType="solid">
        <x:fgColor rgb="FF117C78"/>
      </x:patternFill>
    </x:fill>
    <x:fill>
      <x:patternFill patternType="solid">
        <x:fgColor rgb="FFFFF2CC"/>
      </x:patternFill>
    </x:fill>
    <x:fill>
      <x:patternFill patternType="solid">
        <x:fgColor rgb="FFE8F1FB"/>
      </x:patternFill>
    </x:fill>
  </x:fills>
  <x:borders count="43">
    <x:border/>
    <x:border>
      <x:left style="medium">
        <x:color rgb="FF117C78"/>
      </x:left>
      <x:top style="medium">
        <x:color rgb="FF117C78"/>
      </x:top>
    </x:border>
    <x:border>
      <x:top style="medium">
        <x:color rgb="FF117C78"/>
      </x:top>
    </x:border>
    <x:border>
      <x:right style="medium">
        <x:color rgb="FF117C78"/>
      </x:right>
      <x:top style="medium">
        <x:color rgb="FF117C78"/>
      </x:top>
    </x:border>
    <x:border>
      <x:left style="medium">
        <x:color rgb="FF117C78"/>
      </x:left>
    </x:border>
    <x:border>
      <x:right style="medium">
        <x:color rgb="FF117C78"/>
      </x:right>
    </x:border>
    <x:border>
      <x:left style="medium">
        <x:color rgb="FF117C78"/>
      </x:left>
      <x:bottom style="medium">
        <x:color rgb="FF117C78"/>
      </x:bottom>
    </x:border>
    <x:border>
      <x:bottom style="medium">
        <x:color rgb="FF117C78"/>
      </x:bottom>
    </x:border>
    <x:border>
      <x:right style="medium">
        <x:color rgb="FF117C78"/>
      </x:right>
      <x:bottom style="medium">
        <x:color rgb="FF117C78"/>
      </x:bottom>
    </x:border>
    <x:border>
      <x:left style="thin">
        <x:color rgb="FFD7E0E8"/>
      </x:left>
      <x:top style="thin">
        <x:color rgb="FFD7E0E8"/>
      </x:top>
    </x:border>
    <x:border>
      <x:top style="thin">
        <x:color rgb="FFD7E0E8"/>
      </x:top>
    </x:border>
    <x:border>
      <x:right style="thin">
        <x:color rgb="FFD7E0E8"/>
      </x:right>
      <x:top style="thin">
        <x:color rgb="FFD7E0E8"/>
      </x:top>
    </x:border>
    <x:border>
      <x:left style="thin">
        <x:color rgb="FFD7E0E8"/>
      </x:left>
    </x:border>
    <x:border>
      <x:right style="thin">
        <x:color rgb="FFD7E0E8"/>
      </x:right>
    </x:border>
    <x:border>
      <x:left style="thin">
        <x:color rgb="FFD7E0E8"/>
      </x:left>
      <x:bottom style="thin">
        <x:color rgb="FFD7E0E8"/>
      </x:bottom>
    </x:border>
    <x:border>
      <x:bottom style="thin">
        <x:color rgb="FFD7E0E8"/>
      </x:bottom>
    </x:border>
    <x:border>
      <x:right style="thin">
        <x:color rgb="FFD7E0E8"/>
      </x:right>
      <x:bottom style="thin">
        <x:color rgb="FFD7E0E8"/>
      </x:bottom>
    </x:border>
    <x:border>
      <x:bottom style="thin">
        <x:color rgb="FF9EADBC"/>
      </x:bottom>
    </x:border>
    <x:border>
      <x:right style="thin">
        <x:color rgb="FFE9EEF3"/>
      </x:right>
      <x:bottom style="thin">
        <x:color rgb="FFD7E0E8"/>
      </x:bottom>
    </x:border>
    <x:border>
      <x:left style="thin">
        <x:color rgb="FFE9EEF3"/>
      </x:left>
      <x:right style="thin">
        <x:color rgb="FFE9EEF3"/>
      </x:right>
      <x:bottom style="thin">
        <x:color rgb="FFD7E0E8"/>
      </x:bottom>
    </x:border>
    <x:border>
      <x:left style="thin">
        <x:color rgb="FFE9EEF3"/>
      </x:left>
      <x:bottom style="thin">
        <x:color rgb="FFD7E0E8"/>
      </x:bottom>
    </x:border>
    <x:border>
      <x:right style="thin">
        <x:color rgb="FFE9EEF3"/>
      </x:right>
      <x:top style="thin">
        <x:color rgb="FFD7E0E8"/>
      </x:top>
      <x:bottom style="thin">
        <x:color rgb="FFD7E0E8"/>
      </x:bottom>
    </x:border>
    <x:border>
      <x:left style="thin">
        <x:color rgb="FFE9EEF3"/>
      </x:left>
      <x:right style="thin">
        <x:color rgb="FFE9EEF3"/>
      </x:right>
      <x:top style="thin">
        <x:color rgb="FFD7E0E8"/>
      </x:top>
      <x:bottom style="thin">
        <x:color rgb="FFD7E0E8"/>
      </x:bottom>
    </x:border>
    <x:border>
      <x:left style="thin">
        <x:color rgb="FFE9EEF3"/>
      </x:left>
      <x:top style="thin">
        <x:color rgb="FFD7E0E8"/>
      </x:top>
      <x:bottom style="thin">
        <x:color rgb="FFD7E0E8"/>
      </x:bottom>
    </x:border>
    <x:border>
      <x:right style="thin">
        <x:color rgb="FFE9EEF3"/>
      </x:right>
      <x:top style="thin">
        <x:color rgb="FFD7E0E8"/>
      </x:top>
    </x:border>
    <x:border>
      <x:left style="thin">
        <x:color rgb="FFE9EEF3"/>
      </x:left>
      <x:right style="thin">
        <x:color rgb="FFE9EEF3"/>
      </x:right>
      <x:top style="thin">
        <x:color rgb="FFD7E0E8"/>
      </x:top>
    </x:border>
    <x:border>
      <x:left style="thin">
        <x:color rgb="FFE9EEF3"/>
      </x:left>
      <x:top style="thin">
        <x:color rgb="FFD7E0E8"/>
      </x:top>
    </x:border>
    <x:border>
      <x:left style="thin">
        <x:color rgb="FF9FC0E2"/>
      </x:left>
      <x:top style="thin">
        <x:color rgb="FF9FC0E2"/>
      </x:top>
    </x:border>
    <x:border>
      <x:top style="thin">
        <x:color rgb="FF9FC0E2"/>
      </x:top>
    </x:border>
    <x:border>
      <x:right style="thin">
        <x:color rgb="FF9FC0E2"/>
      </x:right>
      <x:top style="thin">
        <x:color rgb="FF9FC0E2"/>
      </x:top>
    </x:border>
    <x:border>
      <x:left style="thin">
        <x:color rgb="FF9FC0E2"/>
      </x:left>
    </x:border>
    <x:border>
      <x:right style="thin">
        <x:color rgb="FF9FC0E2"/>
      </x:right>
    </x:border>
    <x:border>
      <x:left style="thin">
        <x:color rgb="FF9FC0E2"/>
      </x:left>
      <x:bottom style="thin">
        <x:color rgb="FF9FC0E2"/>
      </x:bottom>
    </x:border>
    <x:border>
      <x:bottom style="thin">
        <x:color rgb="FF9FC0E2"/>
      </x:bottom>
    </x:border>
    <x:border>
      <x:right style="thin">
        <x:color rgb="FF9FC0E2"/>
      </x:right>
      <x:bottom style="thin">
        <x:color rgb="FF9FC0E2"/>
      </x:bottom>
    </x:border>
    <x:border>
      <x:left style="thin">
        <x:color rgb="FF9FCBC8"/>
      </x:left>
      <x:top style="thin">
        <x:color rgb="FF9FCBC8"/>
      </x:top>
    </x:border>
    <x:border>
      <x:top style="thin">
        <x:color rgb="FF9FCBC8"/>
      </x:top>
    </x:border>
    <x:border>
      <x:right style="thin">
        <x:color rgb="FF9FCBC8"/>
      </x:right>
      <x:top style="thin">
        <x:color rgb="FF9FCBC8"/>
      </x:top>
    </x:border>
    <x:border>
      <x:left style="thin">
        <x:color rgb="FF9FCBC8"/>
      </x:left>
    </x:border>
    <x:border>
      <x:right style="thin">
        <x:color rgb="FF9FCBC8"/>
      </x:right>
    </x:border>
    <x:border>
      <x:left style="thin">
        <x:color rgb="FF9FCBC8"/>
      </x:left>
      <x:bottom style="thin">
        <x:color rgb="FF9FCBC8"/>
      </x:bottom>
    </x:border>
    <x:border>
      <x:bottom style="thin">
        <x:color rgb="FF9FCBC8"/>
      </x:bottom>
    </x:border>
    <x:border>
      <x:right style="thin">
        <x:color rgb="FF9FCBC8"/>
      </x:right>
      <x:bottom style="thin">
        <x:color rgb="FF9FCBC8"/>
      </x:bottom>
    </x:border>
  </x:borders>
  <x:cellStyleXfs count="1">
    <x:xf numFmtId="0" fontId="0" fillId="0" borderId="0"/>
  </x:cellStyleXfs>
  <x:cellXfs count="33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8"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8"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4"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0" fontId="2" fillId="3"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2" fillId="3" borderId="7" xfId="0" applyNumberFormat="1" applyFont="1" applyFill="1" applyBorder="1" applyAlignment="1">
      <x:alignment vertical="center" wrapText="1"/>
    </x:xf>
    <x:xf numFmtId="0" fontId="2" fillId="3" borderId="8"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9" xfId="0" applyNumberFormat="1" applyFont="1" applyFill="1" applyBorder="1"/>
    <x:xf numFmtId="0" fontId="3" fillId="5" borderId="10" xfId="0" applyNumberFormat="1" applyFont="1" applyFill="1" applyBorder="1"/>
    <x:xf numFmtId="0" fontId="3" fillId="5" borderId="11" xfId="0" applyNumberFormat="1" applyFont="1" applyFill="1" applyBorder="1"/>
    <x:xf numFmtId="0" fontId="3" fillId="5" borderId="12" xfId="0" applyNumberFormat="1" applyFont="1" applyFill="1" applyBorder="1"/>
    <x:xf numFmtId="0" fontId="3" fillId="5" borderId="13" xfId="0" applyNumberFormat="1" applyFont="1" applyFill="1" applyBorder="1"/>
    <x:xf numFmtId="0" fontId="3" fillId="5" borderId="14" xfId="0" applyNumberFormat="1" applyFont="1" applyFill="1" applyBorder="1"/>
    <x:xf numFmtId="0" fontId="3" fillId="5" borderId="15" xfId="0" applyNumberFormat="1" applyFont="1" applyFill="1" applyBorder="1"/>
    <x:xf numFmtId="0" fontId="3" fillId="5" borderId="16" xfId="0" applyNumberFormat="1" applyFont="1" applyFill="1" applyBorder="1"/>
    <x:xf numFmtId="200" fontId="3" fillId="5" borderId="9" xfId="0" applyNumberFormat="1" applyFont="1" applyFill="1" applyBorder="1"/>
    <x:xf numFmtId="200" fontId="3" fillId="5" borderId="10" xfId="0" applyNumberFormat="1" applyFont="1" applyFill="1" applyBorder="1"/>
    <x:xf numFmtId="200" fontId="3" fillId="5" borderId="11" xfId="0" applyNumberFormat="1" applyFont="1" applyFill="1" applyBorder="1"/>
    <x:xf numFmtId="200" fontId="3" fillId="5" borderId="12" xfId="0" applyNumberFormat="1" applyFont="1" applyFill="1" applyBorder="1"/>
    <x:xf numFmtId="200" fontId="3" fillId="5" borderId="0" xfId="0" applyNumberFormat="1" applyFont="1" applyFill="1" applyBorder="1"/>
    <x:xf numFmtId="200" fontId="3" fillId="5" borderId="13" xfId="0" applyNumberFormat="1" applyFont="1" applyFill="1" applyBorder="1"/>
    <x:xf numFmtId="200" fontId="3" fillId="5" borderId="14" xfId="0" applyNumberFormat="1" applyFont="1" applyFill="1" applyBorder="1"/>
    <x:xf numFmtId="200" fontId="3" fillId="5" borderId="15" xfId="0" applyNumberFormat="1" applyFont="1" applyFill="1" applyBorder="1"/>
    <x:xf numFmtId="200" fontId="3" fillId="5" borderId="16" xfId="0" applyNumberFormat="1" applyFont="1" applyFill="1" applyBorder="1"/>
    <x:xf numFmtId="200" fontId="3" fillId="5" borderId="9" xfId="0" applyNumberFormat="1" applyFont="1" applyFill="1" applyBorder="1" applyAlignment="1">
      <x:alignment horizontal="center"/>
    </x:xf>
    <x:xf numFmtId="200" fontId="3" fillId="5" borderId="10" xfId="0" applyNumberFormat="1" applyFont="1" applyFill="1" applyBorder="1" applyAlignment="1">
      <x:alignment horizontal="center"/>
    </x:xf>
    <x:xf numFmtId="200" fontId="3" fillId="5" borderId="11" xfId="0" applyNumberFormat="1" applyFont="1" applyFill="1" applyBorder="1" applyAlignment="1">
      <x:alignment horizontal="center"/>
    </x:xf>
    <x:xf numFmtId="200" fontId="3" fillId="5" borderId="12" xfId="0" applyNumberFormat="1" applyFont="1" applyFill="1" applyBorder="1" applyAlignment="1">
      <x:alignment horizontal="center"/>
    </x:xf>
    <x:xf numFmtId="200" fontId="3" fillId="5" borderId="0" xfId="0" applyNumberFormat="1" applyFont="1" applyFill="1" applyBorder="1" applyAlignment="1">
      <x:alignment horizontal="center"/>
    </x:xf>
    <x:xf numFmtId="200" fontId="3" fillId="5" borderId="13" xfId="0" applyNumberFormat="1" applyFont="1" applyFill="1" applyBorder="1" applyAlignment="1">
      <x:alignment horizontal="center"/>
    </x:xf>
    <x:xf numFmtId="200" fontId="3" fillId="5" borderId="14" xfId="0" applyNumberFormat="1" applyFont="1" applyFill="1" applyBorder="1" applyAlignment="1">
      <x:alignment horizontal="center"/>
    </x:xf>
    <x:xf numFmtId="200" fontId="3" fillId="5" borderId="15" xfId="0" applyNumberFormat="1" applyFont="1" applyFill="1" applyBorder="1" applyAlignment="1">
      <x:alignment horizontal="center"/>
    </x:xf>
    <x:xf numFmtId="200" fontId="3" fillId="5" borderId="16" xfId="0" applyNumberFormat="1" applyFont="1" applyFill="1" applyBorder="1" applyAlignment="1">
      <x:alignment horizontal="center"/>
    </x:xf>
    <x:xf numFmtId="200" fontId="3" fillId="5" borderId="9" xfId="0" applyNumberFormat="1" applyFont="1" applyFill="1" applyBorder="1" applyAlignment="1">
      <x:alignment horizontal="center" vertical="center"/>
    </x:xf>
    <x:xf numFmtId="200" fontId="3" fillId="5" borderId="10" xfId="0" applyNumberFormat="1" applyFont="1" applyFill="1" applyBorder="1" applyAlignment="1">
      <x:alignment horizontal="center" vertical="center"/>
    </x:xf>
    <x:xf numFmtId="200" fontId="3" fillId="5" borderId="11" xfId="0" applyNumberFormat="1" applyFont="1" applyFill="1" applyBorder="1" applyAlignment="1">
      <x:alignment horizontal="center" vertical="center"/>
    </x:xf>
    <x:xf numFmtId="200" fontId="3" fillId="5" borderId="12" xfId="0" applyNumberFormat="1" applyFont="1" applyFill="1" applyBorder="1" applyAlignment="1">
      <x:alignment horizontal="center" vertical="center"/>
    </x:xf>
    <x:xf numFmtId="200" fontId="3" fillId="5" borderId="0" xfId="0" applyNumberFormat="1" applyFont="1" applyFill="1" applyBorder="1" applyAlignment="1">
      <x:alignment horizontal="center" vertical="center"/>
    </x:xf>
    <x:xf numFmtId="200" fontId="3" fillId="5" borderId="13" xfId="0" applyNumberFormat="1" applyFont="1" applyFill="1" applyBorder="1" applyAlignment="1">
      <x:alignment horizontal="center" vertical="center"/>
    </x:xf>
    <x:xf numFmtId="200" fontId="3" fillId="5" borderId="14" xfId="0" applyNumberFormat="1" applyFont="1" applyFill="1" applyBorder="1" applyAlignment="1">
      <x:alignment horizontal="center" vertical="center"/>
    </x:xf>
    <x:xf numFmtId="200" fontId="3" fillId="5" borderId="15" xfId="0" applyNumberFormat="1" applyFont="1" applyFill="1" applyBorder="1" applyAlignment="1">
      <x:alignment horizontal="center" vertical="center"/>
    </x:xf>
    <x:xf numFmtId="200" fontId="3" fillId="5" borderId="16" xfId="0" applyNumberFormat="1" applyFont="1" applyFill="1" applyBorder="1" applyAlignment="1">
      <x:alignment horizontal="center" vertical="center"/>
    </x:xf>
    <x:xf numFmtId="201" fontId="3" fillId="5" borderId="9" xfId="0" applyNumberFormat="1" applyFont="1" applyFill="1" applyBorder="1"/>
    <x:xf numFmtId="201" fontId="3" fillId="5" borderId="10" xfId="0" applyNumberFormat="1" applyFont="1" applyFill="1" applyBorder="1"/>
    <x:xf numFmtId="201" fontId="3" fillId="5" borderId="11" xfId="0" applyNumberFormat="1" applyFont="1" applyFill="1" applyBorder="1"/>
    <x:xf numFmtId="201" fontId="3" fillId="5" borderId="12" xfId="0" applyNumberFormat="1" applyFont="1" applyFill="1" applyBorder="1"/>
    <x:xf numFmtId="201" fontId="3" fillId="5" borderId="0" xfId="0" applyNumberFormat="1" applyFont="1" applyFill="1" applyBorder="1"/>
    <x:xf numFmtId="201" fontId="3" fillId="5" borderId="13" xfId="0" applyNumberFormat="1" applyFont="1" applyFill="1" applyBorder="1"/>
    <x:xf numFmtId="201" fontId="3" fillId="5" borderId="14" xfId="0" applyNumberFormat="1" applyFont="1" applyFill="1" applyBorder="1"/>
    <x:xf numFmtId="201" fontId="3" fillId="5" borderId="15" xfId="0" applyNumberFormat="1" applyFont="1" applyFill="1" applyBorder="1"/>
    <x:xf numFmtId="201" fontId="3" fillId="5" borderId="16" xfId="0" applyNumberFormat="1" applyFont="1" applyFill="1" applyBorder="1"/>
    <x:xf numFmtId="201" fontId="3" fillId="5" borderId="9" xfId="0" applyNumberFormat="1" applyFont="1" applyFill="1" applyBorder="1" applyAlignment="1">
      <x:alignment horizontal="center"/>
    </x:xf>
    <x:xf numFmtId="201" fontId="3" fillId="5" borderId="10" xfId="0" applyNumberFormat="1" applyFont="1" applyFill="1" applyBorder="1" applyAlignment="1">
      <x:alignment horizontal="center"/>
    </x:xf>
    <x:xf numFmtId="201" fontId="3" fillId="5" borderId="11" xfId="0" applyNumberFormat="1" applyFont="1" applyFill="1" applyBorder="1" applyAlignment="1">
      <x:alignment horizontal="center"/>
    </x:xf>
    <x:xf numFmtId="201" fontId="3" fillId="5" borderId="12" xfId="0" applyNumberFormat="1" applyFont="1" applyFill="1" applyBorder="1" applyAlignment="1">
      <x:alignment horizontal="center"/>
    </x:xf>
    <x:xf numFmtId="201" fontId="3" fillId="5" borderId="0" xfId="0" applyNumberFormat="1" applyFont="1" applyFill="1" applyBorder="1" applyAlignment="1">
      <x:alignment horizontal="center"/>
    </x:xf>
    <x:xf numFmtId="201" fontId="3" fillId="5" borderId="13" xfId="0" applyNumberFormat="1" applyFont="1" applyFill="1" applyBorder="1" applyAlignment="1">
      <x:alignment horizontal="center"/>
    </x:xf>
    <x:xf numFmtId="201" fontId="3" fillId="5" borderId="14" xfId="0" applyNumberFormat="1" applyFont="1" applyFill="1" applyBorder="1" applyAlignment="1">
      <x:alignment horizontal="center"/>
    </x:xf>
    <x:xf numFmtId="201" fontId="3" fillId="5" borderId="15" xfId="0" applyNumberFormat="1" applyFont="1" applyFill="1" applyBorder="1" applyAlignment="1">
      <x:alignment horizontal="center"/>
    </x:xf>
    <x:xf numFmtId="201" fontId="3" fillId="5" borderId="16" xfId="0" applyNumberFormat="1" applyFont="1" applyFill="1" applyBorder="1" applyAlignment="1">
      <x:alignment horizontal="center"/>
    </x:xf>
    <x:xf numFmtId="201" fontId="3" fillId="5" borderId="9" xfId="0" applyNumberFormat="1" applyFont="1" applyFill="1" applyBorder="1" applyAlignment="1">
      <x:alignment horizontal="center" vertical="center"/>
    </x:xf>
    <x:xf numFmtId="201" fontId="3" fillId="5" borderId="10" xfId="0" applyNumberFormat="1" applyFont="1" applyFill="1" applyBorder="1" applyAlignment="1">
      <x:alignment horizontal="center" vertical="center"/>
    </x:xf>
    <x:xf numFmtId="201" fontId="3" fillId="5" borderId="11" xfId="0" applyNumberFormat="1" applyFont="1" applyFill="1" applyBorder="1" applyAlignment="1">
      <x:alignment horizontal="center" vertical="center"/>
    </x:xf>
    <x:xf numFmtId="201" fontId="3" fillId="5" borderId="12" xfId="0" applyNumberFormat="1" applyFont="1" applyFill="1" applyBorder="1" applyAlignment="1">
      <x:alignment horizontal="center" vertical="center"/>
    </x:xf>
    <x:xf numFmtId="201" fontId="3" fillId="5" borderId="0" xfId="0" applyNumberFormat="1" applyFont="1" applyFill="1" applyBorder="1" applyAlignment="1">
      <x:alignment horizontal="center" vertical="center"/>
    </x:xf>
    <x:xf numFmtId="201" fontId="3" fillId="5" borderId="13" xfId="0" applyNumberFormat="1" applyFont="1" applyFill="1" applyBorder="1" applyAlignment="1">
      <x:alignment horizontal="center" vertical="center"/>
    </x:xf>
    <x:xf numFmtId="201" fontId="3" fillId="5" borderId="14" xfId="0" applyNumberFormat="1" applyFont="1" applyFill="1" applyBorder="1" applyAlignment="1">
      <x:alignment horizontal="center" vertical="center"/>
    </x:xf>
    <x:xf numFmtId="201" fontId="3" fillId="5" borderId="15" xfId="0" applyNumberFormat="1" applyFont="1" applyFill="1" applyBorder="1" applyAlignment="1">
      <x:alignment horizontal="center" vertical="center"/>
    </x:xf>
    <x:xf numFmtId="201" fontId="3" fillId="5" borderId="16" xfId="0" applyNumberFormat="1" applyFont="1" applyFill="1" applyBorder="1" applyAlignment="1">
      <x:alignment horizontal="center" vertical="center"/>
    </x:xf>
    <x:xf numFmtId="202" fontId="3" fillId="5" borderId="9" xfId="0" applyNumberFormat="1" applyFont="1" applyFill="1" applyBorder="1"/>
    <x:xf numFmtId="202" fontId="3" fillId="5" borderId="10" xfId="0" applyNumberFormat="1" applyFont="1" applyFill="1" applyBorder="1"/>
    <x:xf numFmtId="202" fontId="3" fillId="5" borderId="11" xfId="0" applyNumberFormat="1" applyFont="1" applyFill="1" applyBorder="1"/>
    <x:xf numFmtId="202" fontId="3" fillId="5" borderId="12" xfId="0" applyNumberFormat="1" applyFont="1" applyFill="1" applyBorder="1"/>
    <x:xf numFmtId="202" fontId="3" fillId="5" borderId="0" xfId="0" applyNumberFormat="1" applyFont="1" applyFill="1" applyBorder="1"/>
    <x:xf numFmtId="202" fontId="3" fillId="5" borderId="13" xfId="0" applyNumberFormat="1" applyFont="1" applyFill="1" applyBorder="1"/>
    <x:xf numFmtId="202" fontId="3" fillId="5" borderId="14" xfId="0" applyNumberFormat="1" applyFont="1" applyFill="1" applyBorder="1"/>
    <x:xf numFmtId="202" fontId="3" fillId="5" borderId="15" xfId="0" applyNumberFormat="1" applyFont="1" applyFill="1" applyBorder="1"/>
    <x:xf numFmtId="202" fontId="3" fillId="5" borderId="16" xfId="0" applyNumberFormat="1" applyFont="1" applyFill="1" applyBorder="1"/>
    <x:xf numFmtId="202" fontId="3" fillId="5" borderId="9" xfId="0" applyNumberFormat="1" applyFont="1" applyFill="1" applyBorder="1" applyAlignment="1">
      <x:alignment horizontal="center"/>
    </x:xf>
    <x:xf numFmtId="202" fontId="3" fillId="5" borderId="10" xfId="0" applyNumberFormat="1" applyFont="1" applyFill="1" applyBorder="1" applyAlignment="1">
      <x:alignment horizontal="center"/>
    </x:xf>
    <x:xf numFmtId="202" fontId="3" fillId="5" borderId="11" xfId="0" applyNumberFormat="1" applyFont="1" applyFill="1" applyBorder="1" applyAlignment="1">
      <x:alignment horizontal="center"/>
    </x:xf>
    <x:xf numFmtId="202" fontId="3" fillId="5" borderId="12" xfId="0" applyNumberFormat="1" applyFont="1" applyFill="1" applyBorder="1" applyAlignment="1">
      <x:alignment horizontal="center"/>
    </x:xf>
    <x:xf numFmtId="202" fontId="3" fillId="5" borderId="0" xfId="0" applyNumberFormat="1" applyFont="1" applyFill="1" applyBorder="1" applyAlignment="1">
      <x:alignment horizontal="center"/>
    </x:xf>
    <x:xf numFmtId="202" fontId="3" fillId="5" borderId="13" xfId="0" applyNumberFormat="1" applyFont="1" applyFill="1" applyBorder="1" applyAlignment="1">
      <x:alignment horizontal="center"/>
    </x:xf>
    <x:xf numFmtId="202" fontId="3" fillId="5" borderId="14" xfId="0" applyNumberFormat="1" applyFont="1" applyFill="1" applyBorder="1" applyAlignment="1">
      <x:alignment horizontal="center"/>
    </x:xf>
    <x:xf numFmtId="202" fontId="3" fillId="5" borderId="15" xfId="0" applyNumberFormat="1" applyFont="1" applyFill="1" applyBorder="1" applyAlignment="1">
      <x:alignment horizontal="center"/>
    </x:xf>
    <x:xf numFmtId="202" fontId="3" fillId="5" borderId="16" xfId="0" applyNumberFormat="1" applyFont="1" applyFill="1" applyBorder="1" applyAlignment="1">
      <x:alignment horizontal="center"/>
    </x:xf>
    <x:xf numFmtId="202" fontId="3" fillId="5" borderId="9" xfId="0" applyNumberFormat="1" applyFont="1" applyFill="1" applyBorder="1" applyAlignment="1">
      <x:alignment horizontal="center" vertical="center"/>
    </x:xf>
    <x:xf numFmtId="202" fontId="3" fillId="5" borderId="10" xfId="0" applyNumberFormat="1" applyFont="1" applyFill="1" applyBorder="1" applyAlignment="1">
      <x:alignment horizontal="center" vertical="center"/>
    </x:xf>
    <x:xf numFmtId="202" fontId="3" fillId="5" borderId="11" xfId="0" applyNumberFormat="1" applyFont="1" applyFill="1" applyBorder="1" applyAlignment="1">
      <x:alignment horizontal="center" vertical="center"/>
    </x:xf>
    <x:xf numFmtId="202" fontId="3" fillId="5" borderId="12" xfId="0" applyNumberFormat="1" applyFont="1" applyFill="1" applyBorder="1" applyAlignment="1">
      <x:alignment horizontal="center" vertical="center"/>
    </x:xf>
    <x:xf numFmtId="202" fontId="3" fillId="5" borderId="0" xfId="0" applyNumberFormat="1" applyFont="1" applyFill="1" applyBorder="1" applyAlignment="1">
      <x:alignment horizontal="center" vertical="center"/>
    </x:xf>
    <x:xf numFmtId="202" fontId="3" fillId="5" borderId="13" xfId="0" applyNumberFormat="1" applyFont="1" applyFill="1" applyBorder="1" applyAlignment="1">
      <x:alignment horizontal="center" vertical="center"/>
    </x:xf>
    <x:xf numFmtId="202" fontId="3" fillId="5" borderId="14" xfId="0" applyNumberFormat="1" applyFont="1" applyFill="1" applyBorder="1" applyAlignment="1">
      <x:alignment horizontal="center" vertical="center"/>
    </x:xf>
    <x:xf numFmtId="202" fontId="3" fillId="5" borderId="15" xfId="0" applyNumberFormat="1" applyFont="1" applyFill="1" applyBorder="1" applyAlignment="1">
      <x:alignment horizontal="center" vertical="center"/>
    </x:xf>
    <x:xf numFmtId="202" fontId="3" fillId="5" borderId="16"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vertical="center"/>
    </x:xf>
    <x:xf numFmtId="0" fontId="2" fillId="4" borderId="17" xfId="0" applyNumberFormat="1" applyFont="1" applyFill="1" applyBorder="1"/>
    <x:xf numFmtId="0" fontId="2" fillId="4" borderId="17" xfId="0" applyNumberFormat="1" applyFont="1" applyFill="1" applyBorder="1" applyAlignment="1">
      <x:alignment wrapText="1"/>
    </x:xf>
    <x:xf numFmtId="0" fontId="2" fillId="4" borderId="17" xfId="0" applyNumberFormat="1" applyFont="1" applyFill="1" applyBorder="1" applyAlignment="1">
      <x:alignment vertical="center" wrapText="1"/>
    </x:xf>
    <x:xf numFmtId="0" fontId="5" fillId="0" borderId="0" xfId="0" applyNumberFormat="1" applyFont="1" applyFill="1" applyBorder="1"/>
    <x:xf numFmtId="0" fontId="5" fillId="0" borderId="18" xfId="0" applyNumberFormat="1" applyFont="1" applyFill="1" applyBorder="1"/>
    <x:xf numFmtId="0" fontId="5" fillId="0" borderId="19" xfId="0" applyNumberFormat="1" applyFont="1" applyFill="1" applyBorder="1"/>
    <x:xf numFmtId="0" fontId="5" fillId="0" borderId="2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borderId="25" xfId="0" applyNumberFormat="1" applyFont="1" applyFill="1" applyBorder="1"/>
    <x:xf numFmtId="0" fontId="5" fillId="0" borderId="26" xfId="0" applyNumberFormat="1" applyFont="1" applyFill="1" applyBorder="1"/>
    <x:xf numFmtId="0" fontId="5" fillId="0" borderId="18" xfId="0" applyNumberFormat="1" applyFont="1" applyFill="1" applyBorder="1" applyAlignment="1">
      <x:alignment vertical="center"/>
    </x:xf>
    <x:xf numFmtId="0" fontId="5" fillId="0" borderId="19" xfId="0" applyNumberFormat="1" applyFont="1" applyFill="1" applyBorder="1" applyAlignment="1">
      <x:alignment vertical="center"/>
    </x:xf>
    <x:xf numFmtId="0" fontId="5" fillId="0" borderId="20" xfId="0" applyNumberFormat="1" applyFont="1" applyFill="1" applyBorder="1" applyAlignment="1">
      <x:alignment vertical="center"/>
    </x:xf>
    <x:xf numFmtId="0" fontId="5" fillId="0" borderId="21" xfId="0" applyNumberFormat="1" applyFont="1" applyFill="1" applyBorder="1" applyAlignment="1">
      <x:alignment vertical="center"/>
    </x:xf>
    <x:xf numFmtId="0" fontId="5" fillId="0" borderId="22" xfId="0" applyNumberFormat="1" applyFont="1" applyFill="1" applyBorder="1" applyAlignment="1">
      <x:alignment vertical="center"/>
    </x:xf>
    <x:xf numFmtId="0" fontId="5" fillId="0" borderId="23" xfId="0" applyNumberFormat="1" applyFont="1" applyFill="1" applyBorder="1" applyAlignment="1">
      <x:alignment vertical="center"/>
    </x:xf>
    <x:xf numFmtId="0" fontId="5" fillId="0" borderId="24" xfId="0" applyNumberFormat="1" applyFont="1" applyFill="1" applyBorder="1" applyAlignment="1">
      <x:alignment vertical="center"/>
    </x:xf>
    <x:xf numFmtId="0" fontId="5" fillId="0" borderId="25" xfId="0" applyNumberFormat="1" applyFont="1" applyFill="1" applyBorder="1" applyAlignment="1">
      <x:alignment vertical="center"/>
    </x:xf>
    <x:xf numFmtId="0" fontId="5" fillId="0" borderId="26" xfId="0" applyNumberFormat="1" applyFont="1" applyFill="1" applyBorder="1" applyAlignment="1">
      <x:alignment vertical="center"/>
    </x:xf>
    <x:xf numFmtId="203" fontId="5" fillId="0" borderId="18" xfId="0" applyNumberFormat="1" applyFont="1" applyFill="1" applyBorder="1" applyAlignment="1">
      <x:alignment vertical="center"/>
    </x:xf>
    <x:xf numFmtId="203" fontId="5" fillId="0" borderId="21" xfId="0" applyNumberFormat="1" applyFont="1" applyFill="1" applyBorder="1" applyAlignment="1">
      <x:alignment vertical="center"/>
    </x:xf>
    <x:xf numFmtId="203" fontId="5" fillId="0" borderId="24" xfId="0" applyNumberFormat="1" applyFont="1" applyFill="1" applyBorder="1" applyAlignment="1">
      <x:alignment vertical="center"/>
    </x:xf>
    <x:xf numFmtId="202" fontId="5" fillId="0" borderId="19" xfId="0" applyNumberFormat="1" applyFont="1" applyFill="1" applyBorder="1" applyAlignment="1">
      <x:alignment vertical="center"/>
    </x:xf>
    <x:xf numFmtId="202" fontId="5" fillId="0" borderId="22" xfId="0" applyNumberFormat="1" applyFont="1" applyFill="1" applyBorder="1" applyAlignment="1">
      <x:alignment vertical="center"/>
    </x:xf>
    <x:xf numFmtId="202" fontId="5" fillId="0" borderId="25" xfId="0" applyNumberFormat="1" applyFont="1" applyFill="1" applyBorder="1" applyAlignment="1">
      <x:alignment vertical="center"/>
    </x:xf>
    <x:xf numFmtId="0" fontId="5" fillId="7" borderId="23" xfId="0" applyNumberFormat="1" applyFont="1" applyFill="1" applyBorder="1" applyAlignment="1">
      <x:alignment vertical="center"/>
    </x:xf>
    <x:xf numFmtId="0" fontId="5" fillId="7" borderId="26" xfId="0" applyNumberFormat="1" applyFont="1" applyFill="1" applyBorder="1" applyAlignment="1">
      <x:alignment vertical="center"/>
    </x:xf>
    <x:xf numFmtId="0" fontId="6" fillId="7" borderId="23" xfId="0" applyNumberFormat="1" applyFont="1" applyFill="1" applyBorder="1" applyAlignment="1">
      <x:alignment vertical="center"/>
    </x:xf>
    <x:xf numFmtId="0" fontId="6" fillId="7" borderId="26" xfId="0" applyNumberFormat="1" applyFont="1" applyFill="1" applyBorder="1" applyAlignment="1">
      <x:alignment vertical="center"/>
    </x:xf>
    <x:xf numFmtId="0" fontId="0" fillId="8" borderId="0" xfId="0" applyNumberFormat="1" applyFont="1" applyFill="1" applyBorder="1"/>
    <x:xf numFmtId="0" fontId="7" fillId="8" borderId="0" xfId="0" applyNumberFormat="1" applyFont="1" applyFill="1" applyBorder="1"/>
    <x:xf numFmtId="0" fontId="7" fillId="8" borderId="27" xfId="0" applyNumberFormat="1" applyFont="1" applyFill="1" applyBorder="1"/>
    <x:xf numFmtId="0" fontId="7" fillId="8" borderId="28" xfId="0" applyNumberFormat="1" applyFont="1" applyFill="1" applyBorder="1"/>
    <x:xf numFmtId="0" fontId="7" fillId="8" borderId="29" xfId="0" applyNumberFormat="1" applyFont="1" applyFill="1" applyBorder="1"/>
    <x:xf numFmtId="0" fontId="7" fillId="8" borderId="30" xfId="0" applyNumberFormat="1" applyFont="1" applyFill="1" applyBorder="1"/>
    <x:xf numFmtId="0" fontId="7" fillId="8" borderId="31" xfId="0" applyNumberFormat="1" applyFont="1" applyFill="1" applyBorder="1"/>
    <x:xf numFmtId="0" fontId="7" fillId="8" borderId="32" xfId="0" applyNumberFormat="1" applyFont="1" applyFill="1" applyBorder="1"/>
    <x:xf numFmtId="0" fontId="7" fillId="8" borderId="33" xfId="0" applyNumberFormat="1" applyFont="1" applyFill="1" applyBorder="1"/>
    <x:xf numFmtId="0" fontId="7" fillId="8" borderId="34" xfId="0" applyNumberFormat="1" applyFont="1" applyFill="1" applyBorder="1"/>
    <x:xf numFmtId="0" fontId="7" fillId="8" borderId="27" xfId="0" applyNumberFormat="1" applyFont="1" applyFill="1" applyBorder="1" applyAlignment="1">
      <x:alignment wrapText="1"/>
    </x:xf>
    <x:xf numFmtId="0" fontId="7" fillId="8" borderId="28" xfId="0" applyNumberFormat="1" applyFont="1" applyFill="1" applyBorder="1" applyAlignment="1">
      <x:alignment wrapText="1"/>
    </x:xf>
    <x:xf numFmtId="0" fontId="7" fillId="8" borderId="29" xfId="0" applyNumberFormat="1" applyFont="1" applyFill="1" applyBorder="1" applyAlignment="1">
      <x:alignment wrapText="1"/>
    </x:xf>
    <x:xf numFmtId="0" fontId="7" fillId="8" borderId="30" xfId="0" applyNumberFormat="1" applyFont="1" applyFill="1" applyBorder="1" applyAlignment="1">
      <x:alignment wrapText="1"/>
    </x:xf>
    <x:xf numFmtId="0" fontId="7" fillId="8" borderId="0" xfId="0" applyNumberFormat="1" applyFont="1" applyFill="1" applyBorder="1" applyAlignment="1">
      <x:alignment wrapText="1"/>
    </x:xf>
    <x:xf numFmtId="0" fontId="7" fillId="8" borderId="31" xfId="0" applyNumberFormat="1" applyFont="1" applyFill="1" applyBorder="1" applyAlignment="1">
      <x:alignment wrapText="1"/>
    </x:xf>
    <x:xf numFmtId="0" fontId="7" fillId="8" borderId="32" xfId="0" applyNumberFormat="1" applyFont="1" applyFill="1" applyBorder="1" applyAlignment="1">
      <x:alignment wrapText="1"/>
    </x:xf>
    <x:xf numFmtId="0" fontId="7" fillId="8" borderId="33" xfId="0" applyNumberFormat="1" applyFont="1" applyFill="1" applyBorder="1" applyAlignment="1">
      <x:alignment wrapText="1"/>
    </x:xf>
    <x:xf numFmtId="0" fontId="7" fillId="8" borderId="34" xfId="0" applyNumberFormat="1" applyFont="1" applyFill="1" applyBorder="1" applyAlignment="1">
      <x:alignment wrapText="1"/>
    </x:xf>
    <x:xf numFmtId="0" fontId="7" fillId="8" borderId="27" xfId="0" applyNumberFormat="1" applyFont="1" applyFill="1" applyBorder="1" applyAlignment="1">
      <x:alignment vertical="center" wrapText="1"/>
    </x:xf>
    <x:xf numFmtId="0" fontId="7" fillId="8" borderId="28" xfId="0" applyNumberFormat="1" applyFont="1" applyFill="1" applyBorder="1" applyAlignment="1">
      <x:alignment vertical="center" wrapText="1"/>
    </x:xf>
    <x:xf numFmtId="0" fontId="7" fillId="8" borderId="29" xfId="0" applyNumberFormat="1" applyFont="1" applyFill="1" applyBorder="1" applyAlignment="1">
      <x:alignment vertical="center" wrapText="1"/>
    </x:xf>
    <x:xf numFmtId="0" fontId="7" fillId="8" borderId="30" xfId="0" applyNumberFormat="1" applyFont="1" applyFill="1" applyBorder="1" applyAlignment="1">
      <x:alignment vertical="center" wrapText="1"/>
    </x:xf>
    <x:xf numFmtId="0" fontId="7" fillId="8" borderId="0" xfId="0" applyNumberFormat="1" applyFont="1" applyFill="1" applyBorder="1" applyAlignment="1">
      <x:alignment vertical="center" wrapText="1"/>
    </x:xf>
    <x:xf numFmtId="0" fontId="7" fillId="8" borderId="31" xfId="0" applyNumberFormat="1" applyFont="1" applyFill="1" applyBorder="1" applyAlignment="1">
      <x:alignment vertical="center" wrapText="1"/>
    </x:xf>
    <x:xf numFmtId="0" fontId="7" fillId="8" borderId="32" xfId="0" applyNumberFormat="1" applyFont="1" applyFill="1" applyBorder="1" applyAlignment="1">
      <x:alignment vertical="center" wrapText="1"/>
    </x:xf>
    <x:xf numFmtId="0" fontId="7" fillId="8" borderId="33" xfId="0" applyNumberFormat="1" applyFont="1" applyFill="1" applyBorder="1" applyAlignment="1">
      <x:alignment vertical="center" wrapText="1"/>
    </x:xf>
    <x:xf numFmtId="0" fontId="7" fillId="8" borderId="34" xfId="0" applyNumberFormat="1" applyFont="1" applyFill="1" applyBorder="1" applyAlignment="1">
      <x:alignment vertical="center" wrapText="1"/>
    </x:xf>
    <x:xf numFmtId="0" fontId="8" fillId="3" borderId="0" xfId="0" applyNumberFormat="1" applyFont="1" applyFill="1" applyBorder="1"/>
    <x:xf numFmtId="0" fontId="8" fillId="3" borderId="35" xfId="0" applyNumberFormat="1" applyFont="1" applyFill="1" applyBorder="1"/>
    <x:xf numFmtId="0" fontId="8" fillId="3" borderId="36" xfId="0" applyNumberFormat="1" applyFont="1" applyFill="1" applyBorder="1"/>
    <x:xf numFmtId="0" fontId="8" fillId="3" borderId="37" xfId="0" applyNumberFormat="1" applyFont="1" applyFill="1" applyBorder="1"/>
    <x:xf numFmtId="0" fontId="8" fillId="3" borderId="38" xfId="0" applyNumberFormat="1" applyFont="1" applyFill="1" applyBorder="1"/>
    <x:xf numFmtId="0" fontId="8" fillId="3" borderId="39" xfId="0" applyNumberFormat="1" applyFont="1" applyFill="1" applyBorder="1"/>
    <x:xf numFmtId="0" fontId="8" fillId="3" borderId="40" xfId="0" applyNumberFormat="1" applyFont="1" applyFill="1" applyBorder="1"/>
    <x:xf numFmtId="0" fontId="8" fillId="3" borderId="41" xfId="0" applyNumberFormat="1" applyFont="1" applyFill="1" applyBorder="1"/>
    <x:xf numFmtId="0" fontId="8" fillId="3" borderId="42" xfId="0" applyNumberFormat="1" applyFont="1" applyFill="1" applyBorder="1"/>
    <x:xf numFmtId="0" fontId="8" fillId="3" borderId="35" xfId="0" applyNumberFormat="1" applyFont="1" applyFill="1" applyBorder="1" applyAlignment="1">
      <x:alignment wrapText="1"/>
    </x:xf>
    <x:xf numFmtId="0" fontId="8" fillId="3" borderId="36" xfId="0" applyNumberFormat="1" applyFont="1" applyFill="1" applyBorder="1" applyAlignment="1">
      <x:alignment wrapText="1"/>
    </x:xf>
    <x:xf numFmtId="0" fontId="8" fillId="3" borderId="37" xfId="0" applyNumberFormat="1" applyFont="1" applyFill="1" applyBorder="1" applyAlignment="1">
      <x:alignment wrapText="1"/>
    </x:xf>
    <x:xf numFmtId="0" fontId="8" fillId="3" borderId="38" xfId="0" applyNumberFormat="1" applyFont="1" applyFill="1" applyBorder="1" applyAlignment="1">
      <x:alignment wrapText="1"/>
    </x:xf>
    <x:xf numFmtId="0" fontId="8" fillId="3" borderId="0" xfId="0" applyNumberFormat="1" applyFont="1" applyFill="1" applyBorder="1" applyAlignment="1">
      <x:alignment wrapText="1"/>
    </x:xf>
    <x:xf numFmtId="0" fontId="8" fillId="3" borderId="39" xfId="0" applyNumberFormat="1" applyFont="1" applyFill="1" applyBorder="1" applyAlignment="1">
      <x:alignment wrapText="1"/>
    </x:xf>
    <x:xf numFmtId="0" fontId="8" fillId="3" borderId="40" xfId="0" applyNumberFormat="1" applyFont="1" applyFill="1" applyBorder="1" applyAlignment="1">
      <x:alignment wrapText="1"/>
    </x:xf>
    <x:xf numFmtId="0" fontId="8" fillId="3" borderId="41" xfId="0" applyNumberFormat="1" applyFont="1" applyFill="1" applyBorder="1" applyAlignment="1">
      <x:alignment wrapText="1"/>
    </x:xf>
    <x:xf numFmtId="0" fontId="8" fillId="3" borderId="42" xfId="0" applyNumberFormat="1" applyFont="1" applyFill="1" applyBorder="1" applyAlignment="1">
      <x:alignment wrapText="1"/>
    </x:xf>
    <x:xf numFmtId="0" fontId="8" fillId="3" borderId="35" xfId="0" applyNumberFormat="1" applyFont="1" applyFill="1" applyBorder="1" applyAlignment="1">
      <x:alignment vertical="center" wrapText="1"/>
    </x:xf>
    <x:xf numFmtId="0" fontId="8" fillId="3" borderId="36" xfId="0" applyNumberFormat="1" applyFont="1" applyFill="1" applyBorder="1" applyAlignment="1">
      <x:alignment vertical="center" wrapText="1"/>
    </x:xf>
    <x:xf numFmtId="0" fontId="8" fillId="3" borderId="37" xfId="0" applyNumberFormat="1" applyFont="1" applyFill="1" applyBorder="1" applyAlignment="1">
      <x:alignment vertical="center" wrapText="1"/>
    </x:xf>
    <x:xf numFmtId="0" fontId="8" fillId="3" borderId="38" xfId="0" applyNumberFormat="1" applyFont="1" applyFill="1" applyBorder="1" applyAlignment="1">
      <x:alignment vertical="center" wrapText="1"/>
    </x:xf>
    <x:xf numFmtId="0" fontId="8" fillId="3" borderId="0" xfId="0" applyNumberFormat="1" applyFont="1" applyFill="1" applyBorder="1" applyAlignment="1">
      <x:alignment vertical="center" wrapText="1"/>
    </x:xf>
    <x:xf numFmtId="0" fontId="8" fillId="3" borderId="39" xfId="0" applyNumberFormat="1" applyFont="1" applyFill="1" applyBorder="1" applyAlignment="1">
      <x:alignment vertical="center" wrapText="1"/>
    </x:xf>
    <x:xf numFmtId="0" fontId="8" fillId="3" borderId="40" xfId="0" applyNumberFormat="1" applyFont="1" applyFill="1" applyBorder="1" applyAlignment="1">
      <x:alignment vertical="center" wrapText="1"/>
    </x:xf>
    <x:xf numFmtId="0" fontId="8" fillId="3" borderId="41" xfId="0" applyNumberFormat="1" applyFont="1" applyFill="1" applyBorder="1" applyAlignment="1">
      <x:alignment vertical="center" wrapText="1"/>
    </x:xf>
    <x:xf numFmtId="0" fontId="8" fillId="3" borderId="42" xfId="0" applyNumberFormat="1" applyFont="1" applyFill="1" applyBorder="1" applyAlignment="1">
      <x:alignment vertical="center" wrapText="1"/>
    </x:xf>
    <x:xf numFmtId="0" fontId="9" fillId="2" borderId="0" xfId="0" applyNumberFormat="1" applyFont="1" applyFill="1" applyBorder="1" applyAlignment="1">
      <x:alignment vertical="center"/>
    </x:xf>
    <x:xf numFmtId="200" fontId="10" fillId="5" borderId="9" xfId="0" applyNumberFormat="1" applyFont="1" applyFill="1" applyBorder="1" applyAlignment="1">
      <x:alignment horizontal="center" vertical="center"/>
    </x:xf>
    <x:xf numFmtId="200" fontId="10" fillId="5" borderId="10" xfId="0" applyNumberFormat="1" applyFont="1" applyFill="1" applyBorder="1" applyAlignment="1">
      <x:alignment horizontal="center" vertical="center"/>
    </x:xf>
    <x:xf numFmtId="200" fontId="10" fillId="5" borderId="11" xfId="0" applyNumberFormat="1" applyFont="1" applyFill="1" applyBorder="1" applyAlignment="1">
      <x:alignment horizontal="center" vertical="center"/>
    </x:xf>
    <x:xf numFmtId="201" fontId="10" fillId="5" borderId="9" xfId="0" applyNumberFormat="1" applyFont="1" applyFill="1" applyBorder="1" applyAlignment="1">
      <x:alignment horizontal="center" vertical="center"/>
    </x:xf>
    <x:xf numFmtId="201" fontId="10" fillId="5" borderId="10" xfId="0" applyNumberFormat="1" applyFont="1" applyFill="1" applyBorder="1" applyAlignment="1">
      <x:alignment horizontal="center" vertical="center"/>
    </x:xf>
    <x:xf numFmtId="201" fontId="10" fillId="5" borderId="11" xfId="0" applyNumberFormat="1" applyFont="1" applyFill="1" applyBorder="1" applyAlignment="1">
      <x:alignment horizontal="center" vertical="center"/>
    </x:xf>
    <x:xf numFmtId="200" fontId="10" fillId="5" borderId="12" xfId="0" applyNumberFormat="1" applyFont="1" applyFill="1" applyBorder="1" applyAlignment="1">
      <x:alignment horizontal="center" vertical="center"/>
    </x:xf>
    <x:xf numFmtId="200" fontId="10" fillId="5" borderId="0" xfId="0" applyNumberFormat="1" applyFont="1" applyFill="1" applyBorder="1" applyAlignment="1">
      <x:alignment horizontal="center" vertical="center"/>
    </x:xf>
    <x:xf numFmtId="200" fontId="10" fillId="5" borderId="13" xfId="0" applyNumberFormat="1" applyFont="1" applyFill="1" applyBorder="1" applyAlignment="1">
      <x:alignment horizontal="center" vertical="center"/>
    </x:xf>
    <x:xf numFmtId="201" fontId="10" fillId="5" borderId="12" xfId="0" applyNumberFormat="1" applyFont="1" applyFill="1" applyBorder="1" applyAlignment="1">
      <x:alignment horizontal="center" vertical="center"/>
    </x:xf>
    <x:xf numFmtId="201" fontId="10" fillId="5" borderId="0" xfId="0" applyNumberFormat="1" applyFont="1" applyFill="1" applyBorder="1" applyAlignment="1">
      <x:alignment horizontal="center" vertical="center"/>
    </x:xf>
    <x:xf numFmtId="201" fontId="10" fillId="5" borderId="13" xfId="0" applyNumberFormat="1" applyFont="1" applyFill="1" applyBorder="1" applyAlignment="1">
      <x:alignment horizontal="center" vertical="center"/>
    </x:xf>
    <x:xf numFmtId="200" fontId="10" fillId="5" borderId="14" xfId="0" applyNumberFormat="1" applyFont="1" applyFill="1" applyBorder="1" applyAlignment="1">
      <x:alignment horizontal="center" vertical="center"/>
    </x:xf>
    <x:xf numFmtId="200" fontId="10" fillId="5" borderId="15" xfId="0" applyNumberFormat="1" applyFont="1" applyFill="1" applyBorder="1" applyAlignment="1">
      <x:alignment horizontal="center" vertical="center"/>
    </x:xf>
    <x:xf numFmtId="200" fontId="10" fillId="5" borderId="16" xfId="0" applyNumberFormat="1" applyFont="1" applyFill="1" applyBorder="1" applyAlignment="1">
      <x:alignment horizontal="center" vertical="center"/>
    </x:xf>
    <x:xf numFmtId="201" fontId="10" fillId="5" borderId="14" xfId="0" applyNumberFormat="1" applyFont="1" applyFill="1" applyBorder="1" applyAlignment="1">
      <x:alignment horizontal="center" vertical="center"/>
    </x:xf>
    <x:xf numFmtId="201" fontId="10" fillId="5" borderId="15" xfId="0" applyNumberFormat="1" applyFont="1" applyFill="1" applyBorder="1" applyAlignment="1">
      <x:alignment horizontal="center" vertical="center"/>
    </x:xf>
    <x:xf numFmtId="201" fontId="10" fillId="5" borderId="16" xfId="0" applyNumberFormat="1" applyFont="1" applyFill="1" applyBorder="1" applyAlignment="1">
      <x:alignment horizontal="center" vertical="center"/>
    </x:xf>
    <x:xf numFmtId="202" fontId="10" fillId="5" borderId="9" xfId="0" applyNumberFormat="1" applyFont="1" applyFill="1" applyBorder="1" applyAlignment="1">
      <x:alignment horizontal="center" vertical="center"/>
    </x:xf>
    <x:xf numFmtId="202" fontId="10" fillId="5" borderId="10" xfId="0" applyNumberFormat="1" applyFont="1" applyFill="1" applyBorder="1" applyAlignment="1">
      <x:alignment horizontal="center" vertical="center"/>
    </x:xf>
    <x:xf numFmtId="202" fontId="10" fillId="5" borderId="11" xfId="0" applyNumberFormat="1" applyFont="1" applyFill="1" applyBorder="1" applyAlignment="1">
      <x:alignment horizontal="center" vertical="center"/>
    </x:xf>
    <x:xf numFmtId="202" fontId="10" fillId="5" borderId="12" xfId="0" applyNumberFormat="1" applyFont="1" applyFill="1" applyBorder="1" applyAlignment="1">
      <x:alignment horizontal="center" vertical="center"/>
    </x:xf>
    <x:xf numFmtId="202" fontId="10" fillId="5" borderId="0" xfId="0" applyNumberFormat="1" applyFont="1" applyFill="1" applyBorder="1" applyAlignment="1">
      <x:alignment horizontal="center" vertical="center"/>
    </x:xf>
    <x:xf numFmtId="202" fontId="10" fillId="5" borderId="13" xfId="0" applyNumberFormat="1" applyFont="1" applyFill="1" applyBorder="1" applyAlignment="1">
      <x:alignment horizontal="center" vertical="center"/>
    </x:xf>
    <x:xf numFmtId="202" fontId="10" fillId="5" borderId="14" xfId="0" applyNumberFormat="1" applyFont="1" applyFill="1" applyBorder="1" applyAlignment="1">
      <x:alignment horizontal="center" vertical="center"/>
    </x:xf>
    <x:xf numFmtId="202" fontId="10" fillId="5" borderId="15" xfId="0" applyNumberFormat="1" applyFont="1" applyFill="1" applyBorder="1" applyAlignment="1">
      <x:alignment horizontal="center" vertical="center"/>
    </x:xf>
    <x:xf numFmtId="202" fontId="10" fillId="5" borderId="16" xfId="0" applyNumberFormat="1" applyFont="1" applyFill="1" applyBorder="1" applyAlignment="1">
      <x:alignment horizontal="center" vertical="center"/>
    </x:xf>
    <x:xf numFmtId="0" fontId="0" fillId="7" borderId="0" xfId="0" applyNumberFormat="1" applyFont="1" applyFill="1" applyBorder="1"/>
    <x:xf numFmtId="0" fontId="11" fillId="7" borderId="0" xfId="0" applyNumberFormat="1" applyFont="1" applyFill="1" applyBorder="1"/>
    <x:xf numFmtId="0" fontId="11" fillId="7" borderId="0" xfId="0" applyNumberFormat="1" applyFont="1" applyFill="1" applyBorder="1" applyAlignment="1">
      <x:alignment wrapText="1"/>
    </x:xf>
    <x:xf numFmtId="0" fontId="5" fillId="0" borderId="18" xfId="0" applyNumberFormat="1" applyFont="1" applyFill="1" applyBorder="1" applyAlignment="1">
      <x:alignment vertical="top"/>
    </x:xf>
    <x:xf numFmtId="0" fontId="5" fillId="0" borderId="19" xfId="0" applyNumberFormat="1" applyFont="1" applyFill="1" applyBorder="1" applyAlignment="1">
      <x:alignment vertical="top"/>
    </x:xf>
    <x:xf numFmtId="0" fontId="5" fillId="0" borderId="20" xfId="0" applyNumberFormat="1" applyFont="1" applyFill="1" applyBorder="1" applyAlignment="1">
      <x:alignment vertical="top"/>
    </x:xf>
    <x:xf numFmtId="0" fontId="5" fillId="0" borderId="21" xfId="0" applyNumberFormat="1" applyFont="1" applyFill="1" applyBorder="1" applyAlignment="1">
      <x:alignment vertical="top"/>
    </x:xf>
    <x:xf numFmtId="0" fontId="5" fillId="0" borderId="22" xfId="0" applyNumberFormat="1" applyFont="1" applyFill="1" applyBorder="1" applyAlignment="1">
      <x:alignment vertical="top"/>
    </x:xf>
    <x:xf numFmtId="0" fontId="5" fillId="0" borderId="23" xfId="0" applyNumberFormat="1" applyFont="1" applyFill="1" applyBorder="1" applyAlignment="1">
      <x:alignment vertical="top"/>
    </x:xf>
    <x:xf numFmtId="0" fontId="5" fillId="0" borderId="24" xfId="0" applyNumberFormat="1" applyFont="1" applyFill="1" applyBorder="1" applyAlignment="1">
      <x:alignment vertical="top"/>
    </x:xf>
    <x:xf numFmtId="0" fontId="5" fillId="0" borderId="25" xfId="0" applyNumberFormat="1" applyFont="1" applyFill="1" applyBorder="1" applyAlignment="1">
      <x:alignment vertical="top"/>
    </x:xf>
    <x:xf numFmtId="0" fontId="5" fillId="0" borderId="26" xfId="0" applyNumberFormat="1" applyFont="1" applyFill="1" applyBorder="1" applyAlignment="1">
      <x:alignment vertical="top"/>
    </x:xf>
    <x:xf numFmtId="204" fontId="5" fillId="0" borderId="19" xfId="0" applyNumberFormat="1" applyFont="1" applyFill="1" applyBorder="1" applyAlignment="1">
      <x:alignment vertical="top"/>
    </x:xf>
    <x:xf numFmtId="204" fontId="5" fillId="0" borderId="22" xfId="0" applyNumberFormat="1" applyFont="1" applyFill="1" applyBorder="1" applyAlignment="1">
      <x:alignment vertical="top"/>
    </x:xf>
    <x:xf numFmtId="204" fontId="5" fillId="0" borderId="25" xfId="0" applyNumberFormat="1" applyFont="1" applyFill="1" applyBorder="1" applyAlignment="1">
      <x:alignment vertical="top"/>
    </x:xf>
    <x:xf numFmtId="205" fontId="5" fillId="0" borderId="19" xfId="0" applyNumberFormat="1" applyFont="1" applyFill="1" applyBorder="1" applyAlignment="1">
      <x:alignment vertical="top"/>
    </x:xf>
    <x:xf numFmtId="205" fontId="5" fillId="0" borderId="22" xfId="0" applyNumberFormat="1" applyFont="1" applyFill="1" applyBorder="1" applyAlignment="1">
      <x:alignment vertical="top"/>
    </x:xf>
    <x:xf numFmtId="205" fontId="5" fillId="0" borderId="25" xfId="0" applyNumberFormat="1" applyFont="1" applyFill="1" applyBorder="1" applyAlignment="1">
      <x:alignment vertical="top"/>
    </x:xf>
    <x:xf numFmtId="202" fontId="5" fillId="0" borderId="19" xfId="0" applyNumberFormat="1" applyFont="1" applyFill="1" applyBorder="1" applyAlignment="1">
      <x:alignment vertical="top"/>
    </x:xf>
    <x:xf numFmtId="202" fontId="5" fillId="0" borderId="22" xfId="0" applyNumberFormat="1" applyFont="1" applyFill="1" applyBorder="1" applyAlignment="1">
      <x:alignment vertical="top"/>
    </x:xf>
    <x:xf numFmtId="202" fontId="5" fillId="0" borderId="25" xfId="0" applyNumberFormat="1" applyFont="1" applyFill="1" applyBorder="1" applyAlignment="1">
      <x:alignment vertical="top"/>
    </x:xf>
    <x:xf numFmtId="0" fontId="5" fillId="7" borderId="19" xfId="0" applyNumberFormat="1" applyFont="1" applyFill="1" applyBorder="1" applyAlignment="1">
      <x:alignment vertical="top"/>
    </x:xf>
    <x:xf numFmtId="0" fontId="5" fillId="7" borderId="22" xfId="0" applyNumberFormat="1" applyFont="1" applyFill="1" applyBorder="1" applyAlignment="1">
      <x:alignment vertical="top"/>
    </x:xf>
    <x:xf numFmtId="0" fontId="5" fillId="7" borderId="25" xfId="0" applyNumberFormat="1" applyFont="1" applyFill="1" applyBorder="1" applyAlignment="1">
      <x:alignment vertical="top"/>
    </x:xf>
    <x:xf numFmtId="202" fontId="5" fillId="5" borderId="19" xfId="0" applyNumberFormat="1" applyFont="1" applyFill="1" applyBorder="1" applyAlignment="1">
      <x:alignment vertical="top"/>
    </x:xf>
    <x:xf numFmtId="202" fontId="5" fillId="5" borderId="22" xfId="0" applyNumberFormat="1" applyFont="1" applyFill="1" applyBorder="1" applyAlignment="1">
      <x:alignment vertical="top"/>
    </x:xf>
    <x:xf numFmtId="202" fontId="5" fillId="5" borderId="25" xfId="0" applyNumberFormat="1" applyFont="1" applyFill="1" applyBorder="1" applyAlignment="1">
      <x:alignment vertical="top"/>
    </x:xf>
    <x:xf numFmtId="0" fontId="5" fillId="0" borderId="19"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5"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18" xfId="0" applyNumberFormat="1" applyFont="1" applyFill="1" applyBorder="1" applyAlignment="1">
      <x:alignment vertical="top" wrapText="1"/>
    </x:xf>
    <x:xf numFmtId="0" fontId="5" fillId="0" borderId="21"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7" borderId="0" xfId="0" applyNumberFormat="1" applyFont="1" applyFill="1" applyBorder="1"/>
    <x:xf numFmtId="0" fontId="5" fillId="7" borderId="18" xfId="0" applyNumberFormat="1" applyFont="1" applyFill="1" applyBorder="1"/>
    <x:xf numFmtId="0" fontId="5" fillId="7" borderId="19" xfId="0" applyNumberFormat="1" applyFont="1" applyFill="1" applyBorder="1"/>
    <x:xf numFmtId="0" fontId="5" fillId="7" borderId="20" xfId="0" applyNumberFormat="1" applyFont="1" applyFill="1" applyBorder="1"/>
    <x:xf numFmtId="0" fontId="5" fillId="7" borderId="21" xfId="0" applyNumberFormat="1" applyFont="1" applyFill="1" applyBorder="1"/>
    <x:xf numFmtId="0" fontId="5" fillId="7" borderId="22" xfId="0" applyNumberFormat="1" applyFont="1" applyFill="1" applyBorder="1"/>
    <x:xf numFmtId="0" fontId="5" fillId="7" borderId="23" xfId="0" applyNumberFormat="1" applyFont="1" applyFill="1" applyBorder="1"/>
    <x:xf numFmtId="0" fontId="5" fillId="7" borderId="24" xfId="0" applyNumberFormat="1" applyFont="1" applyFill="1" applyBorder="1"/>
    <x:xf numFmtId="0" fontId="5" fillId="7" borderId="25" xfId="0" applyNumberFormat="1" applyFont="1" applyFill="1" applyBorder="1"/>
    <x:xf numFmtId="0" fontId="5" fillId="7" borderId="26" xfId="0" applyNumberFormat="1" applyFont="1" applyFill="1" applyBorder="1"/>
    <x:xf numFmtId="0" fontId="5" fillId="7" borderId="18" xfId="0" applyNumberFormat="1" applyFont="1" applyFill="1" applyBorder="1" applyAlignment="1">
      <x:alignment wrapText="1"/>
    </x:xf>
    <x:xf numFmtId="0" fontId="5" fillId="7" borderId="19" xfId="0" applyNumberFormat="1" applyFont="1" applyFill="1" applyBorder="1" applyAlignment="1">
      <x:alignment wrapText="1"/>
    </x:xf>
    <x:xf numFmtId="0" fontId="5" fillId="7" borderId="20" xfId="0" applyNumberFormat="1" applyFont="1" applyFill="1" applyBorder="1" applyAlignment="1">
      <x:alignment wrapText="1"/>
    </x:xf>
    <x:xf numFmtId="0" fontId="5" fillId="7" borderId="21" xfId="0" applyNumberFormat="1" applyFont="1" applyFill="1" applyBorder="1" applyAlignment="1">
      <x:alignment wrapText="1"/>
    </x:xf>
    <x:xf numFmtId="0" fontId="5" fillId="7" borderId="22" xfId="0" applyNumberFormat="1" applyFont="1" applyFill="1" applyBorder="1" applyAlignment="1">
      <x:alignment wrapText="1"/>
    </x:xf>
    <x:xf numFmtId="0" fontId="5" fillId="7" borderId="23" xfId="0" applyNumberFormat="1" applyFont="1" applyFill="1" applyBorder="1" applyAlignment="1">
      <x:alignment wrapText="1"/>
    </x:xf>
    <x:xf numFmtId="0" fontId="5" fillId="7" borderId="24" xfId="0" applyNumberFormat="1" applyFont="1" applyFill="1" applyBorder="1" applyAlignment="1">
      <x:alignment wrapText="1"/>
    </x:xf>
    <x:xf numFmtId="0" fontId="5" fillId="7" borderId="25" xfId="0" applyNumberFormat="1" applyFont="1" applyFill="1" applyBorder="1" applyAlignment="1">
      <x:alignment wrapText="1"/>
    </x:xf>
    <x:xf numFmtId="0" fontId="5" fillId="7" borderId="26" xfId="0" applyNumberFormat="1" applyFont="1" applyFill="1" applyBorder="1" applyAlignment="1">
      <x:alignment wrapText="1"/>
    </x:xf>
    <x:xf numFmtId="0" fontId="5" fillId="7" borderId="18" xfId="0" applyNumberFormat="1" applyFont="1" applyFill="1" applyBorder="1" applyAlignment="1">
      <x:alignment vertical="top" wrapText="1"/>
    </x:xf>
    <x:xf numFmtId="0" fontId="5" fillId="7" borderId="19" xfId="0" applyNumberFormat="1" applyFont="1" applyFill="1" applyBorder="1" applyAlignment="1">
      <x:alignment vertical="top" wrapText="1"/>
    </x:xf>
    <x:xf numFmtId="0" fontId="5" fillId="7" borderId="20" xfId="0" applyNumberFormat="1" applyFont="1" applyFill="1" applyBorder="1" applyAlignment="1">
      <x:alignment vertical="top" wrapText="1"/>
    </x:xf>
    <x:xf numFmtId="0" fontId="5" fillId="7" borderId="21" xfId="0" applyNumberFormat="1" applyFont="1" applyFill="1" applyBorder="1" applyAlignment="1">
      <x:alignment vertical="top" wrapText="1"/>
    </x:xf>
    <x:xf numFmtId="0" fontId="5" fillId="7" borderId="22" xfId="0" applyNumberFormat="1" applyFont="1" applyFill="1" applyBorder="1" applyAlignment="1">
      <x:alignment vertical="top" wrapText="1"/>
    </x:xf>
    <x:xf numFmtId="0" fontId="5" fillId="7" borderId="23" xfId="0" applyNumberFormat="1" applyFont="1" applyFill="1" applyBorder="1" applyAlignment="1">
      <x:alignment vertical="top" wrapText="1"/>
    </x:xf>
    <x:xf numFmtId="0" fontId="5" fillId="7" borderId="24" xfId="0" applyNumberFormat="1" applyFont="1" applyFill="1" applyBorder="1" applyAlignment="1">
      <x:alignment vertical="top" wrapText="1"/>
    </x:xf>
    <x:xf numFmtId="0" fontId="5" fillId="7" borderId="25" xfId="0" applyNumberFormat="1" applyFont="1" applyFill="1" applyBorder="1" applyAlignment="1">
      <x:alignment vertical="top" wrapText="1"/>
    </x:xf>
    <x:xf numFmtId="0" fontId="5" fillId="7" borderId="26" xfId="0" applyNumberFormat="1" applyFont="1" applyFill="1" applyBorder="1" applyAlignment="1">
      <x:alignment vertical="top" wrapText="1"/>
    </x:xf>
    <x:xf numFmtId="204" fontId="5" fillId="7" borderId="19" xfId="0" applyNumberFormat="1" applyFont="1" applyFill="1" applyBorder="1" applyAlignment="1">
      <x:alignment vertical="top" wrapText="1"/>
    </x:xf>
    <x:xf numFmtId="204" fontId="5" fillId="7" borderId="22" xfId="0" applyNumberFormat="1" applyFont="1" applyFill="1" applyBorder="1" applyAlignment="1">
      <x:alignment vertical="top" wrapText="1"/>
    </x:xf>
    <x:xf numFmtId="204" fontId="5" fillId="7" borderId="25" xfId="0" applyNumberFormat="1" applyFont="1" applyFill="1" applyBorder="1" applyAlignment="1">
      <x:alignment vertical="top" wrapText="1"/>
    </x:xf>
    <x:xf numFmtId="0" fontId="5" fillId="7" borderId="18" xfId="0" applyNumberFormat="1" applyFont="1" applyFill="1" applyBorder="1" applyAlignment="1">
      <x:alignment vertical="top"/>
    </x:xf>
    <x:xf numFmtId="0" fontId="5" fillId="7" borderId="20" xfId="0" applyNumberFormat="1" applyFont="1" applyFill="1" applyBorder="1" applyAlignment="1">
      <x:alignment vertical="top"/>
    </x:xf>
    <x:xf numFmtId="0" fontId="5" fillId="7" borderId="21" xfId="0" applyNumberFormat="1" applyFont="1" applyFill="1" applyBorder="1" applyAlignment="1">
      <x:alignment vertical="top"/>
    </x:xf>
    <x:xf numFmtId="0" fontId="5" fillId="7" borderId="23" xfId="0" applyNumberFormat="1" applyFont="1" applyFill="1" applyBorder="1" applyAlignment="1">
      <x:alignment vertical="top"/>
    </x:xf>
    <x:xf numFmtId="0" fontId="5" fillId="7" borderId="24" xfId="0" applyNumberFormat="1" applyFont="1" applyFill="1" applyBorder="1" applyAlignment="1">
      <x:alignment vertical="top"/>
    </x:xf>
    <x:xf numFmtId="0" fontId="5" fillId="7" borderId="26" xfId="0" applyNumberFormat="1" applyFont="1" applyFill="1" applyBorder="1" applyAlignment="1">
      <x:alignment vertical="top"/>
    </x:xf>
    <x:xf numFmtId="0" fontId="5" fillId="5" borderId="18" xfId="0" applyNumberFormat="1" applyFont="1" applyFill="1" applyBorder="1" applyAlignment="1">
      <x:alignment vertical="top"/>
    </x:xf>
    <x:xf numFmtId="0" fontId="5" fillId="5" borderId="21" xfId="0" applyNumberFormat="1" applyFont="1" applyFill="1" applyBorder="1" applyAlignment="1">
      <x:alignment vertical="top"/>
    </x:xf>
    <x:xf numFmtId="0" fontId="5" fillId="5" borderId="24" xfId="0" applyNumberFormat="1" applyFont="1" applyFill="1" applyBorder="1" applyAlignment="1">
      <x:alignment vertical="top"/>
    </x:xf>
    <x:xf numFmtId="204" fontId="5" fillId="7" borderId="19" xfId="0" applyNumberFormat="1" applyFont="1" applyFill="1" applyBorder="1" applyAlignment="1">
      <x:alignment vertical="top"/>
    </x:xf>
    <x:xf numFmtId="204" fontId="5" fillId="7" borderId="22" xfId="0" applyNumberFormat="1" applyFont="1" applyFill="1" applyBorder="1" applyAlignment="1">
      <x:alignment vertical="top"/>
    </x:xf>
    <x:xf numFmtId="204" fontId="5" fillId="7" borderId="25" xfId="0" applyNumberFormat="1" applyFont="1" applyFill="1" applyBorder="1" applyAlignment="1">
      <x:alignment vertical="top"/>
    </x:xf>
  </x:cellXfs>
  <x:cellStyles count="1">
    <x:cellStyle name="Normal" xfId="0"/>
  </x:cellStyles>
  <x:dxfs count="23">
    <x:dxf>
      <x:font>
        <x:b/>
        <x:color rgb="FF176B2C"/>
      </x:font>
      <x:fill>
        <x:patternFill patternType="solid">
          <x:bgColor rgb="FFE3F3E7"/>
        </x:patternFill>
      </x:fill>
    </x:dxf>
    <x:dxf>
      <x:font>
        <x:color rgb="FF667788"/>
      </x:font>
      <x:fill>
        <x:patternFill patternType="solid">
          <x:bgColor rgb="FFF5F7FA"/>
        </x:patternFill>
      </x:fill>
    </x:dxf>
    <x:dxf>
      <x:font>
        <x:b/>
        <x:color rgb="FF176B2C"/>
      </x:font>
      <x:fill>
        <x:patternFill patternType="solid">
          <x:bgColor rgb="FFE3F3E7"/>
        </x:patternFill>
      </x:fill>
    </x:dxf>
    <x:dxf>
      <x:font>
        <x:color rgb="FF667788"/>
      </x:font>
      <x:fill>
        <x:patternFill patternType="solid">
          <x:bgColor rgb="FFF5F7FA"/>
        </x:patternFill>
      </x:fill>
    </x:dxf>
    <x:dxf>
      <x:font>
        <x:b/>
        <x:color rgb="FF176B2C"/>
      </x:font>
      <x:fill>
        <x:patternFill patternType="solid">
          <x:bgColor rgb="FFE3F3E7"/>
        </x:patternFill>
      </x:fill>
    </x:dxf>
    <x:dxf>
      <x:font>
        <x:color rgb="FF667788"/>
      </x:font>
      <x:fill>
        <x:patternFill patternType="solid">
          <x:bgColor rgb="FFF5F7FA"/>
        </x:patternFill>
      </x:fill>
    </x:dxf>
    <x:dxf>
      <x:font>
        <x:b/>
        <x:color rgb="FF176B2C"/>
      </x:font>
      <x:fill>
        <x:patternFill patternType="solid">
          <x:bgColor rgb="FFE3F3E7"/>
        </x:patternFill>
      </x:fill>
    </x:dxf>
    <x:dxf>
      <x:font>
        <x:color rgb="FF667788"/>
      </x:font>
      <x:fill>
        <x:patternFill patternType="solid">
          <x:bgColor rgb="FFF5F7FA"/>
        </x:patternFill>
      </x:fill>
    </x:dxf>
    <x:dxf>
      <x:font>
        <x:b/>
        <x:color rgb="FFA61B1B"/>
      </x:font>
      <x:fill>
        <x:patternFill patternType="solid">
          <x:bgColor rgb="FFFCE8E6"/>
        </x:patternFill>
      </x:fill>
    </x:dxf>
    <x:dxf>
      <x:font>
        <x:b/>
        <x:color rgb="FF176B2C"/>
      </x:font>
      <x:fill>
        <x:patternFill patternType="solid">
          <x:bgColor rgb="FFE3F3E7"/>
        </x:patternFill>
      </x:fill>
    </x:dxf>
    <x:dxf>
      <x:font>
        <x:b/>
        <x:color rgb="FF7A5200"/>
      </x:font>
      <x:fill>
        <x:patternFill patternType="solid">
          <x:bgColor rgb="FFFFF2CC"/>
        </x:patternFill>
      </x:fill>
    </x:dxf>
    <x:dxf>
      <x:font>
        <x:b/>
        <x:color rgb="FF176B2C"/>
      </x:font>
      <x:fill>
        <x:patternFill patternType="solid">
          <x:bgColor rgb="FFE3F3E7"/>
        </x:patternFill>
      </x:fill>
    </x:dxf>
    <x:dxf>
      <x:font>
        <x:b/>
        <x:color rgb="FF7A5200"/>
      </x:font>
      <x:fill>
        <x:patternFill patternType="solid">
          <x:bgColor rgb="FFFFF2CC"/>
        </x:patternFill>
      </x:fill>
    </x:dxf>
    <x:dxf>
      <x:font>
        <x:b/>
        <x:color rgb="FF176B2C"/>
      </x:font>
      <x:fill>
        <x:patternFill patternType="solid">
          <x:bgColor rgb="FFE3F3E7"/>
        </x:patternFill>
      </x:fill>
    </x:dxf>
    <x:dxf>
      <x:font>
        <x:b/>
        <x:color rgb="FF7A5200"/>
      </x:font>
      <x:fill>
        <x:patternFill patternType="solid">
          <x:bgColor rgb="FFFFF2CC"/>
        </x:patternFill>
      </x:fill>
    </x:dxf>
    <x:dxf>
      <x:font>
        <x:b/>
        <x:color rgb="FF176B2C"/>
      </x:font>
      <x:fill>
        <x:patternFill patternType="solid">
          <x:bgColor rgb="FFE3F3E7"/>
        </x:patternFill>
      </x:fill>
    </x:dxf>
    <x:dxf>
      <x:font>
        <x:b/>
        <x:color rgb="FF7A5200"/>
      </x:font>
      <x:fill>
        <x:patternFill patternType="solid">
          <x:bgColor rgb="FFFFF2CC"/>
        </x:patternFill>
      </x:fill>
    </x:dxf>
    <x:dxf>
      <x:font>
        <x:b/>
        <x:color rgb="FFA61B1B"/>
      </x:font>
      <x:fill>
        <x:patternFill patternType="solid">
          <x:bgColor rgb="FFFCE8E6"/>
        </x:patternFill>
      </x:fill>
    </x:dxf>
    <x:dxf>
      <x:font>
        <x:b/>
        <x:color rgb="FF7A5200"/>
      </x:font>
      <x:fill>
        <x:patternFill patternType="solid">
          <x:bgColor rgb="FFFFF2CC"/>
        </x:patternFill>
      </x:fill>
    </x:dxf>
    <x:dxf>
      <x:font>
        <x:b/>
        <x:color rgb="FFA61B1B"/>
      </x:font>
      <x:fill>
        <x:patternFill patternType="solid">
          <x:bgColor rgb="FFFCE8E6"/>
        </x:patternFill>
      </x:fill>
    </x:dxf>
    <x:dxf>
      <x:font>
        <x:b/>
        <x:color rgb="FF7A5200"/>
      </x:font>
      <x:fill>
        <x:patternFill patternType="solid">
          <x:bgColor rgb="FFFFF2CC"/>
        </x:patternFill>
      </x:fill>
    </x:dxf>
    <x:dxf>
      <x:font>
        <x:b/>
        <x:color rgb="FF7A5200"/>
      </x:font>
      <x:fill>
        <x:patternFill patternType="solid">
          <x:bgColor rgb="FFFFF2CC"/>
        </x:patternFill>
      </x:fill>
    </x:dxf>
    <x:dxf>
      <x:font>
        <x:b/>
        <x:color rgb="FF176B2C"/>
      </x:font>
      <x:fill>
        <x:patternFill patternType="solid">
          <x:bgColor rgb="FFE3F3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302f827287f451b" /><Relationship Type="http://schemas.openxmlformats.org/officeDocument/2006/relationships/theme" Target="/xl/theme/theme1.xml" Id="R1274a446c4b64042" /><Relationship Type="http://schemas.openxmlformats.org/officeDocument/2006/relationships/sharedStrings" Target="/xl/sharedStrings.xml" Id="Rb797063bde58494d" /><Relationship Type="http://schemas.openxmlformats.org/officeDocument/2006/relationships/worksheet" Target="/xl/worksheets/sheet1.xml" Id="R5cb4062f13c64ac7" /><Relationship Type="http://schemas.openxmlformats.org/officeDocument/2006/relationships/worksheet" Target="/xl/worksheets/sheet2.xml" Id="R39011874e3b34569" /><Relationship Type="http://schemas.openxmlformats.org/officeDocument/2006/relationships/worksheet" Target="/xl/worksheets/sheet3.xml" Id="R5fdf9f124eeb4f83" /><Relationship Type="http://schemas.openxmlformats.org/officeDocument/2006/relationships/worksheet" Target="/xl/worksheets/sheet4.xml" Id="Ra0e3a6902cc34e5f" /><Relationship Type="http://schemas.openxmlformats.org/officeDocument/2006/relationships/worksheet" Target="/xl/worksheets/sheet5.xml" Id="R6ba4ae8fdacf4aa9" /><Relationship Type="http://schemas.openxmlformats.org/officeDocument/2006/relationships/worksheet" Target="/xl/worksheets/sheet6.xml" Id="Rb69e51e64b9a4280" /><Relationship Type="http://schemas.openxmlformats.org/officeDocument/2006/relationships/worksheet" Target="/xl/worksheets/sheet7.xml" Id="R173bb703f4c2452f" /><Relationship Type="http://schemas.openxmlformats.org/officeDocument/2006/relationships/worksheet" Target="/xl/worksheets/sheet8.xml" Id="Rdc8f908364bc40e3" /></Relationships>
</file>

<file path=xl/tables/table1.xml><?xml version="1.0" encoding="utf-8"?>
<x:table xmlns:x="http://schemas.openxmlformats.org/spreadsheetml/2006/main" id="1" name="WS1CampaignTracker" displayName="WS1CampaignTracker" ref="A5:AF184" headerRowCount="1" totalsRowCount="0" totalsRowShown="0">
  <x:tableColumns count="32">
    <x:tableColumn id="1" name="Assignment ID"/>
    <x:tableColumn id="2" name="Site"/>
    <x:tableColumn id="3" name="Brand"/>
    <x:tableColumn id="4" name="Assignment Date"/>
    <x:tableColumn id="5" name="Member ID"/>
    <x:tableColumn id="6" name="Username"/>
    <x:tableColumn id="7" name="Member Match"/>
    <x:tableColumn id="8" name="Handler Name"/>
    <x:tableColumn id="9" name="Team"/>
    <x:tableColumn id="10" name="TL"/>
    <x:tableColumn id="11" name="Raw Offer"/>
    <x:tableColumn id="12" name="Promo Code"/>
    <x:tableColumn id="13" name="Reward Name"/>
    <x:tableColumn id="14" name="Offer Assigned"/>
    <x:tableColumn id="15" name="Offer Claimed"/>
    <x:tableColumn id="16" name="Claim Date/Time"/>
    <x:tableColumn id="17" name="Claim Match Quality"/>
    <x:tableColumn id="18" name="Bonus Cost (MYR)"/>
    <x:tableColumn id="19" name="Prior Depositor"/>
    <x:tableColumn id="20" name="Deposit Prior 30d (MYR)"/>
    <x:tableColumn id="21" name="Reactivation Eligible"/>
    <x:tableColumn id="22" name="First Deposit After Offer"/>
    <x:tableColumn id="23" name="First Deposit-Day Amount (MYR)"/>
    <x:tableColumn id="24" name="Deposit 7d (MYR)"/>
    <x:tableColumn id="25" name="Deposit 14d (MYR)"/>
    <x:tableColumn id="26" name="Reactivated 7d"/>
    <x:tableColumn id="27" name="Reactivated 14d"/>
    <x:tableColumn id="28" name="Post-Offer NGR 7d (MYR)"/>
    <x:tableColumn id="29" name="Post-Offer NGR 14d (MYR)"/>
    <x:tableColumn id="30" name="Attributed NGR (MYR)"/>
    <x:tableColumn id="31" name="Attribution Status"/>
    <x:tableColumn id="32" name="Data Quality Note"/>
  </x:tableColumns>
  <x:tableStyleInfo name="TableStyleMedium2" showFirstColumn="0" showLastColumn="0" showRowStripes="1" showColumnStripes="0"/>
</x:table>
</file>

<file path=xl/tables/table2.xml><?xml version="1.0" encoding="utf-8"?>
<x:table xmlns:x="http://schemas.openxmlformats.org/spreadsheetml/2006/main" id="2" name="WS1RecoveredExecutions" displayName="WS1RecoveredExecutions" ref="A5:AG1444" headerRowCount="1" totalsRowCount="0" totalsRowShown="0">
  <x:tableColumns count="33">
    <x:tableColumn id="1" name="Execution ID"/>
    <x:tableColumn id="2" name="Site"/>
    <x:tableColumn id="3" name="Brand"/>
    <x:tableColumn id="4" name="Execution Time"/>
    <x:tableColumn id="5" name="Execution Date"/>
    <x:tableColumn id="6" name="Member ID"/>
    <x:tableColumn id="7" name="Username"/>
    <x:tableColumn id="8" name="Member Match"/>
    <x:tableColumn id="9" name="Handler Snapshot (2026-05-04)"/>
    <x:tableColumn id="10" name="Last Logged Handler"/>
    <x:tableColumn id="11" name="Last Logged Date"/>
    <x:tableColumn id="12" name="Team"/>
    <x:tableColumn id="13" name="TL"/>
    <x:tableColumn id="14" name="Promo Code"/>
    <x:tableColumn id="15" name="Reward Name"/>
    <x:tableColumn id="16" name="Bonus Type"/>
    <x:tableColumn id="17" name="Bonus Status"/>
    <x:tableColumn id="18" name="Bonus Cost (MYR)"/>
    <x:tableColumn id="19" name="Prior Depositor"/>
    <x:tableColumn id="20" name="Deposit Prior 30d (MYR)"/>
    <x:tableColumn id="21" name="Reactivation Eligible"/>
    <x:tableColumn id="22" name="7d Window Complete"/>
    <x:tableColumn id="23" name="14d Window Complete"/>
    <x:tableColumn id="24" name="First Deposit On/After Execution"/>
    <x:tableColumn id="25" name="Deposit 7d (MYR)"/>
    <x:tableColumn id="26" name="Deposit 14d (MYR)"/>
    <x:tableColumn id="27" name="Reactivated 7d"/>
    <x:tableColumn id="28" name="Reactivated 14d"/>
    <x:tableColumn id="29" name="Post-Execution NGR 7d (MYR)"/>
    <x:tableColumn id="30" name="Post-Execution NGR 14d (MYR)"/>
    <x:tableColumn id="31" name="Attributed NGR (MYR)"/>
    <x:tableColumn id="32" name="Attribution Status"/>
    <x:tableColumn id="33" name="Source / Quality Note"/>
  </x:tableColumns>
  <x:tableStyleInfo name="TableStyleMedium2" showFirstColumn="0" showLastColumn="0" showRowStripes="1" showColumnStripes="0"/>
</x:table>
</file>

<file path=xl/tables/table3.xml><?xml version="1.0" encoding="utf-8"?>
<x:table xmlns:x="http://schemas.openxmlformats.org/spreadsheetml/2006/main" id="3" name="WS1SourceAssignments" displayName="WS1SourceAssignments" ref="A4:F573" headerRowCount="1" totalsRowCount="0" totalsRowShown="0">
  <x:tableColumns count="6">
    <x:tableColumn id="1" name="Site"/>
    <x:tableColumn id="2" name="Username"/>
    <x:tableColumn id="3" name="Assign Date"/>
    <x:tableColumn id="4" name="Handler Name"/>
    <x:tableColumn id="5" name="Member ID"/>
    <x:tableColumn id="6" name="Manual Offer (This Week)"/>
  </x:tableColumns>
  <x:tableStyleInfo name="TableStyleMedium2" showFirstColumn="0" showLastColumn="0" showRowStripes="1" showColumnStripes="0"/>
</x:table>
</file>

<file path=xl/tables/table4.xml><?xml version="1.0" encoding="utf-8"?>
<x:table xmlns:x="http://schemas.openxmlformats.org/spreadsheetml/2006/main" id="4" name="WS1BonusMenu" displayName="WS1BonusMenu" ref="A4:E32" headerRowCount="1" totalsRowCount="0" totalsRowShown="0">
  <x:tableColumns count="5">
    <x:tableColumn id="1" name="No."/>
    <x:tableColumn id="2" name="Code"/>
    <x:tableColumn id="3" name="WS Code"/>
    <x:tableColumn id="4" name="Bonus Name"/>
    <x:tableColumn id="5" name="Remar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717d7666c6b4547" /></Relationships>
</file>

<file path=xl/worksheets/_rels/sheet3.xml.rels>&#65279;<?xml version="1.0" encoding="utf-8"?><Relationships xmlns="http://schemas.openxmlformats.org/package/2006/relationships"><Relationship Type="http://schemas.openxmlformats.org/officeDocument/2006/relationships/table" Target="/xl/tables/table2.xml" Id="R09b65af406c94a91" /></Relationships>
</file>

<file path=xl/worksheets/_rels/sheet5.xml.rels>&#65279;<?xml version="1.0" encoding="utf-8"?><Relationships xmlns="http://schemas.openxmlformats.org/package/2006/relationships"><Relationship Type="http://schemas.openxmlformats.org/officeDocument/2006/relationships/table" Target="/xl/tables/table3.xml" Id="R374350468ad74bfb" /></Relationships>
</file>

<file path=xl/worksheets/_rels/sheet6.xml.rels>&#65279;<?xml version="1.0" encoding="utf-8"?><Relationships xmlns="http://schemas.openxmlformats.org/package/2006/relationships"><Relationship Type="http://schemas.openxmlformats.org/officeDocument/2006/relationships/table" Target="/xl/tables/table4.xml" Id="R3d53fcabf3c24a99"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3" hidden="0" customWidth="1"/>
    <x:col min="3" max="3" width="13" hidden="0" customWidth="1"/>
    <x:col min="4" max="4" width="16" hidden="0" customWidth="1"/>
    <x:col min="5" max="5" width="13" hidden="0" customWidth="1"/>
    <x:col min="6" max="6" width="13" hidden="0" customWidth="1"/>
    <x:col min="7" max="7" width="16" hidden="0" customWidth="1"/>
    <x:col min="8" max="8" width="13" hidden="0" customWidth="1"/>
    <x:col min="9" max="9" width="19" hidden="0" customWidth="1"/>
    <x:col min="10" max="10" width="23" hidden="0" customWidth="1"/>
    <x:col min="11" max="11" width="29" hidden="0" customWidth="1"/>
    <x:col min="12" max="12" width="16" hidden="0" customWidth="1"/>
  </x:cols>
  <x:sheetData>
    <x:row r="1">
      <x:c r="A1" s="218" t="str">
        <x:v>WS1 Campaign Outcome Tracker - 2026 YTD</x:v>
      </x:c>
      <x:c r="B1" s="218"/>
      <x:c r="C1" s="218"/>
      <x:c r="D1" s="218"/>
      <x:c r="E1" s="218"/>
      <x:c r="F1" s="218"/>
      <x:c r="G1" s="218"/>
      <x:c r="H1" s="218"/>
      <x:c r="I1" s="218"/>
      <x:c r="J1" s="218"/>
      <x:c r="K1" s="218"/>
      <x:c r="L1" s="218"/>
    </x:row>
    <x:row r="2">
      <x:c r="A2" s="218"/>
      <x:c r="B2" s="218"/>
      <x:c r="C2" s="218"/>
      <x:c r="D2" s="218"/>
      <x:c r="E2" s="218"/>
      <x:c r="F2" s="218"/>
      <x:c r="G2" s="218"/>
      <x:c r="H2" s="218"/>
      <x:c r="I2" s="218"/>
      <x:c r="J2" s="218"/>
      <x:c r="K2" s="218"/>
      <x:c r="L2" s="218"/>
    </x:row>
    <x:row r="3">
      <x:c r="A3" s="134"/>
      <x:c r="B3" s="134"/>
      <x:c r="C3" s="134"/>
      <x:c r="D3" s="134"/>
      <x:c r="E3" s="134"/>
      <x:c r="F3" s="134"/>
      <x:c r="G3" s="134"/>
      <x:c r="H3" s="134"/>
      <x:c r="I3" s="134"/>
      <x:c r="J3" s="134"/>
      <x:c r="K3" s="134"/>
      <x:c r="L3" s="134"/>
    </x:row>
    <x:row r="4">
      <x:c r="A4" s="6" t="str">
        <x:v>Scope: WS1 | MYR | 2026-01-01 to 2026-07-23 (GMT+8) | Assignment log + recovered ClickHouse execution view</x:v>
      </x:c>
      <x:c r="B4" s="6"/>
      <x:c r="C4" s="6"/>
      <x:c r="D4" s="6"/>
      <x:c r="E4" s="6"/>
      <x:c r="F4" s="6"/>
      <x:c r="G4" s="6"/>
      <x:c r="H4" s="6"/>
      <x:c r="I4" s="6"/>
      <x:c r="J4" s="6"/>
      <x:c r="K4" s="6"/>
      <x:c r="L4" s="6"/>
    </x:row>
    <x:row r="5">
      <x:c r="A5" s="134"/>
      <x:c r="B5" s="134"/>
      <x:c r="C5" s="134"/>
      <x:c r="D5" s="134"/>
      <x:c r="E5" s="134"/>
      <x:c r="F5" s="134"/>
      <x:c r="G5" s="134"/>
      <x:c r="H5" s="134"/>
      <x:c r="I5" s="134"/>
      <x:c r="J5" s="134"/>
      <x:c r="K5" s="134"/>
      <x:c r="L5" s="134"/>
    </x:row>
    <x:row r="6">
      <x:c r="A6" s="24" t="str">
        <x:v>RECOVERY COMPLETE: the assignment log still stops on 2026-03-24, but 1,439 approved/redeemed executions matching the Bonus Menu were recovered from ClickHouse for 2026-04-01 to 2026-07-23. These prove execution and cost; they do not reveal the unclaimed-offer denominator or the original assignment date.</x:v>
      </x:c>
      <x:c r="B6" s="25"/>
      <x:c r="C6" s="25"/>
      <x:c r="D6" s="25"/>
      <x:c r="E6" s="25"/>
      <x:c r="F6" s="25"/>
      <x:c r="G6" s="25"/>
      <x:c r="H6" s="25"/>
      <x:c r="I6" s="25"/>
      <x:c r="J6" s="25"/>
      <x:c r="K6" s="25"/>
      <x:c r="L6" s="26"/>
    </x:row>
    <x:row r="7">
      <x:c r="A7" s="27"/>
      <x:c r="B7" s="28"/>
      <x:c r="C7" s="28"/>
      <x:c r="D7" s="28"/>
      <x:c r="E7" s="28"/>
      <x:c r="F7" s="28"/>
      <x:c r="G7" s="28"/>
      <x:c r="H7" s="28"/>
      <x:c r="I7" s="28"/>
      <x:c r="J7" s="28"/>
      <x:c r="K7" s="28"/>
      <x:c r="L7" s="29"/>
    </x:row>
    <x:row r="8">
      <x:c r="A8" s="30"/>
      <x:c r="B8" s="31"/>
      <x:c r="C8" s="31"/>
      <x:c r="D8" s="31"/>
      <x:c r="E8" s="31"/>
      <x:c r="F8" s="31"/>
      <x:c r="G8" s="31"/>
      <x:c r="H8" s="31"/>
      <x:c r="I8" s="31"/>
      <x:c r="J8" s="31"/>
      <x:c r="K8" s="31"/>
      <x:c r="L8" s="32"/>
    </x:row>
    <x:row r="9">
      <x:c r="A9" s="134"/>
      <x:c r="B9" s="134"/>
      <x:c r="C9" s="134"/>
      <x:c r="D9" s="134"/>
      <x:c r="E9" s="134"/>
      <x:c r="F9" s="134"/>
      <x:c r="G9" s="134"/>
      <x:c r="H9" s="134"/>
      <x:c r="I9" s="134"/>
      <x:c r="J9" s="134"/>
      <x:c r="K9" s="134"/>
      <x:c r="L9" s="134"/>
    </x:row>
    <x:row r="10">
      <x:c r="A10" s="36" t="str">
        <x:v>Logged offer assignments (Jan-Mar)</x:v>
      </x:c>
      <x:c r="B10" s="36"/>
      <x:c r="C10" s="36"/>
      <x:c r="D10" s="36" t="str">
        <x:v>Unique members</x:v>
      </x:c>
      <x:c r="E10" s="36"/>
      <x:c r="F10" s="36"/>
      <x:c r="G10" s="36" t="str">
        <x:v>Exact-code claims</x:v>
      </x:c>
      <x:c r="H10" s="36"/>
      <x:c r="I10" s="36"/>
      <x:c r="J10" s="36" t="str">
        <x:v>Claim rate</x:v>
      </x:c>
      <x:c r="K10" s="36"/>
      <x:c r="L10" s="36"/>
    </x:row>
    <x:row r="11">
      <x:c r="A11" s="219" t="n">
        <x:v>179</x:v>
      </x:c>
      <x:c r="B11" s="220"/>
      <x:c r="C11" s="221"/>
      <x:c r="D11" s="219" t="n">
        <x:v>178</x:v>
      </x:c>
      <x:c r="E11" s="220"/>
      <x:c r="F11" s="221"/>
      <x:c r="G11" s="219" t="n">
        <x:v>4</x:v>
      </x:c>
      <x:c r="H11" s="220"/>
      <x:c r="I11" s="221"/>
      <x:c r="J11" s="222" t="n">
        <x:v>0.0223463687150838</x:v>
      </x:c>
      <x:c r="K11" s="223"/>
      <x:c r="L11" s="224"/>
    </x:row>
    <x:row r="12">
      <x:c r="A12" s="225"/>
      <x:c r="B12" s="226"/>
      <x:c r="C12" s="227"/>
      <x:c r="D12" s="225"/>
      <x:c r="E12" s="226"/>
      <x:c r="F12" s="227"/>
      <x:c r="G12" s="225"/>
      <x:c r="H12" s="226"/>
      <x:c r="I12" s="227"/>
      <x:c r="J12" s="228"/>
      <x:c r="K12" s="229"/>
      <x:c r="L12" s="230"/>
    </x:row>
    <x:row r="13">
      <x:c r="A13" s="231"/>
      <x:c r="B13" s="232"/>
      <x:c r="C13" s="233"/>
      <x:c r="D13" s="231"/>
      <x:c r="E13" s="232"/>
      <x:c r="F13" s="233"/>
      <x:c r="G13" s="231"/>
      <x:c r="H13" s="232"/>
      <x:c r="I13" s="233"/>
      <x:c r="J13" s="234"/>
      <x:c r="K13" s="235"/>
      <x:c r="L13" s="236"/>
    </x:row>
    <x:row r="14">
      <x:c r="A14" s="134"/>
      <x:c r="B14" s="134"/>
      <x:c r="C14" s="134"/>
      <x:c r="D14" s="134"/>
      <x:c r="E14" s="134"/>
      <x:c r="F14" s="134"/>
      <x:c r="G14" s="134"/>
      <x:c r="H14" s="134"/>
      <x:c r="I14" s="134"/>
      <x:c r="J14" s="134"/>
      <x:c r="K14" s="134"/>
      <x:c r="L14" s="134"/>
    </x:row>
    <x:row r="15">
      <x:c r="A15" s="36" t="str">
        <x:v>Bonus cost</x:v>
      </x:c>
      <x:c r="B15" s="36"/>
      <x:c r="C15" s="36"/>
      <x:c r="D15" s="36" t="str">
        <x:v>Reactivation eligible</x:v>
      </x:c>
      <x:c r="E15" s="36"/>
      <x:c r="F15" s="36"/>
      <x:c r="G15" s="36" t="str">
        <x:v>Reactivated within 7d</x:v>
      </x:c>
      <x:c r="H15" s="36"/>
      <x:c r="I15" s="36"/>
      <x:c r="J15" s="36" t="str">
        <x:v>Reactivated within 14d</x:v>
      </x:c>
      <x:c r="K15" s="36"/>
      <x:c r="L15" s="36"/>
    </x:row>
    <x:row r="16">
      <x:c r="A16" s="237" t="n">
        <x:v>1600</x:v>
      </x:c>
      <x:c r="B16" s="238"/>
      <x:c r="C16" s="239"/>
      <x:c r="D16" s="219" t="n">
        <x:v>12</x:v>
      </x:c>
      <x:c r="E16" s="220"/>
      <x:c r="F16" s="221"/>
      <x:c r="G16" s="222" t="n">
        <x:v>0.3333333333333333</x:v>
      </x:c>
      <x:c r="H16" s="223"/>
      <x:c r="I16" s="224"/>
      <x:c r="J16" s="222" t="n">
        <x:v>0.9166666666666666</x:v>
      </x:c>
      <x:c r="K16" s="223"/>
      <x:c r="L16" s="224"/>
    </x:row>
    <x:row r="17">
      <x:c r="A17" s="240"/>
      <x:c r="B17" s="241"/>
      <x:c r="C17" s="242"/>
      <x:c r="D17" s="225"/>
      <x:c r="E17" s="226"/>
      <x:c r="F17" s="227"/>
      <x:c r="G17" s="228"/>
      <x:c r="H17" s="229"/>
      <x:c r="I17" s="230"/>
      <x:c r="J17" s="228"/>
      <x:c r="K17" s="229"/>
      <x:c r="L17" s="230"/>
    </x:row>
    <x:row r="18">
      <x:c r="A18" s="243"/>
      <x:c r="B18" s="244"/>
      <x:c r="C18" s="245"/>
      <x:c r="D18" s="231"/>
      <x:c r="E18" s="232"/>
      <x:c r="F18" s="233"/>
      <x:c r="G18" s="234"/>
      <x:c r="H18" s="235"/>
      <x:c r="I18" s="236"/>
      <x:c r="J18" s="234"/>
      <x:c r="K18" s="235"/>
      <x:c r="L18" s="236"/>
    </x:row>
    <x:row r="19">
      <x:c r="A19" s="134"/>
      <x:c r="B19" s="134"/>
      <x:c r="C19" s="134"/>
      <x:c r="D19" s="134"/>
      <x:c r="E19" s="134"/>
      <x:c r="F19" s="134"/>
      <x:c r="G19" s="134"/>
      <x:c r="H19" s="134"/>
      <x:c r="I19" s="134"/>
      <x:c r="J19" s="134"/>
      <x:c r="K19" s="134"/>
      <x:c r="L19" s="134"/>
    </x:row>
    <x:row r="20">
      <x:c r="A20" s="134"/>
      <x:c r="B20" s="134"/>
      <x:c r="C20" s="134"/>
      <x:c r="D20" s="134"/>
      <x:c r="E20" s="134"/>
      <x:c r="F20" s="134"/>
      <x:c r="G20" s="134"/>
      <x:c r="H20" s="134"/>
      <x:c r="I20" s="134"/>
      <x:c r="J20" s="134"/>
      <x:c r="K20" s="134"/>
      <x:c r="L20" s="134"/>
    </x:row>
    <x:row r="21">
      <x:c r="A21" s="130" t="str">
        <x:v>Logged-assignment outcomes (Jan-Mar) - directional, not causal attribution</x:v>
      </x:c>
      <x:c r="B21" s="130"/>
      <x:c r="C21" s="130"/>
      <x:c r="D21" s="130"/>
      <x:c r="E21" s="130"/>
      <x:c r="F21" s="130"/>
      <x:c r="G21" s="130"/>
      <x:c r="H21" s="130"/>
      <x:c r="I21" s="130"/>
      <x:c r="J21" s="130"/>
      <x:c r="K21" s="130"/>
      <x:c r="L21" s="130"/>
    </x:row>
    <x:row r="22">
      <x:c r="A22" s="36" t="str">
        <x:v>Deposit within 7d</x:v>
      </x:c>
      <x:c r="B22" s="36"/>
      <x:c r="C22" s="36"/>
      <x:c r="D22" s="36" t="str">
        <x:v>Deposit within 14d</x:v>
      </x:c>
      <x:c r="E22" s="36"/>
      <x:c r="F22" s="36"/>
      <x:c r="G22" s="36" t="str">
        <x:v>Post-offer NGR 7d</x:v>
      </x:c>
      <x:c r="H22" s="36"/>
      <x:c r="I22" s="36"/>
      <x:c r="J22" s="36" t="str">
        <x:v>Post-offer NGR 14d</x:v>
      </x:c>
      <x:c r="K22" s="36"/>
      <x:c r="L22" s="36"/>
    </x:row>
    <x:row r="23">
      <x:c r="A23" s="237" t="n">
        <x:v>239872.93</x:v>
      </x:c>
      <x:c r="B23" s="238"/>
      <x:c r="C23" s="239"/>
      <x:c r="D23" s="237" t="n">
        <x:v>376371.08999999997</x:v>
      </x:c>
      <x:c r="E23" s="238"/>
      <x:c r="F23" s="239"/>
      <x:c r="G23" s="237" t="n">
        <x:v>54988.77999999997</x:v>
      </x:c>
      <x:c r="H23" s="238"/>
      <x:c r="I23" s="239"/>
      <x:c r="J23" s="237" t="n">
        <x:v>75300.60999999997</x:v>
      </x:c>
      <x:c r="K23" s="238"/>
      <x:c r="L23" s="239"/>
    </x:row>
    <x:row r="24">
      <x:c r="A24" s="240"/>
      <x:c r="B24" s="241"/>
      <x:c r="C24" s="242"/>
      <x:c r="D24" s="240"/>
      <x:c r="E24" s="241"/>
      <x:c r="F24" s="242"/>
      <x:c r="G24" s="240"/>
      <x:c r="H24" s="241"/>
      <x:c r="I24" s="242"/>
      <x:c r="J24" s="240"/>
      <x:c r="K24" s="241"/>
      <x:c r="L24" s="242"/>
    </x:row>
    <x:row r="25">
      <x:c r="A25" s="243"/>
      <x:c r="B25" s="244"/>
      <x:c r="C25" s="245"/>
      <x:c r="D25" s="243"/>
      <x:c r="E25" s="244"/>
      <x:c r="F25" s="245"/>
      <x:c r="G25" s="243"/>
      <x:c r="H25" s="244"/>
      <x:c r="I25" s="245"/>
      <x:c r="J25" s="243"/>
      <x:c r="K25" s="244"/>
      <x:c r="L25" s="245"/>
    </x:row>
    <x:row r="26">
      <x:c r="A26" s="134"/>
      <x:c r="B26" s="134"/>
      <x:c r="C26" s="134"/>
      <x:c r="D26" s="134"/>
      <x:c r="E26" s="134"/>
      <x:c r="F26" s="134"/>
      <x:c r="G26" s="134"/>
      <x:c r="H26" s="134"/>
      <x:c r="I26" s="134"/>
      <x:c r="J26" s="134"/>
      <x:c r="K26" s="134"/>
      <x:c r="L26" s="134"/>
    </x:row>
    <x:row r="27">
      <x:c r="A27" s="134"/>
      <x:c r="B27" s="134"/>
      <x:c r="C27" s="134"/>
      <x:c r="D27" s="134"/>
      <x:c r="E27" s="134"/>
      <x:c r="F27" s="134"/>
      <x:c r="G27" s="134"/>
      <x:c r="H27" s="134"/>
      <x:c r="I27" s="134"/>
      <x:c r="J27" s="134"/>
      <x:c r="K27" s="134"/>
      <x:c r="L27" s="134"/>
    </x:row>
    <x:row r="28">
      <x:c r="A28" s="133" t="str">
        <x:v>Month</x:v>
      </x:c>
      <x:c r="B28" s="133" t="str">
        <x:v>Source rows</x:v>
      </x:c>
      <x:c r="C28" s="133" t="str">
        <x:v>Valid offers</x:v>
      </x:c>
      <x:c r="D28" s="133" t="str">
        <x:v>Claims</x:v>
      </x:c>
      <x:c r="E28" s="133" t="str">
        <x:v>Bonus cost</x:v>
      </x:c>
      <x:c r="F28" s="133" t="str">
        <x:v>Eligible</x:v>
      </x:c>
      <x:c r="G28" s="133" t="str">
        <x:v>React. 7d</x:v>
      </x:c>
      <x:c r="H28" s="133" t="str">
        <x:v>React. 14d</x:v>
      </x:c>
      <x:c r="I28" s="133" t="str">
        <x:v>Deposit 7d</x:v>
      </x:c>
      <x:c r="J28" s="133" t="str">
        <x:v>Post-offer NGR 7d</x:v>
      </x:c>
      <x:c r="K28" s="133" t="str">
        <x:v>Coverage</x:v>
      </x:c>
      <x:c r="L28" s="134"/>
    </x:row>
    <x:row r="29">
      <x:c r="A29" s="153" t="n">
        <x:v>46023.166666666664</x:v>
      </x:c>
      <x:c r="B29" s="145" t="n">
        <x:v>25</x:v>
      </x:c>
      <x:c r="C29" s="145" t="n">
        <x:v>8</x:v>
      </x:c>
      <x:c r="D29" s="145" t="n">
        <x:v>0</x:v>
      </x:c>
      <x:c r="E29" s="156" t="n">
        <x:v>0</x:v>
      </x:c>
      <x:c r="F29" s="145" t="n">
        <x:v>0</x:v>
      </x:c>
      <x:c r="G29" s="145" t="n">
        <x:v>0</x:v>
      </x:c>
      <x:c r="H29" s="145" t="n">
        <x:v>0</x:v>
      </x:c>
      <x:c r="I29" s="156" t="n">
        <x:v>29365</x:v>
      </x:c>
      <x:c r="J29" s="156" t="n">
        <x:v>6726.149999999999</x:v>
      </x:c>
      <x:c r="K29" s="146" t="str">
        <x:v>Assignment log received to 2026-01-20</x:v>
      </x:c>
      <x:c r="L29" s="134"/>
    </x:row>
    <x:row r="30">
      <x:c r="A30" s="154" t="n">
        <x:v>46054.166666666664</x:v>
      </x:c>
      <x:c r="B30" s="148" t="n">
        <x:v>125</x:v>
      </x:c>
      <x:c r="C30" s="148" t="n">
        <x:v>44</x:v>
      </x:c>
      <x:c r="D30" s="148" t="n">
        <x:v>2</x:v>
      </x:c>
      <x:c r="E30" s="157" t="n">
        <x:v>600</x:v>
      </x:c>
      <x:c r="F30" s="148" t="n">
        <x:v>2</x:v>
      </x:c>
      <x:c r="G30" s="148" t="n">
        <x:v>1</x:v>
      </x:c>
      <x:c r="H30" s="148" t="n">
        <x:v>2</x:v>
      </x:c>
      <x:c r="I30" s="157" t="n">
        <x:v>39220.93</x:v>
      </x:c>
      <x:c r="J30" s="157" t="n">
        <x:v>19192.21</x:v>
      </x:c>
      <x:c r="K30" s="149" t="str">
        <x:v>Assignment log received to 2026-02-24</x:v>
      </x:c>
      <x:c r="L30" s="134"/>
    </x:row>
    <x:row r="31">
      <x:c r="A31" s="154" t="n">
        <x:v>46082.166666666664</x:v>
      </x:c>
      <x:c r="B31" s="148" t="n">
        <x:v>419</x:v>
      </x:c>
      <x:c r="C31" s="148" t="n">
        <x:v>127</x:v>
      </x:c>
      <x:c r="D31" s="148" t="n">
        <x:v>2</x:v>
      </x:c>
      <x:c r="E31" s="157" t="n">
        <x:v>1000</x:v>
      </x:c>
      <x:c r="F31" s="148" t="n">
        <x:v>10</x:v>
      </x:c>
      <x:c r="G31" s="148" t="n">
        <x:v>3</x:v>
      </x:c>
      <x:c r="H31" s="148" t="n">
        <x:v>9</x:v>
      </x:c>
      <x:c r="I31" s="157" t="n">
        <x:v>171287</x:v>
      </x:c>
      <x:c r="J31" s="157" t="n">
        <x:v>29070.419999999976</x:v>
      </x:c>
      <x:c r="K31" s="149" t="str">
        <x:v>Assignment log received to 2026-03-30</x:v>
      </x:c>
      <x:c r="L31" s="134"/>
    </x:row>
    <x:row r="32">
      <x:c r="A32" s="154" t="n">
        <x:v>46113.166666666664</x:v>
      </x:c>
      <x:c r="B32" s="148" t="n">
        <x:v>0</x:v>
      </x:c>
      <x:c r="C32" s="148" t="n">
        <x:v>0</x:v>
      </x:c>
      <x:c r="D32" s="148" t="n">
        <x:v>0</x:v>
      </x:c>
      <x:c r="E32" s="157" t="n">
        <x:v>0</x:v>
      </x:c>
      <x:c r="F32" s="148" t="n">
        <x:v>0</x:v>
      </x:c>
      <x:c r="G32" s="148" t="n">
        <x:v>0</x:v>
      </x:c>
      <x:c r="H32" s="148" t="n">
        <x:v>0</x:v>
      </x:c>
      <x:c r="I32" s="157" t="n">
        <x:v>0</x:v>
      </x:c>
      <x:c r="J32" s="157" t="n">
        <x:v>0</x:v>
      </x:c>
      <x:c r="K32" s="161" t="str">
        <x:v>No assignment-log rows</x:v>
      </x:c>
      <x:c r="L32" s="134"/>
    </x:row>
    <x:row r="33">
      <x:c r="A33" s="154" t="n">
        <x:v>46143.166666666664</x:v>
      </x:c>
      <x:c r="B33" s="148" t="n">
        <x:v>0</x:v>
      </x:c>
      <x:c r="C33" s="148" t="n">
        <x:v>0</x:v>
      </x:c>
      <x:c r="D33" s="148" t="n">
        <x:v>0</x:v>
      </x:c>
      <x:c r="E33" s="157" t="n">
        <x:v>0</x:v>
      </x:c>
      <x:c r="F33" s="148" t="n">
        <x:v>0</x:v>
      </x:c>
      <x:c r="G33" s="148" t="n">
        <x:v>0</x:v>
      </x:c>
      <x:c r="H33" s="148" t="n">
        <x:v>0</x:v>
      </x:c>
      <x:c r="I33" s="157" t="n">
        <x:v>0</x:v>
      </x:c>
      <x:c r="J33" s="157" t="n">
        <x:v>0</x:v>
      </x:c>
      <x:c r="K33" s="161" t="str">
        <x:v>No assignment-log rows</x:v>
      </x:c>
      <x:c r="L33" s="134"/>
    </x:row>
    <x:row r="34">
      <x:c r="A34" s="154" t="n">
        <x:v>46174.166666666664</x:v>
      </x:c>
      <x:c r="B34" s="148" t="n">
        <x:v>0</x:v>
      </x:c>
      <x:c r="C34" s="148" t="n">
        <x:v>0</x:v>
      </x:c>
      <x:c r="D34" s="148" t="n">
        <x:v>0</x:v>
      </x:c>
      <x:c r="E34" s="157" t="n">
        <x:v>0</x:v>
      </x:c>
      <x:c r="F34" s="148" t="n">
        <x:v>0</x:v>
      </x:c>
      <x:c r="G34" s="148" t="n">
        <x:v>0</x:v>
      </x:c>
      <x:c r="H34" s="148" t="n">
        <x:v>0</x:v>
      </x:c>
      <x:c r="I34" s="157" t="n">
        <x:v>0</x:v>
      </x:c>
      <x:c r="J34" s="157" t="n">
        <x:v>0</x:v>
      </x:c>
      <x:c r="K34" s="161" t="str">
        <x:v>No assignment-log rows</x:v>
      </x:c>
      <x:c r="L34" s="134"/>
    </x:row>
    <x:row r="35">
      <x:c r="A35" s="155" t="n">
        <x:v>46204.166666666664</x:v>
      </x:c>
      <x:c r="B35" s="151" t="n">
        <x:v>0</x:v>
      </x:c>
      <x:c r="C35" s="151" t="n">
        <x:v>0</x:v>
      </x:c>
      <x:c r="D35" s="151" t="n">
        <x:v>0</x:v>
      </x:c>
      <x:c r="E35" s="158" t="n">
        <x:v>0</x:v>
      </x:c>
      <x:c r="F35" s="151" t="n">
        <x:v>0</x:v>
      </x:c>
      <x:c r="G35" s="151" t="n">
        <x:v>0</x:v>
      </x:c>
      <x:c r="H35" s="151" t="n">
        <x:v>0</x:v>
      </x:c>
      <x:c r="I35" s="158" t="n">
        <x:v>0</x:v>
      </x:c>
      <x:c r="J35" s="158" t="n">
        <x:v>0</x:v>
      </x:c>
      <x:c r="K35" s="162" t="str">
        <x:v>No assignment-log rows</x:v>
      </x:c>
      <x:c r="L35" s="134"/>
    </x:row>
    <x:row r="36">
      <x:c r="A36" s="134"/>
      <x:c r="B36" s="134"/>
      <x:c r="C36" s="134"/>
      <x:c r="D36" s="134"/>
      <x:c r="E36" s="134"/>
      <x:c r="F36" s="134"/>
      <x:c r="G36" s="134"/>
      <x:c r="H36" s="134"/>
      <x:c r="I36" s="134"/>
      <x:c r="J36" s="134"/>
      <x:c r="K36" s="134"/>
      <x:c r="L36" s="134"/>
    </x:row>
    <x:row r="37">
      <x:c r="A37" s="134"/>
      <x:c r="B37" s="134"/>
      <x:c r="C37" s="134"/>
      <x:c r="D37" s="134"/>
      <x:c r="E37" s="134"/>
      <x:c r="F37" s="134"/>
      <x:c r="G37" s="134"/>
      <x:c r="H37" s="134"/>
      <x:c r="I37" s="134"/>
      <x:c r="J37" s="134"/>
      <x:c r="K37" s="134"/>
      <x:c r="L37" s="134"/>
    </x:row>
    <x:row r="38">
      <x:c r="A38" s="182" t="str">
        <x:v>Why the split matters: January-March has assignment records, so claim rate can be measured. April-July was recovered from completed bonus transactions, so it contains claimers only and cannot be used to calculate assignment volume, non-claimers or a campaign conversion rate.</x:v>
      </x:c>
      <x:c r="B38" s="183"/>
      <x:c r="C38" s="183"/>
      <x:c r="D38" s="183"/>
      <x:c r="E38" s="183"/>
      <x:c r="F38" s="183"/>
      <x:c r="G38" s="183"/>
      <x:c r="H38" s="183"/>
      <x:c r="I38" s="183"/>
      <x:c r="J38" s="183"/>
      <x:c r="K38" s="183"/>
      <x:c r="L38" s="184"/>
    </x:row>
    <x:row r="39">
      <x:c r="A39" s="185"/>
      <x:c r="B39" s="186"/>
      <x:c r="C39" s="186"/>
      <x:c r="D39" s="186"/>
      <x:c r="E39" s="186"/>
      <x:c r="F39" s="186"/>
      <x:c r="G39" s="186"/>
      <x:c r="H39" s="186"/>
      <x:c r="I39" s="186"/>
      <x:c r="J39" s="186"/>
      <x:c r="K39" s="186"/>
      <x:c r="L39" s="187"/>
    </x:row>
    <x:row r="40">
      <x:c r="A40" s="188"/>
      <x:c r="B40" s="189"/>
      <x:c r="C40" s="189"/>
      <x:c r="D40" s="189"/>
      <x:c r="E40" s="189"/>
      <x:c r="F40" s="189"/>
      <x:c r="G40" s="189"/>
      <x:c r="H40" s="189"/>
      <x:c r="I40" s="189"/>
      <x:c r="J40" s="189"/>
      <x:c r="K40" s="189"/>
      <x:c r="L40" s="190"/>
    </x:row>
    <x:row r="41">
      <x:c r="A41" s="134"/>
      <x:c r="B41" s="134"/>
      <x:c r="C41" s="134"/>
      <x:c r="D41" s="134"/>
      <x:c r="E41" s="134"/>
      <x:c r="F41" s="134"/>
      <x:c r="G41" s="134"/>
      <x:c r="H41" s="134"/>
      <x:c r="I41" s="134"/>
      <x:c r="J41" s="134"/>
      <x:c r="K41" s="134"/>
      <x:c r="L41" s="134"/>
    </x:row>
    <x:row r="42">
      <x:c r="A42" s="134"/>
      <x:c r="B42" s="134"/>
      <x:c r="C42" s="134"/>
      <x:c r="D42" s="134"/>
      <x:c r="E42" s="134"/>
      <x:c r="F42" s="134"/>
      <x:c r="G42" s="134"/>
      <x:c r="H42" s="134"/>
      <x:c r="I42" s="134"/>
      <x:c r="J42" s="134"/>
      <x:c r="K42" s="134"/>
      <x:c r="L42" s="134"/>
    </x:row>
    <x:row r="43">
      <x:c r="A43" s="130" t="str">
        <x:v>Recovered ClickHouse executions - April to July</x:v>
      </x:c>
      <x:c r="B43" s="130"/>
      <x:c r="C43" s="130"/>
      <x:c r="D43" s="130"/>
      <x:c r="E43" s="130"/>
      <x:c r="F43" s="130"/>
      <x:c r="G43" s="130"/>
      <x:c r="H43" s="130"/>
      <x:c r="I43" s="130"/>
      <x:c r="J43" s="130"/>
      <x:c r="K43" s="130"/>
      <x:c r="L43" s="130"/>
    </x:row>
    <x:row r="44">
      <x:c r="A44" s="36" t="str">
        <x:v>Executed bonuses</x:v>
      </x:c>
      <x:c r="B44" s="36"/>
      <x:c r="C44" s="36"/>
      <x:c r="D44" s="36" t="str">
        <x:v>Unique executed members</x:v>
      </x:c>
      <x:c r="E44" s="36"/>
      <x:c r="F44" s="36"/>
      <x:c r="G44" s="36" t="str">
        <x:v>Recovered bonus cost</x:v>
      </x:c>
      <x:c r="H44" s="36"/>
      <x:c r="I44" s="36"/>
      <x:c r="J44" s="36" t="str">
        <x:v>Handler snapshot coverage</x:v>
      </x:c>
      <x:c r="K44" s="36"/>
      <x:c r="L44" s="36"/>
    </x:row>
    <x:row r="45">
      <x:c r="A45" s="219" t="n">
        <x:v>1439</x:v>
      </x:c>
      <x:c r="B45" s="220"/>
      <x:c r="C45" s="221"/>
      <x:c r="D45" s="219" t="n">
        <x:v>592</x:v>
      </x:c>
      <x:c r="E45" s="220"/>
      <x:c r="F45" s="221"/>
      <x:c r="G45" s="237" t="n">
        <x:v>657328</x:v>
      </x:c>
      <x:c r="H45" s="238"/>
      <x:c r="I45" s="239"/>
      <x:c r="J45" s="222" t="n">
        <x:v>0.778318276580959</x:v>
      </x:c>
      <x:c r="K45" s="223"/>
      <x:c r="L45" s="224"/>
    </x:row>
    <x:row r="46">
      <x:c r="A46" s="225"/>
      <x:c r="B46" s="226"/>
      <x:c r="C46" s="227"/>
      <x:c r="D46" s="225"/>
      <x:c r="E46" s="226"/>
      <x:c r="F46" s="227"/>
      <x:c r="G46" s="240"/>
      <x:c r="H46" s="241"/>
      <x:c r="I46" s="242"/>
      <x:c r="J46" s="228"/>
      <x:c r="K46" s="229"/>
      <x:c r="L46" s="230"/>
    </x:row>
    <x:row r="47">
      <x:c r="A47" s="231"/>
      <x:c r="B47" s="232"/>
      <x:c r="C47" s="233"/>
      <x:c r="D47" s="231"/>
      <x:c r="E47" s="232"/>
      <x:c r="F47" s="233"/>
      <x:c r="G47" s="243"/>
      <x:c r="H47" s="244"/>
      <x:c r="I47" s="245"/>
      <x:c r="J47" s="234"/>
      <x:c r="K47" s="235"/>
      <x:c r="L47" s="236"/>
    </x:row>
    <x:row r="48">
      <x:c r="A48" s="134"/>
      <x:c r="B48" s="134"/>
      <x:c r="C48" s="134"/>
      <x:c r="D48" s="134"/>
      <x:c r="E48" s="134"/>
      <x:c r="F48" s="134"/>
      <x:c r="G48" s="134"/>
      <x:c r="H48" s="134"/>
      <x:c r="I48" s="134"/>
      <x:c r="J48" s="134"/>
      <x:c r="K48" s="134"/>
      <x:c r="L48" s="134"/>
    </x:row>
    <x:row r="49">
      <x:c r="A49" s="134"/>
      <x:c r="B49" s="134"/>
      <x:c r="C49" s="134"/>
      <x:c r="D49" s="134"/>
      <x:c r="E49" s="134"/>
      <x:c r="F49" s="134"/>
      <x:c r="G49" s="134"/>
      <x:c r="H49" s="134"/>
      <x:c r="I49" s="134"/>
      <x:c r="J49" s="134"/>
      <x:c r="K49" s="134"/>
      <x:c r="L49" s="134"/>
    </x:row>
    <x:row r="50">
      <x:c r="A50" s="133" t="str">
        <x:v>Month</x:v>
      </x:c>
      <x:c r="B50" s="133" t="str">
        <x:v>Executions</x:v>
      </x:c>
      <x:c r="C50" s="133" t="str">
        <x:v>Unique members</x:v>
      </x:c>
      <x:c r="D50" s="133" t="str">
        <x:v>Bonus cost</x:v>
      </x:c>
      <x:c r="E50" s="133" t="str">
        <x:v>Eligible 7d</x:v>
      </x:c>
      <x:c r="F50" s="133" t="str">
        <x:v>React. 7d</x:v>
      </x:c>
      <x:c r="G50" s="133" t="str">
        <x:v>Eligible 14d</x:v>
      </x:c>
      <x:c r="H50" s="133" t="str">
        <x:v>React. 14d</x:v>
      </x:c>
      <x:c r="I50" s="133" t="str">
        <x:v>Deposit 7d</x:v>
      </x:c>
      <x:c r="J50" s="133" t="str">
        <x:v>Post-exec. NGR 7d</x:v>
      </x:c>
      <x:c r="K50" s="133" t="str">
        <x:v>Outcome coverage</x:v>
      </x:c>
      <x:c r="L50" s="134"/>
    </x:row>
    <x:row r="51">
      <x:c r="A51" s="153" t="n">
        <x:v>46113.166666666664</x:v>
      </x:c>
      <x:c r="B51" s="145" t="n">
        <x:v>378</x:v>
      </x:c>
      <x:c r="C51" s="145" t="n">
        <x:v>253</x:v>
      </x:c>
      <x:c r="D51" s="156" t="n">
        <x:v>162900</x:v>
      </x:c>
      <x:c r="E51" s="145" t="n">
        <x:v>17</x:v>
      </x:c>
      <x:c r="F51" s="145" t="n">
        <x:v>17</x:v>
      </x:c>
      <x:c r="G51" s="145" t="n">
        <x:v>17</x:v>
      </x:c>
      <x:c r="H51" s="145" t="n">
        <x:v>17</x:v>
      </x:c>
      <x:c r="I51" s="156" t="n">
        <x:v>7858951.500000002</x:v>
      </x:c>
      <x:c r="J51" s="156" t="n">
        <x:v>2181120.8900000006</x:v>
      </x:c>
      <x:c r="K51" s="146" t="str">
        <x:v>Complete outcome windows</x:v>
      </x:c>
      <x:c r="L51" s="134"/>
    </x:row>
    <x:row r="52">
      <x:c r="A52" s="154" t="n">
        <x:v>46143.166666666664</x:v>
      </x:c>
      <x:c r="B52" s="148" t="n">
        <x:v>377</x:v>
      </x:c>
      <x:c r="C52" s="148" t="n">
        <x:v>269</x:v>
      </x:c>
      <x:c r="D52" s="157" t="n">
        <x:v>163800</x:v>
      </x:c>
      <x:c r="E52" s="148" t="n">
        <x:v>33</x:v>
      </x:c>
      <x:c r="F52" s="148" t="n">
        <x:v>33</x:v>
      </x:c>
      <x:c r="G52" s="148" t="n">
        <x:v>33</x:v>
      </x:c>
      <x:c r="H52" s="148" t="n">
        <x:v>33</x:v>
      </x:c>
      <x:c r="I52" s="157" t="n">
        <x:v>5733323.22</x:v>
      </x:c>
      <x:c r="J52" s="157" t="n">
        <x:v>1204119.880000001</x:v>
      </x:c>
      <x:c r="K52" s="149" t="str">
        <x:v>Complete outcome windows</x:v>
      </x:c>
      <x:c r="L52" s="134"/>
    </x:row>
    <x:row r="53">
      <x:c r="A53" s="154" t="n">
        <x:v>46174.166666666664</x:v>
      </x:c>
      <x:c r="B53" s="148" t="n">
        <x:v>395</x:v>
      </x:c>
      <x:c r="C53" s="148" t="n">
        <x:v>279</x:v>
      </x:c>
      <x:c r="D53" s="157" t="n">
        <x:v>179900</x:v>
      </x:c>
      <x:c r="E53" s="148" t="n">
        <x:v>47</x:v>
      </x:c>
      <x:c r="F53" s="148" t="n">
        <x:v>47</x:v>
      </x:c>
      <x:c r="G53" s="148" t="n">
        <x:v>47</x:v>
      </x:c>
      <x:c r="H53" s="148" t="n">
        <x:v>47</x:v>
      </x:c>
      <x:c r="I53" s="157" t="n">
        <x:v>7096591.21</x:v>
      </x:c>
      <x:c r="J53" s="157" t="n">
        <x:v>1531204.9200000013</x:v>
      </x:c>
      <x:c r="K53" s="149" t="str">
        <x:v>Complete outcome windows</x:v>
      </x:c>
      <x:c r="L53" s="134"/>
    </x:row>
    <x:row r="54">
      <x:c r="A54" s="155" t="n">
        <x:v>46204.166666666664</x:v>
      </x:c>
      <x:c r="B54" s="151" t="n">
        <x:v>289</x:v>
      </x:c>
      <x:c r="C54" s="151" t="n">
        <x:v>228</x:v>
      </x:c>
      <x:c r="D54" s="158" t="n">
        <x:v>150728</x:v>
      </x:c>
      <x:c r="E54" s="151" t="n">
        <x:v>43</x:v>
      </x:c>
      <x:c r="F54" s="151" t="n">
        <x:v>30</x:v>
      </x:c>
      <x:c r="G54" s="151" t="n">
        <x:v>15</x:v>
      </x:c>
      <x:c r="H54" s="151" t="n">
        <x:v>15</x:v>
      </x:c>
      <x:c r="I54" s="158" t="n">
        <x:v>2655419.3499999996</x:v>
      </x:c>
      <x:c r="J54" s="158" t="n">
        <x:v>-27860.959999999934</x:v>
      </x:c>
      <x:c r="K54" s="162" t="str">
        <x:v>Late-July windows still maturing</x:v>
      </x:c>
      <x:c r="L54" s="134"/>
    </x:row>
    <x:row r="55">
      <x:c r="A55" s="134"/>
      <x:c r="B55" s="134"/>
      <x:c r="C55" s="134"/>
      <x:c r="D55" s="134"/>
      <x:c r="E55" s="134"/>
      <x:c r="F55" s="134"/>
      <x:c r="G55" s="134"/>
      <x:c r="H55" s="134"/>
      <x:c r="I55" s="134"/>
      <x:c r="J55" s="134"/>
      <x:c r="K55" s="134"/>
      <x:c r="L55" s="134"/>
    </x:row>
    <x:row r="56">
      <x:c r="A56" s="134"/>
      <x:c r="B56" s="134"/>
      <x:c r="C56" s="134"/>
      <x:c r="D56" s="134"/>
      <x:c r="E56" s="134"/>
      <x:c r="F56" s="134"/>
      <x:c r="G56" s="134"/>
      <x:c r="H56" s="134"/>
      <x:c r="I56" s="134"/>
      <x:c r="J56" s="134"/>
      <x:c r="K56" s="134"/>
      <x:c r="L56" s="134"/>
    </x:row>
    <x:row r="57">
      <x:c r="A57" s="209" t="str">
        <x:v>Recovered result: 1,439 executed bonuses across 592 members, costing MYR 657,328.00. July executions after 9 July do not yet have a full 14-day outcome window, and executions after 16 July do not yet have a fully finalised 7-day window. Post-execution deposit and NGR remain observational, not attributed impact.</x:v>
      </x:c>
      <x:c r="B57" s="210"/>
      <x:c r="C57" s="210"/>
      <x:c r="D57" s="210"/>
      <x:c r="E57" s="210"/>
      <x:c r="F57" s="210"/>
      <x:c r="G57" s="210"/>
      <x:c r="H57" s="210"/>
      <x:c r="I57" s="210"/>
      <x:c r="J57" s="210"/>
      <x:c r="K57" s="210"/>
      <x:c r="L57" s="211"/>
    </x:row>
    <x:row r="58">
      <x:c r="A58" s="212"/>
      <x:c r="B58" s="213"/>
      <x:c r="C58" s="213"/>
      <x:c r="D58" s="213"/>
      <x:c r="E58" s="213"/>
      <x:c r="F58" s="213"/>
      <x:c r="G58" s="213"/>
      <x:c r="H58" s="213"/>
      <x:c r="I58" s="213"/>
      <x:c r="J58" s="213"/>
      <x:c r="K58" s="213"/>
      <x:c r="L58" s="214"/>
    </x:row>
    <x:row r="59">
      <x:c r="A59" s="212"/>
      <x:c r="B59" s="213"/>
      <x:c r="C59" s="213"/>
      <x:c r="D59" s="213"/>
      <x:c r="E59" s="213"/>
      <x:c r="F59" s="213"/>
      <x:c r="G59" s="213"/>
      <x:c r="H59" s="213"/>
      <x:c r="I59" s="213"/>
      <x:c r="J59" s="213"/>
      <x:c r="K59" s="213"/>
      <x:c r="L59" s="214"/>
    </x:row>
    <x:row r="60">
      <x:c r="A60" s="212"/>
      <x:c r="B60" s="213"/>
      <x:c r="C60" s="213"/>
      <x:c r="D60" s="213"/>
      <x:c r="E60" s="213"/>
      <x:c r="F60" s="213"/>
      <x:c r="G60" s="213"/>
      <x:c r="H60" s="213"/>
      <x:c r="I60" s="213"/>
      <x:c r="J60" s="213"/>
      <x:c r="K60" s="213"/>
      <x:c r="L60" s="214"/>
    </x:row>
    <x:row r="61">
      <x:c r="A61" s="215"/>
      <x:c r="B61" s="216"/>
      <x:c r="C61" s="216"/>
      <x:c r="D61" s="216"/>
      <x:c r="E61" s="216"/>
      <x:c r="F61" s="216"/>
      <x:c r="G61" s="216"/>
      <x:c r="H61" s="216"/>
      <x:c r="I61" s="216"/>
      <x:c r="J61" s="216"/>
      <x:c r="K61" s="216"/>
      <x:c r="L61" s="217"/>
    </x:row>
  </x:sheetData>
  <x:mergeCells>
    <x:mergeCell ref="A1:L2"/>
    <x:mergeCell ref="A4:L4"/>
    <x:mergeCell ref="A6:L8"/>
    <x:mergeCell ref="A10:C10"/>
    <x:mergeCell ref="A11:C13"/>
    <x:mergeCell ref="D10:F10"/>
    <x:mergeCell ref="D11:F13"/>
    <x:mergeCell ref="G10:I10"/>
    <x:mergeCell ref="G11:I13"/>
    <x:mergeCell ref="J10:L10"/>
    <x:mergeCell ref="J11:L13"/>
    <x:mergeCell ref="A15:C15"/>
    <x:mergeCell ref="A16:C18"/>
    <x:mergeCell ref="D15:F15"/>
    <x:mergeCell ref="D16:F18"/>
    <x:mergeCell ref="G15:I15"/>
    <x:mergeCell ref="G16:I18"/>
    <x:mergeCell ref="J15:L15"/>
    <x:mergeCell ref="J16:L18"/>
    <x:mergeCell ref="A21:L21"/>
    <x:mergeCell ref="A22:C22"/>
    <x:mergeCell ref="A23:C25"/>
    <x:mergeCell ref="D22:F22"/>
    <x:mergeCell ref="D23:F25"/>
    <x:mergeCell ref="G22:I22"/>
    <x:mergeCell ref="G23:I25"/>
    <x:mergeCell ref="J22:L22"/>
    <x:mergeCell ref="J23:L25"/>
    <x:mergeCell ref="A38:L40"/>
    <x:mergeCell ref="A43:L43"/>
    <x:mergeCell ref="A44:C44"/>
    <x:mergeCell ref="A45:C47"/>
    <x:mergeCell ref="D44:F44"/>
    <x:mergeCell ref="D45:F47"/>
    <x:mergeCell ref="G44:I44"/>
    <x:mergeCell ref="G45:I47"/>
    <x:mergeCell ref="J44:L44"/>
    <x:mergeCell ref="J45:L47"/>
    <x:mergeCell ref="A57:L6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9" hidden="0" customWidth="1"/>
    <x:col min="3" max="3" width="11" hidden="0" customWidth="1"/>
    <x:col min="4" max="4" width="14" hidden="0" customWidth="1"/>
    <x:col min="5" max="5" width="13" hidden="0" customWidth="1"/>
    <x:col min="6" max="6" width="18" hidden="0" customWidth="1"/>
    <x:col min="7" max="7" width="13" hidden="0" customWidth="1"/>
    <x:col min="8" max="8" width="16" hidden="0" customWidth="1"/>
    <x:col min="9" max="9" width="15" hidden="0" customWidth="1"/>
    <x:col min="10" max="10" width="15" hidden="0" customWidth="1"/>
    <x:col min="11" max="11" width="31" hidden="0" customWidth="1"/>
    <x:col min="12" max="12" width="28" hidden="0" customWidth="1"/>
    <x:col min="13" max="13" width="34" hidden="0" customWidth="1"/>
    <x:col min="14" max="14" width="13" hidden="0" customWidth="1"/>
    <x:col min="15" max="15" width="13" hidden="0" customWidth="1"/>
    <x:col min="16" max="16" width="19" hidden="0" customWidth="1"/>
    <x:col min="17" max="17" width="19" hidden="0" customWidth="1"/>
    <x:col min="18" max="18" width="16" hidden="0" customWidth="1"/>
    <x:col min="19" max="19" width="15" hidden="0" customWidth="1"/>
    <x:col min="20" max="20" width="19" hidden="0" customWidth="1"/>
    <x:col min="21" max="21" width="18" hidden="0" customWidth="1"/>
    <x:col min="22" max="22" width="19" hidden="0" customWidth="1"/>
    <x:col min="23" max="23" width="23" hidden="0" customWidth="1"/>
    <x:col min="24" max="24" width="17" hidden="0" customWidth="1"/>
    <x:col min="25" max="25" width="17" hidden="0" customWidth="1"/>
    <x:col min="26" max="26" width="16" hidden="0" customWidth="1"/>
    <x:col min="27" max="27" width="16" hidden="0" customWidth="1"/>
    <x:col min="28" max="28" width="21" hidden="0" customWidth="1"/>
    <x:col min="29" max="29" width="22" hidden="0" customWidth="1"/>
    <x:col min="30" max="30" width="19" hidden="0" customWidth="1"/>
    <x:col min="31" max="31" width="30" hidden="0" customWidth="1"/>
    <x:col min="32" max="32" width="42" hidden="0" customWidth="1"/>
  </x:cols>
  <x:sheetData>
    <x:row r="1">
      <x:c r="A1" s="3" t="str">
        <x:v>Campaign Tracker - assignment, claim, cost and reactivation outcomes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row>
    <x:row r="2">
      <x:c r="A2" s="3"/>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row>
    <x:row r="3">
      <x:c r="A3" s="248" t="str">
        <x:v>Yellow fields are maintained through the Handler-Team Map. Reactivation = prior depositor + zero approved deposit in the 30 days before assignment + approved deposit within the selected post-offer window.</x:v>
      </x:c>
      <x:c r="B3" s="248"/>
      <x:c r="C3" s="248"/>
      <x:c r="D3" s="248"/>
      <x:c r="E3" s="248"/>
      <x:c r="F3" s="248"/>
      <x:c r="G3" s="248"/>
      <x:c r="H3" s="248"/>
      <x:c r="I3" s="248"/>
      <x:c r="J3" s="248"/>
      <x:c r="K3" s="248"/>
      <x:c r="L3" s="248"/>
      <x:c r="M3" s="248"/>
      <x:c r="N3" s="248"/>
      <x:c r="O3" s="248"/>
      <x:c r="P3" s="248"/>
      <x:c r="Q3" s="248"/>
      <x:c r="R3" s="248"/>
      <x:c r="S3" s="248"/>
      <x:c r="T3" s="248"/>
      <x:c r="U3" s="248"/>
      <x:c r="V3" s="248"/>
      <x:c r="W3" s="248"/>
      <x:c r="X3" s="248"/>
      <x:c r="Y3" s="248"/>
      <x:c r="Z3" s="248"/>
      <x:c r="AA3" s="248"/>
      <x:c r="AB3" s="248"/>
      <x:c r="AC3" s="248"/>
      <x:c r="AD3" s="248"/>
      <x:c r="AE3" s="248"/>
      <x:c r="AF3" s="248"/>
    </x:row>
    <x:row r="5">
      <x:c r="A5" s="133" t="str">
        <x:v>Assignment ID</x:v>
      </x:c>
      <x:c r="B5" s="133" t="str">
        <x:v>Site</x:v>
      </x:c>
      <x:c r="C5" s="133" t="str">
        <x:v>Brand</x:v>
      </x:c>
      <x:c r="D5" s="133" t="str">
        <x:v>Assignment Date</x:v>
      </x:c>
      <x:c r="E5" s="133" t="str">
        <x:v>Member ID</x:v>
      </x:c>
      <x:c r="F5" s="133" t="str">
        <x:v>Username</x:v>
      </x:c>
      <x:c r="G5" s="133" t="str">
        <x:v>Member Match</x:v>
      </x:c>
      <x:c r="H5" s="133" t="str">
        <x:v>Handler Name</x:v>
      </x:c>
      <x:c r="I5" s="133" t="str">
        <x:v>Team</x:v>
      </x:c>
      <x:c r="J5" s="133" t="str">
        <x:v>TL</x:v>
      </x:c>
      <x:c r="K5" s="133" t="str">
        <x:v>Raw Offer</x:v>
      </x:c>
      <x:c r="L5" s="133" t="str">
        <x:v>Promo Code</x:v>
      </x:c>
      <x:c r="M5" s="133" t="str">
        <x:v>Reward Name</x:v>
      </x:c>
      <x:c r="N5" s="133" t="str">
        <x:v>Offer Assigned</x:v>
      </x:c>
      <x:c r="O5" s="133" t="str">
        <x:v>Offer Claimed</x:v>
      </x:c>
      <x:c r="P5" s="133" t="str">
        <x:v>Claim Date/Time</x:v>
      </x:c>
      <x:c r="Q5" s="133" t="str">
        <x:v>Claim Match Quality</x:v>
      </x:c>
      <x:c r="R5" s="133" t="str">
        <x:v>Bonus Cost (MYR)</x:v>
      </x:c>
      <x:c r="S5" s="133" t="str">
        <x:v>Prior Depositor</x:v>
      </x:c>
      <x:c r="T5" s="133" t="str">
        <x:v>Deposit Prior 30d (MYR)</x:v>
      </x:c>
      <x:c r="U5" s="133" t="str">
        <x:v>Reactivation Eligible</x:v>
      </x:c>
      <x:c r="V5" s="133" t="str">
        <x:v>First Deposit After Offer</x:v>
      </x:c>
      <x:c r="W5" s="133" t="str">
        <x:v>First Deposit-Day Amount (MYR)</x:v>
      </x:c>
      <x:c r="X5" s="133" t="str">
        <x:v>Deposit 7d (MYR)</x:v>
      </x:c>
      <x:c r="Y5" s="133" t="str">
        <x:v>Deposit 14d (MYR)</x:v>
      </x:c>
      <x:c r="Z5" s="133" t="str">
        <x:v>Reactivated 7d</x:v>
      </x:c>
      <x:c r="AA5" s="133" t="str">
        <x:v>Reactivated 14d</x:v>
      </x:c>
      <x:c r="AB5" s="133" t="str">
        <x:v>Post-Offer NGR 7d (MYR)</x:v>
      </x:c>
      <x:c r="AC5" s="133" t="str">
        <x:v>Post-Offer NGR 14d (MYR)</x:v>
      </x:c>
      <x:c r="AD5" s="133" t="str">
        <x:v>Attributed NGR (MYR)</x:v>
      </x:c>
      <x:c r="AE5" s="133" t="str">
        <x:v>Attribution Status</x:v>
      </x:c>
      <x:c r="AF5" s="133" t="str">
        <x:v>Data Quality Note</x:v>
      </x:c>
    </x:row>
    <x:row r="6">
      <x:c r="A6" s="249" t="str">
        <x:v>WS1-20260106-0001</x:v>
      </x:c>
      <x:c r="B6" s="250" t="str">
        <x:v>WS1</x:v>
      </x:c>
      <x:c r="C6" s="250" t="str">
        <x:v>MB8</x:v>
      </x:c>
      <x:c r="D6" s="258" t="n">
        <x:v>46028.166666666664</x:v>
      </x:c>
      <x:c r="E6" s="250" t="str">
        <x:v>573098</x:v>
      </x:c>
      <x:c r="F6" s="250" t="str">
        <x:v>nayiemansor1991</x:v>
      </x:c>
      <x:c r="G6" s="250" t="str">
        <x:v>Yes</x:v>
      </x:c>
      <x:c r="H6" s="250" t="str">
        <x:v>Tammy</x:v>
      </x:c>
      <x:c r="I6" s="267" t="str">
        <x:f>IFERROR(VLOOKUP(H6,'Handler-Team Map'!$A$7:$C$17,2,FALSE),"")</x:f>
      </x:c>
      <x:c r="J6" s="267" t="str">
        <x:f>IFERROR(VLOOKUP(H6,'Handler-Team Map'!$A$7:$C$17,3,FALSE),"")</x:f>
      </x:c>
      <x:c r="K6" s="273" t="str">
        <x:v>FT_VM_FC_VARIABLE_5X - MYR 888</x:v>
      </x:c>
      <x:c r="L6" s="273" t="str">
        <x:v>FT_VM_FC_VARIABLE_5X</x:v>
      </x:c>
      <x:c r="M6" s="273" t="str">
        <x:v>VM Bns - Free Credit - 5x TO</x:v>
      </x:c>
      <x:c r="N6" s="250" t="str">
        <x:v>Yes</x:v>
      </x:c>
      <x:c r="O6" s="250" t="str">
        <x:v>No</x:v>
      </x:c>
      <x:c r="P6" s="261"/>
      <x:c r="Q6" s="250" t="str"/>
      <x:c r="R6" s="264" t="n">
        <x:v>0</x:v>
      </x:c>
      <x:c r="S6" s="250" t="str">
        <x:v>Yes</x:v>
      </x:c>
      <x:c r="T6" s="264" t="n">
        <x:v>4000</x:v>
      </x:c>
      <x:c r="U6" s="250" t="str">
        <x:f>IF(AND(S6="Yes",T6=0),"Yes","No")</x:f>
        <x:v>No</x:v>
      </x:c>
      <x:c r="V6" s="258" t="n">
        <x:v>46032.166666666664</x:v>
      </x:c>
      <x:c r="W6" s="264" t="n">
        <x:v>450</x:v>
      </x:c>
      <x:c r="X6" s="264" t="n">
        <x:v>750</x:v>
      </x:c>
      <x:c r="Y6" s="264" t="n">
        <x:v>750</x:v>
      </x:c>
      <x:c r="Z6" s="250" t="str">
        <x:f>IF(AND(U6="Yes",X6&gt;0),"Yes","No")</x:f>
        <x:v>No</x:v>
      </x:c>
      <x:c r="AA6" s="250" t="str">
        <x:f>IF(AND(U6="Yes",Y6&gt;0),"Yes","No")</x:f>
        <x:v>No</x:v>
      </x:c>
      <x:c r="AB6" s="264" t="n">
        <x:v>162.21000000000004</x:v>
      </x:c>
      <x:c r="AC6" s="264" t="n">
        <x:v>158.24</x:v>
      </x:c>
      <x:c r="AD6" s="270" t="str"/>
      <x:c r="AE6" s="273" t="str">
        <x:v>Not validated - no control/holdout</x:v>
      </x:c>
      <x:c r="AF6" s="276" t="str">
        <x:v>No exact promo-code claim found within 14 days</x:v>
      </x:c>
    </x:row>
    <x:row r="7">
      <x:c r="A7" s="252" t="str">
        <x:v>WS1-20260106-0002</x:v>
      </x:c>
      <x:c r="B7" s="253" t="str">
        <x:v>WS1</x:v>
      </x:c>
      <x:c r="C7" s="253" t="str">
        <x:v>MB8</x:v>
      </x:c>
      <x:c r="D7" s="259" t="n">
        <x:v>46028.166666666664</x:v>
      </x:c>
      <x:c r="E7" s="253" t="str">
        <x:v>254348</x:v>
      </x:c>
      <x:c r="F7" s="253" t="str">
        <x:v>Bryan93csj</x:v>
      </x:c>
      <x:c r="G7" s="253" t="str">
        <x:v>Yes</x:v>
      </x:c>
      <x:c r="H7" s="253" t="str">
        <x:v>Tammy</x:v>
      </x:c>
      <x:c r="I7" s="268" t="str">
        <x:f>IFERROR(VLOOKUP(H7,'Handler-Team Map'!$A$7:$C$17,2,FALSE),"")</x:f>
      </x:c>
      <x:c r="J7" s="268" t="str">
        <x:f>IFERROR(VLOOKUP(H7,'Handler-Team Map'!$A$7:$C$17,3,FALSE),"")</x:f>
      </x:c>
      <x:c r="K7" s="274" t="str">
        <x:v>(MID) - VM_DEP600_GET200_5X</x:v>
      </x:c>
      <x:c r="L7" s="274" t="str">
        <x:v>FT_VM_DEP600_GET200_5X</x:v>
      </x:c>
      <x:c r="M7" s="274" t="str">
        <x:v>VM Bns - Dep600 Get200 - 5x TO</x:v>
      </x:c>
      <x:c r="N7" s="253" t="str">
        <x:v>Yes</x:v>
      </x:c>
      <x:c r="O7" s="253" t="str">
        <x:v>No</x:v>
      </x:c>
      <x:c r="P7" s="262"/>
      <x:c r="Q7" s="253" t="str"/>
      <x:c r="R7" s="265" t="n">
        <x:v>0</x:v>
      </x:c>
      <x:c r="S7" s="253" t="str">
        <x:v>Yes</x:v>
      </x:c>
      <x:c r="T7" s="265" t="n">
        <x:v>1000</x:v>
      </x:c>
      <x:c r="U7" s="253" t="str">
        <x:f>IF(AND(S7="Yes",T7=0),"Yes","No")</x:f>
        <x:v>No</x:v>
      </x:c>
      <x:c r="V7" s="259"/>
      <x:c r="W7" s="265" t="n">
        <x:v>0</x:v>
      </x:c>
      <x:c r="X7" s="265" t="n">
        <x:v>0</x:v>
      </x:c>
      <x:c r="Y7" s="265" t="n">
        <x:v>0</x:v>
      </x:c>
      <x:c r="Z7" s="253" t="str">
        <x:f>IF(AND(U7="Yes",X7&gt;0),"Yes","No")</x:f>
        <x:v>No</x:v>
      </x:c>
      <x:c r="AA7" s="253" t="str">
        <x:f>IF(AND(U7="Yes",Y7&gt;0),"Yes","No")</x:f>
        <x:v>No</x:v>
      </x:c>
      <x:c r="AB7" s="265" t="n">
        <x:v>0</x:v>
      </x:c>
      <x:c r="AC7" s="265" t="n">
        <x:v>0</x:v>
      </x:c>
      <x:c r="AD7" s="271" t="str"/>
      <x:c r="AE7" s="274" t="str">
        <x:v>Not validated - no control/holdout</x:v>
      </x:c>
      <x:c r="AF7" s="277" t="str">
        <x:v>No exact promo-code claim found within 14 days</x:v>
      </x:c>
    </x:row>
    <x:row r="8">
      <x:c r="A8" s="252" t="str">
        <x:v>WS1-20260106-0003</x:v>
      </x:c>
      <x:c r="B8" s="253" t="str">
        <x:v>WS1</x:v>
      </x:c>
      <x:c r="C8" s="253" t="str">
        <x:v>MB8</x:v>
      </x:c>
      <x:c r="D8" s="259" t="n">
        <x:v>46028.166666666664</x:v>
      </x:c>
      <x:c r="E8" s="253" t="str">
        <x:v>779246</x:v>
      </x:c>
      <x:c r="F8" s="253" t="str">
        <x:v>hhhooi</x:v>
      </x:c>
      <x:c r="G8" s="253" t="str">
        <x:v>Yes</x:v>
      </x:c>
      <x:c r="H8" s="253" t="str">
        <x:v>Tammy</x:v>
      </x:c>
      <x:c r="I8" s="268" t="str">
        <x:f>IFERROR(VLOOKUP(H8,'Handler-Team Map'!$A$7:$C$17,2,FALSE),"")</x:f>
      </x:c>
      <x:c r="J8" s="268" t="str">
        <x:f>IFERROR(VLOOKUP(H8,'Handler-Team Map'!$A$7:$C$17,3,FALSE),"")</x:f>
      </x:c>
      <x:c r="K8" s="274" t="str">
        <x:v>FT_VM_FC_VARIABLE_5X - MYR 1088</x:v>
      </x:c>
      <x:c r="L8" s="274" t="str">
        <x:v>FT_VM_FC_VARIABLE_5X</x:v>
      </x:c>
      <x:c r="M8" s="274" t="str">
        <x:v>VM Bns - Free Credit - 5x TO</x:v>
      </x:c>
      <x:c r="N8" s="253" t="str">
        <x:v>Yes</x:v>
      </x:c>
      <x:c r="O8" s="253" t="str">
        <x:v>No</x:v>
      </x:c>
      <x:c r="P8" s="262"/>
      <x:c r="Q8" s="253" t="str"/>
      <x:c r="R8" s="265" t="n">
        <x:v>0</x:v>
      </x:c>
      <x:c r="S8" s="253" t="str">
        <x:v>Yes</x:v>
      </x:c>
      <x:c r="T8" s="265" t="n">
        <x:v>100</x:v>
      </x:c>
      <x:c r="U8" s="253" t="str">
        <x:f>IF(AND(S8="Yes",T8=0),"Yes","No")</x:f>
        <x:v>No</x:v>
      </x:c>
      <x:c r="V8" s="259" t="n">
        <x:v>46034.166666666664</x:v>
      </x:c>
      <x:c r="W8" s="265" t="n">
        <x:v>1000</x:v>
      </x:c>
      <x:c r="X8" s="265" t="n">
        <x:v>1000</x:v>
      </x:c>
      <x:c r="Y8" s="265" t="n">
        <x:v>1000</x:v>
      </x:c>
      <x:c r="Z8" s="253" t="str">
        <x:f>IF(AND(U8="Yes",X8&gt;0),"Yes","No")</x:f>
        <x:v>No</x:v>
      </x:c>
      <x:c r="AA8" s="253" t="str">
        <x:f>IF(AND(U8="Yes",Y8&gt;0),"Yes","No")</x:f>
        <x:v>No</x:v>
      </x:c>
      <x:c r="AB8" s="265" t="n">
        <x:v>-410</x:v>
      </x:c>
      <x:c r="AC8" s="265" t="n">
        <x:v>936.6199999999998</x:v>
      </x:c>
      <x:c r="AD8" s="271" t="str"/>
      <x:c r="AE8" s="274" t="str">
        <x:v>Not validated - no control/holdout</x:v>
      </x:c>
      <x:c r="AF8" s="277" t="str">
        <x:v>No exact promo-code claim found within 14 days</x:v>
      </x:c>
    </x:row>
    <x:row r="9">
      <x:c r="A9" s="252" t="str">
        <x:v>WS1-20260106-0004</x:v>
      </x:c>
      <x:c r="B9" s="253" t="str">
        <x:v>WS1</x:v>
      </x:c>
      <x:c r="C9" s="253" t="str">
        <x:v>MB8</x:v>
      </x:c>
      <x:c r="D9" s="259" t="n">
        <x:v>46028.166666666664</x:v>
      </x:c>
      <x:c r="E9" s="253" t="str">
        <x:v>933614</x:v>
      </x:c>
      <x:c r="F9" s="253" t="str">
        <x:v>BBB1BC</x:v>
      </x:c>
      <x:c r="G9" s="253" t="str">
        <x:v>Yes</x:v>
      </x:c>
      <x:c r="H9" s="253" t="str">
        <x:v>Tammy</x:v>
      </x:c>
      <x:c r="I9" s="268" t="str">
        <x:f>IFERROR(VLOOKUP(H9,'Handler-Team Map'!$A$7:$C$17,2,FALSE),"")</x:f>
      </x:c>
      <x:c r="J9" s="268" t="str">
        <x:f>IFERROR(VLOOKUP(H9,'Handler-Team Map'!$A$7:$C$17,3,FALSE),"")</x:f>
      </x:c>
      <x:c r="K9" s="274" t="str">
        <x:v>FT_VM_DEP600_GET200_5X</x:v>
      </x:c>
      <x:c r="L9" s="274" t="str">
        <x:v>FT_VM_DEP600_GET200_5X</x:v>
      </x:c>
      <x:c r="M9" s="274" t="str">
        <x:v>VM Bns - Dep600 Get200 - 5x TO</x:v>
      </x:c>
      <x:c r="N9" s="253" t="str">
        <x:v>Yes</x:v>
      </x:c>
      <x:c r="O9" s="253" t="str">
        <x:v>No</x:v>
      </x:c>
      <x:c r="P9" s="262"/>
      <x:c r="Q9" s="253" t="str"/>
      <x:c r="R9" s="265" t="n">
        <x:v>0</x:v>
      </x:c>
      <x:c r="S9" s="253" t="str">
        <x:v>Yes</x:v>
      </x:c>
      <x:c r="T9" s="265" t="n">
        <x:v>40650</x:v>
      </x:c>
      <x:c r="U9" s="253" t="str">
        <x:f>IF(AND(S9="Yes",T9=0),"Yes","No")</x:f>
        <x:v>No</x:v>
      </x:c>
      <x:c r="V9" s="259" t="n">
        <x:v>46028.166666666664</x:v>
      </x:c>
      <x:c r="W9" s="265" t="n">
        <x:v>1000</x:v>
      </x:c>
      <x:c r="X9" s="265" t="n">
        <x:v>6550</x:v>
      </x:c>
      <x:c r="Y9" s="265" t="n">
        <x:v>6550</x:v>
      </x:c>
      <x:c r="Z9" s="253" t="str">
        <x:f>IF(AND(U9="Yes",X9&gt;0),"Yes","No")</x:f>
        <x:v>No</x:v>
      </x:c>
      <x:c r="AA9" s="253" t="str">
        <x:f>IF(AND(U9="Yes",Y9&gt;0),"Yes","No")</x:f>
        <x:v>No</x:v>
      </x:c>
      <x:c r="AB9" s="265" t="n">
        <x:v>105.19999999999959</x:v>
      </x:c>
      <x:c r="AC9" s="265" t="n">
        <x:v>-56.990000000000464</x:v>
      </x:c>
      <x:c r="AD9" s="271" t="str"/>
      <x:c r="AE9" s="274" t="str">
        <x:v>Not validated - no control/holdout</x:v>
      </x:c>
      <x:c r="AF9" s="277" t="str">
        <x:v>No exact promo-code claim found within 14 days</x:v>
      </x:c>
    </x:row>
    <x:row r="10">
      <x:c r="A10" s="252" t="str">
        <x:v>WS1-20260106-0005</x:v>
      </x:c>
      <x:c r="B10" s="253" t="str">
        <x:v>WS1</x:v>
      </x:c>
      <x:c r="C10" s="253" t="str">
        <x:v>MB8</x:v>
      </x:c>
      <x:c r="D10" s="259" t="n">
        <x:v>46028.166666666664</x:v>
      </x:c>
      <x:c r="E10" s="253" t="str">
        <x:v>219758</x:v>
      </x:c>
      <x:c r="F10" s="253" t="str">
        <x:v>crewno88</x:v>
      </x:c>
      <x:c r="G10" s="253" t="str">
        <x:v>Yes</x:v>
      </x:c>
      <x:c r="H10" s="253" t="str">
        <x:v>Tammy</x:v>
      </x:c>
      <x:c r="I10" s="268" t="str">
        <x:f>IFERROR(VLOOKUP(H10,'Handler-Team Map'!$A$7:$C$17,2,FALSE),"")</x:f>
      </x:c>
      <x:c r="J10" s="268" t="str">
        <x:f>IFERROR(VLOOKUP(H10,'Handler-Team Map'!$A$7:$C$17,3,FALSE),"")</x:f>
      </x:c>
      <x:c r="K10" s="274" t="str">
        <x:v>FT_VM_DEP600_GET200_5X</x:v>
      </x:c>
      <x:c r="L10" s="274" t="str">
        <x:v>FT_VM_DEP600_GET200_5X</x:v>
      </x:c>
      <x:c r="M10" s="274" t="str">
        <x:v>VM Bns - Dep600 Get200 - 5x TO</x:v>
      </x:c>
      <x:c r="N10" s="253" t="str">
        <x:v>Yes</x:v>
      </x:c>
      <x:c r="O10" s="253" t="str">
        <x:v>No</x:v>
      </x:c>
      <x:c r="P10" s="262"/>
      <x:c r="Q10" s="253" t="str"/>
      <x:c r="R10" s="265" t="n">
        <x:v>0</x:v>
      </x:c>
      <x:c r="S10" s="253" t="str">
        <x:v>Yes</x:v>
      </x:c>
      <x:c r="T10" s="265" t="n">
        <x:v>1000</x:v>
      </x:c>
      <x:c r="U10" s="253" t="str">
        <x:f>IF(AND(S10="Yes",T10=0),"Yes","No")</x:f>
        <x:v>No</x:v>
      </x:c>
      <x:c r="V10" s="259"/>
      <x:c r="W10" s="265" t="n">
        <x:v>0</x:v>
      </x:c>
      <x:c r="X10" s="265" t="n">
        <x:v>0</x:v>
      </x:c>
      <x:c r="Y10" s="265" t="n">
        <x:v>0</x:v>
      </x:c>
      <x:c r="Z10" s="253" t="str">
        <x:f>IF(AND(U10="Yes",X10&gt;0),"Yes","No")</x:f>
        <x:v>No</x:v>
      </x:c>
      <x:c r="AA10" s="253" t="str">
        <x:f>IF(AND(U10="Yes",Y10&gt;0),"Yes","No")</x:f>
        <x:v>No</x:v>
      </x:c>
      <x:c r="AB10" s="265" t="n">
        <x:v>0</x:v>
      </x:c>
      <x:c r="AC10" s="265" t="n">
        <x:v>0</x:v>
      </x:c>
      <x:c r="AD10" s="271" t="str"/>
      <x:c r="AE10" s="274" t="str">
        <x:v>Not validated - no control/holdout</x:v>
      </x:c>
      <x:c r="AF10" s="277" t="str">
        <x:v>No exact promo-code claim found within 14 days</x:v>
      </x:c>
    </x:row>
    <x:row r="11">
      <x:c r="A11" s="252" t="str">
        <x:v>WS1-20260113-0006</x:v>
      </x:c>
      <x:c r="B11" s="253" t="str">
        <x:v>WS1</x:v>
      </x:c>
      <x:c r="C11" s="253" t="str">
        <x:v>MB8</x:v>
      </x:c>
      <x:c r="D11" s="259" t="n">
        <x:v>46035.166666666664</x:v>
      </x:c>
      <x:c r="E11" s="253" t="str">
        <x:v>693474</x:v>
      </x:c>
      <x:c r="F11" s="253" t="str">
        <x:v>sumon9</x:v>
      </x:c>
      <x:c r="G11" s="253" t="str">
        <x:v>Yes</x:v>
      </x:c>
      <x:c r="H11" s="253" t="str">
        <x:v>Tammy</x:v>
      </x:c>
      <x:c r="I11" s="268" t="str">
        <x:f>IFERROR(VLOOKUP(H11,'Handler-Team Map'!$A$7:$C$17,2,FALSE),"")</x:f>
      </x:c>
      <x:c r="J11" s="268" t="str">
        <x:f>IFERROR(VLOOKUP(H11,'Handler-Team Map'!$A$7:$C$17,3,FALSE),"")</x:f>
      </x:c>
      <x:c r="K11" s="274" t="str">
        <x:v>FT_VM_DEP600_GET200_5X</x:v>
      </x:c>
      <x:c r="L11" s="274" t="str">
        <x:v>FT_VM_DEP600_GET200_5X</x:v>
      </x:c>
      <x:c r="M11" s="274" t="str">
        <x:v>VM Bns - Dep600 Get200 - 5x TO</x:v>
      </x:c>
      <x:c r="N11" s="253" t="str">
        <x:v>Yes</x:v>
      </x:c>
      <x:c r="O11" s="253" t="str">
        <x:v>No</x:v>
      </x:c>
      <x:c r="P11" s="262"/>
      <x:c r="Q11" s="253" t="str"/>
      <x:c r="R11" s="265" t="n">
        <x:v>0</x:v>
      </x:c>
      <x:c r="S11" s="253" t="str">
        <x:v>Yes</x:v>
      </x:c>
      <x:c r="T11" s="265" t="n">
        <x:v>12039</x:v>
      </x:c>
      <x:c r="U11" s="253" t="str">
        <x:f>IF(AND(S11="Yes",T11=0),"Yes","No")</x:f>
        <x:v>No</x:v>
      </x:c>
      <x:c r="V11" s="259" t="n">
        <x:v>46035.166666666664</x:v>
      </x:c>
      <x:c r="W11" s="265" t="n">
        <x:v>1000</x:v>
      </x:c>
      <x:c r="X11" s="265" t="n">
        <x:v>4265</x:v>
      </x:c>
      <x:c r="Y11" s="265" t="n">
        <x:v>4265</x:v>
      </x:c>
      <x:c r="Z11" s="253" t="str">
        <x:f>IF(AND(U11="Yes",X11&gt;0),"Yes","No")</x:f>
        <x:v>No</x:v>
      </x:c>
      <x:c r="AA11" s="253" t="str">
        <x:f>IF(AND(U11="Yes",Y11&gt;0),"Yes","No")</x:f>
        <x:v>No</x:v>
      </x:c>
      <x:c r="AB11" s="265" t="n">
        <x:v>2064.54</x:v>
      </x:c>
      <x:c r="AC11" s="265" t="n">
        <x:v>2065.74</x:v>
      </x:c>
      <x:c r="AD11" s="271" t="str"/>
      <x:c r="AE11" s="274" t="str">
        <x:v>Not validated - no control/holdout</x:v>
      </x:c>
      <x:c r="AF11" s="277" t="str">
        <x:v>No exact promo-code claim found within 14 days</x:v>
      </x:c>
    </x:row>
    <x:row r="12">
      <x:c r="A12" s="252" t="str">
        <x:v>WS1-20260113-0007</x:v>
      </x:c>
      <x:c r="B12" s="253" t="str">
        <x:v>WS1</x:v>
      </x:c>
      <x:c r="C12" s="253" t="str">
        <x:v>MB8</x:v>
      </x:c>
      <x:c r="D12" s="259" t="n">
        <x:v>46035.166666666664</x:v>
      </x:c>
      <x:c r="E12" s="253" t="str">
        <x:v>668899</x:v>
      </x:c>
      <x:c r="F12" s="253" t="str">
        <x:v>Kenjisan123</x:v>
      </x:c>
      <x:c r="G12" s="253" t="str">
        <x:v>Yes</x:v>
      </x:c>
      <x:c r="H12" s="253" t="str">
        <x:v>Tammy</x:v>
      </x:c>
      <x:c r="I12" s="268" t="str">
        <x:f>IFERROR(VLOOKUP(H12,'Handler-Team Map'!$A$7:$C$17,2,FALSE),"")</x:f>
      </x:c>
      <x:c r="J12" s="268" t="str">
        <x:f>IFERROR(VLOOKUP(H12,'Handler-Team Map'!$A$7:$C$17,3,FALSE),"")</x:f>
      </x:c>
      <x:c r="K12" s="274" t="str">
        <x:v>FT_VM_DEP600_GET200_5X</x:v>
      </x:c>
      <x:c r="L12" s="274" t="str">
        <x:v>FT_VM_DEP600_GET200_5X</x:v>
      </x:c>
      <x:c r="M12" s="274" t="str">
        <x:v>VM Bns - Dep600 Get200 - 5x TO</x:v>
      </x:c>
      <x:c r="N12" s="253" t="str">
        <x:v>Yes</x:v>
      </x:c>
      <x:c r="O12" s="253" t="str">
        <x:v>No</x:v>
      </x:c>
      <x:c r="P12" s="262"/>
      <x:c r="Q12" s="253" t="str"/>
      <x:c r="R12" s="265" t="n">
        <x:v>0</x:v>
      </x:c>
      <x:c r="S12" s="253" t="str">
        <x:v>Yes</x:v>
      </x:c>
      <x:c r="T12" s="265" t="n">
        <x:v>50520</x:v>
      </x:c>
      <x:c r="U12" s="253" t="str">
        <x:f>IF(AND(S12="Yes",T12=0),"Yes","No")</x:f>
        <x:v>No</x:v>
      </x:c>
      <x:c r="V12" s="259" t="n">
        <x:v>46035.166666666664</x:v>
      </x:c>
      <x:c r="W12" s="265" t="n">
        <x:v>2300</x:v>
      </x:c>
      <x:c r="X12" s="265" t="n">
        <x:v>15200</x:v>
      </x:c>
      <x:c r="Y12" s="265" t="n">
        <x:v>43475</x:v>
      </x:c>
      <x:c r="Z12" s="253" t="str">
        <x:f>IF(AND(U12="Yes",X12&gt;0),"Yes","No")</x:f>
        <x:v>No</x:v>
      </x:c>
      <x:c r="AA12" s="253" t="str">
        <x:f>IF(AND(U12="Yes",Y12&gt;0),"Yes","No")</x:f>
        <x:v>No</x:v>
      </x:c>
      <x:c r="AB12" s="265" t="n">
        <x:v>5204.819999999999</x:v>
      </x:c>
      <x:c r="AC12" s="265" t="n">
        <x:v>-9468.28000000001</x:v>
      </x:c>
      <x:c r="AD12" s="271" t="str"/>
      <x:c r="AE12" s="274" t="str">
        <x:v>Not validated - no control/holdout</x:v>
      </x:c>
      <x:c r="AF12" s="277" t="str">
        <x:v>No exact promo-code claim found within 14 days</x:v>
      </x:c>
    </x:row>
    <x:row r="13">
      <x:c r="A13" s="252" t="str">
        <x:v>WS1-20260113-0008</x:v>
      </x:c>
      <x:c r="B13" s="253" t="str">
        <x:v>WS1</x:v>
      </x:c>
      <x:c r="C13" s="253" t="str">
        <x:v>MB8</x:v>
      </x:c>
      <x:c r="D13" s="259" t="n">
        <x:v>46035.166666666664</x:v>
      </x:c>
      <x:c r="E13" s="253" t="str">
        <x:v>163316</x:v>
      </x:c>
      <x:c r="F13" s="253" t="str">
        <x:v>huathuat</x:v>
      </x:c>
      <x:c r="G13" s="253" t="str">
        <x:v>Yes</x:v>
      </x:c>
      <x:c r="H13" s="253" t="str">
        <x:v>Michelle</x:v>
      </x:c>
      <x:c r="I13" s="268" t="str">
        <x:f>IFERROR(VLOOKUP(H13,'Handler-Team Map'!$A$7:$C$17,2,FALSE),"")</x:f>
      </x:c>
      <x:c r="J13" s="268" t="str">
        <x:f>IFERROR(VLOOKUP(H13,'Handler-Team Map'!$A$7:$C$17,3,FALSE),"")</x:f>
      </x:c>
      <x:c r="K13" s="274" t="str">
        <x:v>FT_VM_DEP600_GET200_5X</x:v>
      </x:c>
      <x:c r="L13" s="274" t="str">
        <x:v>FT_VM_DEP600_GET200_5X</x:v>
      </x:c>
      <x:c r="M13" s="274" t="str">
        <x:v>VM Bns - Dep600 Get200 - 5x TO</x:v>
      </x:c>
      <x:c r="N13" s="253" t="str">
        <x:v>Yes</x:v>
      </x:c>
      <x:c r="O13" s="253" t="str">
        <x:v>No</x:v>
      </x:c>
      <x:c r="P13" s="262"/>
      <x:c r="Q13" s="253" t="str"/>
      <x:c r="R13" s="265" t="n">
        <x:v>0</x:v>
      </x:c>
      <x:c r="S13" s="253" t="str">
        <x:v>Yes</x:v>
      </x:c>
      <x:c r="T13" s="265" t="n">
        <x:v>10400</x:v>
      </x:c>
      <x:c r="U13" s="253" t="str">
        <x:f>IF(AND(S13="Yes",T13=0),"Yes","No")</x:f>
        <x:v>No</x:v>
      </x:c>
      <x:c r="V13" s="259" t="n">
        <x:v>46040.166666666664</x:v>
      </x:c>
      <x:c r="W13" s="265" t="n">
        <x:v>100</x:v>
      </x:c>
      <x:c r="X13" s="265" t="n">
        <x:v>1600</x:v>
      </x:c>
      <x:c r="Y13" s="265" t="n">
        <x:v>1600</x:v>
      </x:c>
      <x:c r="Z13" s="253" t="str">
        <x:f>IF(AND(U13="Yes",X13&gt;0),"Yes","No")</x:f>
        <x:v>No</x:v>
      </x:c>
      <x:c r="AA13" s="253" t="str">
        <x:f>IF(AND(U13="Yes",Y13&gt;0),"Yes","No")</x:f>
        <x:v>No</x:v>
      </x:c>
      <x:c r="AB13" s="265" t="n">
        <x:v>-400.62</x:v>
      </x:c>
      <x:c r="AC13" s="265" t="n">
        <x:v>-2100.07</x:v>
      </x:c>
      <x:c r="AD13" s="271" t="str"/>
      <x:c r="AE13" s="274" t="str">
        <x:v>Not validated - no control/holdout</x:v>
      </x:c>
      <x:c r="AF13" s="277" t="str">
        <x:v>No exact promo-code claim found within 14 days</x:v>
      </x:c>
    </x:row>
    <x:row r="14">
      <x:c r="A14" s="252" t="str">
        <x:v>WS1-20260209-0009</x:v>
      </x:c>
      <x:c r="B14" s="253" t="str">
        <x:v>WS1</x:v>
      </x:c>
      <x:c r="C14" s="253" t="str">
        <x:v>MB8</x:v>
      </x:c>
      <x:c r="D14" s="259" t="n">
        <x:v>46062.166666666664</x:v>
      </x:c>
      <x:c r="E14" s="253" t="str">
        <x:v>670921</x:v>
      </x:c>
      <x:c r="F14" s="253" t="str">
        <x:v>avitaminix</x:v>
      </x:c>
      <x:c r="G14" s="253" t="str">
        <x:v>Yes</x:v>
      </x:c>
      <x:c r="H14" s="253" t="str">
        <x:v>Sheena</x:v>
      </x:c>
      <x:c r="I14" s="268" t="str">
        <x:f>IFERROR(VLOOKUP(H14,'Handler-Team Map'!$A$7:$C$17,2,FALSE),"")</x:f>
      </x:c>
      <x:c r="J14" s="268" t="str">
        <x:f>IFERROR(VLOOKUP(H14,'Handler-Team Map'!$A$7:$C$17,3,FALSE),"")</x:f>
      </x:c>
      <x:c r="K14" s="274" t="str">
        <x:v>FT_VM_FC_VARIABLE_5X - MYR 588</x:v>
      </x:c>
      <x:c r="L14" s="274" t="str">
        <x:v>FT_VM_FC_VARIABLE_5X</x:v>
      </x:c>
      <x:c r="M14" s="274" t="str">
        <x:v>VM Bns - Free Credit - 5x TO</x:v>
      </x:c>
      <x:c r="N14" s="253" t="str">
        <x:v>Yes</x:v>
      </x:c>
      <x:c r="O14" s="253" t="str">
        <x:v>No</x:v>
      </x:c>
      <x:c r="P14" s="262"/>
      <x:c r="Q14" s="253" t="str"/>
      <x:c r="R14" s="265" t="n">
        <x:v>0</x:v>
      </x:c>
      <x:c r="S14" s="253" t="str">
        <x:v>Yes</x:v>
      </x:c>
      <x:c r="T14" s="265" t="n">
        <x:v>8080</x:v>
      </x:c>
      <x:c r="U14" s="253" t="str">
        <x:f>IF(AND(S14="Yes",T14=0),"Yes","No")</x:f>
        <x:v>No</x:v>
      </x:c>
      <x:c r="V14" s="259" t="n">
        <x:v>46063.166666666664</x:v>
      </x:c>
      <x:c r="W14" s="265" t="n">
        <x:v>200</x:v>
      </x:c>
      <x:c r="X14" s="265" t="n">
        <x:v>1600</x:v>
      </x:c>
      <x:c r="Y14" s="265" t="n">
        <x:v>6970</x:v>
      </x:c>
      <x:c r="Z14" s="253" t="str">
        <x:f>IF(AND(U14="Yes",X14&gt;0),"Yes","No")</x:f>
        <x:v>No</x:v>
      </x:c>
      <x:c r="AA14" s="253" t="str">
        <x:f>IF(AND(U14="Yes",Y14&gt;0),"Yes","No")</x:f>
        <x:v>No</x:v>
      </x:c>
      <x:c r="AB14" s="265" t="n">
        <x:v>432.7500000000004</x:v>
      </x:c>
      <x:c r="AC14" s="265" t="n">
        <x:v>-3701.7600000000007</x:v>
      </x:c>
      <x:c r="AD14" s="271" t="str"/>
      <x:c r="AE14" s="274" t="str">
        <x:v>Not validated - no control/holdout</x:v>
      </x:c>
      <x:c r="AF14" s="277" t="str">
        <x:v>No exact promo-code claim found within 14 days</x:v>
      </x:c>
    </x:row>
    <x:row r="15">
      <x:c r="A15" s="252" t="str">
        <x:v>WS1-20260209-0010</x:v>
      </x:c>
      <x:c r="B15" s="253" t="str">
        <x:v>WS1</x:v>
      </x:c>
      <x:c r="C15" s="253" t="str">
        <x:v>MB8</x:v>
      </x:c>
      <x:c r="D15" s="259" t="n">
        <x:v>46062.166666666664</x:v>
      </x:c>
      <x:c r="E15" s="253" t="str">
        <x:v>970156</x:v>
      </x:c>
      <x:c r="F15" s="253" t="str">
        <x:v>Rishadkawsar</x:v>
      </x:c>
      <x:c r="G15" s="253" t="str">
        <x:v>Yes</x:v>
      </x:c>
      <x:c r="H15" s="253" t="str">
        <x:v>Sheena</x:v>
      </x:c>
      <x:c r="I15" s="268" t="str">
        <x:f>IFERROR(VLOOKUP(H15,'Handler-Team Map'!$A$7:$C$17,2,FALSE),"")</x:f>
      </x:c>
      <x:c r="J15" s="268" t="str">
        <x:f>IFERROR(VLOOKUP(H15,'Handler-Team Map'!$A$7:$C$17,3,FALSE),"")</x:f>
      </x:c>
      <x:c r="K15" s="274" t="str">
        <x:v>FT_VM_DEP700_GET300_1X</x:v>
      </x:c>
      <x:c r="L15" s="274" t="str">
        <x:v>FT_VM_DEP700_GET300_1X</x:v>
      </x:c>
      <x:c r="M15" s="274" t="str">
        <x:v>VM Bns - Dep700 Get300 - 1x TO</x:v>
      </x:c>
      <x:c r="N15" s="253" t="str">
        <x:v>Yes</x:v>
      </x:c>
      <x:c r="O15" s="253" t="str">
        <x:v>No</x:v>
      </x:c>
      <x:c r="P15" s="262"/>
      <x:c r="Q15" s="253" t="str"/>
      <x:c r="R15" s="265" t="n">
        <x:v>0</x:v>
      </x:c>
      <x:c r="S15" s="253" t="str">
        <x:v>Yes</x:v>
      </x:c>
      <x:c r="T15" s="265" t="n">
        <x:v>5767</x:v>
      </x:c>
      <x:c r="U15" s="253" t="str">
        <x:f>IF(AND(S15="Yes",T15=0),"Yes","No")</x:f>
        <x:v>No</x:v>
      </x:c>
      <x:c r="V15" s="259" t="n">
        <x:v>46062.166666666664</x:v>
      </x:c>
      <x:c r="W15" s="265" t="n">
        <x:v>413</x:v>
      </x:c>
      <x:c r="X15" s="265" t="n">
        <x:v>2280</x:v>
      </x:c>
      <x:c r="Y15" s="265" t="n">
        <x:v>2280</x:v>
      </x:c>
      <x:c r="Z15" s="253" t="str">
        <x:f>IF(AND(U15="Yes",X15&gt;0),"Yes","No")</x:f>
        <x:v>No</x:v>
      </x:c>
      <x:c r="AA15" s="253" t="str">
        <x:f>IF(AND(U15="Yes",Y15&gt;0),"Yes","No")</x:f>
        <x:v>No</x:v>
      </x:c>
      <x:c r="AB15" s="265" t="n">
        <x:v>-127.67000000000053</x:v>
      </x:c>
      <x:c r="AC15" s="265" t="n">
        <x:v>-127.38000000000052</x:v>
      </x:c>
      <x:c r="AD15" s="271" t="str"/>
      <x:c r="AE15" s="274" t="str">
        <x:v>Not validated - no control/holdout</x:v>
      </x:c>
      <x:c r="AF15" s="277" t="str">
        <x:v>No exact promo-code claim found within 14 days</x:v>
      </x:c>
    </x:row>
    <x:row r="16">
      <x:c r="A16" s="252" t="str">
        <x:v>WS1-20260209-0011</x:v>
      </x:c>
      <x:c r="B16" s="253" t="str">
        <x:v>WS1</x:v>
      </x:c>
      <x:c r="C16" s="253" t="str">
        <x:v>MB8</x:v>
      </x:c>
      <x:c r="D16" s="259" t="n">
        <x:v>46062.166666666664</x:v>
      </x:c>
      <x:c r="E16" s="253" t="str">
        <x:v>1185060</x:v>
      </x:c>
      <x:c r="F16" s="253" t="str">
        <x:v>Mamunahmed</x:v>
      </x:c>
      <x:c r="G16" s="253" t="str">
        <x:v>Yes</x:v>
      </x:c>
      <x:c r="H16" s="253" t="str">
        <x:v>Sheena</x:v>
      </x:c>
      <x:c r="I16" s="268" t="str">
        <x:f>IFERROR(VLOOKUP(H16,'Handler-Team Map'!$A$7:$C$17,2,FALSE),"")</x:f>
      </x:c>
      <x:c r="J16" s="268" t="str">
        <x:f>IFERROR(VLOOKUP(H16,'Handler-Team Map'!$A$7:$C$17,3,FALSE),"")</x:f>
      </x:c>
      <x:c r="K16" s="274" t="str">
        <x:v>FT_VM_DEP600_GET200_5X</x:v>
      </x:c>
      <x:c r="L16" s="274" t="str">
        <x:v>FT_VM_DEP600_GET200_5X</x:v>
      </x:c>
      <x:c r="M16" s="274" t="str">
        <x:v>VM Bns - Dep600 Get200 - 5x TO</x:v>
      </x:c>
      <x:c r="N16" s="253" t="str">
        <x:v>Yes</x:v>
      </x:c>
      <x:c r="O16" s="253" t="str">
        <x:v>No</x:v>
      </x:c>
      <x:c r="P16" s="262"/>
      <x:c r="Q16" s="253" t="str"/>
      <x:c r="R16" s="265" t="n">
        <x:v>0</x:v>
      </x:c>
      <x:c r="S16" s="253" t="str">
        <x:v>Yes</x:v>
      </x:c>
      <x:c r="T16" s="265" t="n">
        <x:v>28814.12</x:v>
      </x:c>
      <x:c r="U16" s="253" t="str">
        <x:f>IF(AND(S16="Yes",T16=0),"Yes","No")</x:f>
        <x:v>No</x:v>
      </x:c>
      <x:c r="V16" s="259" t="n">
        <x:v>46062.166666666664</x:v>
      </x:c>
      <x:c r="W16" s="265" t="n">
        <x:v>200</x:v>
      </x:c>
      <x:c r="X16" s="265" t="n">
        <x:v>1840</x:v>
      </x:c>
      <x:c r="Y16" s="265" t="n">
        <x:v>2920.16</x:v>
      </x:c>
      <x:c r="Z16" s="253" t="str">
        <x:f>IF(AND(U16="Yes",X16&gt;0),"Yes","No")</x:f>
        <x:v>No</x:v>
      </x:c>
      <x:c r="AA16" s="253" t="str">
        <x:f>IF(AND(U16="Yes",Y16&gt;0),"Yes","No")</x:f>
        <x:v>No</x:v>
      </x:c>
      <x:c r="AB16" s="265" t="n">
        <x:v>1439.81</x:v>
      </x:c>
      <x:c r="AC16" s="265" t="n">
        <x:v>2169.21</x:v>
      </x:c>
      <x:c r="AD16" s="271" t="str"/>
      <x:c r="AE16" s="274" t="str">
        <x:v>Not validated - no control/holdout</x:v>
      </x:c>
      <x:c r="AF16" s="277" t="str">
        <x:v>No exact promo-code claim found within 14 days</x:v>
      </x:c>
    </x:row>
    <x:row r="17">
      <x:c r="A17" s="252" t="str">
        <x:v>WS1-20260209-0012</x:v>
      </x:c>
      <x:c r="B17" s="253" t="str">
        <x:v>WS1</x:v>
      </x:c>
      <x:c r="C17" s="253" t="str">
        <x:v>MB8</x:v>
      </x:c>
      <x:c r="D17" s="259" t="n">
        <x:v>46062.166666666664</x:v>
      </x:c>
      <x:c r="E17" s="253" t="str">
        <x:v>1200733</x:v>
      </x:c>
      <x:c r="F17" s="253" t="str">
        <x:v>Raymond8862</x:v>
      </x:c>
      <x:c r="G17" s="253" t="str">
        <x:v>Yes</x:v>
      </x:c>
      <x:c r="H17" s="253" t="str">
        <x:v>Sheena</x:v>
      </x:c>
      <x:c r="I17" s="268" t="str">
        <x:f>IFERROR(VLOOKUP(H17,'Handler-Team Map'!$A$7:$C$17,2,FALSE),"")</x:f>
      </x:c>
      <x:c r="J17" s="268" t="str">
        <x:f>IFERROR(VLOOKUP(H17,'Handler-Team Map'!$A$7:$C$17,3,FALSE),"")</x:f>
      </x:c>
      <x:c r="K17" s="274" t="str">
        <x:v>FT_VM_FC_VARIABLE_8X - MYR 388</x:v>
      </x:c>
      <x:c r="L17" s="274" t="str">
        <x:v>FT_VM_FC_VARIABLE_8X</x:v>
      </x:c>
      <x:c r="M17" s="274" t="str">
        <x:v>VM Bns - Free Credit - 8x TO</x:v>
      </x:c>
      <x:c r="N17" s="253" t="str">
        <x:v>Yes</x:v>
      </x:c>
      <x:c r="O17" s="253" t="str">
        <x:v>No</x:v>
      </x:c>
      <x:c r="P17" s="262"/>
      <x:c r="Q17" s="253" t="str"/>
      <x:c r="R17" s="265" t="n">
        <x:v>0</x:v>
      </x:c>
      <x:c r="S17" s="253" t="str">
        <x:v>Yes</x:v>
      </x:c>
      <x:c r="T17" s="265" t="n">
        <x:v>26590</x:v>
      </x:c>
      <x:c r="U17" s="253" t="str">
        <x:f>IF(AND(S17="Yes",T17=0),"Yes","No")</x:f>
        <x:v>No</x:v>
      </x:c>
      <x:c r="V17" s="259" t="n">
        <x:v>46065.166666666664</x:v>
      </x:c>
      <x:c r="W17" s="265" t="n">
        <x:v>1600</x:v>
      </x:c>
      <x:c r="X17" s="265" t="n">
        <x:v>15150</x:v>
      </x:c>
      <x:c r="Y17" s="265" t="n">
        <x:v>29625</x:v>
      </x:c>
      <x:c r="Z17" s="253" t="str">
        <x:f>IF(AND(U17="Yes",X17&gt;0),"Yes","No")</x:f>
        <x:v>No</x:v>
      </x:c>
      <x:c r="AA17" s="253" t="str">
        <x:f>IF(AND(U17="Yes",Y17&gt;0),"Yes","No")</x:f>
        <x:v>No</x:v>
      </x:c>
      <x:c r="AB17" s="265" t="n">
        <x:v>10910.369999999999</x:v>
      </x:c>
      <x:c r="AC17" s="265" t="n">
        <x:v>11883.78</x:v>
      </x:c>
      <x:c r="AD17" s="271" t="str"/>
      <x:c r="AE17" s="274" t="str">
        <x:v>Not validated - no control/holdout</x:v>
      </x:c>
      <x:c r="AF17" s="277" t="str">
        <x:v>No exact promo-code claim found within 14 days</x:v>
      </x:c>
    </x:row>
    <x:row r="18">
      <x:c r="A18" s="252" t="str">
        <x:v>WS1-20260219-0013</x:v>
      </x:c>
      <x:c r="B18" s="253" t="str">
        <x:v>WS1</x:v>
      </x:c>
      <x:c r="C18" s="253" t="str">
        <x:v>MB8</x:v>
      </x:c>
      <x:c r="D18" s="259" t="n">
        <x:v>46072.166666666664</x:v>
      </x:c>
      <x:c r="E18" s="253" t="str">
        <x:v>467438</x:v>
      </x:c>
      <x:c r="F18" s="253" t="str">
        <x:v>Soo33</x:v>
      </x:c>
      <x:c r="G18" s="253" t="str">
        <x:v>Yes</x:v>
      </x:c>
      <x:c r="H18" s="253" t="str">
        <x:v>Serene</x:v>
      </x:c>
      <x:c r="I18" s="268" t="str">
        <x:f>IFERROR(VLOOKUP(H18,'Handler-Team Map'!$A$7:$C$17,2,FALSE),"")</x:f>
      </x:c>
      <x:c r="J18" s="268" t="str">
        <x:f>IFERROR(VLOOKUP(H18,'Handler-Team Map'!$A$7:$C$17,3,FALSE),"")</x:f>
      </x:c>
      <x:c r="K18" s="274" t="str">
        <x:v>(MID) - VM_DEP600_GET200_5X</x:v>
      </x:c>
      <x:c r="L18" s="274" t="str">
        <x:v>FT_VM_DEP600_GET200_5X</x:v>
      </x:c>
      <x:c r="M18" s="274" t="str">
        <x:v>VM Bns - Dep600 Get200 - 5x TO</x:v>
      </x:c>
      <x:c r="N18" s="253" t="str">
        <x:v>Yes</x:v>
      </x:c>
      <x:c r="O18" s="253" t="str">
        <x:v>No</x:v>
      </x:c>
      <x:c r="P18" s="262"/>
      <x:c r="Q18" s="253" t="str"/>
      <x:c r="R18" s="265" t="n">
        <x:v>0</x:v>
      </x:c>
      <x:c r="S18" s="253" t="str">
        <x:v>Yes</x:v>
      </x:c>
      <x:c r="T18" s="265" t="n">
        <x:v>5853</x:v>
      </x:c>
      <x:c r="U18" s="253" t="str">
        <x:f>IF(AND(S18="Yes",T18=0),"Yes","No")</x:f>
        <x:v>No</x:v>
      </x:c>
      <x:c r="V18" s="259" t="n">
        <x:v>46073.166666666664</x:v>
      </x:c>
      <x:c r="W18" s="265" t="n">
        <x:v>700</x:v>
      </x:c>
      <x:c r="X18" s="265" t="n">
        <x:v>2300</x:v>
      </x:c>
      <x:c r="Y18" s="265" t="n">
        <x:v>5500</x:v>
      </x:c>
      <x:c r="Z18" s="253" t="str">
        <x:f>IF(AND(U18="Yes",X18&gt;0),"Yes","No")</x:f>
        <x:v>No</x:v>
      </x:c>
      <x:c r="AA18" s="253" t="str">
        <x:f>IF(AND(U18="Yes",Y18&gt;0),"Yes","No")</x:f>
        <x:v>No</x:v>
      </x:c>
      <x:c r="AB18" s="265" t="n">
        <x:v>663.8000000000003</x:v>
      </x:c>
      <x:c r="AC18" s="265" t="n">
        <x:v>1513.5499999999993</x:v>
      </x:c>
      <x:c r="AD18" s="271" t="str"/>
      <x:c r="AE18" s="274" t="str">
        <x:v>Not validated - no control/holdout</x:v>
      </x:c>
      <x:c r="AF18" s="277" t="str">
        <x:v>No exact promo-code claim found within 14 days</x:v>
      </x:c>
    </x:row>
    <x:row r="19">
      <x:c r="A19" s="252" t="str">
        <x:v>WS1-20260219-0014</x:v>
      </x:c>
      <x:c r="B19" s="253" t="str">
        <x:v>WS1</x:v>
      </x:c>
      <x:c r="C19" s="253" t="str">
        <x:v>MB8</x:v>
      </x:c>
      <x:c r="D19" s="259" t="n">
        <x:v>46072.166666666664</x:v>
      </x:c>
      <x:c r="E19" s="253" t="str">
        <x:v>237809</x:v>
      </x:c>
      <x:c r="F19" s="253" t="str">
        <x:v>Senz27</x:v>
      </x:c>
      <x:c r="G19" s="253" t="str">
        <x:v>Yes</x:v>
      </x:c>
      <x:c r="H19" s="253" t="str">
        <x:v>Serene</x:v>
      </x:c>
      <x:c r="I19" s="268" t="str">
        <x:f>IFERROR(VLOOKUP(H19,'Handler-Team Map'!$A$7:$C$17,2,FALSE),"")</x:f>
      </x:c>
      <x:c r="J19" s="268" t="str">
        <x:f>IFERROR(VLOOKUP(H19,'Handler-Team Map'!$A$7:$C$17,3,FALSE),"")</x:f>
      </x:c>
      <x:c r="K19" s="274" t="str">
        <x:v>FT_VM_DEP600_GET200_5X</x:v>
      </x:c>
      <x:c r="L19" s="274" t="str">
        <x:v>FT_VM_DEP600_GET200_5X</x:v>
      </x:c>
      <x:c r="M19" s="274" t="str">
        <x:v>VM Bns - Dep600 Get200 - 5x TO</x:v>
      </x:c>
      <x:c r="N19" s="253" t="str">
        <x:v>Yes</x:v>
      </x:c>
      <x:c r="O19" s="253" t="str">
        <x:v>No</x:v>
      </x:c>
      <x:c r="P19" s="262"/>
      <x:c r="Q19" s="253" t="str"/>
      <x:c r="R19" s="265" t="n">
        <x:v>0</x:v>
      </x:c>
      <x:c r="S19" s="253" t="str">
        <x:v>Yes</x:v>
      </x:c>
      <x:c r="T19" s="265" t="n">
        <x:v>10311.09</x:v>
      </x:c>
      <x:c r="U19" s="253" t="str">
        <x:f>IF(AND(S19="Yes",T19=0),"Yes","No")</x:f>
        <x:v>No</x:v>
      </x:c>
      <x:c r="V19" s="259" t="n">
        <x:v>46072.166666666664</x:v>
      </x:c>
      <x:c r="W19" s="265" t="n">
        <x:v>200</x:v>
      </x:c>
      <x:c r="X19" s="265" t="n">
        <x:v>1764.93</x:v>
      </x:c>
      <x:c r="Y19" s="265" t="n">
        <x:v>1764.93</x:v>
      </x:c>
      <x:c r="Z19" s="253" t="str">
        <x:f>IF(AND(U19="Yes",X19&gt;0),"Yes","No")</x:f>
        <x:v>No</x:v>
      </x:c>
      <x:c r="AA19" s="253" t="str">
        <x:f>IF(AND(U19="Yes",Y19&gt;0),"Yes","No")</x:f>
        <x:v>No</x:v>
      </x:c>
      <x:c r="AB19" s="265" t="n">
        <x:v>664.47</x:v>
      </x:c>
      <x:c r="AC19" s="265" t="n">
        <x:v>664.47</x:v>
      </x:c>
      <x:c r="AD19" s="271" t="str"/>
      <x:c r="AE19" s="274" t="str">
        <x:v>Not validated - no control/holdout</x:v>
      </x:c>
      <x:c r="AF19" s="277" t="str">
        <x:v>No exact promo-code claim found within 14 days</x:v>
      </x:c>
    </x:row>
    <x:row r="20">
      <x:c r="A20" s="252" t="str">
        <x:v>WS1-20260219-0015</x:v>
      </x:c>
      <x:c r="B20" s="253" t="str">
        <x:v>WS1</x:v>
      </x:c>
      <x:c r="C20" s="253" t="str">
        <x:v>MB8</x:v>
      </x:c>
      <x:c r="D20" s="259" t="n">
        <x:v>46072.166666666664</x:v>
      </x:c>
      <x:c r="E20" s="253" t="str">
        <x:v>691221</x:v>
      </x:c>
      <x:c r="F20" s="253" t="str">
        <x:v>skychin</x:v>
      </x:c>
      <x:c r="G20" s="253" t="str">
        <x:v>Yes</x:v>
      </x:c>
      <x:c r="H20" s="253" t="str">
        <x:v>Serene</x:v>
      </x:c>
      <x:c r="I20" s="268" t="str">
        <x:f>IFERROR(VLOOKUP(H20,'Handler-Team Map'!$A$7:$C$17,2,FALSE),"")</x:f>
      </x:c>
      <x:c r="J20" s="268" t="str">
        <x:f>IFERROR(VLOOKUP(H20,'Handler-Team Map'!$A$7:$C$17,3,FALSE),"")</x:f>
      </x:c>
      <x:c r="K20" s="274" t="str">
        <x:v>FT_VM_DEP800_GET400_2X</x:v>
      </x:c>
      <x:c r="L20" s="274" t="str">
        <x:v>FT_VM_DEP800_GET400_2X</x:v>
      </x:c>
      <x:c r="M20" s="274" t="str">
        <x:v>VM Bns - Dep800 Get400 - 2x TO</x:v>
      </x:c>
      <x:c r="N20" s="253" t="str">
        <x:v>Yes</x:v>
      </x:c>
      <x:c r="O20" s="253" t="str">
        <x:v>No</x:v>
      </x:c>
      <x:c r="P20" s="262"/>
      <x:c r="Q20" s="253" t="str"/>
      <x:c r="R20" s="265" t="n">
        <x:v>0</x:v>
      </x:c>
      <x:c r="S20" s="253" t="str">
        <x:v>Yes</x:v>
      </x:c>
      <x:c r="T20" s="265" t="n">
        <x:v>13535</x:v>
      </x:c>
      <x:c r="U20" s="253" t="str">
        <x:f>IF(AND(S20="Yes",T20=0),"Yes","No")</x:f>
        <x:v>No</x:v>
      </x:c>
      <x:c r="V20" s="259" t="n">
        <x:v>46072.166666666664</x:v>
      </x:c>
      <x:c r="W20" s="265" t="n">
        <x:v>420</x:v>
      </x:c>
      <x:c r="X20" s="265" t="n">
        <x:v>2820</x:v>
      </x:c>
      <x:c r="Y20" s="265" t="n">
        <x:v>6120</x:v>
      </x:c>
      <x:c r="Z20" s="253" t="str">
        <x:f>IF(AND(U20="Yes",X20&gt;0),"Yes","No")</x:f>
        <x:v>No</x:v>
      </x:c>
      <x:c r="AA20" s="253" t="str">
        <x:f>IF(AND(U20="Yes",Y20&gt;0),"Yes","No")</x:f>
        <x:v>No</x:v>
      </x:c>
      <x:c r="AB20" s="265" t="n">
        <x:v>-333.4799999999999</x:v>
      </x:c>
      <x:c r="AC20" s="265" t="n">
        <x:v>692.78</x:v>
      </x:c>
      <x:c r="AD20" s="271" t="str"/>
      <x:c r="AE20" s="274" t="str">
        <x:v>Not validated - no control/holdout</x:v>
      </x:c>
      <x:c r="AF20" s="277" t="str">
        <x:v>No exact promo-code claim found within 14 days</x:v>
      </x:c>
    </x:row>
    <x:row r="21">
      <x:c r="A21" s="252" t="str">
        <x:v>WS1-20260224-0016</x:v>
      </x:c>
      <x:c r="B21" s="253" t="str">
        <x:v>WS1</x:v>
      </x:c>
      <x:c r="C21" s="253" t="str">
        <x:v>MB8</x:v>
      </x:c>
      <x:c r="D21" s="259" t="n">
        <x:v>46077.166666666664</x:v>
      </x:c>
      <x:c r="E21" s="253" t="str">
        <x:v>176403</x:v>
      </x:c>
      <x:c r="F21" s="253" t="str">
        <x:v>dmandy</x:v>
      </x:c>
      <x:c r="G21" s="253" t="str">
        <x:v>Yes</x:v>
      </x:c>
      <x:c r="H21" s="253" t="str">
        <x:v>Serene</x:v>
      </x:c>
      <x:c r="I21" s="268" t="str">
        <x:f>IFERROR(VLOOKUP(H21,'Handler-Team Map'!$A$7:$C$17,2,FALSE),"")</x:f>
      </x:c>
      <x:c r="J21" s="268" t="str">
        <x:f>IFERROR(VLOOKUP(H21,'Handler-Team Map'!$A$7:$C$17,3,FALSE),"")</x:f>
      </x:c>
      <x:c r="K21" s="274" t="str">
        <x:v>FT_VM_DEP1000_GET800_1X</x:v>
      </x:c>
      <x:c r="L21" s="274" t="str">
        <x:v>FT_VM_DEP1000_GET800_1X</x:v>
      </x:c>
      <x:c r="M21" s="274" t="str">
        <x:v>VM Bns - Dep1000 Get800 - 1x TO</x:v>
      </x:c>
      <x:c r="N21" s="253" t="str">
        <x:v>Yes</x:v>
      </x:c>
      <x:c r="O21" s="253" t="str">
        <x:v>No</x:v>
      </x:c>
      <x:c r="P21" s="262"/>
      <x:c r="Q21" s="253" t="str"/>
      <x:c r="R21" s="265" t="n">
        <x:v>0</x:v>
      </x:c>
      <x:c r="S21" s="253" t="str">
        <x:v>Yes</x:v>
      </x:c>
      <x:c r="T21" s="265" t="n">
        <x:v>140</x:v>
      </x:c>
      <x:c r="U21" s="253" t="str">
        <x:f>IF(AND(S21="Yes",T21=0),"Yes","No")</x:f>
        <x:v>No</x:v>
      </x:c>
      <x:c r="V21" s="259" t="n">
        <x:v>46078.166666666664</x:v>
      </x:c>
      <x:c r="W21" s="265" t="n">
        <x:v>1500</x:v>
      </x:c>
      <x:c r="X21" s="265" t="n">
        <x:v>1500</x:v>
      </x:c>
      <x:c r="Y21" s="265" t="n">
        <x:v>1500</x:v>
      </x:c>
      <x:c r="Z21" s="253" t="str">
        <x:f>IF(AND(U21="Yes",X21&gt;0),"Yes","No")</x:f>
        <x:v>No</x:v>
      </x:c>
      <x:c r="AA21" s="253" t="str">
        <x:f>IF(AND(U21="Yes",Y21&gt;0),"Yes","No")</x:f>
        <x:v>No</x:v>
      </x:c>
      <x:c r="AB21" s="265" t="n">
        <x:v>1500.6399999999999</x:v>
      </x:c>
      <x:c r="AC21" s="265" t="n">
        <x:v>1500.6399999999999</x:v>
      </x:c>
      <x:c r="AD21" s="271" t="str"/>
      <x:c r="AE21" s="274" t="str">
        <x:v>Not validated - no control/holdout</x:v>
      </x:c>
      <x:c r="AF21" s="277" t="str">
        <x:v>No exact promo-code claim found within 14 days</x:v>
      </x:c>
    </x:row>
    <x:row r="22">
      <x:c r="A22" s="252" t="str">
        <x:v>WS1-20260224-0017</x:v>
      </x:c>
      <x:c r="B22" s="253" t="str">
        <x:v>WS1</x:v>
      </x:c>
      <x:c r="C22" s="253" t="str">
        <x:v>MB8</x:v>
      </x:c>
      <x:c r="D22" s="259" t="n">
        <x:v>46077.166666666664</x:v>
      </x:c>
      <x:c r="E22" s="253" t="str">
        <x:v>35107</x:v>
      </x:c>
      <x:c r="F22" s="253" t="str">
        <x:v>Wendylee12</x:v>
      </x:c>
      <x:c r="G22" s="253" t="str">
        <x:v>Yes</x:v>
      </x:c>
      <x:c r="H22" s="253" t="str">
        <x:v>Serene</x:v>
      </x:c>
      <x:c r="I22" s="268" t="str">
        <x:f>IFERROR(VLOOKUP(H22,'Handler-Team Map'!$A$7:$C$17,2,FALSE),"")</x:f>
      </x:c>
      <x:c r="J22" s="268" t="str">
        <x:f>IFERROR(VLOOKUP(H22,'Handler-Team Map'!$A$7:$C$17,3,FALSE),"")</x:f>
      </x:c>
      <x:c r="K22" s="274" t="str">
        <x:v>FT_VM_DEP800_GET400_2X</x:v>
      </x:c>
      <x:c r="L22" s="274" t="str">
        <x:v>FT_VM_DEP800_GET400_2X</x:v>
      </x:c>
      <x:c r="M22" s="274" t="str">
        <x:v>VM Bns - Dep800 Get400 - 2x TO</x:v>
      </x:c>
      <x:c r="N22" s="253" t="str">
        <x:v>Yes</x:v>
      </x:c>
      <x:c r="O22" s="253" t="str">
        <x:v>No</x:v>
      </x:c>
      <x:c r="P22" s="262"/>
      <x:c r="Q22" s="253" t="str"/>
      <x:c r="R22" s="265" t="n">
        <x:v>0</x:v>
      </x:c>
      <x:c r="S22" s="253" t="str">
        <x:v>Yes</x:v>
      </x:c>
      <x:c r="T22" s="265" t="n">
        <x:v>4050</x:v>
      </x:c>
      <x:c r="U22" s="253" t="str">
        <x:f>IF(AND(S22="Yes",T22=0),"Yes","No")</x:f>
        <x:v>No</x:v>
      </x:c>
      <x:c r="V22" s="259" t="n">
        <x:v>46080.166666666664</x:v>
      </x:c>
      <x:c r="W22" s="265" t="n">
        <x:v>300</x:v>
      </x:c>
      <x:c r="X22" s="265" t="n">
        <x:v>300</x:v>
      </x:c>
      <x:c r="Y22" s="265" t="n">
        <x:v>1800</x:v>
      </x:c>
      <x:c r="Z22" s="253" t="str">
        <x:f>IF(AND(U22="Yes",X22&gt;0),"Yes","No")</x:f>
        <x:v>No</x:v>
      </x:c>
      <x:c r="AA22" s="253" t="str">
        <x:f>IF(AND(U22="Yes",Y22&gt;0),"Yes","No")</x:f>
        <x:v>No</x:v>
      </x:c>
      <x:c r="AB22" s="265" t="n">
        <x:v>299.97</x:v>
      </x:c>
      <x:c r="AC22" s="265" t="n">
        <x:v>861.2300000000001</x:v>
      </x:c>
      <x:c r="AD22" s="271" t="str"/>
      <x:c r="AE22" s="274" t="str">
        <x:v>Not validated - no control/holdout</x:v>
      </x:c>
      <x:c r="AF22" s="277" t="str">
        <x:v>No exact promo-code claim found within 14 days</x:v>
      </x:c>
    </x:row>
    <x:row r="23">
      <x:c r="A23" s="252" t="str">
        <x:v>WS1-20260224-0018</x:v>
      </x:c>
      <x:c r="B23" s="253" t="str">
        <x:v>WS1</x:v>
      </x:c>
      <x:c r="C23" s="253" t="str">
        <x:v>MB8</x:v>
      </x:c>
      <x:c r="D23" s="259" t="n">
        <x:v>46077.166666666664</x:v>
      </x:c>
      <x:c r="E23" s="253" t="str">
        <x:v>24953</x:v>
      </x:c>
      <x:c r="F23" s="253" t="str">
        <x:v>Jerrychai</x:v>
      </x:c>
      <x:c r="G23" s="253" t="str">
        <x:v>Yes</x:v>
      </x:c>
      <x:c r="H23" s="253" t="str">
        <x:v>Serene</x:v>
      </x:c>
      <x:c r="I23" s="268" t="str">
        <x:f>IFERROR(VLOOKUP(H23,'Handler-Team Map'!$A$7:$C$17,2,FALSE),"")</x:f>
      </x:c>
      <x:c r="J23" s="268" t="str">
        <x:f>IFERROR(VLOOKUP(H23,'Handler-Team Map'!$A$7:$C$17,3,FALSE),"")</x:f>
      </x:c>
      <x:c r="K23" s="274" t="str">
        <x:v>FT_VM_FC_VARIABLE_5X - MYR 588</x:v>
      </x:c>
      <x:c r="L23" s="274" t="str">
        <x:v>FT_VM_FC_VARIABLE_5X</x:v>
      </x:c>
      <x:c r="M23" s="274" t="str">
        <x:v>VM Bns - Free Credit - 5x TO</x:v>
      </x:c>
      <x:c r="N23" s="253" t="str">
        <x:v>Yes</x:v>
      </x:c>
      <x:c r="O23" s="253" t="str">
        <x:v>No</x:v>
      </x:c>
      <x:c r="P23" s="262"/>
      <x:c r="Q23" s="253" t="str"/>
      <x:c r="R23" s="265" t="n">
        <x:v>0</x:v>
      </x:c>
      <x:c r="S23" s="253" t="str">
        <x:v>Yes</x:v>
      </x:c>
      <x:c r="T23" s="265" t="n">
        <x:v>100</x:v>
      </x:c>
      <x:c r="U23" s="253" t="str">
        <x:f>IF(AND(S23="Yes",T23=0),"Yes","No")</x:f>
        <x:v>No</x:v>
      </x:c>
      <x:c r="V23" s="259"/>
      <x:c r="W23" s="265" t="n">
        <x:v>0</x:v>
      </x:c>
      <x:c r="X23" s="265" t="n">
        <x:v>0</x:v>
      </x:c>
      <x:c r="Y23" s="265" t="n">
        <x:v>0</x:v>
      </x:c>
      <x:c r="Z23" s="253" t="str">
        <x:f>IF(AND(U23="Yes",X23&gt;0),"Yes","No")</x:f>
        <x:v>No</x:v>
      </x:c>
      <x:c r="AA23" s="253" t="str">
        <x:f>IF(AND(U23="Yes",Y23&gt;0),"Yes","No")</x:f>
        <x:v>No</x:v>
      </x:c>
      <x:c r="AB23" s="265" t="n">
        <x:v>0</x:v>
      </x:c>
      <x:c r="AC23" s="265" t="n">
        <x:v>0</x:v>
      </x:c>
      <x:c r="AD23" s="271" t="str"/>
      <x:c r="AE23" s="274" t="str">
        <x:v>Not validated - no control/holdout</x:v>
      </x:c>
      <x:c r="AF23" s="277" t="str">
        <x:v>No exact promo-code claim found within 14 days</x:v>
      </x:c>
    </x:row>
    <x:row r="24">
      <x:c r="A24" s="252" t="str">
        <x:v>WS1-20260224-0019</x:v>
      </x:c>
      <x:c r="B24" s="253" t="str">
        <x:v>WS1</x:v>
      </x:c>
      <x:c r="C24" s="253" t="str">
        <x:v>MB8</x:v>
      </x:c>
      <x:c r="D24" s="259" t="n">
        <x:v>46077.166666666664</x:v>
      </x:c>
      <x:c r="E24" s="253" t="str">
        <x:v>1049844</x:v>
      </x:c>
      <x:c r="F24" s="253" t="str">
        <x:v>ericlee5237</x:v>
      </x:c>
      <x:c r="G24" s="253" t="str">
        <x:v>Yes</x:v>
      </x:c>
      <x:c r="H24" s="253" t="str">
        <x:v>Serene</x:v>
      </x:c>
      <x:c r="I24" s="268" t="str">
        <x:f>IFERROR(VLOOKUP(H24,'Handler-Team Map'!$A$7:$C$17,2,FALSE),"")</x:f>
      </x:c>
      <x:c r="J24" s="268" t="str">
        <x:f>IFERROR(VLOOKUP(H24,'Handler-Team Map'!$A$7:$C$17,3,FALSE),"")</x:f>
      </x:c>
      <x:c r="K24" s="274" t="str">
        <x:v>FT_VM_DEP1000_GET500_1X</x:v>
      </x:c>
      <x:c r="L24" s="274" t="str">
        <x:v>FT_VM_DEP1000_GET500_1X</x:v>
      </x:c>
      <x:c r="M24" s="274" t="str">
        <x:v>VM Bns - Dep1000 Get500 - 1x TO</x:v>
      </x:c>
      <x:c r="N24" s="253" t="str">
        <x:v>Yes</x:v>
      </x:c>
      <x:c r="O24" s="253" t="str">
        <x:v>No</x:v>
      </x:c>
      <x:c r="P24" s="262"/>
      <x:c r="Q24" s="253" t="str"/>
      <x:c r="R24" s="265" t="n">
        <x:v>0</x:v>
      </x:c>
      <x:c r="S24" s="253" t="str">
        <x:v>Yes</x:v>
      </x:c>
      <x:c r="T24" s="265" t="n">
        <x:v>3300</x:v>
      </x:c>
      <x:c r="U24" s="253" t="str">
        <x:f>IF(AND(S24="Yes",T24=0),"Yes","No")</x:f>
        <x:v>No</x:v>
      </x:c>
      <x:c r="V24" s="259"/>
      <x:c r="W24" s="265" t="n">
        <x:v>0</x:v>
      </x:c>
      <x:c r="X24" s="265" t="n">
        <x:v>0</x:v>
      </x:c>
      <x:c r="Y24" s="265" t="n">
        <x:v>0</x:v>
      </x:c>
      <x:c r="Z24" s="253" t="str">
        <x:f>IF(AND(U24="Yes",X24&gt;0),"Yes","No")</x:f>
        <x:v>No</x:v>
      </x:c>
      <x:c r="AA24" s="253" t="str">
        <x:f>IF(AND(U24="Yes",Y24&gt;0),"Yes","No")</x:f>
        <x:v>No</x:v>
      </x:c>
      <x:c r="AB24" s="265" t="n">
        <x:v>22.91</x:v>
      </x:c>
      <x:c r="AC24" s="265" t="n">
        <x:v>22.91</x:v>
      </x:c>
      <x:c r="AD24" s="271" t="str"/>
      <x:c r="AE24" s="274" t="str">
        <x:v>Not validated - no control/holdout</x:v>
      </x:c>
      <x:c r="AF24" s="277" t="str">
        <x:v>No exact promo-code claim found within 14 days</x:v>
      </x:c>
    </x:row>
    <x:row r="25">
      <x:c r="A25" s="252" t="str">
        <x:v>WS1-20260224-0020</x:v>
      </x:c>
      <x:c r="B25" s="253" t="str">
        <x:v>WS1</x:v>
      </x:c>
      <x:c r="C25" s="253" t="str">
        <x:v>MB8</x:v>
      </x:c>
      <x:c r="D25" s="259" t="n">
        <x:v>46077.166666666664</x:v>
      </x:c>
      <x:c r="E25" s="253" t="str">
        <x:v>423052</x:v>
      </x:c>
      <x:c r="F25" s="253" t="str">
        <x:v>Lancaumax77</x:v>
      </x:c>
      <x:c r="G25" s="253" t="str">
        <x:v>Yes</x:v>
      </x:c>
      <x:c r="H25" s="253" t="str">
        <x:v>Serene</x:v>
      </x:c>
      <x:c r="I25" s="268" t="str">
        <x:f>IFERROR(VLOOKUP(H25,'Handler-Team Map'!$A$7:$C$17,2,FALSE),"")</x:f>
      </x:c>
      <x:c r="J25" s="268" t="str">
        <x:f>IFERROR(VLOOKUP(H25,'Handler-Team Map'!$A$7:$C$17,3,FALSE),"")</x:f>
      </x:c>
      <x:c r="K25" s="274" t="str">
        <x:v>FT_VM_DEP1000_GET500_5X</x:v>
      </x:c>
      <x:c r="L25" s="274" t="str">
        <x:v>FT_VM_DEP1000_GET500_5X</x:v>
      </x:c>
      <x:c r="M25" s="274" t="str">
        <x:v>VM Bns - Dep1000 Get500 - 5x TO</x:v>
      </x:c>
      <x:c r="N25" s="253" t="str">
        <x:v>Yes</x:v>
      </x:c>
      <x:c r="O25" s="253" t="str">
        <x:v>No</x:v>
      </x:c>
      <x:c r="P25" s="262"/>
      <x:c r="Q25" s="253" t="str"/>
      <x:c r="R25" s="265" t="n">
        <x:v>0</x:v>
      </x:c>
      <x:c r="S25" s="253" t="str">
        <x:v>Yes</x:v>
      </x:c>
      <x:c r="T25" s="265" t="n">
        <x:v>120</x:v>
      </x:c>
      <x:c r="U25" s="253" t="str">
        <x:f>IF(AND(S25="Yes",T25=0),"Yes","No")</x:f>
        <x:v>No</x:v>
      </x:c>
      <x:c r="V25" s="259"/>
      <x:c r="W25" s="265" t="n">
        <x:v>0</x:v>
      </x:c>
      <x:c r="X25" s="265" t="n">
        <x:v>0</x:v>
      </x:c>
      <x:c r="Y25" s="265" t="n">
        <x:v>0</x:v>
      </x:c>
      <x:c r="Z25" s="253" t="str">
        <x:f>IF(AND(U25="Yes",X25&gt;0),"Yes","No")</x:f>
        <x:v>No</x:v>
      </x:c>
      <x:c r="AA25" s="253" t="str">
        <x:f>IF(AND(U25="Yes",Y25&gt;0),"Yes","No")</x:f>
        <x:v>No</x:v>
      </x:c>
      <x:c r="AB25" s="265" t="n">
        <x:v>0</x:v>
      </x:c>
      <x:c r="AC25" s="265" t="n">
        <x:v>0</x:v>
      </x:c>
      <x:c r="AD25" s="271" t="str"/>
      <x:c r="AE25" s="274" t="str">
        <x:v>Not validated - no control/holdout</x:v>
      </x:c>
      <x:c r="AF25" s="277" t="str">
        <x:v>No exact promo-code claim found within 14 days</x:v>
      </x:c>
    </x:row>
    <x:row r="26">
      <x:c r="A26" s="252" t="str">
        <x:v>WS1-20260224-0021</x:v>
      </x:c>
      <x:c r="B26" s="253" t="str">
        <x:v>WS1</x:v>
      </x:c>
      <x:c r="C26" s="253" t="str">
        <x:v>MB8</x:v>
      </x:c>
      <x:c r="D26" s="259" t="n">
        <x:v>46077.166666666664</x:v>
      </x:c>
      <x:c r="E26" s="253" t="str">
        <x:v>848260</x:v>
      </x:c>
      <x:c r="F26" s="253" t="str">
        <x:v>al6552</x:v>
      </x:c>
      <x:c r="G26" s="253" t="str">
        <x:v>Yes</x:v>
      </x:c>
      <x:c r="H26" s="253" t="str">
        <x:v>Serene</x:v>
      </x:c>
      <x:c r="I26" s="268" t="str">
        <x:f>IFERROR(VLOOKUP(H26,'Handler-Team Map'!$A$7:$C$17,2,FALSE),"")</x:f>
      </x:c>
      <x:c r="J26" s="268" t="str">
        <x:f>IFERROR(VLOOKUP(H26,'Handler-Team Map'!$A$7:$C$17,3,FALSE),"")</x:f>
      </x:c>
      <x:c r="K26" s="274" t="str">
        <x:v>FT_VM_DEP700_GET300_2X</x:v>
      </x:c>
      <x:c r="L26" s="274" t="str">
        <x:v>FT_VM_DEP700_GET300_2X</x:v>
      </x:c>
      <x:c r="M26" s="274" t="str">
        <x:v>VM Bns - Dep700 Get300 - 2x TO</x:v>
      </x:c>
      <x:c r="N26" s="253" t="str">
        <x:v>Yes</x:v>
      </x:c>
      <x:c r="O26" s="253" t="str">
        <x:v>No</x:v>
      </x:c>
      <x:c r="P26" s="262"/>
      <x:c r="Q26" s="253" t="str"/>
      <x:c r="R26" s="265" t="n">
        <x:v>0</x:v>
      </x:c>
      <x:c r="S26" s="253" t="str">
        <x:v>Yes</x:v>
      </x:c>
      <x:c r="T26" s="265" t="n">
        <x:v>5170</x:v>
      </x:c>
      <x:c r="U26" s="253" t="str">
        <x:f>IF(AND(S26="Yes",T26=0),"Yes","No")</x:f>
        <x:v>No</x:v>
      </x:c>
      <x:c r="V26" s="259" t="n">
        <x:v>46078.166666666664</x:v>
      </x:c>
      <x:c r="W26" s="265" t="n">
        <x:v>300</x:v>
      </x:c>
      <x:c r="X26" s="265" t="n">
        <x:v>300</x:v>
      </x:c>
      <x:c r="Y26" s="265" t="n">
        <x:v>1100</x:v>
      </x:c>
      <x:c r="Z26" s="253" t="str">
        <x:f>IF(AND(U26="Yes",X26&gt;0),"Yes","No")</x:f>
        <x:v>No</x:v>
      </x:c>
      <x:c r="AA26" s="253" t="str">
        <x:f>IF(AND(U26="Yes",Y26&gt;0),"Yes","No")</x:f>
        <x:v>No</x:v>
      </x:c>
      <x:c r="AB26" s="265" t="n">
        <x:v>299.84999999999997</x:v>
      </x:c>
      <x:c r="AC26" s="265" t="n">
        <x:v>447.23999999999995</x:v>
      </x:c>
      <x:c r="AD26" s="271" t="str"/>
      <x:c r="AE26" s="274" t="str">
        <x:v>Not validated - no control/holdout</x:v>
      </x:c>
      <x:c r="AF26" s="277" t="str">
        <x:v>No exact promo-code claim found within 14 days</x:v>
      </x:c>
    </x:row>
    <x:row r="27">
      <x:c r="A27" s="252" t="str">
        <x:v>WS1-20260224-0022</x:v>
      </x:c>
      <x:c r="B27" s="253" t="str">
        <x:v>WS1</x:v>
      </x:c>
      <x:c r="C27" s="253" t="str">
        <x:v>MB8</x:v>
      </x:c>
      <x:c r="D27" s="259" t="n">
        <x:v>46077.166666666664</x:v>
      </x:c>
      <x:c r="E27" s="253" t="str">
        <x:v>381189</x:v>
      </x:c>
      <x:c r="F27" s="253" t="str">
        <x:v>6666mm</x:v>
      </x:c>
      <x:c r="G27" s="253" t="str">
        <x:v>Yes</x:v>
      </x:c>
      <x:c r="H27" s="253" t="str">
        <x:v>Serene</x:v>
      </x:c>
      <x:c r="I27" s="268" t="str">
        <x:f>IFERROR(VLOOKUP(H27,'Handler-Team Map'!$A$7:$C$17,2,FALSE),"")</x:f>
      </x:c>
      <x:c r="J27" s="268" t="str">
        <x:f>IFERROR(VLOOKUP(H27,'Handler-Team Map'!$A$7:$C$17,3,FALSE),"")</x:f>
      </x:c>
      <x:c r="K27" s="274" t="str">
        <x:v>FT_VM_FC_VARIABLE_5X - MYR 1088</x:v>
      </x:c>
      <x:c r="L27" s="274" t="str">
        <x:v>FT_VM_FC_VARIABLE_5X</x:v>
      </x:c>
      <x:c r="M27" s="274" t="str">
        <x:v>VM Bns - Free Credit - 5x TO</x:v>
      </x:c>
      <x:c r="N27" s="253" t="str">
        <x:v>Yes</x:v>
      </x:c>
      <x:c r="O27" s="253" t="str">
        <x:v>No</x:v>
      </x:c>
      <x:c r="P27" s="262"/>
      <x:c r="Q27" s="253" t="str"/>
      <x:c r="R27" s="265" t="n">
        <x:v>0</x:v>
      </x:c>
      <x:c r="S27" s="253" t="str">
        <x:v>Yes</x:v>
      </x:c>
      <x:c r="T27" s="265" t="n">
        <x:v>200</x:v>
      </x:c>
      <x:c r="U27" s="253" t="str">
        <x:f>IF(AND(S27="Yes",T27=0),"Yes","No")</x:f>
        <x:v>No</x:v>
      </x:c>
      <x:c r="V27" s="259"/>
      <x:c r="W27" s="265" t="n">
        <x:v>0</x:v>
      </x:c>
      <x:c r="X27" s="265" t="n">
        <x:v>0</x:v>
      </x:c>
      <x:c r="Y27" s="265" t="n">
        <x:v>0</x:v>
      </x:c>
      <x:c r="Z27" s="253" t="str">
        <x:f>IF(AND(U27="Yes",X27&gt;0),"Yes","No")</x:f>
        <x:v>No</x:v>
      </x:c>
      <x:c r="AA27" s="253" t="str">
        <x:f>IF(AND(U27="Yes",Y27&gt;0),"Yes","No")</x:f>
        <x:v>No</x:v>
      </x:c>
      <x:c r="AB27" s="265" t="n">
        <x:v>0</x:v>
      </x:c>
      <x:c r="AC27" s="265" t="n">
        <x:v>-0.36</x:v>
      </x:c>
      <x:c r="AD27" s="271" t="str"/>
      <x:c r="AE27" s="274" t="str">
        <x:v>Not validated - no control/holdout</x:v>
      </x:c>
      <x:c r="AF27" s="277" t="str">
        <x:v>No exact promo-code claim found within 14 days</x:v>
      </x:c>
    </x:row>
    <x:row r="28">
      <x:c r="A28" s="252" t="str">
        <x:v>WS1-20260224-0023</x:v>
      </x:c>
      <x:c r="B28" s="253" t="str">
        <x:v>WS1</x:v>
      </x:c>
      <x:c r="C28" s="253" t="str">
        <x:v>MB8</x:v>
      </x:c>
      <x:c r="D28" s="259" t="n">
        <x:v>46077.166666666664</x:v>
      </x:c>
      <x:c r="E28" s="253" t="str">
        <x:v>580281</x:v>
      </x:c>
      <x:c r="F28" s="253" t="str">
        <x:v>Badmintonhaha</x:v>
      </x:c>
      <x:c r="G28" s="253" t="str">
        <x:v>Yes</x:v>
      </x:c>
      <x:c r="H28" s="253" t="str">
        <x:v>Serene</x:v>
      </x:c>
      <x:c r="I28" s="268" t="str">
        <x:f>IFERROR(VLOOKUP(H28,'Handler-Team Map'!$A$7:$C$17,2,FALSE),"")</x:f>
      </x:c>
      <x:c r="J28" s="268" t="str">
        <x:f>IFERROR(VLOOKUP(H28,'Handler-Team Map'!$A$7:$C$17,3,FALSE),"")</x:f>
      </x:c>
      <x:c r="K28" s="274" t="str">
        <x:v>FT_VM_FC_VARIABLE_5X - MYR 1088</x:v>
      </x:c>
      <x:c r="L28" s="274" t="str">
        <x:v>FT_VM_FC_VARIABLE_5X</x:v>
      </x:c>
      <x:c r="M28" s="274" t="str">
        <x:v>VM Bns - Free Credit - 5x TO</x:v>
      </x:c>
      <x:c r="N28" s="253" t="str">
        <x:v>Yes</x:v>
      </x:c>
      <x:c r="O28" s="253" t="str">
        <x:v>No</x:v>
      </x:c>
      <x:c r="P28" s="262"/>
      <x:c r="Q28" s="253" t="str"/>
      <x:c r="R28" s="265" t="n">
        <x:v>0</x:v>
      </x:c>
      <x:c r="S28" s="253" t="str">
        <x:v>Yes</x:v>
      </x:c>
      <x:c r="T28" s="265" t="n">
        <x:v>2800</x:v>
      </x:c>
      <x:c r="U28" s="253" t="str">
        <x:f>IF(AND(S28="Yes",T28=0),"Yes","No")</x:f>
        <x:v>No</x:v>
      </x:c>
      <x:c r="V28" s="259"/>
      <x:c r="W28" s="265" t="n">
        <x:v>0</x:v>
      </x:c>
      <x:c r="X28" s="265" t="n">
        <x:v>0</x:v>
      </x:c>
      <x:c r="Y28" s="265" t="n">
        <x:v>0</x:v>
      </x:c>
      <x:c r="Z28" s="253" t="str">
        <x:f>IF(AND(U28="Yes",X28&gt;0),"Yes","No")</x:f>
        <x:v>No</x:v>
      </x:c>
      <x:c r="AA28" s="253" t="str">
        <x:f>IF(AND(U28="Yes",Y28&gt;0),"Yes","No")</x:f>
        <x:v>No</x:v>
      </x:c>
      <x:c r="AB28" s="265" t="n">
        <x:v>0</x:v>
      </x:c>
      <x:c r="AC28" s="265" t="n">
        <x:v>0</x:v>
      </x:c>
      <x:c r="AD28" s="271" t="str"/>
      <x:c r="AE28" s="274" t="str">
        <x:v>Not validated - no control/holdout</x:v>
      </x:c>
      <x:c r="AF28" s="277" t="str">
        <x:v>No exact promo-code claim found within 14 days</x:v>
      </x:c>
    </x:row>
    <x:row r="29">
      <x:c r="A29" s="252" t="str">
        <x:v>WS1-20260224-0024</x:v>
      </x:c>
      <x:c r="B29" s="253" t="str">
        <x:v>WS1</x:v>
      </x:c>
      <x:c r="C29" s="253" t="str">
        <x:v>MB8</x:v>
      </x:c>
      <x:c r="D29" s="259" t="n">
        <x:v>46077.166666666664</x:v>
      </x:c>
      <x:c r="E29" s="253" t="str">
        <x:v>952004</x:v>
      </x:c>
      <x:c r="F29" s="253" t="str">
        <x:v>vinvin1987</x:v>
      </x:c>
      <x:c r="G29" s="253" t="str">
        <x:v>Yes</x:v>
      </x:c>
      <x:c r="H29" s="253" t="str">
        <x:v>Serene</x:v>
      </x:c>
      <x:c r="I29" s="268" t="str">
        <x:f>IFERROR(VLOOKUP(H29,'Handler-Team Map'!$A$7:$C$17,2,FALSE),"")</x:f>
      </x:c>
      <x:c r="J29" s="268" t="str">
        <x:f>IFERROR(VLOOKUP(H29,'Handler-Team Map'!$A$7:$C$17,3,FALSE),"")</x:f>
      </x:c>
      <x:c r="K29" s="274" t="str">
        <x:v>FT_VM_DEP1000_GET500_5X</x:v>
      </x:c>
      <x:c r="L29" s="274" t="str">
        <x:v>FT_VM_DEP1000_GET500_5X</x:v>
      </x:c>
      <x:c r="M29" s="274" t="str">
        <x:v>VM Bns - Dep1000 Get500 - 5x TO</x:v>
      </x:c>
      <x:c r="N29" s="253" t="str">
        <x:v>Yes</x:v>
      </x:c>
      <x:c r="O29" s="253" t="str">
        <x:v>No</x:v>
      </x:c>
      <x:c r="P29" s="262"/>
      <x:c r="Q29" s="253" t="str"/>
      <x:c r="R29" s="265" t="n">
        <x:v>0</x:v>
      </x:c>
      <x:c r="S29" s="253" t="str">
        <x:v>Yes</x:v>
      </x:c>
      <x:c r="T29" s="265" t="n">
        <x:v>100</x:v>
      </x:c>
      <x:c r="U29" s="253" t="str">
        <x:f>IF(AND(S29="Yes",T29=0),"Yes","No")</x:f>
        <x:v>No</x:v>
      </x:c>
      <x:c r="V29" s="259"/>
      <x:c r="W29" s="265" t="n">
        <x:v>0</x:v>
      </x:c>
      <x:c r="X29" s="265" t="n">
        <x:v>0</x:v>
      </x:c>
      <x:c r="Y29" s="265" t="n">
        <x:v>0</x:v>
      </x:c>
      <x:c r="Z29" s="253" t="str">
        <x:f>IF(AND(U29="Yes",X29&gt;0),"Yes","No")</x:f>
        <x:v>No</x:v>
      </x:c>
      <x:c r="AA29" s="253" t="str">
        <x:f>IF(AND(U29="Yes",Y29&gt;0),"Yes","No")</x:f>
        <x:v>No</x:v>
      </x:c>
      <x:c r="AB29" s="265" t="n">
        <x:v>0</x:v>
      </x:c>
      <x:c r="AC29" s="265" t="n">
        <x:v>0</x:v>
      </x:c>
      <x:c r="AD29" s="271" t="str"/>
      <x:c r="AE29" s="274" t="str">
        <x:v>Not validated - no control/holdout</x:v>
      </x:c>
      <x:c r="AF29" s="277" t="str">
        <x:v>No exact promo-code claim found within 14 days</x:v>
      </x:c>
    </x:row>
    <x:row r="30">
      <x:c r="A30" s="252" t="str">
        <x:v>WS1-20260224-0025</x:v>
      </x:c>
      <x:c r="B30" s="253" t="str">
        <x:v>WS1</x:v>
      </x:c>
      <x:c r="C30" s="253" t="str">
        <x:v>MB8</x:v>
      </x:c>
      <x:c r="D30" s="259" t="n">
        <x:v>46077.166666666664</x:v>
      </x:c>
      <x:c r="E30" s="253" t="str">
        <x:v>937936</x:v>
      </x:c>
      <x:c r="F30" s="253" t="str">
        <x:v>Aliceyap</x:v>
      </x:c>
      <x:c r="G30" s="253" t="str">
        <x:v>Yes</x:v>
      </x:c>
      <x:c r="H30" s="253" t="str">
        <x:v>Serene</x:v>
      </x:c>
      <x:c r="I30" s="268" t="str">
        <x:f>IFERROR(VLOOKUP(H30,'Handler-Team Map'!$A$7:$C$17,2,FALSE),"")</x:f>
      </x:c>
      <x:c r="J30" s="268" t="str">
        <x:f>IFERROR(VLOOKUP(H30,'Handler-Team Map'!$A$7:$C$17,3,FALSE),"")</x:f>
      </x:c>
      <x:c r="K30" s="274" t="str">
        <x:v>FT_VM_DEP800_GET400_2X</x:v>
      </x:c>
      <x:c r="L30" s="274" t="str">
        <x:v>FT_VM_DEP800_GET400_2X</x:v>
      </x:c>
      <x:c r="M30" s="274" t="str">
        <x:v>VM Bns - Dep800 Get400 - 2x TO</x:v>
      </x:c>
      <x:c r="N30" s="253" t="str">
        <x:v>Yes</x:v>
      </x:c>
      <x:c r="O30" s="253" t="str">
        <x:v>Yes</x:v>
      </x:c>
      <x:c r="P30" s="262" t="n">
        <x:v>46083.77961805555</x:v>
      </x:c>
      <x:c r="Q30" s="253" t="str">
        <x:v>Exact code</x:v>
      </x:c>
      <x:c r="R30" s="265" t="n">
        <x:v>400</x:v>
      </x:c>
      <x:c r="S30" s="253" t="str">
        <x:v>Yes</x:v>
      </x:c>
      <x:c r="T30" s="265" t="n">
        <x:v>1600</x:v>
      </x:c>
      <x:c r="U30" s="253" t="str">
        <x:f>IF(AND(S30="Yes",T30=0),"Yes","No")</x:f>
        <x:v>No</x:v>
      </x:c>
      <x:c r="V30" s="259" t="n">
        <x:v>46083.166666666664</x:v>
      </x:c>
      <x:c r="W30" s="265" t="n">
        <x:v>800</x:v>
      </x:c>
      <x:c r="X30" s="265" t="n">
        <x:v>800</x:v>
      </x:c>
      <x:c r="Y30" s="265" t="n">
        <x:v>800</x:v>
      </x:c>
      <x:c r="Z30" s="253" t="str">
        <x:f>IF(AND(U30="Yes",X30&gt;0),"Yes","No")</x:f>
        <x:v>No</x:v>
      </x:c>
      <x:c r="AA30" s="253" t="str">
        <x:f>IF(AND(U30="Yes",Y30&gt;0),"Yes","No")</x:f>
        <x:v>No</x:v>
      </x:c>
      <x:c r="AB30" s="265" t="n">
        <x:v>-400.25</x:v>
      </x:c>
      <x:c r="AC30" s="265" t="n">
        <x:v>-402.32</x:v>
      </x:c>
      <x:c r="AD30" s="271" t="str"/>
      <x:c r="AE30" s="274" t="str">
        <x:v>Not validated - no control/holdout</x:v>
      </x:c>
      <x:c r="AF30" s="277" t="str">
        <x:v>Member and exact promo code matched</x:v>
      </x:c>
    </x:row>
    <x:row r="31">
      <x:c r="A31" s="252" t="str">
        <x:v>WS1-20260224-0026</x:v>
      </x:c>
      <x:c r="B31" s="253" t="str">
        <x:v>WS1</x:v>
      </x:c>
      <x:c r="C31" s="253" t="str">
        <x:v>MB8</x:v>
      </x:c>
      <x:c r="D31" s="259" t="n">
        <x:v>46077.166666666664</x:v>
      </x:c>
      <x:c r="E31" s="253" t="str">
        <x:v>778442</x:v>
      </x:c>
      <x:c r="F31" s="253" t="str">
        <x:v>Tee0689</x:v>
      </x:c>
      <x:c r="G31" s="253" t="str">
        <x:v>Yes</x:v>
      </x:c>
      <x:c r="H31" s="253" t="str">
        <x:v>Serene</x:v>
      </x:c>
      <x:c r="I31" s="268" t="str">
        <x:f>IFERROR(VLOOKUP(H31,'Handler-Team Map'!$A$7:$C$17,2,FALSE),"")</x:f>
      </x:c>
      <x:c r="J31" s="268" t="str">
        <x:f>IFERROR(VLOOKUP(H31,'Handler-Team Map'!$A$7:$C$17,3,FALSE),"")</x:f>
      </x:c>
      <x:c r="K31" s="274" t="str">
        <x:v>FT_VM_DEP600_GET200_5X</x:v>
      </x:c>
      <x:c r="L31" s="274" t="str">
        <x:v>FT_VM_DEP600_GET200_5X</x:v>
      </x:c>
      <x:c r="M31" s="274" t="str">
        <x:v>VM Bns - Dep600 Get200 - 5x TO</x:v>
      </x:c>
      <x:c r="N31" s="253" t="str">
        <x:v>Yes</x:v>
      </x:c>
      <x:c r="O31" s="253" t="str">
        <x:v>Yes</x:v>
      </x:c>
      <x:c r="P31" s="262" t="n">
        <x:v>46079.18675925926</x:v>
      </x:c>
      <x:c r="Q31" s="253" t="str">
        <x:v>Exact code</x:v>
      </x:c>
      <x:c r="R31" s="265" t="n">
        <x:v>200</x:v>
      </x:c>
      <x:c r="S31" s="253" t="str">
        <x:v>Yes</x:v>
      </x:c>
      <x:c r="T31" s="265" t="n">
        <x:v>5693.7</x:v>
      </x:c>
      <x:c r="U31" s="253" t="str">
        <x:f>IF(AND(S31="Yes",T31=0),"Yes","No")</x:f>
        <x:v>No</x:v>
      </x:c>
      <x:c r="V31" s="259" t="n">
        <x:v>46079.166666666664</x:v>
      </x:c>
      <x:c r="W31" s="265" t="n">
        <x:v>1000</x:v>
      </x:c>
      <x:c r="X31" s="265" t="n">
        <x:v>1000</x:v>
      </x:c>
      <x:c r="Y31" s="265" t="n">
        <x:v>1000</x:v>
      </x:c>
      <x:c r="Z31" s="253" t="str">
        <x:f>IF(AND(U31="Yes",X31&gt;0),"Yes","No")</x:f>
        <x:v>No</x:v>
      </x:c>
      <x:c r="AA31" s="253" t="str">
        <x:f>IF(AND(U31="Yes",Y31&gt;0),"Yes","No")</x:f>
        <x:v>No</x:v>
      </x:c>
      <x:c r="AB31" s="265" t="n">
        <x:v>1000</x:v>
      </x:c>
      <x:c r="AC31" s="265" t="n">
        <x:v>1000</x:v>
      </x:c>
      <x:c r="AD31" s="271" t="str"/>
      <x:c r="AE31" s="274" t="str">
        <x:v>Not validated - no control/holdout</x:v>
      </x:c>
      <x:c r="AF31" s="277" t="str">
        <x:v>Member and exact promo code matched</x:v>
      </x:c>
    </x:row>
    <x:row r="32">
      <x:c r="A32" s="252" t="str">
        <x:v>WS1-20260224-0027</x:v>
      </x:c>
      <x:c r="B32" s="253" t="str">
        <x:v>WS1</x:v>
      </x:c>
      <x:c r="C32" s="253" t="str">
        <x:v>MB8</x:v>
      </x:c>
      <x:c r="D32" s="259" t="n">
        <x:v>46077.166666666664</x:v>
      </x:c>
      <x:c r="E32" s="253" t="str">
        <x:v>231225</x:v>
      </x:c>
      <x:c r="F32" s="253" t="str">
        <x:v>Dragonfly</x:v>
      </x:c>
      <x:c r="G32" s="253" t="str">
        <x:v>Yes</x:v>
      </x:c>
      <x:c r="H32" s="253" t="str">
        <x:v>Serene</x:v>
      </x:c>
      <x:c r="I32" s="268" t="str">
        <x:f>IFERROR(VLOOKUP(H32,'Handler-Team Map'!$A$7:$C$17,2,FALSE),"")</x:f>
      </x:c>
      <x:c r="J32" s="268" t="str">
        <x:f>IFERROR(VLOOKUP(H32,'Handler-Team Map'!$A$7:$C$17,3,FALSE),"")</x:f>
      </x:c>
      <x:c r="K32" s="274" t="str">
        <x:v>FT_VM_FC_VARIABLE_8X - MYR 888</x:v>
      </x:c>
      <x:c r="L32" s="274" t="str">
        <x:v>FT_VM_FC_VARIABLE_8X</x:v>
      </x:c>
      <x:c r="M32" s="274" t="str">
        <x:v>VM Bns - Free Credit - 8x TO</x:v>
      </x:c>
      <x:c r="N32" s="253" t="str">
        <x:v>Yes</x:v>
      </x:c>
      <x:c r="O32" s="253" t="str">
        <x:v>No</x:v>
      </x:c>
      <x:c r="P32" s="262"/>
      <x:c r="Q32" s="253" t="str"/>
      <x:c r="R32" s="265" t="n">
        <x:v>0</x:v>
      </x:c>
      <x:c r="S32" s="253" t="str">
        <x:v>Yes</x:v>
      </x:c>
      <x:c r="T32" s="265" t="n">
        <x:v>847</x:v>
      </x:c>
      <x:c r="U32" s="253" t="str">
        <x:f>IF(AND(S32="Yes",T32=0),"Yes","No")</x:f>
        <x:v>No</x:v>
      </x:c>
      <x:c r="V32" s="259"/>
      <x:c r="W32" s="265" t="n">
        <x:v>0</x:v>
      </x:c>
      <x:c r="X32" s="265" t="n">
        <x:v>0</x:v>
      </x:c>
      <x:c r="Y32" s="265" t="n">
        <x:v>0</x:v>
      </x:c>
      <x:c r="Z32" s="253" t="str">
        <x:f>IF(AND(U32="Yes",X32&gt;0),"Yes","No")</x:f>
        <x:v>No</x:v>
      </x:c>
      <x:c r="AA32" s="253" t="str">
        <x:f>IF(AND(U32="Yes",Y32&gt;0),"Yes","No")</x:f>
        <x:v>No</x:v>
      </x:c>
      <x:c r="AB32" s="265" t="n">
        <x:v>0</x:v>
      </x:c>
      <x:c r="AC32" s="265" t="n">
        <x:v>0</x:v>
      </x:c>
      <x:c r="AD32" s="271" t="str"/>
      <x:c r="AE32" s="274" t="str">
        <x:v>Not validated - no control/holdout</x:v>
      </x:c>
      <x:c r="AF32" s="277" t="str">
        <x:v>No exact promo-code claim found within 14 days</x:v>
      </x:c>
    </x:row>
    <x:row r="33">
      <x:c r="A33" s="252" t="str">
        <x:v>WS1-20260224-0028</x:v>
      </x:c>
      <x:c r="B33" s="253" t="str">
        <x:v>WS1</x:v>
      </x:c>
      <x:c r="C33" s="253" t="str">
        <x:v>MB8</x:v>
      </x:c>
      <x:c r="D33" s="259" t="n">
        <x:v>46077.166666666664</x:v>
      </x:c>
      <x:c r="E33" s="253" t="str">
        <x:v>1043989</x:v>
      </x:c>
      <x:c r="F33" s="253" t="str">
        <x:v>BBQ12122</x:v>
      </x:c>
      <x:c r="G33" s="253" t="str">
        <x:v>Yes</x:v>
      </x:c>
      <x:c r="H33" s="253" t="str">
        <x:v>Serene</x:v>
      </x:c>
      <x:c r="I33" s="268" t="str">
        <x:f>IFERROR(VLOOKUP(H33,'Handler-Team Map'!$A$7:$C$17,2,FALSE),"")</x:f>
      </x:c>
      <x:c r="J33" s="268" t="str">
        <x:f>IFERROR(VLOOKUP(H33,'Handler-Team Map'!$A$7:$C$17,3,FALSE),"")</x:f>
      </x:c>
      <x:c r="K33" s="274" t="str">
        <x:v>FT_VM_DEP600_GET200_5X</x:v>
      </x:c>
      <x:c r="L33" s="274" t="str">
        <x:v>FT_VM_DEP600_GET200_5X</x:v>
      </x:c>
      <x:c r="M33" s="274" t="str">
        <x:v>VM Bns - Dep600 Get200 - 5x TO</x:v>
      </x:c>
      <x:c r="N33" s="253" t="str">
        <x:v>Yes</x:v>
      </x:c>
      <x:c r="O33" s="253" t="str">
        <x:v>No</x:v>
      </x:c>
      <x:c r="P33" s="262"/>
      <x:c r="Q33" s="253" t="str"/>
      <x:c r="R33" s="265" t="n">
        <x:v>0</x:v>
      </x:c>
      <x:c r="S33" s="253" t="str">
        <x:v>Yes</x:v>
      </x:c>
      <x:c r="T33" s="265" t="n">
        <x:v>628</x:v>
      </x:c>
      <x:c r="U33" s="253" t="str">
        <x:f>IF(AND(S33="Yes",T33=0),"Yes","No")</x:f>
        <x:v>No</x:v>
      </x:c>
      <x:c r="V33" s="259" t="n">
        <x:v>46077.166666666664</x:v>
      </x:c>
      <x:c r="W33" s="265" t="n">
        <x:v>45</x:v>
      </x:c>
      <x:c r="X33" s="265" t="n">
        <x:v>45</x:v>
      </x:c>
      <x:c r="Y33" s="265" t="n">
        <x:v>75</x:v>
      </x:c>
      <x:c r="Z33" s="253" t="str">
        <x:f>IF(AND(U33="Yes",X33&gt;0),"Yes","No")</x:f>
        <x:v>No</x:v>
      </x:c>
      <x:c r="AA33" s="253" t="str">
        <x:f>IF(AND(U33="Yes",Y33&gt;0),"Yes","No")</x:f>
        <x:v>No</x:v>
      </x:c>
      <x:c r="AB33" s="265" t="n">
        <x:v>45.08</x:v>
      </x:c>
      <x:c r="AC33" s="265" t="n">
        <x:v>75.03999999999999</x:v>
      </x:c>
      <x:c r="AD33" s="271" t="str"/>
      <x:c r="AE33" s="274" t="str">
        <x:v>Not validated - no control/holdout</x:v>
      </x:c>
      <x:c r="AF33" s="277" t="str">
        <x:v>No exact promo-code claim found within 14 days</x:v>
      </x:c>
    </x:row>
    <x:row r="34">
      <x:c r="A34" s="252" t="str">
        <x:v>WS1-20260224-0029</x:v>
      </x:c>
      <x:c r="B34" s="253" t="str">
        <x:v>WS1</x:v>
      </x:c>
      <x:c r="C34" s="253" t="str">
        <x:v>MB8</x:v>
      </x:c>
      <x:c r="D34" s="259" t="n">
        <x:v>46077.166666666664</x:v>
      </x:c>
      <x:c r="E34" s="253" t="str">
        <x:v>723246</x:v>
      </x:c>
      <x:c r="F34" s="253" t="str">
        <x:v>Syedrizal</x:v>
      </x:c>
      <x:c r="G34" s="253" t="str">
        <x:v>Yes</x:v>
      </x:c>
      <x:c r="H34" s="253" t="str">
        <x:v>Serene</x:v>
      </x:c>
      <x:c r="I34" s="268" t="str">
        <x:f>IFERROR(VLOOKUP(H34,'Handler-Team Map'!$A$7:$C$17,2,FALSE),"")</x:f>
      </x:c>
      <x:c r="J34" s="268" t="str">
        <x:f>IFERROR(VLOOKUP(H34,'Handler-Team Map'!$A$7:$C$17,3,FALSE),"")</x:f>
      </x:c>
      <x:c r="K34" s="274" t="str">
        <x:v>FT_VM_FC_VARIABLE_5X - MYR 588</x:v>
      </x:c>
      <x:c r="L34" s="274" t="str">
        <x:v>FT_VM_FC_VARIABLE_5X</x:v>
      </x:c>
      <x:c r="M34" s="274" t="str">
        <x:v>VM Bns - Free Credit - 5x TO</x:v>
      </x:c>
      <x:c r="N34" s="253" t="str">
        <x:v>Yes</x:v>
      </x:c>
      <x:c r="O34" s="253" t="str">
        <x:v>No</x:v>
      </x:c>
      <x:c r="P34" s="262"/>
      <x:c r="Q34" s="253" t="str"/>
      <x:c r="R34" s="265" t="n">
        <x:v>0</x:v>
      </x:c>
      <x:c r="S34" s="253" t="str">
        <x:v>Yes</x:v>
      </x:c>
      <x:c r="T34" s="265" t="n">
        <x:v>130</x:v>
      </x:c>
      <x:c r="U34" s="253" t="str">
        <x:f>IF(AND(S34="Yes",T34=0),"Yes","No")</x:f>
        <x:v>No</x:v>
      </x:c>
      <x:c r="V34" s="259"/>
      <x:c r="W34" s="265" t="n">
        <x:v>0</x:v>
      </x:c>
      <x:c r="X34" s="265" t="n">
        <x:v>0</x:v>
      </x:c>
      <x:c r="Y34" s="265" t="n">
        <x:v>0</x:v>
      </x:c>
      <x:c r="Z34" s="253" t="str">
        <x:f>IF(AND(U34="Yes",X34&gt;0),"Yes","No")</x:f>
        <x:v>No</x:v>
      </x:c>
      <x:c r="AA34" s="253" t="str">
        <x:f>IF(AND(U34="Yes",Y34&gt;0),"Yes","No")</x:f>
        <x:v>No</x:v>
      </x:c>
      <x:c r="AB34" s="265" t="n">
        <x:v>0</x:v>
      </x:c>
      <x:c r="AC34" s="265" t="n">
        <x:v>0</x:v>
      </x:c>
      <x:c r="AD34" s="271" t="str"/>
      <x:c r="AE34" s="274" t="str">
        <x:v>Not validated - no control/holdout</x:v>
      </x:c>
      <x:c r="AF34" s="277" t="str">
        <x:v>No exact promo-code claim found within 14 days</x:v>
      </x:c>
    </x:row>
    <x:row r="35">
      <x:c r="A35" s="252" t="str">
        <x:v>WS1-20260224-0030</x:v>
      </x:c>
      <x:c r="B35" s="253" t="str">
        <x:v>WS1</x:v>
      </x:c>
      <x:c r="C35" s="253" t="str">
        <x:v>MB8</x:v>
      </x:c>
      <x:c r="D35" s="259" t="n">
        <x:v>46077.166666666664</x:v>
      </x:c>
      <x:c r="E35" s="253" t="str">
        <x:v>990296</x:v>
      </x:c>
      <x:c r="F35" s="253" t="str">
        <x:v>asadlangah317</x:v>
      </x:c>
      <x:c r="G35" s="253" t="str">
        <x:v>Yes</x:v>
      </x:c>
      <x:c r="H35" s="253" t="str">
        <x:v>Serene</x:v>
      </x:c>
      <x:c r="I35" s="268" t="str">
        <x:f>IFERROR(VLOOKUP(H35,'Handler-Team Map'!$A$7:$C$17,2,FALSE),"")</x:f>
      </x:c>
      <x:c r="J35" s="268" t="str">
        <x:f>IFERROR(VLOOKUP(H35,'Handler-Team Map'!$A$7:$C$17,3,FALSE),"")</x:f>
      </x:c>
      <x:c r="K35" s="274" t="str">
        <x:v>FT_VM_DEP600_GET200_5X</x:v>
      </x:c>
      <x:c r="L35" s="274" t="str">
        <x:v>FT_VM_DEP600_GET200_5X</x:v>
      </x:c>
      <x:c r="M35" s="274" t="str">
        <x:v>VM Bns - Dep600 Get200 - 5x TO</x:v>
      </x:c>
      <x:c r="N35" s="253" t="str">
        <x:v>Yes</x:v>
      </x:c>
      <x:c r="O35" s="253" t="str">
        <x:v>No</x:v>
      </x:c>
      <x:c r="P35" s="262"/>
      <x:c r="Q35" s="253" t="str"/>
      <x:c r="R35" s="265" t="n">
        <x:v>0</x:v>
      </x:c>
      <x:c r="S35" s="253" t="str">
        <x:v>Yes</x:v>
      </x:c>
      <x:c r="T35" s="265" t="n">
        <x:v>860</x:v>
      </x:c>
      <x:c r="U35" s="253" t="str">
        <x:f>IF(AND(S35="Yes",T35=0),"Yes","No")</x:f>
        <x:v>No</x:v>
      </x:c>
      <x:c r="V35" s="259"/>
      <x:c r="W35" s="265" t="n">
        <x:v>0</x:v>
      </x:c>
      <x:c r="X35" s="265" t="n">
        <x:v>0</x:v>
      </x:c>
      <x:c r="Y35" s="265" t="n">
        <x:v>0</x:v>
      </x:c>
      <x:c r="Z35" s="253" t="str">
        <x:f>IF(AND(U35="Yes",X35&gt;0),"Yes","No")</x:f>
        <x:v>No</x:v>
      </x:c>
      <x:c r="AA35" s="253" t="str">
        <x:f>IF(AND(U35="Yes",Y35&gt;0),"Yes","No")</x:f>
        <x:v>No</x:v>
      </x:c>
      <x:c r="AB35" s="265" t="n">
        <x:v>4</x:v>
      </x:c>
      <x:c r="AC35" s="265" t="n">
        <x:v>4</x:v>
      </x:c>
      <x:c r="AD35" s="271" t="str"/>
      <x:c r="AE35" s="274" t="str">
        <x:v>Not validated - no control/holdout</x:v>
      </x:c>
      <x:c r="AF35" s="277" t="str">
        <x:v>No exact promo-code claim found within 14 days</x:v>
      </x:c>
    </x:row>
    <x:row r="36">
      <x:c r="A36" s="252" t="str">
        <x:v>WS1-20260224-0031</x:v>
      </x:c>
      <x:c r="B36" s="253" t="str">
        <x:v>WS1</x:v>
      </x:c>
      <x:c r="C36" s="253" t="str">
        <x:v>MB8</x:v>
      </x:c>
      <x:c r="D36" s="259" t="n">
        <x:v>46077.166666666664</x:v>
      </x:c>
      <x:c r="E36" s="253" t="str">
        <x:v>731684</x:v>
      </x:c>
      <x:c r="F36" s="253" t="str">
        <x:v>Bosque95</x:v>
      </x:c>
      <x:c r="G36" s="253" t="str">
        <x:v>Yes</x:v>
      </x:c>
      <x:c r="H36" s="253" t="str">
        <x:v>Serene</x:v>
      </x:c>
      <x:c r="I36" s="268" t="str">
        <x:f>IFERROR(VLOOKUP(H36,'Handler-Team Map'!$A$7:$C$17,2,FALSE),"")</x:f>
      </x:c>
      <x:c r="J36" s="268" t="str">
        <x:f>IFERROR(VLOOKUP(H36,'Handler-Team Map'!$A$7:$C$17,3,FALSE),"")</x:f>
      </x:c>
      <x:c r="K36" s="274" t="str">
        <x:v>FT_VM_DEP800_GET400_2X</x:v>
      </x:c>
      <x:c r="L36" s="274" t="str">
        <x:v>FT_VM_DEP800_GET400_2X</x:v>
      </x:c>
      <x:c r="M36" s="274" t="str">
        <x:v>VM Bns - Dep800 Get400 - 2x TO</x:v>
      </x:c>
      <x:c r="N36" s="253" t="str">
        <x:v>Yes</x:v>
      </x:c>
      <x:c r="O36" s="253" t="str">
        <x:v>No</x:v>
      </x:c>
      <x:c r="P36" s="262"/>
      <x:c r="Q36" s="253" t="str"/>
      <x:c r="R36" s="265" t="n">
        <x:v>0</x:v>
      </x:c>
      <x:c r="S36" s="253" t="str">
        <x:v>Yes</x:v>
      </x:c>
      <x:c r="T36" s="265" t="n">
        <x:v>1240</x:v>
      </x:c>
      <x:c r="U36" s="253" t="str">
        <x:f>IF(AND(S36="Yes",T36=0),"Yes","No")</x:f>
        <x:v>No</x:v>
      </x:c>
      <x:c r="V36" s="259" t="n">
        <x:v>46077.166666666664</x:v>
      </x:c>
      <x:c r="W36" s="265" t="n">
        <x:v>100</x:v>
      </x:c>
      <x:c r="X36" s="265" t="n">
        <x:v>430</x:v>
      </x:c>
      <x:c r="Y36" s="265" t="n">
        <x:v>480</x:v>
      </x:c>
      <x:c r="Z36" s="253" t="str">
        <x:f>IF(AND(U36="Yes",X36&gt;0),"Yes","No")</x:f>
        <x:v>No</x:v>
      </x:c>
      <x:c r="AA36" s="253" t="str">
        <x:f>IF(AND(U36="Yes",Y36&gt;0),"Yes","No")</x:f>
        <x:v>No</x:v>
      </x:c>
      <x:c r="AB36" s="265" t="n">
        <x:v>431.47</x:v>
      </x:c>
      <x:c r="AC36" s="265" t="n">
        <x:v>481.39</x:v>
      </x:c>
      <x:c r="AD36" s="271" t="str"/>
      <x:c r="AE36" s="274" t="str">
        <x:v>Not validated - no control/holdout</x:v>
      </x:c>
      <x:c r="AF36" s="277" t="str">
        <x:v>No exact promo-code claim found within 14 days</x:v>
      </x:c>
    </x:row>
    <x:row r="37">
      <x:c r="A37" s="252" t="str">
        <x:v>WS1-20260224-0032</x:v>
      </x:c>
      <x:c r="B37" s="253" t="str">
        <x:v>WS1</x:v>
      </x:c>
      <x:c r="C37" s="253" t="str">
        <x:v>MB8</x:v>
      </x:c>
      <x:c r="D37" s="259" t="n">
        <x:v>46077.166666666664</x:v>
      </x:c>
      <x:c r="E37" s="253" t="str">
        <x:v>996288</x:v>
      </x:c>
      <x:c r="F37" s="253" t="str">
        <x:v>dong1993</x:v>
      </x:c>
      <x:c r="G37" s="253" t="str">
        <x:v>Yes</x:v>
      </x:c>
      <x:c r="H37" s="253" t="str">
        <x:v>Serene</x:v>
      </x:c>
      <x:c r="I37" s="268" t="str">
        <x:f>IFERROR(VLOOKUP(H37,'Handler-Team Map'!$A$7:$C$17,2,FALSE),"")</x:f>
      </x:c>
      <x:c r="J37" s="268" t="str">
        <x:f>IFERROR(VLOOKUP(H37,'Handler-Team Map'!$A$7:$C$17,3,FALSE),"")</x:f>
      </x:c>
      <x:c r="K37" s="274" t="str">
        <x:v>FT_VM_DEP600_GET200_5X</x:v>
      </x:c>
      <x:c r="L37" s="274" t="str">
        <x:v>FT_VM_DEP600_GET200_5X</x:v>
      </x:c>
      <x:c r="M37" s="274" t="str">
        <x:v>VM Bns - Dep600 Get200 - 5x TO</x:v>
      </x:c>
      <x:c r="N37" s="253" t="str">
        <x:v>Yes</x:v>
      </x:c>
      <x:c r="O37" s="253" t="str">
        <x:v>No</x:v>
      </x:c>
      <x:c r="P37" s="262"/>
      <x:c r="Q37" s="253" t="str"/>
      <x:c r="R37" s="265" t="n">
        <x:v>0</x:v>
      </x:c>
      <x:c r="S37" s="253" t="str">
        <x:v>Yes</x:v>
      </x:c>
      <x:c r="T37" s="265" t="n">
        <x:v>1030</x:v>
      </x:c>
      <x:c r="U37" s="253" t="str">
        <x:f>IF(AND(S37="Yes",T37=0),"Yes","No")</x:f>
        <x:v>No</x:v>
      </x:c>
      <x:c r="V37" s="259" t="n">
        <x:v>46081.166666666664</x:v>
      </x:c>
      <x:c r="W37" s="265" t="n">
        <x:v>450</x:v>
      </x:c>
      <x:c r="X37" s="265" t="n">
        <x:v>880</x:v>
      </x:c>
      <x:c r="Y37" s="265" t="n">
        <x:v>5270</x:v>
      </x:c>
      <x:c r="Z37" s="253" t="str">
        <x:f>IF(AND(U37="Yes",X37&gt;0),"Yes","No")</x:f>
        <x:v>No</x:v>
      </x:c>
      <x:c r="AA37" s="253" t="str">
        <x:f>IF(AND(U37="Yes",Y37&gt;0),"Yes","No")</x:f>
        <x:v>No</x:v>
      </x:c>
      <x:c r="AB37" s="265" t="n">
        <x:v>-534.1800000000002</x:v>
      </x:c>
      <x:c r="AC37" s="265" t="n">
        <x:v>867.3299999999996</x:v>
      </x:c>
      <x:c r="AD37" s="271" t="str"/>
      <x:c r="AE37" s="274" t="str">
        <x:v>Not validated - no control/holdout</x:v>
      </x:c>
      <x:c r="AF37" s="277" t="str">
        <x:v>No exact promo-code claim found within 14 days</x:v>
      </x:c>
    </x:row>
    <x:row r="38">
      <x:c r="A38" s="252" t="str">
        <x:v>WS1-20260224-0033</x:v>
      </x:c>
      <x:c r="B38" s="253" t="str">
        <x:v>WS1</x:v>
      </x:c>
      <x:c r="C38" s="253" t="str">
        <x:v>MB8</x:v>
      </x:c>
      <x:c r="D38" s="259" t="n">
        <x:v>46077.166666666664</x:v>
      </x:c>
      <x:c r="E38" s="253" t="str">
        <x:v>1051646</x:v>
      </x:c>
      <x:c r="F38" s="253" t="str">
        <x:v>Kobe0011</x:v>
      </x:c>
      <x:c r="G38" s="253" t="str">
        <x:v>Yes</x:v>
      </x:c>
      <x:c r="H38" s="253" t="str">
        <x:v>Serene</x:v>
      </x:c>
      <x:c r="I38" s="268" t="str">
        <x:f>IFERROR(VLOOKUP(H38,'Handler-Team Map'!$A$7:$C$17,2,FALSE),"")</x:f>
      </x:c>
      <x:c r="J38" s="268" t="str">
        <x:f>IFERROR(VLOOKUP(H38,'Handler-Team Map'!$A$7:$C$17,3,FALSE),"")</x:f>
      </x:c>
      <x:c r="K38" s="274" t="str">
        <x:v>FT_VM_DEP600_GET200_5X</x:v>
      </x:c>
      <x:c r="L38" s="274" t="str">
        <x:v>FT_VM_DEP600_GET200_5X</x:v>
      </x:c>
      <x:c r="M38" s="274" t="str">
        <x:v>VM Bns - Dep600 Get200 - 5x TO</x:v>
      </x:c>
      <x:c r="N38" s="253" t="str">
        <x:v>Yes</x:v>
      </x:c>
      <x:c r="O38" s="253" t="str">
        <x:v>No</x:v>
      </x:c>
      <x:c r="P38" s="262"/>
      <x:c r="Q38" s="253" t="str"/>
      <x:c r="R38" s="265" t="n">
        <x:v>0</x:v>
      </x:c>
      <x:c r="S38" s="253" t="str">
        <x:v>Yes</x:v>
      </x:c>
      <x:c r="T38" s="265" t="n">
        <x:v>6205</x:v>
      </x:c>
      <x:c r="U38" s="253" t="str">
        <x:f>IF(AND(S38="Yes",T38=0),"Yes","No")</x:f>
        <x:v>No</x:v>
      </x:c>
      <x:c r="V38" s="259" t="n">
        <x:v>46077.166666666664</x:v>
      </x:c>
      <x:c r="W38" s="265" t="n">
        <x:v>315</x:v>
      </x:c>
      <x:c r="X38" s="265" t="n">
        <x:v>2942</x:v>
      </x:c>
      <x:c r="Y38" s="265" t="n">
        <x:v>5124</x:v>
      </x:c>
      <x:c r="Z38" s="253" t="str">
        <x:f>IF(AND(U38="Yes",X38&gt;0),"Yes","No")</x:f>
        <x:v>No</x:v>
      </x:c>
      <x:c r="AA38" s="253" t="str">
        <x:f>IF(AND(U38="Yes",Y38&gt;0),"Yes","No")</x:f>
        <x:v>No</x:v>
      </x:c>
      <x:c r="AB38" s="265" t="n">
        <x:v>1624.9199999999994</x:v>
      </x:c>
      <x:c r="AC38" s="265" t="n">
        <x:v>3728.4499999999985</x:v>
      </x:c>
      <x:c r="AD38" s="271" t="str"/>
      <x:c r="AE38" s="274" t="str">
        <x:v>Not validated - no control/holdout</x:v>
      </x:c>
      <x:c r="AF38" s="277" t="str">
        <x:v>No exact promo-code claim found within 14 days</x:v>
      </x:c>
    </x:row>
    <x:row r="39">
      <x:c r="A39" s="252" t="str">
        <x:v>WS1-20260224-0034</x:v>
      </x:c>
      <x:c r="B39" s="253" t="str">
        <x:v>WS1</x:v>
      </x:c>
      <x:c r="C39" s="253" t="str">
        <x:v>MB8</x:v>
      </x:c>
      <x:c r="D39" s="259" t="n">
        <x:v>46077.166666666664</x:v>
      </x:c>
      <x:c r="E39" s="253" t="str">
        <x:v>927189</x:v>
      </x:c>
      <x:c r="F39" s="253" t="str">
        <x:v>Yayay75</x:v>
      </x:c>
      <x:c r="G39" s="253" t="str">
        <x:v>Yes</x:v>
      </x:c>
      <x:c r="H39" s="253" t="str">
        <x:v>Serene</x:v>
      </x:c>
      <x:c r="I39" s="268" t="str">
        <x:f>IFERROR(VLOOKUP(H39,'Handler-Team Map'!$A$7:$C$17,2,FALSE),"")</x:f>
      </x:c>
      <x:c r="J39" s="268" t="str">
        <x:f>IFERROR(VLOOKUP(H39,'Handler-Team Map'!$A$7:$C$17,3,FALSE),"")</x:f>
      </x:c>
      <x:c r="K39" s="274" t="str">
        <x:v>FT_VM_FC_VARIABLE_5X - MYR 588</x:v>
      </x:c>
      <x:c r="L39" s="274" t="str">
        <x:v>FT_VM_FC_VARIABLE_5X</x:v>
      </x:c>
      <x:c r="M39" s="274" t="str">
        <x:v>VM Bns - Free Credit - 5x TO</x:v>
      </x:c>
      <x:c r="N39" s="253" t="str">
        <x:v>Yes</x:v>
      </x:c>
      <x:c r="O39" s="253" t="str">
        <x:v>No</x:v>
      </x:c>
      <x:c r="P39" s="262"/>
      <x:c r="Q39" s="253" t="str"/>
      <x:c r="R39" s="265" t="n">
        <x:v>0</x:v>
      </x:c>
      <x:c r="S39" s="253" t="str">
        <x:v>Yes</x:v>
      </x:c>
      <x:c r="T39" s="265" t="n">
        <x:v>2722</x:v>
      </x:c>
      <x:c r="U39" s="253" t="str">
        <x:f>IF(AND(S39="Yes",T39=0),"Yes","No")</x:f>
        <x:v>No</x:v>
      </x:c>
      <x:c r="V39" s="259"/>
      <x:c r="W39" s="265" t="n">
        <x:v>0</x:v>
      </x:c>
      <x:c r="X39" s="265" t="n">
        <x:v>0</x:v>
      </x:c>
      <x:c r="Y39" s="265" t="n">
        <x:v>0</x:v>
      </x:c>
      <x:c r="Z39" s="253" t="str">
        <x:f>IF(AND(U39="Yes",X39&gt;0),"Yes","No")</x:f>
        <x:v>No</x:v>
      </x:c>
      <x:c r="AA39" s="253" t="str">
        <x:f>IF(AND(U39="Yes",Y39&gt;0),"Yes","No")</x:f>
        <x:v>No</x:v>
      </x:c>
      <x:c r="AB39" s="265" t="n">
        <x:v>0</x:v>
      </x:c>
      <x:c r="AC39" s="265" t="n">
        <x:v>0</x:v>
      </x:c>
      <x:c r="AD39" s="271" t="str"/>
      <x:c r="AE39" s="274" t="str">
        <x:v>Not validated - no control/holdout</x:v>
      </x:c>
      <x:c r="AF39" s="277" t="str">
        <x:v>No exact promo-code claim found within 14 days</x:v>
      </x:c>
    </x:row>
    <x:row r="40">
      <x:c r="A40" s="252" t="str">
        <x:v>WS1-20260224-0035</x:v>
      </x:c>
      <x:c r="B40" s="253" t="str">
        <x:v>WS1</x:v>
      </x:c>
      <x:c r="C40" s="253" t="str">
        <x:v>MB8</x:v>
      </x:c>
      <x:c r="D40" s="259" t="n">
        <x:v>46077.166666666664</x:v>
      </x:c>
      <x:c r="E40" s="253" t="str">
        <x:v>928553</x:v>
      </x:c>
      <x:c r="F40" s="253" t="str">
        <x:v>Jaikanes92</x:v>
      </x:c>
      <x:c r="G40" s="253" t="str">
        <x:v>Yes</x:v>
      </x:c>
      <x:c r="H40" s="253" t="str">
        <x:v>Serene</x:v>
      </x:c>
      <x:c r="I40" s="268" t="str">
        <x:f>IFERROR(VLOOKUP(H40,'Handler-Team Map'!$A$7:$C$17,2,FALSE),"")</x:f>
      </x:c>
      <x:c r="J40" s="268" t="str">
        <x:f>IFERROR(VLOOKUP(H40,'Handler-Team Map'!$A$7:$C$17,3,FALSE),"")</x:f>
      </x:c>
      <x:c r="K40" s="274" t="str">
        <x:v>FT_VM_DEP800_GET400_2X</x:v>
      </x:c>
      <x:c r="L40" s="274" t="str">
        <x:v>FT_VM_DEP800_GET400_2X</x:v>
      </x:c>
      <x:c r="M40" s="274" t="str">
        <x:v>VM Bns - Dep800 Get400 - 2x TO</x:v>
      </x:c>
      <x:c r="N40" s="253" t="str">
        <x:v>Yes</x:v>
      </x:c>
      <x:c r="O40" s="253" t="str">
        <x:v>No</x:v>
      </x:c>
      <x:c r="P40" s="262"/>
      <x:c r="Q40" s="253" t="str"/>
      <x:c r="R40" s="265" t="n">
        <x:v>0</x:v>
      </x:c>
      <x:c r="S40" s="253" t="str">
        <x:v>Yes</x:v>
      </x:c>
      <x:c r="T40" s="265" t="n">
        <x:v>3045</x:v>
      </x:c>
      <x:c r="U40" s="253" t="str">
        <x:f>IF(AND(S40="Yes",T40=0),"Yes","No")</x:f>
        <x:v>No</x:v>
      </x:c>
      <x:c r="V40" s="259" t="n">
        <x:v>46085.166666666664</x:v>
      </x:c>
      <x:c r="W40" s="265" t="n">
        <x:v>60</x:v>
      </x:c>
      <x:c r="X40" s="265" t="n">
        <x:v>0</x:v>
      </x:c>
      <x:c r="Y40" s="265" t="n">
        <x:v>60</x:v>
      </x:c>
      <x:c r="Z40" s="253" t="str">
        <x:f>IF(AND(U40="Yes",X40&gt;0),"Yes","No")</x:f>
        <x:v>No</x:v>
      </x:c>
      <x:c r="AA40" s="253" t="str">
        <x:f>IF(AND(U40="Yes",Y40&gt;0),"Yes","No")</x:f>
        <x:v>No</x:v>
      </x:c>
      <x:c r="AB40" s="265" t="n">
        <x:v>0</x:v>
      </x:c>
      <x:c r="AC40" s="265" t="n">
        <x:v>58.09</x:v>
      </x:c>
      <x:c r="AD40" s="271" t="str"/>
      <x:c r="AE40" s="274" t="str">
        <x:v>Not validated - no control/holdout</x:v>
      </x:c>
      <x:c r="AF40" s="277" t="str">
        <x:v>No exact promo-code claim found within 14 days</x:v>
      </x:c>
    </x:row>
    <x:row r="41">
      <x:c r="A41" s="252" t="str">
        <x:v>WS1-20260224-0036</x:v>
      </x:c>
      <x:c r="B41" s="253" t="str">
        <x:v>WS1</x:v>
      </x:c>
      <x:c r="C41" s="253" t="str">
        <x:v>MB8</x:v>
      </x:c>
      <x:c r="D41" s="259" t="n">
        <x:v>46077.166666666664</x:v>
      </x:c>
      <x:c r="E41" s="253" t="str">
        <x:v>1159229</x:v>
      </x:c>
      <x:c r="F41" s="253" t="str">
        <x:v>Kenny8898</x:v>
      </x:c>
      <x:c r="G41" s="253" t="str">
        <x:v>Yes</x:v>
      </x:c>
      <x:c r="H41" s="253" t="str">
        <x:v>Serene</x:v>
      </x:c>
      <x:c r="I41" s="268" t="str">
        <x:f>IFERROR(VLOOKUP(H41,'Handler-Team Map'!$A$7:$C$17,2,FALSE),"")</x:f>
      </x:c>
      <x:c r="J41" s="268" t="str">
        <x:f>IFERROR(VLOOKUP(H41,'Handler-Team Map'!$A$7:$C$17,3,FALSE),"")</x:f>
      </x:c>
      <x:c r="K41" s="274" t="str">
        <x:v>FT_VM_DEP800_GET400_1X</x:v>
      </x:c>
      <x:c r="L41" s="274" t="str">
        <x:v>FT_VM_DEP800_GET400_1X</x:v>
      </x:c>
      <x:c r="M41" s="274" t="str">
        <x:v>VM Bns - Dep800 Get400 - 1x TO</x:v>
      </x:c>
      <x:c r="N41" s="253" t="str">
        <x:v>Yes</x:v>
      </x:c>
      <x:c r="O41" s="253" t="str">
        <x:v>No</x:v>
      </x:c>
      <x:c r="P41" s="262"/>
      <x:c r="Q41" s="253" t="str"/>
      <x:c r="R41" s="265" t="n">
        <x:v>0</x:v>
      </x:c>
      <x:c r="S41" s="253" t="str">
        <x:v>Yes</x:v>
      </x:c>
      <x:c r="T41" s="265" t="n">
        <x:v>30</x:v>
      </x:c>
      <x:c r="U41" s="253" t="str">
        <x:f>IF(AND(S41="Yes",T41=0),"Yes","No")</x:f>
        <x:v>No</x:v>
      </x:c>
      <x:c r="V41" s="259" t="n">
        <x:v>46079.166666666664</x:v>
      </x:c>
      <x:c r="W41" s="265" t="n">
        <x:v>50</x:v>
      </x:c>
      <x:c r="X41" s="265" t="n">
        <x:v>200</x:v>
      </x:c>
      <x:c r="Y41" s="265" t="n">
        <x:v>200</x:v>
      </x:c>
      <x:c r="Z41" s="253" t="str">
        <x:f>IF(AND(U41="Yes",X41&gt;0),"Yes","No")</x:f>
        <x:v>No</x:v>
      </x:c>
      <x:c r="AA41" s="253" t="str">
        <x:f>IF(AND(U41="Yes",Y41&gt;0),"Yes","No")</x:f>
        <x:v>No</x:v>
      </x:c>
      <x:c r="AB41" s="265" t="n">
        <x:v>199.90000000000003</x:v>
      </x:c>
      <x:c r="AC41" s="265" t="n">
        <x:v>199.90000000000003</x:v>
      </x:c>
      <x:c r="AD41" s="271" t="str"/>
      <x:c r="AE41" s="274" t="str">
        <x:v>Not validated - no control/holdout</x:v>
      </x:c>
      <x:c r="AF41" s="277" t="str">
        <x:v>No exact promo-code claim found within 14 days</x:v>
      </x:c>
    </x:row>
    <x:row r="42">
      <x:c r="A42" s="252" t="str">
        <x:v>WS1-20260224-0037</x:v>
      </x:c>
      <x:c r="B42" s="253" t="str">
        <x:v>WS1</x:v>
      </x:c>
      <x:c r="C42" s="253" t="str">
        <x:v>MB8</x:v>
      </x:c>
      <x:c r="D42" s="259" t="n">
        <x:v>46077.166666666664</x:v>
      </x:c>
      <x:c r="E42" s="253" t="str">
        <x:v>1171941</x:v>
      </x:c>
      <x:c r="F42" s="253" t="str">
        <x:v>armizam88</x:v>
      </x:c>
      <x:c r="G42" s="253" t="str">
        <x:v>Yes</x:v>
      </x:c>
      <x:c r="H42" s="253" t="str">
        <x:v>Serene</x:v>
      </x:c>
      <x:c r="I42" s="268" t="str">
        <x:f>IFERROR(VLOOKUP(H42,'Handler-Team Map'!$A$7:$C$17,2,FALSE),"")</x:f>
      </x:c>
      <x:c r="J42" s="268" t="str">
        <x:f>IFERROR(VLOOKUP(H42,'Handler-Team Map'!$A$7:$C$17,3,FALSE),"")</x:f>
      </x:c>
      <x:c r="K42" s="274" t="str">
        <x:v>FT_VM_DEP800_GET400_1X</x:v>
      </x:c>
      <x:c r="L42" s="274" t="str">
        <x:v>FT_VM_DEP800_GET400_1X</x:v>
      </x:c>
      <x:c r="M42" s="274" t="str">
        <x:v>VM Bns - Dep800 Get400 - 1x TO</x:v>
      </x:c>
      <x:c r="N42" s="253" t="str">
        <x:v>Yes</x:v>
      </x:c>
      <x:c r="O42" s="253" t="str">
        <x:v>No</x:v>
      </x:c>
      <x:c r="P42" s="262"/>
      <x:c r="Q42" s="253" t="str"/>
      <x:c r="R42" s="265" t="n">
        <x:v>0</x:v>
      </x:c>
      <x:c r="S42" s="253" t="str">
        <x:v>Yes</x:v>
      </x:c>
      <x:c r="T42" s="265" t="n">
        <x:v>600</x:v>
      </x:c>
      <x:c r="U42" s="253" t="str">
        <x:f>IF(AND(S42="Yes",T42=0),"Yes","No")</x:f>
        <x:v>No</x:v>
      </x:c>
      <x:c r="V42" s="259"/>
      <x:c r="W42" s="265" t="n">
        <x:v>0</x:v>
      </x:c>
      <x:c r="X42" s="265" t="n">
        <x:v>0</x:v>
      </x:c>
      <x:c r="Y42" s="265" t="n">
        <x:v>0</x:v>
      </x:c>
      <x:c r="Z42" s="253" t="str">
        <x:f>IF(AND(U42="Yes",X42&gt;0),"Yes","No")</x:f>
        <x:v>No</x:v>
      </x:c>
      <x:c r="AA42" s="253" t="str">
        <x:f>IF(AND(U42="Yes",Y42&gt;0),"Yes","No")</x:f>
        <x:v>No</x:v>
      </x:c>
      <x:c r="AB42" s="265" t="n">
        <x:v>0</x:v>
      </x:c>
      <x:c r="AC42" s="265" t="n">
        <x:v>0</x:v>
      </x:c>
      <x:c r="AD42" s="271" t="str"/>
      <x:c r="AE42" s="274" t="str">
        <x:v>Not validated - no control/holdout</x:v>
      </x:c>
      <x:c r="AF42" s="277" t="str">
        <x:v>No exact promo-code claim found within 14 days</x:v>
      </x:c>
    </x:row>
    <x:row r="43">
      <x:c r="A43" s="252" t="str">
        <x:v>WS1-20260224-0038</x:v>
      </x:c>
      <x:c r="B43" s="253" t="str">
        <x:v>WS1</x:v>
      </x:c>
      <x:c r="C43" s="253" t="str">
        <x:v>MB8</x:v>
      </x:c>
      <x:c r="D43" s="259" t="n">
        <x:v>46077.166666666664</x:v>
      </x:c>
      <x:c r="E43" s="253" t="str">
        <x:v>362199</x:v>
      </x:c>
      <x:c r="F43" s="253" t="str">
        <x:v>jeevan8421</x:v>
      </x:c>
      <x:c r="G43" s="253" t="str">
        <x:v>Yes</x:v>
      </x:c>
      <x:c r="H43" s="253" t="str">
        <x:v>Serene</x:v>
      </x:c>
      <x:c r="I43" s="268" t="str">
        <x:f>IFERROR(VLOOKUP(H43,'Handler-Team Map'!$A$7:$C$17,2,FALSE),"")</x:f>
      </x:c>
      <x:c r="J43" s="268" t="str">
        <x:f>IFERROR(VLOOKUP(H43,'Handler-Team Map'!$A$7:$C$17,3,FALSE),"")</x:f>
      </x:c>
      <x:c r="K43" s="274" t="str">
        <x:v>FT_VM_FC_VARIABLE_8X - MYR 288</x:v>
      </x:c>
      <x:c r="L43" s="274" t="str">
        <x:v>FT_VM_FC_VARIABLE_8X</x:v>
      </x:c>
      <x:c r="M43" s="274" t="str">
        <x:v>VM Bns - Free Credit - 8x TO</x:v>
      </x:c>
      <x:c r="N43" s="253" t="str">
        <x:v>Yes</x:v>
      </x:c>
      <x:c r="O43" s="253" t="str">
        <x:v>No</x:v>
      </x:c>
      <x:c r="P43" s="262"/>
      <x:c r="Q43" s="253" t="str"/>
      <x:c r="R43" s="265" t="n">
        <x:v>0</x:v>
      </x:c>
      <x:c r="S43" s="253" t="str">
        <x:v>Yes</x:v>
      </x:c>
      <x:c r="T43" s="265" t="n">
        <x:v>60</x:v>
      </x:c>
      <x:c r="U43" s="253" t="str">
        <x:f>IF(AND(S43="Yes",T43=0),"Yes","No")</x:f>
        <x:v>No</x:v>
      </x:c>
      <x:c r="V43" s="259"/>
      <x:c r="W43" s="265" t="n">
        <x:v>0</x:v>
      </x:c>
      <x:c r="X43" s="265" t="n">
        <x:v>0</x:v>
      </x:c>
      <x:c r="Y43" s="265" t="n">
        <x:v>0</x:v>
      </x:c>
      <x:c r="Z43" s="253" t="str">
        <x:f>IF(AND(U43="Yes",X43&gt;0),"Yes","No")</x:f>
        <x:v>No</x:v>
      </x:c>
      <x:c r="AA43" s="253" t="str">
        <x:f>IF(AND(U43="Yes",Y43&gt;0),"Yes","No")</x:f>
        <x:v>No</x:v>
      </x:c>
      <x:c r="AB43" s="265" t="n">
        <x:v>0</x:v>
      </x:c>
      <x:c r="AC43" s="265" t="n">
        <x:v>0.1999999999999993</x:v>
      </x:c>
      <x:c r="AD43" s="271" t="str"/>
      <x:c r="AE43" s="274" t="str">
        <x:v>Not validated - no control/holdout</x:v>
      </x:c>
      <x:c r="AF43" s="277" t="str">
        <x:v>No exact promo-code claim found within 14 days</x:v>
      </x:c>
    </x:row>
    <x:row r="44">
      <x:c r="A44" s="252" t="str">
        <x:v>WS1-20260224-0039</x:v>
      </x:c>
      <x:c r="B44" s="253" t="str">
        <x:v>WS1</x:v>
      </x:c>
      <x:c r="C44" s="253" t="str">
        <x:v>MB8</x:v>
      </x:c>
      <x:c r="D44" s="259" t="n">
        <x:v>46077.166666666664</x:v>
      </x:c>
      <x:c r="E44" s="253" t="str">
        <x:v>522075</x:v>
      </x:c>
      <x:c r="F44" s="253" t="str">
        <x:v>myatmin84</x:v>
      </x:c>
      <x:c r="G44" s="253" t="str">
        <x:v>Yes</x:v>
      </x:c>
      <x:c r="H44" s="253" t="str">
        <x:v>Jiahui</x:v>
      </x:c>
      <x:c r="I44" s="268" t="str">
        <x:f>IFERROR(VLOOKUP(H44,'Handler-Team Map'!$A$7:$C$17,2,FALSE),"")</x:f>
      </x:c>
      <x:c r="J44" s="268" t="str">
        <x:f>IFERROR(VLOOKUP(H44,'Handler-Team Map'!$A$7:$C$17,3,FALSE),"")</x:f>
      </x:c>
      <x:c r="K44" s="274" t="str">
        <x:v>FT_VM_DEP600_GET200_5X</x:v>
      </x:c>
      <x:c r="L44" s="274" t="str">
        <x:v>FT_VM_DEP600_GET200_5X</x:v>
      </x:c>
      <x:c r="M44" s="274" t="str">
        <x:v>VM Bns - Dep600 Get200 - 5x TO</x:v>
      </x:c>
      <x:c r="N44" s="253" t="str">
        <x:v>Yes</x:v>
      </x:c>
      <x:c r="O44" s="253" t="str">
        <x:v>No</x:v>
      </x:c>
      <x:c r="P44" s="262"/>
      <x:c r="Q44" s="253" t="str"/>
      <x:c r="R44" s="265" t="n">
        <x:v>0</x:v>
      </x:c>
      <x:c r="S44" s="253" t="str">
        <x:v>Yes</x:v>
      </x:c>
      <x:c r="T44" s="265" t="n">
        <x:v>450</x:v>
      </x:c>
      <x:c r="U44" s="253" t="str">
        <x:f>IF(AND(S44="Yes",T44=0),"Yes","No")</x:f>
        <x:v>No</x:v>
      </x:c>
      <x:c r="V44" s="259"/>
      <x:c r="W44" s="265" t="n">
        <x:v>0</x:v>
      </x:c>
      <x:c r="X44" s="265" t="n">
        <x:v>0</x:v>
      </x:c>
      <x:c r="Y44" s="265" t="n">
        <x:v>0</x:v>
      </x:c>
      <x:c r="Z44" s="253" t="str">
        <x:f>IF(AND(U44="Yes",X44&gt;0),"Yes","No")</x:f>
        <x:v>No</x:v>
      </x:c>
      <x:c r="AA44" s="253" t="str">
        <x:f>IF(AND(U44="Yes",Y44&gt;0),"Yes","No")</x:f>
        <x:v>No</x:v>
      </x:c>
      <x:c r="AB44" s="265" t="n">
        <x:v>3.159999999999993</x:v>
      </x:c>
      <x:c r="AC44" s="265" t="n">
        <x:v>3.159999999999993</x:v>
      </x:c>
      <x:c r="AD44" s="271" t="str"/>
      <x:c r="AE44" s="274" t="str">
        <x:v>Not validated - no control/holdout</x:v>
      </x:c>
      <x:c r="AF44" s="277" t="str">
        <x:v>No exact promo-code claim found within 14 days</x:v>
      </x:c>
    </x:row>
    <x:row r="45">
      <x:c r="A45" s="252" t="str">
        <x:v>WS1-20260224-0040</x:v>
      </x:c>
      <x:c r="B45" s="253" t="str">
        <x:v>WS1</x:v>
      </x:c>
      <x:c r="C45" s="253" t="str">
        <x:v>MB8</x:v>
      </x:c>
      <x:c r="D45" s="259" t="n">
        <x:v>46077.166666666664</x:v>
      </x:c>
      <x:c r="E45" s="253" t="str">
        <x:v>1101295</x:v>
      </x:c>
      <x:c r="F45" s="253" t="str">
        <x:v>ngvincent264</x:v>
      </x:c>
      <x:c r="G45" s="253" t="str">
        <x:v>Yes</x:v>
      </x:c>
      <x:c r="H45" s="253" t="str">
        <x:v>Jiahui</x:v>
      </x:c>
      <x:c r="I45" s="268" t="str">
        <x:f>IFERROR(VLOOKUP(H45,'Handler-Team Map'!$A$7:$C$17,2,FALSE),"")</x:f>
      </x:c>
      <x:c r="J45" s="268" t="str">
        <x:f>IFERROR(VLOOKUP(H45,'Handler-Team Map'!$A$7:$C$17,3,FALSE),"")</x:f>
      </x:c>
      <x:c r="K45" s="274" t="str">
        <x:v>FT_VM_DEP1000_GET500_1X</x:v>
      </x:c>
      <x:c r="L45" s="274" t="str">
        <x:v>FT_VM_DEP1000_GET500_1X</x:v>
      </x:c>
      <x:c r="M45" s="274" t="str">
        <x:v>VM Bns - Dep1000 Get500 - 1x TO</x:v>
      </x:c>
      <x:c r="N45" s="253" t="str">
        <x:v>Yes</x:v>
      </x:c>
      <x:c r="O45" s="253" t="str">
        <x:v>No</x:v>
      </x:c>
      <x:c r="P45" s="262"/>
      <x:c r="Q45" s="253" t="str"/>
      <x:c r="R45" s="265" t="n">
        <x:v>0</x:v>
      </x:c>
      <x:c r="S45" s="253" t="str">
        <x:v>Yes</x:v>
      </x:c>
      <x:c r="T45" s="265" t="n">
        <x:v>5789</x:v>
      </x:c>
      <x:c r="U45" s="253" t="str">
        <x:f>IF(AND(S45="Yes",T45=0),"Yes","No")</x:f>
        <x:v>No</x:v>
      </x:c>
      <x:c r="V45" s="259" t="n">
        <x:v>46078.166666666664</x:v>
      </x:c>
      <x:c r="W45" s="265" t="n">
        <x:v>200</x:v>
      </x:c>
      <x:c r="X45" s="265" t="n">
        <x:v>400</x:v>
      </x:c>
      <x:c r="Y45" s="265" t="n">
        <x:v>400</x:v>
      </x:c>
      <x:c r="Z45" s="253" t="str">
        <x:f>IF(AND(U45="Yes",X45&gt;0),"Yes","No")</x:f>
        <x:v>No</x:v>
      </x:c>
      <x:c r="AA45" s="253" t="str">
        <x:f>IF(AND(U45="Yes",Y45&gt;0),"Yes","No")</x:f>
        <x:v>No</x:v>
      </x:c>
      <x:c r="AB45" s="265" t="n">
        <x:v>-7.2000000000000055</x:v>
      </x:c>
      <x:c r="AC45" s="265" t="n">
        <x:v>-7.2000000000000055</x:v>
      </x:c>
      <x:c r="AD45" s="271" t="str"/>
      <x:c r="AE45" s="274" t="str">
        <x:v>Not validated - no control/holdout</x:v>
      </x:c>
      <x:c r="AF45" s="277" t="str">
        <x:v>No exact promo-code claim found within 14 days</x:v>
      </x:c>
    </x:row>
    <x:row r="46">
      <x:c r="A46" s="252" t="str">
        <x:v>WS1-20260224-0041</x:v>
      </x:c>
      <x:c r="B46" s="253" t="str">
        <x:v>WS1</x:v>
      </x:c>
      <x:c r="C46" s="253" t="str">
        <x:v>MB8</x:v>
      </x:c>
      <x:c r="D46" s="259" t="n">
        <x:v>46077.166666666664</x:v>
      </x:c>
      <x:c r="E46" s="253" t="str">
        <x:v>666513</x:v>
      </x:c>
      <x:c r="F46" s="253" t="str">
        <x:v>danone</x:v>
      </x:c>
      <x:c r="G46" s="253" t="str">
        <x:v>Yes</x:v>
      </x:c>
      <x:c r="H46" s="253" t="str">
        <x:v>Jiahui</x:v>
      </x:c>
      <x:c r="I46" s="268" t="str">
        <x:f>IFERROR(VLOOKUP(H46,'Handler-Team Map'!$A$7:$C$17,2,FALSE),"")</x:f>
      </x:c>
      <x:c r="J46" s="268" t="str">
        <x:f>IFERROR(VLOOKUP(H46,'Handler-Team Map'!$A$7:$C$17,3,FALSE),"")</x:f>
      </x:c>
      <x:c r="K46" s="274" t="str">
        <x:v>FT_VM_DEP1000_GET500_5X</x:v>
      </x:c>
      <x:c r="L46" s="274" t="str">
        <x:v>FT_VM_DEP1000_GET500_5X</x:v>
      </x:c>
      <x:c r="M46" s="274" t="str">
        <x:v>VM Bns - Dep1000 Get500 - 5x TO</x:v>
      </x:c>
      <x:c r="N46" s="253" t="str">
        <x:v>Yes</x:v>
      </x:c>
      <x:c r="O46" s="253" t="str">
        <x:v>No</x:v>
      </x:c>
      <x:c r="P46" s="262"/>
      <x:c r="Q46" s="253" t="str"/>
      <x:c r="R46" s="265" t="n">
        <x:v>0</x:v>
      </x:c>
      <x:c r="S46" s="253" t="str">
        <x:v>Yes</x:v>
      </x:c>
      <x:c r="T46" s="265" t="n">
        <x:v>1920</x:v>
      </x:c>
      <x:c r="U46" s="253" t="str">
        <x:f>IF(AND(S46="Yes",T46=0),"Yes","No")</x:f>
        <x:v>No</x:v>
      </x:c>
      <x:c r="V46" s="259" t="n">
        <x:v>46077.166666666664</x:v>
      </x:c>
      <x:c r="W46" s="265" t="n">
        <x:v>170</x:v>
      </x:c>
      <x:c r="X46" s="265" t="n">
        <x:v>170</x:v>
      </x:c>
      <x:c r="Y46" s="265" t="n">
        <x:v>500</x:v>
      </x:c>
      <x:c r="Z46" s="253" t="str">
        <x:f>IF(AND(U46="Yes",X46&gt;0),"Yes","No")</x:f>
        <x:v>No</x:v>
      </x:c>
      <x:c r="AA46" s="253" t="str">
        <x:f>IF(AND(U46="Yes",Y46&gt;0),"Yes","No")</x:f>
        <x:v>No</x:v>
      </x:c>
      <x:c r="AB46" s="265" t="n">
        <x:v>171.85999999999999</x:v>
      </x:c>
      <x:c r="AC46" s="265" t="n">
        <x:v>-97.36000000000001</x:v>
      </x:c>
      <x:c r="AD46" s="271" t="str"/>
      <x:c r="AE46" s="274" t="str">
        <x:v>Not validated - no control/holdout</x:v>
      </x:c>
      <x:c r="AF46" s="277" t="str">
        <x:v>No exact promo-code claim found within 14 days</x:v>
      </x:c>
    </x:row>
    <x:row r="47">
      <x:c r="A47" s="252" t="str">
        <x:v>WS1-20260224-0042</x:v>
      </x:c>
      <x:c r="B47" s="253" t="str">
        <x:v>WS1</x:v>
      </x:c>
      <x:c r="C47" s="253" t="str">
        <x:v>MB8</x:v>
      </x:c>
      <x:c r="D47" s="259" t="n">
        <x:v>46077.166666666664</x:v>
      </x:c>
      <x:c r="E47" s="253" t="str">
        <x:v>1051205</x:v>
      </x:c>
      <x:c r="F47" s="253" t="str">
        <x:v>Sonique</x:v>
      </x:c>
      <x:c r="G47" s="253" t="str">
        <x:v>Yes</x:v>
      </x:c>
      <x:c r="H47" s="253" t="str">
        <x:v>Jiahui</x:v>
      </x:c>
      <x:c r="I47" s="268" t="str">
        <x:f>IFERROR(VLOOKUP(H47,'Handler-Team Map'!$A$7:$C$17,2,FALSE),"")</x:f>
      </x:c>
      <x:c r="J47" s="268" t="str">
        <x:f>IFERROR(VLOOKUP(H47,'Handler-Team Map'!$A$7:$C$17,3,FALSE),"")</x:f>
      </x:c>
      <x:c r="K47" s="274" t="str">
        <x:v>FT_VM_DEP600_GET200_5X</x:v>
      </x:c>
      <x:c r="L47" s="274" t="str">
        <x:v>FT_VM_DEP600_GET200_5X</x:v>
      </x:c>
      <x:c r="M47" s="274" t="str">
        <x:v>VM Bns - Dep600 Get200 - 5x TO</x:v>
      </x:c>
      <x:c r="N47" s="253" t="str">
        <x:v>Yes</x:v>
      </x:c>
      <x:c r="O47" s="253" t="str">
        <x:v>No</x:v>
      </x:c>
      <x:c r="P47" s="262"/>
      <x:c r="Q47" s="253" t="str"/>
      <x:c r="R47" s="265" t="n">
        <x:v>0</x:v>
      </x:c>
      <x:c r="S47" s="253" t="str">
        <x:v>Yes</x:v>
      </x:c>
      <x:c r="T47" s="265" t="n">
        <x:v>280</x:v>
      </x:c>
      <x:c r="U47" s="253" t="str">
        <x:f>IF(AND(S47="Yes",T47=0),"Yes","No")</x:f>
        <x:v>No</x:v>
      </x:c>
      <x:c r="V47" s="259" t="n">
        <x:v>46086.166666666664</x:v>
      </x:c>
      <x:c r="W47" s="265" t="n">
        <x:v>50</x:v>
      </x:c>
      <x:c r="X47" s="265" t="n">
        <x:v>0</x:v>
      </x:c>
      <x:c r="Y47" s="265" t="n">
        <x:v>280</x:v>
      </x:c>
      <x:c r="Z47" s="253" t="str">
        <x:f>IF(AND(U47="Yes",X47&gt;0),"Yes","No")</x:f>
        <x:v>No</x:v>
      </x:c>
      <x:c r="AA47" s="253" t="str">
        <x:f>IF(AND(U47="Yes",Y47&gt;0),"Yes","No")</x:f>
        <x:v>No</x:v>
      </x:c>
      <x:c r="AB47" s="265" t="n">
        <x:v>0</x:v>
      </x:c>
      <x:c r="AC47" s="265" t="n">
        <x:v>-548.95</x:v>
      </x:c>
      <x:c r="AD47" s="271" t="str"/>
      <x:c r="AE47" s="274" t="str">
        <x:v>Not validated - no control/holdout</x:v>
      </x:c>
      <x:c r="AF47" s="277" t="str">
        <x:v>No exact promo-code claim found within 14 days</x:v>
      </x:c>
    </x:row>
    <x:row r="48">
      <x:c r="A48" s="252" t="str">
        <x:v>WS1-20260224-0043</x:v>
      </x:c>
      <x:c r="B48" s="253" t="str">
        <x:v>WS1</x:v>
      </x:c>
      <x:c r="C48" s="253" t="str">
        <x:v>MB8</x:v>
      </x:c>
      <x:c r="D48" s="259" t="n">
        <x:v>46077.166666666664</x:v>
      </x:c>
      <x:c r="E48" s="253" t="str">
        <x:v>540384</x:v>
      </x:c>
      <x:c r="F48" s="253" t="str">
        <x:v>Lucas86</x:v>
      </x:c>
      <x:c r="G48" s="253" t="str">
        <x:v>Yes</x:v>
      </x:c>
      <x:c r="H48" s="253" t="str">
        <x:v>Sheena</x:v>
      </x:c>
      <x:c r="I48" s="268" t="str">
        <x:f>IFERROR(VLOOKUP(H48,'Handler-Team Map'!$A$7:$C$17,2,FALSE),"")</x:f>
      </x:c>
      <x:c r="J48" s="268" t="str">
        <x:f>IFERROR(VLOOKUP(H48,'Handler-Team Map'!$A$7:$C$17,3,FALSE),"")</x:f>
      </x:c>
      <x:c r="K48" s="274" t="str">
        <x:v>FT_VM_DEP600_GET200_5X</x:v>
      </x:c>
      <x:c r="L48" s="274" t="str">
        <x:v>FT_VM_DEP600_GET200_5X</x:v>
      </x:c>
      <x:c r="M48" s="274" t="str">
        <x:v>VM Bns - Dep600 Get200 - 5x TO</x:v>
      </x:c>
      <x:c r="N48" s="253" t="str">
        <x:v>Yes</x:v>
      </x:c>
      <x:c r="O48" s="253" t="str">
        <x:v>No</x:v>
      </x:c>
      <x:c r="P48" s="262"/>
      <x:c r="Q48" s="253" t="str"/>
      <x:c r="R48" s="265" t="n">
        <x:v>0</x:v>
      </x:c>
      <x:c r="S48" s="253" t="str">
        <x:v>Yes</x:v>
      </x:c>
      <x:c r="T48" s="265" t="n">
        <x:v>1644</x:v>
      </x:c>
      <x:c r="U48" s="253" t="str">
        <x:f>IF(AND(S48="Yes",T48=0),"Yes","No")</x:f>
        <x:v>No</x:v>
      </x:c>
      <x:c r="V48" s="259" t="n">
        <x:v>46078.166666666664</x:v>
      </x:c>
      <x:c r="W48" s="265" t="n">
        <x:v>90</x:v>
      </x:c>
      <x:c r="X48" s="265" t="n">
        <x:v>410</x:v>
      </x:c>
      <x:c r="Y48" s="265" t="n">
        <x:v>460</x:v>
      </x:c>
      <x:c r="Z48" s="253" t="str">
        <x:f>IF(AND(U48="Yes",X48&gt;0),"Yes","No")</x:f>
        <x:v>No</x:v>
      </x:c>
      <x:c r="AA48" s="253" t="str">
        <x:f>IF(AND(U48="Yes",Y48&gt;0),"Yes","No")</x:f>
        <x:v>No</x:v>
      </x:c>
      <x:c r="AB48" s="265" t="n">
        <x:v>411.33000000000004</x:v>
      </x:c>
      <x:c r="AC48" s="265" t="n">
        <x:v>462.63</x:v>
      </x:c>
      <x:c r="AD48" s="271" t="str"/>
      <x:c r="AE48" s="274" t="str">
        <x:v>Not validated - no control/holdout</x:v>
      </x:c>
      <x:c r="AF48" s="277" t="str">
        <x:v>No exact promo-code claim found within 14 days</x:v>
      </x:c>
    </x:row>
    <x:row r="49">
      <x:c r="A49" s="252" t="str">
        <x:v>WS1-20260224-0044</x:v>
      </x:c>
      <x:c r="B49" s="253" t="str">
        <x:v>WS1</x:v>
      </x:c>
      <x:c r="C49" s="253" t="str">
        <x:v>MB8</x:v>
      </x:c>
      <x:c r="D49" s="259" t="n">
        <x:v>46077.166666666664</x:v>
      </x:c>
      <x:c r="E49" s="253" t="str">
        <x:v>148422</x:v>
      </x:c>
      <x:c r="F49" s="253" t="str">
        <x:v>Hadi86</x:v>
      </x:c>
      <x:c r="G49" s="253" t="str">
        <x:v>Yes</x:v>
      </x:c>
      <x:c r="H49" s="253" t="str">
        <x:v>Sheena</x:v>
      </x:c>
      <x:c r="I49" s="268" t="str">
        <x:f>IFERROR(VLOOKUP(H49,'Handler-Team Map'!$A$7:$C$17,2,FALSE),"")</x:f>
      </x:c>
      <x:c r="J49" s="268" t="str">
        <x:f>IFERROR(VLOOKUP(H49,'Handler-Team Map'!$A$7:$C$17,3,FALSE),"")</x:f>
      </x:c>
      <x:c r="K49" s="274" t="str">
        <x:v>FT_VM_DEP800_GET400_2X</x:v>
      </x:c>
      <x:c r="L49" s="274" t="str">
        <x:v>FT_VM_DEP800_GET400_2X</x:v>
      </x:c>
      <x:c r="M49" s="274" t="str">
        <x:v>VM Bns - Dep800 Get400 - 2x TO</x:v>
      </x:c>
      <x:c r="N49" s="253" t="str">
        <x:v>Yes</x:v>
      </x:c>
      <x:c r="O49" s="253" t="str">
        <x:v>No</x:v>
      </x:c>
      <x:c r="P49" s="262"/>
      <x:c r="Q49" s="253" t="str"/>
      <x:c r="R49" s="265" t="n">
        <x:v>0</x:v>
      </x:c>
      <x:c r="S49" s="253" t="str">
        <x:v>Yes</x:v>
      </x:c>
      <x:c r="T49" s="265" t="n">
        <x:v>800</x:v>
      </x:c>
      <x:c r="U49" s="253" t="str">
        <x:f>IF(AND(S49="Yes",T49=0),"Yes","No")</x:f>
        <x:v>No</x:v>
      </x:c>
      <x:c r="V49" s="259" t="n">
        <x:v>46084.166666666664</x:v>
      </x:c>
      <x:c r="W49" s="265" t="n">
        <x:v>50</x:v>
      </x:c>
      <x:c r="X49" s="265" t="n">
        <x:v>0</x:v>
      </x:c>
      <x:c r="Y49" s="265" t="n">
        <x:v>110</x:v>
      </x:c>
      <x:c r="Z49" s="253" t="str">
        <x:f>IF(AND(U49="Yes",X49&gt;0),"Yes","No")</x:f>
        <x:v>No</x:v>
      </x:c>
      <x:c r="AA49" s="253" t="str">
        <x:f>IF(AND(U49="Yes",Y49&gt;0),"Yes","No")</x:f>
        <x:v>No</x:v>
      </x:c>
      <x:c r="AB49" s="265" t="n">
        <x:v>0</x:v>
      </x:c>
      <x:c r="AC49" s="265" t="n">
        <x:v>109.19</x:v>
      </x:c>
      <x:c r="AD49" s="271" t="str"/>
      <x:c r="AE49" s="274" t="str">
        <x:v>Not validated - no control/holdout</x:v>
      </x:c>
      <x:c r="AF49" s="277" t="str">
        <x:v>No exact promo-code claim found within 14 days</x:v>
      </x:c>
    </x:row>
    <x:row r="50">
      <x:c r="A50" s="252" t="str">
        <x:v>WS1-20260224-0045</x:v>
      </x:c>
      <x:c r="B50" s="253" t="str">
        <x:v>WS1</x:v>
      </x:c>
      <x:c r="C50" s="253" t="str">
        <x:v>MB8</x:v>
      </x:c>
      <x:c r="D50" s="259" t="n">
        <x:v>46077.166666666664</x:v>
      </x:c>
      <x:c r="E50" s="253" t="str">
        <x:v>494747</x:v>
      </x:c>
      <x:c r="F50" s="253" t="str">
        <x:v>onnonn0709</x:v>
      </x:c>
      <x:c r="G50" s="253" t="str">
        <x:v>Yes</x:v>
      </x:c>
      <x:c r="H50" s="253" t="str">
        <x:v>Sheena</x:v>
      </x:c>
      <x:c r="I50" s="268" t="str">
        <x:f>IFERROR(VLOOKUP(H50,'Handler-Team Map'!$A$7:$C$17,2,FALSE),"")</x:f>
      </x:c>
      <x:c r="J50" s="268" t="str">
        <x:f>IFERROR(VLOOKUP(H50,'Handler-Team Map'!$A$7:$C$17,3,FALSE),"")</x:f>
      </x:c>
      <x:c r="K50" s="274" t="str">
        <x:v>FT_VM_DEP1000_GET700_2X</x:v>
      </x:c>
      <x:c r="L50" s="274" t="str">
        <x:v>FT_VM_DEP1000_GET700_2X</x:v>
      </x:c>
      <x:c r="M50" s="274" t="str">
        <x:v>VM Bns - Dep1000 Get700 - 2x TO</x:v>
      </x:c>
      <x:c r="N50" s="253" t="str">
        <x:v>Yes</x:v>
      </x:c>
      <x:c r="O50" s="253" t="str">
        <x:v>No</x:v>
      </x:c>
      <x:c r="P50" s="262"/>
      <x:c r="Q50" s="253" t="str"/>
      <x:c r="R50" s="265" t="n">
        <x:v>0</x:v>
      </x:c>
      <x:c r="S50" s="253" t="str">
        <x:v>Yes</x:v>
      </x:c>
      <x:c r="T50" s="265" t="n">
        <x:v>1748</x:v>
      </x:c>
      <x:c r="U50" s="253" t="str">
        <x:f>IF(AND(S50="Yes",T50=0),"Yes","No")</x:f>
        <x:v>No</x:v>
      </x:c>
      <x:c r="V50" s="259" t="n">
        <x:v>46078.166666666664</x:v>
      </x:c>
      <x:c r="W50" s="265" t="n">
        <x:v>99</x:v>
      </x:c>
      <x:c r="X50" s="265" t="n">
        <x:v>99</x:v>
      </x:c>
      <x:c r="Y50" s="265" t="n">
        <x:v>188</x:v>
      </x:c>
      <x:c r="Z50" s="253" t="str">
        <x:f>IF(AND(U50="Yes",X50&gt;0),"Yes","No")</x:f>
        <x:v>No</x:v>
      </x:c>
      <x:c r="AA50" s="253" t="str">
        <x:f>IF(AND(U50="Yes",Y50&gt;0),"Yes","No")</x:f>
        <x:v>No</x:v>
      </x:c>
      <x:c r="AB50" s="265" t="n">
        <x:v>99.14</x:v>
      </x:c>
      <x:c r="AC50" s="265" t="n">
        <x:v>188.14999999999998</x:v>
      </x:c>
      <x:c r="AD50" s="271" t="str"/>
      <x:c r="AE50" s="274" t="str">
        <x:v>Not validated - no control/holdout</x:v>
      </x:c>
      <x:c r="AF50" s="277" t="str">
        <x:v>No exact promo-code claim found within 14 days</x:v>
      </x:c>
    </x:row>
    <x:row r="51">
      <x:c r="A51" s="252" t="str">
        <x:v>WS1-20260224-0046</x:v>
      </x:c>
      <x:c r="B51" s="253" t="str">
        <x:v>WS1</x:v>
      </x:c>
      <x:c r="C51" s="253" t="str">
        <x:v>MB8</x:v>
      </x:c>
      <x:c r="D51" s="259" t="n">
        <x:v>46077.166666666664</x:v>
      </x:c>
      <x:c r="E51" s="253" t="str">
        <x:v>448378</x:v>
      </x:c>
      <x:c r="F51" s="253" t="str">
        <x:v>Casshidi</x:v>
      </x:c>
      <x:c r="G51" s="253" t="str">
        <x:v>Yes</x:v>
      </x:c>
      <x:c r="H51" s="253" t="str">
        <x:v>Sheena</x:v>
      </x:c>
      <x:c r="I51" s="268" t="str">
        <x:f>IFERROR(VLOOKUP(H51,'Handler-Team Map'!$A$7:$C$17,2,FALSE),"")</x:f>
      </x:c>
      <x:c r="J51" s="268" t="str">
        <x:f>IFERROR(VLOOKUP(H51,'Handler-Team Map'!$A$7:$C$17,3,FALSE),"")</x:f>
      </x:c>
      <x:c r="K51" s="274" t="str">
        <x:v>FT_VM_DEP1000_GET500_5X</x:v>
      </x:c>
      <x:c r="L51" s="274" t="str">
        <x:v>FT_VM_DEP1000_GET500_5X</x:v>
      </x:c>
      <x:c r="M51" s="274" t="str">
        <x:v>VM Bns - Dep1000 Get500 - 5x TO</x:v>
      </x:c>
      <x:c r="N51" s="253" t="str">
        <x:v>Yes</x:v>
      </x:c>
      <x:c r="O51" s="253" t="str">
        <x:v>No</x:v>
      </x:c>
      <x:c r="P51" s="262"/>
      <x:c r="Q51" s="253" t="str"/>
      <x:c r="R51" s="265" t="n">
        <x:v>0</x:v>
      </x:c>
      <x:c r="S51" s="253" t="str">
        <x:v>Yes</x:v>
      </x:c>
      <x:c r="T51" s="265" t="n">
        <x:v>4320</x:v>
      </x:c>
      <x:c r="U51" s="253" t="str">
        <x:f>IF(AND(S51="Yes",T51=0),"Yes","No")</x:f>
        <x:v>No</x:v>
      </x:c>
      <x:c r="V51" s="259" t="n">
        <x:v>46080.166666666664</x:v>
      </x:c>
      <x:c r="W51" s="265" t="n">
        <x:v>200</x:v>
      </x:c>
      <x:c r="X51" s="265" t="n">
        <x:v>1800</x:v>
      </x:c>
      <x:c r="Y51" s="265" t="n">
        <x:v>3250</x:v>
      </x:c>
      <x:c r="Z51" s="253" t="str">
        <x:f>IF(AND(U51="Yes",X51&gt;0),"Yes","No")</x:f>
        <x:v>No</x:v>
      </x:c>
      <x:c r="AA51" s="253" t="str">
        <x:f>IF(AND(U51="Yes",Y51&gt;0),"Yes","No")</x:f>
        <x:v>No</x:v>
      </x:c>
      <x:c r="AB51" s="265" t="n">
        <x:v>196.16999999999976</x:v>
      </x:c>
      <x:c r="AC51" s="265" t="n">
        <x:v>-59.55000000000056</x:v>
      </x:c>
      <x:c r="AD51" s="271" t="str"/>
      <x:c r="AE51" s="274" t="str">
        <x:v>Not validated - no control/holdout</x:v>
      </x:c>
      <x:c r="AF51" s="277" t="str">
        <x:v>No exact promo-code claim found within 14 days</x:v>
      </x:c>
    </x:row>
    <x:row r="52">
      <x:c r="A52" s="252" t="str">
        <x:v>WS1-20260224-0047</x:v>
      </x:c>
      <x:c r="B52" s="253" t="str">
        <x:v>WS1</x:v>
      </x:c>
      <x:c r="C52" s="253" t="str">
        <x:v>MB8</x:v>
      </x:c>
      <x:c r="D52" s="259" t="n">
        <x:v>46077.166666666664</x:v>
      </x:c>
      <x:c r="E52" s="253" t="str">
        <x:v>282920</x:v>
      </x:c>
      <x:c r="F52" s="253" t="str">
        <x:v>ELHELH</x:v>
      </x:c>
      <x:c r="G52" s="253" t="str">
        <x:v>Yes</x:v>
      </x:c>
      <x:c r="H52" s="253" t="str">
        <x:v>Mikki</x:v>
      </x:c>
      <x:c r="I52" s="268" t="str">
        <x:f>IFERROR(VLOOKUP(H52,'Handler-Team Map'!$A$7:$C$17,2,FALSE),"")</x:f>
      </x:c>
      <x:c r="J52" s="268" t="str">
        <x:f>IFERROR(VLOOKUP(H52,'Handler-Team Map'!$A$7:$C$17,3,FALSE),"")</x:f>
      </x:c>
      <x:c r="K52" s="274" t="str">
        <x:v>FT_VM_DEP800_GET400_2X</x:v>
      </x:c>
      <x:c r="L52" s="274" t="str">
        <x:v>FT_VM_DEP800_GET400_2X</x:v>
      </x:c>
      <x:c r="M52" s="274" t="str">
        <x:v>VM Bns - Dep800 Get400 - 2x TO</x:v>
      </x:c>
      <x:c r="N52" s="253" t="str">
        <x:v>Yes</x:v>
      </x:c>
      <x:c r="O52" s="253" t="str">
        <x:v>No</x:v>
      </x:c>
      <x:c r="P52" s="262"/>
      <x:c r="Q52" s="253" t="str"/>
      <x:c r="R52" s="265" t="n">
        <x:v>0</x:v>
      </x:c>
      <x:c r="S52" s="253" t="str">
        <x:v>Yes</x:v>
      </x:c>
      <x:c r="T52" s="265" t="n">
        <x:v>500</x:v>
      </x:c>
      <x:c r="U52" s="253" t="str">
        <x:f>IF(AND(S52="Yes",T52=0),"Yes","No")</x:f>
        <x:v>No</x:v>
      </x:c>
      <x:c r="V52" s="259" t="n">
        <x:v>46087.166666666664</x:v>
      </x:c>
      <x:c r="W52" s="265" t="n">
        <x:v>50</x:v>
      </x:c>
      <x:c r="X52" s="265" t="n">
        <x:v>0</x:v>
      </x:c>
      <x:c r="Y52" s="265" t="n">
        <x:v>200</x:v>
      </x:c>
      <x:c r="Z52" s="253" t="str">
        <x:f>IF(AND(U52="Yes",X52&gt;0),"Yes","No")</x:f>
        <x:v>No</x:v>
      </x:c>
      <x:c r="AA52" s="253" t="str">
        <x:f>IF(AND(U52="Yes",Y52&gt;0),"Yes","No")</x:f>
        <x:v>No</x:v>
      </x:c>
      <x:c r="AB52" s="265" t="n">
        <x:v>-6.499999999999911</x:v>
      </x:c>
      <x:c r="AC52" s="265" t="n">
        <x:v>196.8800000000001</x:v>
      </x:c>
      <x:c r="AD52" s="271" t="str"/>
      <x:c r="AE52" s="274" t="str">
        <x:v>Not validated - no control/holdout</x:v>
      </x:c>
      <x:c r="AF52" s="277" t="str">
        <x:v>No exact promo-code claim found within 14 days</x:v>
      </x:c>
    </x:row>
    <x:row r="53">
      <x:c r="A53" s="252" t="str">
        <x:v>WS1-20260224-0048</x:v>
      </x:c>
      <x:c r="B53" s="253" t="str">
        <x:v>WS1</x:v>
      </x:c>
      <x:c r="C53" s="253" t="str">
        <x:v>MB8</x:v>
      </x:c>
      <x:c r="D53" s="259" t="n">
        <x:v>46077.166666666664</x:v>
      </x:c>
      <x:c r="E53" s="253" t="str">
        <x:v>968966</x:v>
      </x:c>
      <x:c r="F53" s="253" t="str">
        <x:v>Nyoi94</x:v>
      </x:c>
      <x:c r="G53" s="253" t="str">
        <x:v>Yes</x:v>
      </x:c>
      <x:c r="H53" s="253" t="str">
        <x:v>Mikki</x:v>
      </x:c>
      <x:c r="I53" s="268" t="str">
        <x:f>IFERROR(VLOOKUP(H53,'Handler-Team Map'!$A$7:$C$17,2,FALSE),"")</x:f>
      </x:c>
      <x:c r="J53" s="268" t="str">
        <x:f>IFERROR(VLOOKUP(H53,'Handler-Team Map'!$A$7:$C$17,3,FALSE),"")</x:f>
      </x:c>
      <x:c r="K53" s="274" t="str">
        <x:v>FT_VM_DEP800_GET400_1X</x:v>
      </x:c>
      <x:c r="L53" s="274" t="str">
        <x:v>FT_VM_DEP800_GET400_1X</x:v>
      </x:c>
      <x:c r="M53" s="274" t="str">
        <x:v>VM Bns - Dep800 Get400 - 1x TO</x:v>
      </x:c>
      <x:c r="N53" s="253" t="str">
        <x:v>Yes</x:v>
      </x:c>
      <x:c r="O53" s="253" t="str">
        <x:v>No</x:v>
      </x:c>
      <x:c r="P53" s="262"/>
      <x:c r="Q53" s="253" t="str"/>
      <x:c r="R53" s="265" t="n">
        <x:v>0</x:v>
      </x:c>
      <x:c r="S53" s="253" t="str">
        <x:v>Yes</x:v>
      </x:c>
      <x:c r="T53" s="265" t="n">
        <x:v>80</x:v>
      </x:c>
      <x:c r="U53" s="253" t="str">
        <x:f>IF(AND(S53="Yes",T53=0),"Yes","No")</x:f>
        <x:v>No</x:v>
      </x:c>
      <x:c r="V53" s="259" t="n">
        <x:v>46080.166666666664</x:v>
      </x:c>
      <x:c r="W53" s="265" t="n">
        <x:v>100</x:v>
      </x:c>
      <x:c r="X53" s="265" t="n">
        <x:v>100</x:v>
      </x:c>
      <x:c r="Y53" s="265" t="n">
        <x:v>100</x:v>
      </x:c>
      <x:c r="Z53" s="253" t="str">
        <x:f>IF(AND(U53="Yes",X53&gt;0),"Yes","No")</x:f>
        <x:v>No</x:v>
      </x:c>
      <x:c r="AA53" s="253" t="str">
        <x:f>IF(AND(U53="Yes",Y53&gt;0),"Yes","No")</x:f>
        <x:v>No</x:v>
      </x:c>
      <x:c r="AB53" s="265" t="n">
        <x:v>100.25</x:v>
      </x:c>
      <x:c r="AC53" s="265" t="n">
        <x:v>100.25</x:v>
      </x:c>
      <x:c r="AD53" s="271" t="str"/>
      <x:c r="AE53" s="274" t="str">
        <x:v>Not validated - no control/holdout</x:v>
      </x:c>
      <x:c r="AF53" s="277" t="str">
        <x:v>No exact promo-code claim found within 14 days</x:v>
      </x:c>
    </x:row>
    <x:row r="54">
      <x:c r="A54" s="252" t="str">
        <x:v>WS1-20260224-0049</x:v>
      </x:c>
      <x:c r="B54" s="253" t="str">
        <x:v>WS1</x:v>
      </x:c>
      <x:c r="C54" s="253" t="str">
        <x:v>MB8</x:v>
      </x:c>
      <x:c r="D54" s="259" t="n">
        <x:v>46077.166666666664</x:v>
      </x:c>
      <x:c r="E54" s="253" t="str">
        <x:v>780833</x:v>
      </x:c>
      <x:c r="F54" s="253" t="str">
        <x:v>iwan9912</x:v>
      </x:c>
      <x:c r="G54" s="253" t="str">
        <x:v>Yes</x:v>
      </x:c>
      <x:c r="H54" s="253" t="str">
        <x:v>Mikki</x:v>
      </x:c>
      <x:c r="I54" s="268" t="str">
        <x:f>IFERROR(VLOOKUP(H54,'Handler-Team Map'!$A$7:$C$17,2,FALSE),"")</x:f>
      </x:c>
      <x:c r="J54" s="268" t="str">
        <x:f>IFERROR(VLOOKUP(H54,'Handler-Team Map'!$A$7:$C$17,3,FALSE),"")</x:f>
      </x:c>
      <x:c r="K54" s="274" t="str">
        <x:v>FT_VM_DEP600_GET200_5X</x:v>
      </x:c>
      <x:c r="L54" s="274" t="str">
        <x:v>FT_VM_DEP600_GET200_5X</x:v>
      </x:c>
      <x:c r="M54" s="274" t="str">
        <x:v>VM Bns - Dep600 Get200 - 5x TO</x:v>
      </x:c>
      <x:c r="N54" s="253" t="str">
        <x:v>Yes</x:v>
      </x:c>
      <x:c r="O54" s="253" t="str">
        <x:v>No</x:v>
      </x:c>
      <x:c r="P54" s="262"/>
      <x:c r="Q54" s="253" t="str"/>
      <x:c r="R54" s="265" t="n">
        <x:v>0</x:v>
      </x:c>
      <x:c r="S54" s="253" t="str">
        <x:v>Yes</x:v>
      </x:c>
      <x:c r="T54" s="265" t="n">
        <x:v>60</x:v>
      </x:c>
      <x:c r="U54" s="253" t="str">
        <x:f>IF(AND(S54="Yes",T54=0),"Yes","No")</x:f>
        <x:v>No</x:v>
      </x:c>
      <x:c r="V54" s="259"/>
      <x:c r="W54" s="265" t="n">
        <x:v>0</x:v>
      </x:c>
      <x:c r="X54" s="265" t="n">
        <x:v>0</x:v>
      </x:c>
      <x:c r="Y54" s="265" t="n">
        <x:v>0</x:v>
      </x:c>
      <x:c r="Z54" s="253" t="str">
        <x:f>IF(AND(U54="Yes",X54&gt;0),"Yes","No")</x:f>
        <x:v>No</x:v>
      </x:c>
      <x:c r="AA54" s="253" t="str">
        <x:f>IF(AND(U54="Yes",Y54&gt;0),"Yes","No")</x:f>
        <x:v>No</x:v>
      </x:c>
      <x:c r="AB54" s="265" t="n">
        <x:v>0</x:v>
      </x:c>
      <x:c r="AC54" s="265" t="n">
        <x:v>0</x:v>
      </x:c>
      <x:c r="AD54" s="271" t="str"/>
      <x:c r="AE54" s="274" t="str">
        <x:v>Not validated - no control/holdout</x:v>
      </x:c>
      <x:c r="AF54" s="277" t="str">
        <x:v>No exact promo-code claim found within 14 days</x:v>
      </x:c>
    </x:row>
    <x:row r="55">
      <x:c r="A55" s="252" t="str">
        <x:v>WS1-20260224-0050</x:v>
      </x:c>
      <x:c r="B55" s="253" t="str">
        <x:v>WS1</x:v>
      </x:c>
      <x:c r="C55" s="253" t="str">
        <x:v>MB8</x:v>
      </x:c>
      <x:c r="D55" s="259" t="n">
        <x:v>46077.166666666664</x:v>
      </x:c>
      <x:c r="E55" s="253" t="str">
        <x:v>110195</x:v>
      </x:c>
      <x:c r="F55" s="253" t="str">
        <x:v>xXyzd5Xz</x:v>
      </x:c>
      <x:c r="G55" s="253" t="str">
        <x:v>Yes</x:v>
      </x:c>
      <x:c r="H55" s="253" t="str">
        <x:v>Mikki</x:v>
      </x:c>
      <x:c r="I55" s="268" t="str">
        <x:f>IFERROR(VLOOKUP(H55,'Handler-Team Map'!$A$7:$C$17,2,FALSE),"")</x:f>
      </x:c>
      <x:c r="J55" s="268" t="str">
        <x:f>IFERROR(VLOOKUP(H55,'Handler-Team Map'!$A$7:$C$17,3,FALSE),"")</x:f>
      </x:c>
      <x:c r="K55" s="274" t="str">
        <x:v>FT_VM_DEP600_GET200_5X</x:v>
      </x:c>
      <x:c r="L55" s="274" t="str">
        <x:v>FT_VM_DEP600_GET200_5X</x:v>
      </x:c>
      <x:c r="M55" s="274" t="str">
        <x:v>VM Bns - Dep600 Get200 - 5x TO</x:v>
      </x:c>
      <x:c r="N55" s="253" t="str">
        <x:v>Yes</x:v>
      </x:c>
      <x:c r="O55" s="253" t="str">
        <x:v>No</x:v>
      </x:c>
      <x:c r="P55" s="262"/>
      <x:c r="Q55" s="253" t="str"/>
      <x:c r="R55" s="265" t="n">
        <x:v>0</x:v>
      </x:c>
      <x:c r="S55" s="253" t="str">
        <x:v>Yes</x:v>
      </x:c>
      <x:c r="T55" s="265" t="n">
        <x:v>0</x:v>
      </x:c>
      <x:c r="U55" s="253" t="str">
        <x:f>IF(AND(S55="Yes",T55=0),"Yes","No")</x:f>
        <x:v>Yes</x:v>
      </x:c>
      <x:c r="V55" s="259" t="n">
        <x:v>46086.166666666664</x:v>
      </x:c>
      <x:c r="W55" s="265" t="n">
        <x:v>120</x:v>
      </x:c>
      <x:c r="X55" s="265" t="n">
        <x:v>0</x:v>
      </x:c>
      <x:c r="Y55" s="265" t="n">
        <x:v>570</x:v>
      </x:c>
      <x:c r="Z55" s="253" t="str">
        <x:f>IF(AND(U55="Yes",X55&gt;0),"Yes","No")</x:f>
        <x:v>No</x:v>
      </x:c>
      <x:c r="AA55" s="253" t="str">
        <x:f>IF(AND(U55="Yes",Y55&gt;0),"Yes","No")</x:f>
        <x:v>Yes</x:v>
      </x:c>
      <x:c r="AB55" s="265" t="n">
        <x:v>0</x:v>
      </x:c>
      <x:c r="AC55" s="265" t="n">
        <x:v>568.4</x:v>
      </x:c>
      <x:c r="AD55" s="271" t="str"/>
      <x:c r="AE55" s="274" t="str">
        <x:v>Not validated - no control/holdout</x:v>
      </x:c>
      <x:c r="AF55" s="277" t="str">
        <x:v>No exact promo-code claim found within 14 days</x:v>
      </x:c>
    </x:row>
    <x:row r="56">
      <x:c r="A56" s="252" t="str">
        <x:v>WS1-20260224-0051</x:v>
      </x:c>
      <x:c r="B56" s="253" t="str">
        <x:v>WS1</x:v>
      </x:c>
      <x:c r="C56" s="253" t="str">
        <x:v>MB8</x:v>
      </x:c>
      <x:c r="D56" s="259" t="n">
        <x:v>46077.166666666664</x:v>
      </x:c>
      <x:c r="E56" s="253" t="str">
        <x:v>1079285</x:v>
      </x:c>
      <x:c r="F56" s="253" t="str">
        <x:v>syana88</x:v>
      </x:c>
      <x:c r="G56" s="253" t="str">
        <x:v>Yes</x:v>
      </x:c>
      <x:c r="H56" s="253" t="str">
        <x:v>Mikki</x:v>
      </x:c>
      <x:c r="I56" s="268" t="str">
        <x:f>IFERROR(VLOOKUP(H56,'Handler-Team Map'!$A$7:$C$17,2,FALSE),"")</x:f>
      </x:c>
      <x:c r="J56" s="268" t="str">
        <x:f>IFERROR(VLOOKUP(H56,'Handler-Team Map'!$A$7:$C$17,3,FALSE),"")</x:f>
      </x:c>
      <x:c r="K56" s="274" t="str">
        <x:v>FT_VM_DEP700_GET300_1X</x:v>
      </x:c>
      <x:c r="L56" s="274" t="str">
        <x:v>FT_VM_DEP700_GET300_1X</x:v>
      </x:c>
      <x:c r="M56" s="274" t="str">
        <x:v>VM Bns - Dep700 Get300 - 1x TO</x:v>
      </x:c>
      <x:c r="N56" s="253" t="str">
        <x:v>Yes</x:v>
      </x:c>
      <x:c r="O56" s="253" t="str">
        <x:v>No</x:v>
      </x:c>
      <x:c r="P56" s="262"/>
      <x:c r="Q56" s="253" t="str"/>
      <x:c r="R56" s="265" t="n">
        <x:v>0</x:v>
      </x:c>
      <x:c r="S56" s="253" t="str">
        <x:v>Yes</x:v>
      </x:c>
      <x:c r="T56" s="265" t="n">
        <x:v>50</x:v>
      </x:c>
      <x:c r="U56" s="253" t="str">
        <x:f>IF(AND(S56="Yes",T56=0),"Yes","No")</x:f>
        <x:v>No</x:v>
      </x:c>
      <x:c r="V56" s="259"/>
      <x:c r="W56" s="265" t="n">
        <x:v>0</x:v>
      </x:c>
      <x:c r="X56" s="265" t="n">
        <x:v>0</x:v>
      </x:c>
      <x:c r="Y56" s="265" t="n">
        <x:v>0</x:v>
      </x:c>
      <x:c r="Z56" s="253" t="str">
        <x:f>IF(AND(U56="Yes",X56&gt;0),"Yes","No")</x:f>
        <x:v>No</x:v>
      </x:c>
      <x:c r="AA56" s="253" t="str">
        <x:f>IF(AND(U56="Yes",Y56&gt;0),"Yes","No")</x:f>
        <x:v>No</x:v>
      </x:c>
      <x:c r="AB56" s="265" t="n">
        <x:v>0</x:v>
      </x:c>
      <x:c r="AC56" s="265" t="n">
        <x:v>0.39</x:v>
      </x:c>
      <x:c r="AD56" s="271" t="str"/>
      <x:c r="AE56" s="274" t="str">
        <x:v>Not validated - no control/holdout</x:v>
      </x:c>
      <x:c r="AF56" s="277" t="str">
        <x:v>No exact promo-code claim found within 14 days</x:v>
      </x:c>
    </x:row>
    <x:row r="57">
      <x:c r="A57" s="252" t="str">
        <x:v>WS1-20260224-0052</x:v>
      </x:c>
      <x:c r="B57" s="253" t="str">
        <x:v>WS1</x:v>
      </x:c>
      <x:c r="C57" s="253" t="str">
        <x:v>MB8</x:v>
      </x:c>
      <x:c r="D57" s="259" t="n">
        <x:v>46077.166666666664</x:v>
      </x:c>
      <x:c r="E57" s="253" t="str">
        <x:v>1143961</x:v>
      </x:c>
      <x:c r="F57" s="253" t="str">
        <x:v>00rizal</x:v>
      </x:c>
      <x:c r="G57" s="253" t="str">
        <x:v>Yes</x:v>
      </x:c>
      <x:c r="H57" s="253" t="str">
        <x:v>Mikki</x:v>
      </x:c>
      <x:c r="I57" s="268" t="str">
        <x:f>IFERROR(VLOOKUP(H57,'Handler-Team Map'!$A$7:$C$17,2,FALSE),"")</x:f>
      </x:c>
      <x:c r="J57" s="268" t="str">
        <x:f>IFERROR(VLOOKUP(H57,'Handler-Team Map'!$A$7:$C$17,3,FALSE),"")</x:f>
      </x:c>
      <x:c r="K57" s="274" t="str">
        <x:v>FT_VM_DEP600_GET200_5X</x:v>
      </x:c>
      <x:c r="L57" s="274" t="str">
        <x:v>FT_VM_DEP600_GET200_5X</x:v>
      </x:c>
      <x:c r="M57" s="274" t="str">
        <x:v>VM Bns - Dep600 Get200 - 5x TO</x:v>
      </x:c>
      <x:c r="N57" s="253" t="str">
        <x:v>Yes</x:v>
      </x:c>
      <x:c r="O57" s="253" t="str">
        <x:v>No</x:v>
      </x:c>
      <x:c r="P57" s="262"/>
      <x:c r="Q57" s="253" t="str"/>
      <x:c r="R57" s="265" t="n">
        <x:v>0</x:v>
      </x:c>
      <x:c r="S57" s="253" t="str">
        <x:v>Yes</x:v>
      </x:c>
      <x:c r="T57" s="265" t="n">
        <x:v>0</x:v>
      </x:c>
      <x:c r="U57" s="253" t="str">
        <x:f>IF(AND(S57="Yes",T57=0),"Yes","No")</x:f>
        <x:v>Yes</x:v>
      </x:c>
      <x:c r="V57" s="259" t="n">
        <x:v>46081.166666666664</x:v>
      </x:c>
      <x:c r="W57" s="265" t="n">
        <x:v>90</x:v>
      </x:c>
      <x:c r="X57" s="265" t="n">
        <x:v>90</x:v>
      </x:c>
      <x:c r="Y57" s="265" t="n">
        <x:v>90</x:v>
      </x:c>
      <x:c r="Z57" s="253" t="str">
        <x:f>IF(AND(U57="Yes",X57&gt;0),"Yes","No")</x:f>
        <x:v>Yes</x:v>
      </x:c>
      <x:c r="AA57" s="253" t="str">
        <x:f>IF(AND(U57="Yes",Y57&gt;0),"Yes","No")</x:f>
        <x:v>Yes</x:v>
      </x:c>
      <x:c r="AB57" s="265" t="n">
        <x:v>79.63999999999955</x:v>
      </x:c>
      <x:c r="AC57" s="265" t="n">
        <x:v>89.87999999999954</x:v>
      </x:c>
      <x:c r="AD57" s="271" t="str"/>
      <x:c r="AE57" s="274" t="str">
        <x:v>Not validated - no control/holdout</x:v>
      </x:c>
      <x:c r="AF57" s="277" t="str">
        <x:v>No exact promo-code claim found within 14 days</x:v>
      </x:c>
    </x:row>
    <x:row r="58">
      <x:c r="A58" s="252" t="str">
        <x:v>WS1-20260302-0053</x:v>
      </x:c>
      <x:c r="B58" s="253" t="str">
        <x:v>WS1</x:v>
      </x:c>
      <x:c r="C58" s="253" t="str">
        <x:v>MB8</x:v>
      </x:c>
      <x:c r="D58" s="259" t="n">
        <x:v>46083.166666666664</x:v>
      </x:c>
      <x:c r="E58" s="253" t="str">
        <x:v>605222</x:v>
      </x:c>
      <x:c r="F58" s="253" t="str">
        <x:v>jackjmbu</x:v>
      </x:c>
      <x:c r="G58" s="253" t="str">
        <x:v>Yes</x:v>
      </x:c>
      <x:c r="H58" s="253" t="str">
        <x:v>Jiahui</x:v>
      </x:c>
      <x:c r="I58" s="268" t="str">
        <x:f>IFERROR(VLOOKUP(H58,'Handler-Team Map'!$A$7:$C$17,2,FALSE),"")</x:f>
      </x:c>
      <x:c r="J58" s="268" t="str">
        <x:f>IFERROR(VLOOKUP(H58,'Handler-Team Map'!$A$7:$C$17,3,FALSE),"")</x:f>
      </x:c>
      <x:c r="K58" s="274" t="str">
        <x:v>(MID) - VM_DEP600_GET200_5X</x:v>
      </x:c>
      <x:c r="L58" s="274" t="str">
        <x:v>FT_VM_DEP600_GET200_5X</x:v>
      </x:c>
      <x:c r="M58" s="274" t="str">
        <x:v>VM Bns - Dep600 Get200 - 5x TO</x:v>
      </x:c>
      <x:c r="N58" s="253" t="str">
        <x:v>Yes</x:v>
      </x:c>
      <x:c r="O58" s="253" t="str">
        <x:v>No</x:v>
      </x:c>
      <x:c r="P58" s="262"/>
      <x:c r="Q58" s="253" t="str"/>
      <x:c r="R58" s="265" t="n">
        <x:v>0</x:v>
      </x:c>
      <x:c r="S58" s="253" t="str">
        <x:v>Yes</x:v>
      </x:c>
      <x:c r="T58" s="265" t="n">
        <x:v>21760</x:v>
      </x:c>
      <x:c r="U58" s="253" t="str">
        <x:f>IF(AND(S58="Yes",T58=0),"Yes","No")</x:f>
        <x:v>No</x:v>
      </x:c>
      <x:c r="V58" s="259" t="n">
        <x:v>46084.166666666664</x:v>
      </x:c>
      <x:c r="W58" s="265" t="n">
        <x:v>2250</x:v>
      </x:c>
      <x:c r="X58" s="265" t="n">
        <x:v>2250</x:v>
      </x:c>
      <x:c r="Y58" s="265" t="n">
        <x:v>7450</x:v>
      </x:c>
      <x:c r="Z58" s="253" t="str">
        <x:f>IF(AND(U58="Yes",X58&gt;0),"Yes","No")</x:f>
        <x:v>No</x:v>
      </x:c>
      <x:c r="AA58" s="253" t="str">
        <x:f>IF(AND(U58="Yes",Y58&gt;0),"Yes","No")</x:f>
        <x:v>No</x:v>
      </x:c>
      <x:c r="AB58" s="265" t="n">
        <x:v>2272.3999999999996</x:v>
      </x:c>
      <x:c r="AC58" s="265" t="n">
        <x:v>7482.89</x:v>
      </x:c>
      <x:c r="AD58" s="271" t="str"/>
      <x:c r="AE58" s="274" t="str">
        <x:v>Not validated - no control/holdout</x:v>
      </x:c>
      <x:c r="AF58" s="277" t="str">
        <x:v>No exact promo-code claim found within 14 days</x:v>
      </x:c>
    </x:row>
    <x:row r="59">
      <x:c r="A59" s="252" t="str">
        <x:v>WS1-20260309-0054</x:v>
      </x:c>
      <x:c r="B59" s="253" t="str">
        <x:v>WS1</x:v>
      </x:c>
      <x:c r="C59" s="253" t="str">
        <x:v>MB8</x:v>
      </x:c>
      <x:c r="D59" s="259" t="n">
        <x:v>46090.166666666664</x:v>
      </x:c>
      <x:c r="E59" s="253" t="str">
        <x:v>145495</x:v>
      </x:c>
      <x:c r="F59" s="253" t="str">
        <x:v>Athurson</x:v>
      </x:c>
      <x:c r="G59" s="253" t="str">
        <x:v>Yes</x:v>
      </x:c>
      <x:c r="H59" s="253" t="str">
        <x:v>zhen</x:v>
      </x:c>
      <x:c r="I59" s="268" t="str">
        <x:f>IFERROR(VLOOKUP(H59,'Handler-Team Map'!$A$7:$C$17,2,FALSE),"")</x:f>
      </x:c>
      <x:c r="J59" s="268" t="str">
        <x:f>IFERROR(VLOOKUP(H59,'Handler-Team Map'!$A$7:$C$17,3,FALSE),"")</x:f>
      </x:c>
      <x:c r="K59" s="274" t="str">
        <x:v>FT_VM_FC_VARIABLE_5X - MYR 1288</x:v>
      </x:c>
      <x:c r="L59" s="274" t="str">
        <x:v>FT_VM_FC_VARIABLE_5X</x:v>
      </x:c>
      <x:c r="M59" s="274" t="str">
        <x:v>VM Bns - Free Credit - 5x TO</x:v>
      </x:c>
      <x:c r="N59" s="253" t="str">
        <x:v>Yes</x:v>
      </x:c>
      <x:c r="O59" s="253" t="str">
        <x:v>No</x:v>
      </x:c>
      <x:c r="P59" s="262"/>
      <x:c r="Q59" s="253" t="str"/>
      <x:c r="R59" s="265" t="n">
        <x:v>0</x:v>
      </x:c>
      <x:c r="S59" s="253" t="str">
        <x:v>Yes</x:v>
      </x:c>
      <x:c r="T59" s="265" t="n">
        <x:v>3025</x:v>
      </x:c>
      <x:c r="U59" s="253" t="str">
        <x:f>IF(AND(S59="Yes",T59=0),"Yes","No")</x:f>
        <x:v>No</x:v>
      </x:c>
      <x:c r="V59" s="259"/>
      <x:c r="W59" s="265" t="n">
        <x:v>0</x:v>
      </x:c>
      <x:c r="X59" s="265" t="n">
        <x:v>0</x:v>
      </x:c>
      <x:c r="Y59" s="265" t="n">
        <x:v>0</x:v>
      </x:c>
      <x:c r="Z59" s="253" t="str">
        <x:f>IF(AND(U59="Yes",X59&gt;0),"Yes","No")</x:f>
        <x:v>No</x:v>
      </x:c>
      <x:c r="AA59" s="253" t="str">
        <x:f>IF(AND(U59="Yes",Y59&gt;0),"Yes","No")</x:f>
        <x:v>No</x:v>
      </x:c>
      <x:c r="AB59" s="265" t="n">
        <x:v>0</x:v>
      </x:c>
      <x:c r="AC59" s="265" t="n">
        <x:v>0</x:v>
      </x:c>
      <x:c r="AD59" s="271" t="str"/>
      <x:c r="AE59" s="274" t="str">
        <x:v>Not validated - no control/holdout</x:v>
      </x:c>
      <x:c r="AF59" s="277" t="str">
        <x:v>No exact promo-code claim found within 14 days</x:v>
      </x:c>
    </x:row>
    <x:row r="60">
      <x:c r="A60" s="252" t="str">
        <x:v>WS1-20260309-0055</x:v>
      </x:c>
      <x:c r="B60" s="253" t="str">
        <x:v>WS1</x:v>
      </x:c>
      <x:c r="C60" s="253" t="str">
        <x:v>MB8</x:v>
      </x:c>
      <x:c r="D60" s="259" t="n">
        <x:v>46090.166666666664</x:v>
      </x:c>
      <x:c r="E60" s="253" t="str">
        <x:v>201156</x:v>
      </x:c>
      <x:c r="F60" s="253" t="str">
        <x:v>Patsha24</x:v>
      </x:c>
      <x:c r="G60" s="253" t="str">
        <x:v>Yes</x:v>
      </x:c>
      <x:c r="H60" s="253" t="str">
        <x:v>zhen</x:v>
      </x:c>
      <x:c r="I60" s="268" t="str">
        <x:f>IFERROR(VLOOKUP(H60,'Handler-Team Map'!$A$7:$C$17,2,FALSE),"")</x:f>
      </x:c>
      <x:c r="J60" s="268" t="str">
        <x:f>IFERROR(VLOOKUP(H60,'Handler-Team Map'!$A$7:$C$17,3,FALSE),"")</x:f>
      </x:c>
      <x:c r="K60" s="274" t="str">
        <x:v>FT_VM_FC_VARIABLE_5X - MYR 1288</x:v>
      </x:c>
      <x:c r="L60" s="274" t="str">
        <x:v>FT_VM_FC_VARIABLE_5X</x:v>
      </x:c>
      <x:c r="M60" s="274" t="str">
        <x:v>VM Bns - Free Credit - 5x TO</x:v>
      </x:c>
      <x:c r="N60" s="253" t="str">
        <x:v>Yes</x:v>
      </x:c>
      <x:c r="O60" s="253" t="str">
        <x:v>No</x:v>
      </x:c>
      <x:c r="P60" s="262"/>
      <x:c r="Q60" s="253" t="str"/>
      <x:c r="R60" s="265" t="n">
        <x:v>0</x:v>
      </x:c>
      <x:c r="S60" s="253" t="str">
        <x:v>Yes</x:v>
      </x:c>
      <x:c r="T60" s="265" t="n">
        <x:v>620</x:v>
      </x:c>
      <x:c r="U60" s="253" t="str">
        <x:f>IF(AND(S60="Yes",T60=0),"Yes","No")</x:f>
        <x:v>No</x:v>
      </x:c>
      <x:c r="V60" s="259"/>
      <x:c r="W60" s="265" t="n">
        <x:v>0</x:v>
      </x:c>
      <x:c r="X60" s="265" t="n">
        <x:v>0</x:v>
      </x:c>
      <x:c r="Y60" s="265" t="n">
        <x:v>0</x:v>
      </x:c>
      <x:c r="Z60" s="253" t="str">
        <x:f>IF(AND(U60="Yes",X60&gt;0),"Yes","No")</x:f>
        <x:v>No</x:v>
      </x:c>
      <x:c r="AA60" s="253" t="str">
        <x:f>IF(AND(U60="Yes",Y60&gt;0),"Yes","No")</x:f>
        <x:v>No</x:v>
      </x:c>
      <x:c r="AB60" s="265" t="n">
        <x:v>0</x:v>
      </x:c>
      <x:c r="AC60" s="265" t="n">
        <x:v>0</x:v>
      </x:c>
      <x:c r="AD60" s="271" t="str"/>
      <x:c r="AE60" s="274" t="str">
        <x:v>Not validated - no control/holdout</x:v>
      </x:c>
      <x:c r="AF60" s="277" t="str">
        <x:v>No exact promo-code claim found within 14 days</x:v>
      </x:c>
    </x:row>
    <x:row r="61">
      <x:c r="A61" s="252" t="str">
        <x:v>WS1-20260309-0056</x:v>
      </x:c>
      <x:c r="B61" s="253" t="str">
        <x:v>WS1</x:v>
      </x:c>
      <x:c r="C61" s="253" t="str">
        <x:v>MB8</x:v>
      </x:c>
      <x:c r="D61" s="259" t="n">
        <x:v>46090.166666666664</x:v>
      </x:c>
      <x:c r="E61" s="253" t="str">
        <x:v>568212</x:v>
      </x:c>
      <x:c r="F61" s="253" t="str">
        <x:v>Vellatexas</x:v>
      </x:c>
      <x:c r="G61" s="253" t="str">
        <x:v>Yes</x:v>
      </x:c>
      <x:c r="H61" s="253" t="str">
        <x:v>zhen</x:v>
      </x:c>
      <x:c r="I61" s="268" t="str">
        <x:f>IFERROR(VLOOKUP(H61,'Handler-Team Map'!$A$7:$C$17,2,FALSE),"")</x:f>
      </x:c>
      <x:c r="J61" s="268" t="str">
        <x:f>IFERROR(VLOOKUP(H61,'Handler-Team Map'!$A$7:$C$17,3,FALSE),"")</x:f>
      </x:c>
      <x:c r="K61" s="274" t="str">
        <x:v>FT_VM_DEP1000_GET500_5X</x:v>
      </x:c>
      <x:c r="L61" s="274" t="str">
        <x:v>FT_VM_DEP1000_GET500_5X</x:v>
      </x:c>
      <x:c r="M61" s="274" t="str">
        <x:v>VM Bns - Dep1000 Get500 - 5x TO</x:v>
      </x:c>
      <x:c r="N61" s="253" t="str">
        <x:v>Yes</x:v>
      </x:c>
      <x:c r="O61" s="253" t="str">
        <x:v>No</x:v>
      </x:c>
      <x:c r="P61" s="262"/>
      <x:c r="Q61" s="253" t="str"/>
      <x:c r="R61" s="265" t="n">
        <x:v>0</x:v>
      </x:c>
      <x:c r="S61" s="253" t="str">
        <x:v>Yes</x:v>
      </x:c>
      <x:c r="T61" s="265" t="n">
        <x:v>22441</x:v>
      </x:c>
      <x:c r="U61" s="253" t="str">
        <x:f>IF(AND(S61="Yes",T61=0),"Yes","No")</x:f>
        <x:v>No</x:v>
      </x:c>
      <x:c r="V61" s="259" t="n">
        <x:v>46092.166666666664</x:v>
      </x:c>
      <x:c r="W61" s="265" t="n">
        <x:v>100</x:v>
      </x:c>
      <x:c r="X61" s="265" t="n">
        <x:v>309</x:v>
      </x:c>
      <x:c r="Y61" s="265" t="n">
        <x:v>309</x:v>
      </x:c>
      <x:c r="Z61" s="253" t="str">
        <x:f>IF(AND(U61="Yes",X61&gt;0),"Yes","No")</x:f>
        <x:v>No</x:v>
      </x:c>
      <x:c r="AA61" s="253" t="str">
        <x:f>IF(AND(U61="Yes",Y61&gt;0),"Yes","No")</x:f>
        <x:v>No</x:v>
      </x:c>
      <x:c r="AB61" s="265" t="n">
        <x:v>309.68</x:v>
      </x:c>
      <x:c r="AC61" s="265" t="n">
        <x:v>309.68</x:v>
      </x:c>
      <x:c r="AD61" s="271" t="str"/>
      <x:c r="AE61" s="274" t="str">
        <x:v>Not validated - no control/holdout</x:v>
      </x:c>
      <x:c r="AF61" s="277" t="str">
        <x:v>No exact promo-code claim found within 14 days</x:v>
      </x:c>
    </x:row>
    <x:row r="62">
      <x:c r="A62" s="252" t="str">
        <x:v>WS1-20260309-0057</x:v>
      </x:c>
      <x:c r="B62" s="253" t="str">
        <x:v>WS1</x:v>
      </x:c>
      <x:c r="C62" s="253" t="str">
        <x:v>MB8</x:v>
      </x:c>
      <x:c r="D62" s="259" t="n">
        <x:v>46090.166666666664</x:v>
      </x:c>
      <x:c r="E62" s="253" t="str">
        <x:v>558227</x:v>
      </x:c>
      <x:c r="F62" s="253" t="str">
        <x:v>Mohan5283</x:v>
      </x:c>
      <x:c r="G62" s="253" t="str">
        <x:v>Yes</x:v>
      </x:c>
      <x:c r="H62" s="253" t="str">
        <x:v>zhen</x:v>
      </x:c>
      <x:c r="I62" s="268" t="str">
        <x:f>IFERROR(VLOOKUP(H62,'Handler-Team Map'!$A$7:$C$17,2,FALSE),"")</x:f>
      </x:c>
      <x:c r="J62" s="268" t="str">
        <x:f>IFERROR(VLOOKUP(H62,'Handler-Team Map'!$A$7:$C$17,3,FALSE),"")</x:f>
      </x:c>
      <x:c r="K62" s="274" t="str">
        <x:v>FT_VM_DEP1000_GET500_5X</x:v>
      </x:c>
      <x:c r="L62" s="274" t="str">
        <x:v>FT_VM_DEP1000_GET500_5X</x:v>
      </x:c>
      <x:c r="M62" s="274" t="str">
        <x:v>VM Bns - Dep1000 Get500 - 5x TO</x:v>
      </x:c>
      <x:c r="N62" s="253" t="str">
        <x:v>Yes</x:v>
      </x:c>
      <x:c r="O62" s="253" t="str">
        <x:v>No</x:v>
      </x:c>
      <x:c r="P62" s="262"/>
      <x:c r="Q62" s="253" t="str"/>
      <x:c r="R62" s="265" t="n">
        <x:v>0</x:v>
      </x:c>
      <x:c r="S62" s="253" t="str">
        <x:v>Yes</x:v>
      </x:c>
      <x:c r="T62" s="265" t="n">
        <x:v>340</x:v>
      </x:c>
      <x:c r="U62" s="253" t="str">
        <x:f>IF(AND(S62="Yes",T62=0),"Yes","No")</x:f>
        <x:v>No</x:v>
      </x:c>
      <x:c r="V62" s="259" t="n">
        <x:v>46094.166666666664</x:v>
      </x:c>
      <x:c r="W62" s="265" t="n">
        <x:v>30</x:v>
      </x:c>
      <x:c r="X62" s="265" t="n">
        <x:v>70</x:v>
      </x:c>
      <x:c r="Y62" s="265" t="n">
        <x:v>240</x:v>
      </x:c>
      <x:c r="Z62" s="253" t="str">
        <x:f>IF(AND(U62="Yes",X62&gt;0),"Yes","No")</x:f>
        <x:v>No</x:v>
      </x:c>
      <x:c r="AA62" s="253" t="str">
        <x:f>IF(AND(U62="Yes",Y62&gt;0),"Yes","No")</x:f>
        <x:v>No</x:v>
      </x:c>
      <x:c r="AB62" s="265" t="n">
        <x:v>69.85000000000001</x:v>
      </x:c>
      <x:c r="AC62" s="265" t="n">
        <x:v>91.93</x:v>
      </x:c>
      <x:c r="AD62" s="271" t="str"/>
      <x:c r="AE62" s="274" t="str">
        <x:v>Not validated - no control/holdout</x:v>
      </x:c>
      <x:c r="AF62" s="277" t="str">
        <x:v>No exact promo-code claim found within 14 days</x:v>
      </x:c>
    </x:row>
    <x:row r="63">
      <x:c r="A63" s="252" t="str">
        <x:v>WS1-20260309-0058</x:v>
      </x:c>
      <x:c r="B63" s="253" t="str">
        <x:v>WS1</x:v>
      </x:c>
      <x:c r="C63" s="253" t="str">
        <x:v>MB8</x:v>
      </x:c>
      <x:c r="D63" s="259" t="n">
        <x:v>46090.166666666664</x:v>
      </x:c>
      <x:c r="E63" s="253" t="str">
        <x:v>670803</x:v>
      </x:c>
      <x:c r="F63" s="253" t="str">
        <x:v>aaaaakk22</x:v>
      </x:c>
      <x:c r="G63" s="253" t="str">
        <x:v>Yes</x:v>
      </x:c>
      <x:c r="H63" s="253" t="str">
        <x:v>zhen</x:v>
      </x:c>
      <x:c r="I63" s="268" t="str">
        <x:f>IFERROR(VLOOKUP(H63,'Handler-Team Map'!$A$7:$C$17,2,FALSE),"")</x:f>
      </x:c>
      <x:c r="J63" s="268" t="str">
        <x:f>IFERROR(VLOOKUP(H63,'Handler-Team Map'!$A$7:$C$17,3,FALSE),"")</x:f>
      </x:c>
      <x:c r="K63" s="274" t="str">
        <x:v>FT_VM_DEP1000_GET500_5X</x:v>
      </x:c>
      <x:c r="L63" s="274" t="str">
        <x:v>FT_VM_DEP1000_GET500_5X</x:v>
      </x:c>
      <x:c r="M63" s="274" t="str">
        <x:v>VM Bns - Dep1000 Get500 - 5x TO</x:v>
      </x:c>
      <x:c r="N63" s="253" t="str">
        <x:v>Yes</x:v>
      </x:c>
      <x:c r="O63" s="253" t="str">
        <x:v>No</x:v>
      </x:c>
      <x:c r="P63" s="262"/>
      <x:c r="Q63" s="253" t="str"/>
      <x:c r="R63" s="265" t="n">
        <x:v>0</x:v>
      </x:c>
      <x:c r="S63" s="253" t="str">
        <x:v>Yes</x:v>
      </x:c>
      <x:c r="T63" s="265" t="n">
        <x:v>10401</x:v>
      </x:c>
      <x:c r="U63" s="253" t="str">
        <x:f>IF(AND(S63="Yes",T63=0),"Yes","No")</x:f>
        <x:v>No</x:v>
      </x:c>
      <x:c r="V63" s="259" t="n">
        <x:v>46090.166666666664</x:v>
      </x:c>
      <x:c r="W63" s="265" t="n">
        <x:v>450</x:v>
      </x:c>
      <x:c r="X63" s="265" t="n">
        <x:v>2560</x:v>
      </x:c>
      <x:c r="Y63" s="265" t="n">
        <x:v>3040</x:v>
      </x:c>
      <x:c r="Z63" s="253" t="str">
        <x:f>IF(AND(U63="Yes",X63&gt;0),"Yes","No")</x:f>
        <x:v>No</x:v>
      </x:c>
      <x:c r="AA63" s="253" t="str">
        <x:f>IF(AND(U63="Yes",Y63&gt;0),"Yes","No")</x:f>
        <x:v>No</x:v>
      </x:c>
      <x:c r="AB63" s="265" t="n">
        <x:v>-2768.3100000000004</x:v>
      </x:c>
      <x:c r="AC63" s="265" t="n">
        <x:v>-2287.4600000000005</x:v>
      </x:c>
      <x:c r="AD63" s="271" t="str"/>
      <x:c r="AE63" s="274" t="str">
        <x:v>Not validated - no control/holdout</x:v>
      </x:c>
      <x:c r="AF63" s="277" t="str">
        <x:v>No exact promo-code claim found within 14 days</x:v>
      </x:c>
    </x:row>
    <x:row r="64">
      <x:c r="A64" s="252" t="str">
        <x:v>WS1-20260309-0059</x:v>
      </x:c>
      <x:c r="B64" s="253" t="str">
        <x:v>WS1</x:v>
      </x:c>
      <x:c r="C64" s="253" t="str">
        <x:v>MB8</x:v>
      </x:c>
      <x:c r="D64" s="259" t="n">
        <x:v>46090.166666666664</x:v>
      </x:c>
      <x:c r="E64" s="253" t="str">
        <x:v>266564</x:v>
      </x:c>
      <x:c r="F64" s="253" t="str">
        <x:v>Vodka74838e8</x:v>
      </x:c>
      <x:c r="G64" s="253" t="str">
        <x:v>Yes</x:v>
      </x:c>
      <x:c r="H64" s="253" t="str">
        <x:v>zhen</x:v>
      </x:c>
      <x:c r="I64" s="268" t="str">
        <x:f>IFERROR(VLOOKUP(H64,'Handler-Team Map'!$A$7:$C$17,2,FALSE),"")</x:f>
      </x:c>
      <x:c r="J64" s="268" t="str">
        <x:f>IFERROR(VLOOKUP(H64,'Handler-Team Map'!$A$7:$C$17,3,FALSE),"")</x:f>
      </x:c>
      <x:c r="K64" s="274" t="str">
        <x:v>FT_VM_DEP1000_GET500_5X</x:v>
      </x:c>
      <x:c r="L64" s="274" t="str">
        <x:v>FT_VM_DEP1000_GET500_5X</x:v>
      </x:c>
      <x:c r="M64" s="274" t="str">
        <x:v>VM Bns - Dep1000 Get500 - 5x TO</x:v>
      </x:c>
      <x:c r="N64" s="253" t="str">
        <x:v>Yes</x:v>
      </x:c>
      <x:c r="O64" s="253" t="str">
        <x:v>No</x:v>
      </x:c>
      <x:c r="P64" s="262"/>
      <x:c r="Q64" s="253" t="str"/>
      <x:c r="R64" s="265" t="n">
        <x:v>0</x:v>
      </x:c>
      <x:c r="S64" s="253" t="str">
        <x:v>Yes</x:v>
      </x:c>
      <x:c r="T64" s="265" t="n">
        <x:v>31200</x:v>
      </x:c>
      <x:c r="U64" s="253" t="str">
        <x:f>IF(AND(S64="Yes",T64=0),"Yes","No")</x:f>
        <x:v>No</x:v>
      </x:c>
      <x:c r="V64" s="259" t="n">
        <x:v>46091.166666666664</x:v>
      </x:c>
      <x:c r="W64" s="265" t="n">
        <x:v>100</x:v>
      </x:c>
      <x:c r="X64" s="265" t="n">
        <x:v>1375</x:v>
      </x:c>
      <x:c r="Y64" s="265" t="n">
        <x:v>1375</x:v>
      </x:c>
      <x:c r="Z64" s="253" t="str">
        <x:f>IF(AND(U64="Yes",X64&gt;0),"Yes","No")</x:f>
        <x:v>No</x:v>
      </x:c>
      <x:c r="AA64" s="253" t="str">
        <x:f>IF(AND(U64="Yes",Y64&gt;0),"Yes","No")</x:f>
        <x:v>No</x:v>
      </x:c>
      <x:c r="AB64" s="265" t="n">
        <x:v>1375</x:v>
      </x:c>
      <x:c r="AC64" s="265" t="n">
        <x:v>1375.18</x:v>
      </x:c>
      <x:c r="AD64" s="271" t="str"/>
      <x:c r="AE64" s="274" t="str">
        <x:v>Not validated - no control/holdout</x:v>
      </x:c>
      <x:c r="AF64" s="277" t="str">
        <x:v>No exact promo-code claim found within 14 days</x:v>
      </x:c>
    </x:row>
    <x:row r="65">
      <x:c r="A65" s="252" t="str">
        <x:v>WS1-20260309-0060</x:v>
      </x:c>
      <x:c r="B65" s="253" t="str">
        <x:v>WS1</x:v>
      </x:c>
      <x:c r="C65" s="253" t="str">
        <x:v>MB8</x:v>
      </x:c>
      <x:c r="D65" s="259" t="n">
        <x:v>46090.166666666664</x:v>
      </x:c>
      <x:c r="E65" s="253" t="str">
        <x:v>575445</x:v>
      </x:c>
      <x:c r="F65" s="253" t="str">
        <x:v>thanioruvan360</x:v>
      </x:c>
      <x:c r="G65" s="253" t="str">
        <x:v>Yes</x:v>
      </x:c>
      <x:c r="H65" s="253" t="str">
        <x:v>zhen</x:v>
      </x:c>
      <x:c r="I65" s="268" t="str">
        <x:f>IFERROR(VLOOKUP(H65,'Handler-Team Map'!$A$7:$C$17,2,FALSE),"")</x:f>
      </x:c>
      <x:c r="J65" s="268" t="str">
        <x:f>IFERROR(VLOOKUP(H65,'Handler-Team Map'!$A$7:$C$17,3,FALSE),"")</x:f>
      </x:c>
      <x:c r="K65" s="274" t="str">
        <x:v>FT_VM_FC_VARIABLE_8X - MYR 1088</x:v>
      </x:c>
      <x:c r="L65" s="274" t="str">
        <x:v>FT_VM_FC_VARIABLE_8X</x:v>
      </x:c>
      <x:c r="M65" s="274" t="str">
        <x:v>VM Bns - Free Credit - 8x TO</x:v>
      </x:c>
      <x:c r="N65" s="253" t="str">
        <x:v>Yes</x:v>
      </x:c>
      <x:c r="O65" s="253" t="str">
        <x:v>No</x:v>
      </x:c>
      <x:c r="P65" s="262"/>
      <x:c r="Q65" s="253" t="str"/>
      <x:c r="R65" s="265" t="n">
        <x:v>0</x:v>
      </x:c>
      <x:c r="S65" s="253" t="str">
        <x:v>Yes</x:v>
      </x:c>
      <x:c r="T65" s="265" t="n">
        <x:v>1300</x:v>
      </x:c>
      <x:c r="U65" s="253" t="str">
        <x:f>IF(AND(S65="Yes",T65=0),"Yes","No")</x:f>
        <x:v>No</x:v>
      </x:c>
      <x:c r="V65" s="259"/>
      <x:c r="W65" s="265" t="n">
        <x:v>0</x:v>
      </x:c>
      <x:c r="X65" s="265" t="n">
        <x:v>0</x:v>
      </x:c>
      <x:c r="Y65" s="265" t="n">
        <x:v>0</x:v>
      </x:c>
      <x:c r="Z65" s="253" t="str">
        <x:f>IF(AND(U65="Yes",X65&gt;0),"Yes","No")</x:f>
        <x:v>No</x:v>
      </x:c>
      <x:c r="AA65" s="253" t="str">
        <x:f>IF(AND(U65="Yes",Y65&gt;0),"Yes","No")</x:f>
        <x:v>No</x:v>
      </x:c>
      <x:c r="AB65" s="265" t="n">
        <x:v>0</x:v>
      </x:c>
      <x:c r="AC65" s="265" t="n">
        <x:v>0</x:v>
      </x:c>
      <x:c r="AD65" s="271" t="str"/>
      <x:c r="AE65" s="274" t="str">
        <x:v>Not validated - no control/holdout</x:v>
      </x:c>
      <x:c r="AF65" s="277" t="str">
        <x:v>No exact promo-code claim found within 14 days</x:v>
      </x:c>
    </x:row>
    <x:row r="66">
      <x:c r="A66" s="252" t="str">
        <x:v>WS1-20260309-0061</x:v>
      </x:c>
      <x:c r="B66" s="253" t="str">
        <x:v>WS1</x:v>
      </x:c>
      <x:c r="C66" s="253" t="str">
        <x:v>MB8</x:v>
      </x:c>
      <x:c r="D66" s="259" t="n">
        <x:v>46090.166666666664</x:v>
      </x:c>
      <x:c r="E66" s="253" t="str">
        <x:v>428603</x:v>
      </x:c>
      <x:c r="F66" s="253" t="str">
        <x:v>renz45</x:v>
      </x:c>
      <x:c r="G66" s="253" t="str">
        <x:v>Yes</x:v>
      </x:c>
      <x:c r="H66" s="253" t="str">
        <x:v>zhen</x:v>
      </x:c>
      <x:c r="I66" s="268" t="str">
        <x:f>IFERROR(VLOOKUP(H66,'Handler-Team Map'!$A$7:$C$17,2,FALSE),"")</x:f>
      </x:c>
      <x:c r="J66" s="268" t="str">
        <x:f>IFERROR(VLOOKUP(H66,'Handler-Team Map'!$A$7:$C$17,3,FALSE),"")</x:f>
      </x:c>
      <x:c r="K66" s="274" t="str">
        <x:v>FT_VM_DEP1000_GET500_5X</x:v>
      </x:c>
      <x:c r="L66" s="274" t="str">
        <x:v>FT_VM_DEP1000_GET500_5X</x:v>
      </x:c>
      <x:c r="M66" s="274" t="str">
        <x:v>VM Bns - Dep1000 Get500 - 5x TO</x:v>
      </x:c>
      <x:c r="N66" s="253" t="str">
        <x:v>Yes</x:v>
      </x:c>
      <x:c r="O66" s="253" t="str">
        <x:v>No</x:v>
      </x:c>
      <x:c r="P66" s="262"/>
      <x:c r="Q66" s="253" t="str"/>
      <x:c r="R66" s="265" t="n">
        <x:v>0</x:v>
      </x:c>
      <x:c r="S66" s="253" t="str">
        <x:v>Yes</x:v>
      </x:c>
      <x:c r="T66" s="265" t="n">
        <x:v>21936</x:v>
      </x:c>
      <x:c r="U66" s="253" t="str">
        <x:f>IF(AND(S66="Yes",T66=0),"Yes","No")</x:f>
        <x:v>No</x:v>
      </x:c>
      <x:c r="V66" s="259" t="n">
        <x:v>46090.166666666664</x:v>
      </x:c>
      <x:c r="W66" s="265" t="n">
        <x:v>2990</x:v>
      </x:c>
      <x:c r="X66" s="265" t="n">
        <x:v>5890</x:v>
      </x:c>
      <x:c r="Y66" s="265" t="n">
        <x:v>8195</x:v>
      </x:c>
      <x:c r="Z66" s="253" t="str">
        <x:f>IF(AND(U66="Yes",X66&gt;0),"Yes","No")</x:f>
        <x:v>No</x:v>
      </x:c>
      <x:c r="AA66" s="253" t="str">
        <x:f>IF(AND(U66="Yes",Y66&gt;0),"Yes","No")</x:f>
        <x:v>No</x:v>
      </x:c>
      <x:c r="AB66" s="265" t="n">
        <x:v>-1875.1300000000008</x:v>
      </x:c>
      <x:c r="AC66" s="265" t="n">
        <x:v>373.8999999999999</x:v>
      </x:c>
      <x:c r="AD66" s="271" t="str"/>
      <x:c r="AE66" s="274" t="str">
        <x:v>Not validated - no control/holdout</x:v>
      </x:c>
      <x:c r="AF66" s="277" t="str">
        <x:v>No exact promo-code claim found within 14 days</x:v>
      </x:c>
    </x:row>
    <x:row r="67">
      <x:c r="A67" s="252" t="str">
        <x:v>WS1-20260309-0062</x:v>
      </x:c>
      <x:c r="B67" s="253" t="str">
        <x:v>WS1</x:v>
      </x:c>
      <x:c r="C67" s="253" t="str">
        <x:v>MB8</x:v>
      </x:c>
      <x:c r="D67" s="259" t="n">
        <x:v>46090.166666666664</x:v>
      </x:c>
      <x:c r="E67" s="253" t="str">
        <x:v>633209</x:v>
      </x:c>
      <x:c r="F67" s="253" t="str">
        <x:v>paedtaiko</x:v>
      </x:c>
      <x:c r="G67" s="253" t="str">
        <x:v>Yes</x:v>
      </x:c>
      <x:c r="H67" s="253" t="str">
        <x:v>zhen</x:v>
      </x:c>
      <x:c r="I67" s="268" t="str">
        <x:f>IFERROR(VLOOKUP(H67,'Handler-Team Map'!$A$7:$C$17,2,FALSE),"")</x:f>
      </x:c>
      <x:c r="J67" s="268" t="str">
        <x:f>IFERROR(VLOOKUP(H67,'Handler-Team Map'!$A$7:$C$17,3,FALSE),"")</x:f>
      </x:c>
      <x:c r="K67" s="274" t="str">
        <x:v>FT_VM_FC_VARIABLE_5X - MYR 1088</x:v>
      </x:c>
      <x:c r="L67" s="274" t="str">
        <x:v>FT_VM_FC_VARIABLE_5X</x:v>
      </x:c>
      <x:c r="M67" s="274" t="str">
        <x:v>VM Bns - Free Credit - 5x TO</x:v>
      </x:c>
      <x:c r="N67" s="253" t="str">
        <x:v>Yes</x:v>
      </x:c>
      <x:c r="O67" s="253" t="str">
        <x:v>No</x:v>
      </x:c>
      <x:c r="P67" s="262"/>
      <x:c r="Q67" s="253" t="str"/>
      <x:c r="R67" s="265" t="n">
        <x:v>0</x:v>
      </x:c>
      <x:c r="S67" s="253" t="str">
        <x:v>Yes</x:v>
      </x:c>
      <x:c r="T67" s="265" t="n">
        <x:v>300</x:v>
      </x:c>
      <x:c r="U67" s="253" t="str">
        <x:f>IF(AND(S67="Yes",T67=0),"Yes","No")</x:f>
        <x:v>No</x:v>
      </x:c>
      <x:c r="V67" s="259"/>
      <x:c r="W67" s="265" t="n">
        <x:v>0</x:v>
      </x:c>
      <x:c r="X67" s="265" t="n">
        <x:v>0</x:v>
      </x:c>
      <x:c r="Y67" s="265" t="n">
        <x:v>0</x:v>
      </x:c>
      <x:c r="Z67" s="253" t="str">
        <x:f>IF(AND(U67="Yes",X67&gt;0),"Yes","No")</x:f>
        <x:v>No</x:v>
      </x:c>
      <x:c r="AA67" s="253" t="str">
        <x:f>IF(AND(U67="Yes",Y67&gt;0),"Yes","No")</x:f>
        <x:v>No</x:v>
      </x:c>
      <x:c r="AB67" s="265" t="n">
        <x:v>0</x:v>
      </x:c>
      <x:c r="AC67" s="265" t="n">
        <x:v>0</x:v>
      </x:c>
      <x:c r="AD67" s="271" t="str"/>
      <x:c r="AE67" s="274" t="str">
        <x:v>Not validated - no control/holdout</x:v>
      </x:c>
      <x:c r="AF67" s="277" t="str">
        <x:v>No exact promo-code claim found within 14 days</x:v>
      </x:c>
    </x:row>
    <x:row r="68">
      <x:c r="A68" s="252" t="str">
        <x:v>WS1-20260309-0063</x:v>
      </x:c>
      <x:c r="B68" s="253" t="str">
        <x:v>WS1</x:v>
      </x:c>
      <x:c r="C68" s="253" t="str">
        <x:v>MB8</x:v>
      </x:c>
      <x:c r="D68" s="259" t="n">
        <x:v>46090.166666666664</x:v>
      </x:c>
      <x:c r="E68" s="253" t="str">
        <x:v>535906</x:v>
      </x:c>
      <x:c r="F68" s="253" t="str">
        <x:v>Ahtee337</x:v>
      </x:c>
      <x:c r="G68" s="253" t="str">
        <x:v>Yes</x:v>
      </x:c>
      <x:c r="H68" s="253" t="str">
        <x:v>zhen</x:v>
      </x:c>
      <x:c r="I68" s="268" t="str">
        <x:f>IFERROR(VLOOKUP(H68,'Handler-Team Map'!$A$7:$C$17,2,FALSE),"")</x:f>
      </x:c>
      <x:c r="J68" s="268" t="str">
        <x:f>IFERROR(VLOOKUP(H68,'Handler-Team Map'!$A$7:$C$17,3,FALSE),"")</x:f>
      </x:c>
      <x:c r="K68" s="274" t="str">
        <x:v>FT_VM_DEP1000_GET500_5X</x:v>
      </x:c>
      <x:c r="L68" s="274" t="str">
        <x:v>FT_VM_DEP1000_GET500_5X</x:v>
      </x:c>
      <x:c r="M68" s="274" t="str">
        <x:v>VM Bns - Dep1000 Get500 - 5x TO</x:v>
      </x:c>
      <x:c r="N68" s="253" t="str">
        <x:v>Yes</x:v>
      </x:c>
      <x:c r="O68" s="253" t="str">
        <x:v>No</x:v>
      </x:c>
      <x:c r="P68" s="262"/>
      <x:c r="Q68" s="253" t="str"/>
      <x:c r="R68" s="265" t="n">
        <x:v>0</x:v>
      </x:c>
      <x:c r="S68" s="253" t="str">
        <x:v>Yes</x:v>
      </x:c>
      <x:c r="T68" s="265" t="n">
        <x:v>27150</x:v>
      </x:c>
      <x:c r="U68" s="253" t="str">
        <x:f>IF(AND(S68="Yes",T68=0),"Yes","No")</x:f>
        <x:v>No</x:v>
      </x:c>
      <x:c r="V68" s="259" t="n">
        <x:v>46091.166666666664</x:v>
      </x:c>
      <x:c r="W68" s="265" t="n">
        <x:v>500</x:v>
      </x:c>
      <x:c r="X68" s="265" t="n">
        <x:v>1800</x:v>
      </x:c>
      <x:c r="Y68" s="265" t="n">
        <x:v>2300</x:v>
      </x:c>
      <x:c r="Z68" s="253" t="str">
        <x:f>IF(AND(U68="Yes",X68&gt;0),"Yes","No")</x:f>
        <x:v>No</x:v>
      </x:c>
      <x:c r="AA68" s="253" t="str">
        <x:f>IF(AND(U68="Yes",Y68&gt;0),"Yes","No")</x:f>
        <x:v>No</x:v>
      </x:c>
      <x:c r="AB68" s="265" t="n">
        <x:v>1300.65</x:v>
      </x:c>
      <x:c r="AC68" s="265" t="n">
        <x:v>2298.93</x:v>
      </x:c>
      <x:c r="AD68" s="271" t="str"/>
      <x:c r="AE68" s="274" t="str">
        <x:v>Not validated - no control/holdout</x:v>
      </x:c>
      <x:c r="AF68" s="277" t="str">
        <x:v>No exact promo-code claim found within 14 days</x:v>
      </x:c>
    </x:row>
    <x:row r="69">
      <x:c r="A69" s="252" t="str">
        <x:v>WS1-20260309-0064</x:v>
      </x:c>
      <x:c r="B69" s="253" t="str">
        <x:v>WS1</x:v>
      </x:c>
      <x:c r="C69" s="253" t="str">
        <x:v>MB8</x:v>
      </x:c>
      <x:c r="D69" s="259" t="n">
        <x:v>46090.166666666664</x:v>
      </x:c>
      <x:c r="E69" s="253" t="str">
        <x:v>531637</x:v>
      </x:c>
      <x:c r="F69" s="253" t="str">
        <x:v>yongsoon</x:v>
      </x:c>
      <x:c r="G69" s="253" t="str">
        <x:v>Yes</x:v>
      </x:c>
      <x:c r="H69" s="253" t="str">
        <x:v>zhen</x:v>
      </x:c>
      <x:c r="I69" s="268" t="str">
        <x:f>IFERROR(VLOOKUP(H69,'Handler-Team Map'!$A$7:$C$17,2,FALSE),"")</x:f>
      </x:c>
      <x:c r="J69" s="268" t="str">
        <x:f>IFERROR(VLOOKUP(H69,'Handler-Team Map'!$A$7:$C$17,3,FALSE),"")</x:f>
      </x:c>
      <x:c r="K69" s="274" t="str">
        <x:v>FT_VM_DEP1000_GET800_2X</x:v>
      </x:c>
      <x:c r="L69" s="274" t="str">
        <x:v>FT_VM_DEP1000_GET800_2X</x:v>
      </x:c>
      <x:c r="M69" s="274" t="str">
        <x:v>VM Bns - Dep1000 Get800 - 2x TO</x:v>
      </x:c>
      <x:c r="N69" s="253" t="str">
        <x:v>Yes</x:v>
      </x:c>
      <x:c r="O69" s="253" t="str">
        <x:v>No</x:v>
      </x:c>
      <x:c r="P69" s="262"/>
      <x:c r="Q69" s="253" t="str"/>
      <x:c r="R69" s="265" t="n">
        <x:v>0</x:v>
      </x:c>
      <x:c r="S69" s="253" t="str">
        <x:v>Yes</x:v>
      </x:c>
      <x:c r="T69" s="265" t="n">
        <x:v>14726</x:v>
      </x:c>
      <x:c r="U69" s="253" t="str">
        <x:f>IF(AND(S69="Yes",T69=0),"Yes","No")</x:f>
        <x:v>No</x:v>
      </x:c>
      <x:c r="V69" s="259"/>
      <x:c r="W69" s="265" t="n">
        <x:v>0</x:v>
      </x:c>
      <x:c r="X69" s="265" t="n">
        <x:v>0</x:v>
      </x:c>
      <x:c r="Y69" s="265" t="n">
        <x:v>0</x:v>
      </x:c>
      <x:c r="Z69" s="253" t="str">
        <x:f>IF(AND(U69="Yes",X69&gt;0),"Yes","No")</x:f>
        <x:v>No</x:v>
      </x:c>
      <x:c r="AA69" s="253" t="str">
        <x:f>IF(AND(U69="Yes",Y69&gt;0),"Yes","No")</x:f>
        <x:v>No</x:v>
      </x:c>
      <x:c r="AB69" s="265" t="n">
        <x:v>-0.08</x:v>
      </x:c>
      <x:c r="AC69" s="265" t="n">
        <x:v>-0.08</x:v>
      </x:c>
      <x:c r="AD69" s="271" t="str"/>
      <x:c r="AE69" s="274" t="str">
        <x:v>Not validated - no control/holdout</x:v>
      </x:c>
      <x:c r="AF69" s="277" t="str">
        <x:v>No exact promo-code claim found within 14 days</x:v>
      </x:c>
    </x:row>
    <x:row r="70">
      <x:c r="A70" s="252" t="str">
        <x:v>WS1-20260309-0065</x:v>
      </x:c>
      <x:c r="B70" s="253" t="str">
        <x:v>WS1</x:v>
      </x:c>
      <x:c r="C70" s="253" t="str">
        <x:v>MB8</x:v>
      </x:c>
      <x:c r="D70" s="259" t="n">
        <x:v>46090.166666666664</x:v>
      </x:c>
      <x:c r="E70" s="253" t="str">
        <x:v>139342</x:v>
      </x:c>
      <x:c r="F70" s="253" t="str">
        <x:v>Leevin10</x:v>
      </x:c>
      <x:c r="G70" s="253" t="str">
        <x:v>Yes</x:v>
      </x:c>
      <x:c r="H70" s="253" t="str">
        <x:v>zhen</x:v>
      </x:c>
      <x:c r="I70" s="268" t="str">
        <x:f>IFERROR(VLOOKUP(H70,'Handler-Team Map'!$A$7:$C$17,2,FALSE),"")</x:f>
      </x:c>
      <x:c r="J70" s="268" t="str">
        <x:f>IFERROR(VLOOKUP(H70,'Handler-Team Map'!$A$7:$C$17,3,FALSE),"")</x:f>
      </x:c>
      <x:c r="K70" s="274" t="str">
        <x:v>FT_VM_DEP1000_GET500_5X</x:v>
      </x:c>
      <x:c r="L70" s="274" t="str">
        <x:v>FT_VM_DEP1000_GET500_5X</x:v>
      </x:c>
      <x:c r="M70" s="274" t="str">
        <x:v>VM Bns - Dep1000 Get500 - 5x TO</x:v>
      </x:c>
      <x:c r="N70" s="253" t="str">
        <x:v>Yes</x:v>
      </x:c>
      <x:c r="O70" s="253" t="str">
        <x:v>No</x:v>
      </x:c>
      <x:c r="P70" s="262"/>
      <x:c r="Q70" s="253" t="str"/>
      <x:c r="R70" s="265" t="n">
        <x:v>0</x:v>
      </x:c>
      <x:c r="S70" s="253" t="str">
        <x:v>Yes</x:v>
      </x:c>
      <x:c r="T70" s="265" t="n">
        <x:v>3150</x:v>
      </x:c>
      <x:c r="U70" s="253" t="str">
        <x:f>IF(AND(S70="Yes",T70=0),"Yes","No")</x:f>
        <x:v>No</x:v>
      </x:c>
      <x:c r="V70" s="259" t="n">
        <x:v>46094.166666666664</x:v>
      </x:c>
      <x:c r="W70" s="265" t="n">
        <x:v>300</x:v>
      </x:c>
      <x:c r="X70" s="265" t="n">
        <x:v>2000</x:v>
      </x:c>
      <x:c r="Y70" s="265" t="n">
        <x:v>2000</x:v>
      </x:c>
      <x:c r="Z70" s="253" t="str">
        <x:f>IF(AND(U70="Yes",X70&gt;0),"Yes","No")</x:f>
        <x:v>No</x:v>
      </x:c>
      <x:c r="AA70" s="253" t="str">
        <x:f>IF(AND(U70="Yes",Y70&gt;0),"Yes","No")</x:f>
        <x:v>No</x:v>
      </x:c>
      <x:c r="AB70" s="265" t="n">
        <x:v>-2727.22</x:v>
      </x:c>
      <x:c r="AC70" s="265" t="n">
        <x:v>-2725.97</x:v>
      </x:c>
      <x:c r="AD70" s="271" t="str"/>
      <x:c r="AE70" s="274" t="str">
        <x:v>Not validated - no control/holdout</x:v>
      </x:c>
      <x:c r="AF70" s="277" t="str">
        <x:v>No exact promo-code claim found within 14 days</x:v>
      </x:c>
    </x:row>
    <x:row r="71">
      <x:c r="A71" s="252" t="str">
        <x:v>WS1-20260309-0066</x:v>
      </x:c>
      <x:c r="B71" s="253" t="str">
        <x:v>WS1</x:v>
      </x:c>
      <x:c r="C71" s="253" t="str">
        <x:v>MB8</x:v>
      </x:c>
      <x:c r="D71" s="259" t="n">
        <x:v>46090.166666666664</x:v>
      </x:c>
      <x:c r="E71" s="253" t="str">
        <x:v>820317</x:v>
      </x:c>
      <x:c r="F71" s="253" t="str">
        <x:v>Nani45</x:v>
      </x:c>
      <x:c r="G71" s="253" t="str">
        <x:v>Yes</x:v>
      </x:c>
      <x:c r="H71" s="253" t="str">
        <x:v>zhen</x:v>
      </x:c>
      <x:c r="I71" s="268" t="str">
        <x:f>IFERROR(VLOOKUP(H71,'Handler-Team Map'!$A$7:$C$17,2,FALSE),"")</x:f>
      </x:c>
      <x:c r="J71" s="268" t="str">
        <x:f>IFERROR(VLOOKUP(H71,'Handler-Team Map'!$A$7:$C$17,3,FALSE),"")</x:f>
      </x:c>
      <x:c r="K71" s="274" t="str">
        <x:v>FT_VM_DEP1000_GET500_2X</x:v>
      </x:c>
      <x:c r="L71" s="274" t="str">
        <x:v>FT_VM_DEP1000_GET500_2X</x:v>
      </x:c>
      <x:c r="M71" s="274" t="str">
        <x:v>VM Bns - Dep1000 Get500 - 2x TO</x:v>
      </x:c>
      <x:c r="N71" s="253" t="str">
        <x:v>Yes</x:v>
      </x:c>
      <x:c r="O71" s="253" t="str">
        <x:v>No</x:v>
      </x:c>
      <x:c r="P71" s="262"/>
      <x:c r="Q71" s="253" t="str"/>
      <x:c r="R71" s="265" t="n">
        <x:v>0</x:v>
      </x:c>
      <x:c r="S71" s="253" t="str">
        <x:v>Yes</x:v>
      </x:c>
      <x:c r="T71" s="265" t="n">
        <x:v>120</x:v>
      </x:c>
      <x:c r="U71" s="253" t="str">
        <x:f>IF(AND(S71="Yes",T71=0),"Yes","No")</x:f>
        <x:v>No</x:v>
      </x:c>
      <x:c r="V71" s="259"/>
      <x:c r="W71" s="265" t="n">
        <x:v>0</x:v>
      </x:c>
      <x:c r="X71" s="265" t="n">
        <x:v>0</x:v>
      </x:c>
      <x:c r="Y71" s="265" t="n">
        <x:v>0</x:v>
      </x:c>
      <x:c r="Z71" s="253" t="str">
        <x:f>IF(AND(U71="Yes",X71&gt;0),"Yes","No")</x:f>
        <x:v>No</x:v>
      </x:c>
      <x:c r="AA71" s="253" t="str">
        <x:f>IF(AND(U71="Yes",Y71&gt;0),"Yes","No")</x:f>
        <x:v>No</x:v>
      </x:c>
      <x:c r="AB71" s="265" t="n">
        <x:v>0</x:v>
      </x:c>
      <x:c r="AC71" s="265" t="n">
        <x:v>0</x:v>
      </x:c>
      <x:c r="AD71" s="271" t="str"/>
      <x:c r="AE71" s="274" t="str">
        <x:v>Not validated - no control/holdout</x:v>
      </x:c>
      <x:c r="AF71" s="277" t="str">
        <x:v>No exact promo-code claim found within 14 days</x:v>
      </x:c>
    </x:row>
    <x:row r="72">
      <x:c r="A72" s="252" t="str">
        <x:v>WS1-20260309-0067</x:v>
      </x:c>
      <x:c r="B72" s="253" t="str">
        <x:v>WS1</x:v>
      </x:c>
      <x:c r="C72" s="253" t="str">
        <x:v>MB8</x:v>
      </x:c>
      <x:c r="D72" s="259" t="n">
        <x:v>46090.166666666664</x:v>
      </x:c>
      <x:c r="E72" s="253" t="str">
        <x:v>444648</x:v>
      </x:c>
      <x:c r="F72" s="253" t="str">
        <x:v>anacondaiguana</x:v>
      </x:c>
      <x:c r="G72" s="253" t="str">
        <x:v>Yes</x:v>
      </x:c>
      <x:c r="H72" s="253" t="str">
        <x:v>zhen</x:v>
      </x:c>
      <x:c r="I72" s="268" t="str">
        <x:f>IFERROR(VLOOKUP(H72,'Handler-Team Map'!$A$7:$C$17,2,FALSE),"")</x:f>
      </x:c>
      <x:c r="J72" s="268" t="str">
        <x:f>IFERROR(VLOOKUP(H72,'Handler-Team Map'!$A$7:$C$17,3,FALSE),"")</x:f>
      </x:c>
      <x:c r="K72" s="274" t="str">
        <x:v>FT_VM_DEP1000_GET500_5X</x:v>
      </x:c>
      <x:c r="L72" s="274" t="str">
        <x:v>FT_VM_DEP1000_GET500_5X</x:v>
      </x:c>
      <x:c r="M72" s="274" t="str">
        <x:v>VM Bns - Dep1000 Get500 - 5x TO</x:v>
      </x:c>
      <x:c r="N72" s="253" t="str">
        <x:v>Yes</x:v>
      </x:c>
      <x:c r="O72" s="253" t="str">
        <x:v>No</x:v>
      </x:c>
      <x:c r="P72" s="262"/>
      <x:c r="Q72" s="253" t="str"/>
      <x:c r="R72" s="265" t="n">
        <x:v>0</x:v>
      </x:c>
      <x:c r="S72" s="253" t="str">
        <x:v>Yes</x:v>
      </x:c>
      <x:c r="T72" s="265" t="n">
        <x:v>2200</x:v>
      </x:c>
      <x:c r="U72" s="253" t="str">
        <x:f>IF(AND(S72="Yes",T72=0),"Yes","No")</x:f>
        <x:v>No</x:v>
      </x:c>
      <x:c r="V72" s="259" t="n">
        <x:v>46094.166666666664</x:v>
      </x:c>
      <x:c r="W72" s="265" t="n">
        <x:v>600</x:v>
      </x:c>
      <x:c r="X72" s="265" t="n">
        <x:v>600</x:v>
      </x:c>
      <x:c r="Y72" s="265" t="n">
        <x:v>1420</x:v>
      </x:c>
      <x:c r="Z72" s="253" t="str">
        <x:f>IF(AND(U72="Yes",X72&gt;0),"Yes","No")</x:f>
        <x:v>No</x:v>
      </x:c>
      <x:c r="AA72" s="253" t="str">
        <x:f>IF(AND(U72="Yes",Y72&gt;0),"Yes","No")</x:f>
        <x:v>No</x:v>
      </x:c>
      <x:c r="AB72" s="265" t="n">
        <x:v>599.4100000000001</x:v>
      </x:c>
      <x:c r="AC72" s="265" t="n">
        <x:v>1419.6100000000004</x:v>
      </x:c>
      <x:c r="AD72" s="271" t="str"/>
      <x:c r="AE72" s="274" t="str">
        <x:v>Not validated - no control/holdout</x:v>
      </x:c>
      <x:c r="AF72" s="277" t="str">
        <x:v>No exact promo-code claim found within 14 days</x:v>
      </x:c>
    </x:row>
    <x:row r="73">
      <x:c r="A73" s="252" t="str">
        <x:v>WS1-20260309-0068</x:v>
      </x:c>
      <x:c r="B73" s="253" t="str">
        <x:v>WS1</x:v>
      </x:c>
      <x:c r="C73" s="253" t="str">
        <x:v>MB8</x:v>
      </x:c>
      <x:c r="D73" s="259" t="n">
        <x:v>46090.166666666664</x:v>
      </x:c>
      <x:c r="E73" s="253" t="str">
        <x:v>563122</x:v>
      </x:c>
      <x:c r="F73" s="253" t="str">
        <x:v>ahjun1988</x:v>
      </x:c>
      <x:c r="G73" s="253" t="str">
        <x:v>Yes</x:v>
      </x:c>
      <x:c r="H73" s="253" t="str">
        <x:v>zhen</x:v>
      </x:c>
      <x:c r="I73" s="268" t="str">
        <x:f>IFERROR(VLOOKUP(H73,'Handler-Team Map'!$A$7:$C$17,2,FALSE),"")</x:f>
      </x:c>
      <x:c r="J73" s="268" t="str">
        <x:f>IFERROR(VLOOKUP(H73,'Handler-Team Map'!$A$7:$C$17,3,FALSE),"")</x:f>
      </x:c>
      <x:c r="K73" s="274" t="str">
        <x:v>FT_VM_DEP800_GET400_1X</x:v>
      </x:c>
      <x:c r="L73" s="274" t="str">
        <x:v>FT_VM_DEP800_GET400_1X</x:v>
      </x:c>
      <x:c r="M73" s="274" t="str">
        <x:v>VM Bns - Dep800 Get400 - 1x TO</x:v>
      </x:c>
      <x:c r="N73" s="253" t="str">
        <x:v>Yes</x:v>
      </x:c>
      <x:c r="O73" s="253" t="str">
        <x:v>No</x:v>
      </x:c>
      <x:c r="P73" s="262"/>
      <x:c r="Q73" s="253" t="str"/>
      <x:c r="R73" s="265" t="n">
        <x:v>0</x:v>
      </x:c>
      <x:c r="S73" s="253" t="str">
        <x:v>Yes</x:v>
      </x:c>
      <x:c r="T73" s="265" t="n">
        <x:v>200</x:v>
      </x:c>
      <x:c r="U73" s="253" t="str">
        <x:f>IF(AND(S73="Yes",T73=0),"Yes","No")</x:f>
        <x:v>No</x:v>
      </x:c>
      <x:c r="V73" s="259"/>
      <x:c r="W73" s="265" t="n">
        <x:v>0</x:v>
      </x:c>
      <x:c r="X73" s="265" t="n">
        <x:v>0</x:v>
      </x:c>
      <x:c r="Y73" s="265" t="n">
        <x:v>0</x:v>
      </x:c>
      <x:c r="Z73" s="253" t="str">
        <x:f>IF(AND(U73="Yes",X73&gt;0),"Yes","No")</x:f>
        <x:v>No</x:v>
      </x:c>
      <x:c r="AA73" s="253" t="str">
        <x:f>IF(AND(U73="Yes",Y73&gt;0),"Yes","No")</x:f>
        <x:v>No</x:v>
      </x:c>
      <x:c r="AB73" s="265" t="n">
        <x:v>-0.1300000000000005</x:v>
      </x:c>
      <x:c r="AC73" s="265" t="n">
        <x:v>0.019999999999997187</x:v>
      </x:c>
      <x:c r="AD73" s="271" t="str"/>
      <x:c r="AE73" s="274" t="str">
        <x:v>Not validated - no control/holdout</x:v>
      </x:c>
      <x:c r="AF73" s="277" t="str">
        <x:v>No exact promo-code claim found within 14 days</x:v>
      </x:c>
    </x:row>
    <x:row r="74">
      <x:c r="A74" s="252" t="str">
        <x:v>WS1-20260309-0069</x:v>
      </x:c>
      <x:c r="B74" s="253" t="str">
        <x:v>WS1</x:v>
      </x:c>
      <x:c r="C74" s="253" t="str">
        <x:v>MB8</x:v>
      </x:c>
      <x:c r="D74" s="259" t="n">
        <x:v>46090.166666666664</x:v>
      </x:c>
      <x:c r="E74" s="253" t="str">
        <x:v>650483</x:v>
      </x:c>
      <x:c r="F74" s="253" t="str">
        <x:v>tatapi12</x:v>
      </x:c>
      <x:c r="G74" s="253" t="str">
        <x:v>Yes</x:v>
      </x:c>
      <x:c r="H74" s="253" t="str">
        <x:v>zhen</x:v>
      </x:c>
      <x:c r="I74" s="268" t="str">
        <x:f>IFERROR(VLOOKUP(H74,'Handler-Team Map'!$A$7:$C$17,2,FALSE),"")</x:f>
      </x:c>
      <x:c r="J74" s="268" t="str">
        <x:f>IFERROR(VLOOKUP(H74,'Handler-Team Map'!$A$7:$C$17,3,FALSE),"")</x:f>
      </x:c>
      <x:c r="K74" s="274" t="str">
        <x:v>FT_VM_DEP1000_GET500_1X</x:v>
      </x:c>
      <x:c r="L74" s="274" t="str">
        <x:v>FT_VM_DEP1000_GET500_1X</x:v>
      </x:c>
      <x:c r="M74" s="274" t="str">
        <x:v>VM Bns - Dep1000 Get500 - 1x TO</x:v>
      </x:c>
      <x:c r="N74" s="253" t="str">
        <x:v>Yes</x:v>
      </x:c>
      <x:c r="O74" s="253" t="str">
        <x:v>No</x:v>
      </x:c>
      <x:c r="P74" s="262"/>
      <x:c r="Q74" s="253" t="str"/>
      <x:c r="R74" s="265" t="n">
        <x:v>0</x:v>
      </x:c>
      <x:c r="S74" s="253" t="str">
        <x:v>Yes</x:v>
      </x:c>
      <x:c r="T74" s="265" t="n">
        <x:v>980</x:v>
      </x:c>
      <x:c r="U74" s="253" t="str">
        <x:f>IF(AND(S74="Yes",T74=0),"Yes","No")</x:f>
        <x:v>No</x:v>
      </x:c>
      <x:c r="V74" s="259"/>
      <x:c r="W74" s="265" t="n">
        <x:v>0</x:v>
      </x:c>
      <x:c r="X74" s="265" t="n">
        <x:v>0</x:v>
      </x:c>
      <x:c r="Y74" s="265" t="n">
        <x:v>0</x:v>
      </x:c>
      <x:c r="Z74" s="253" t="str">
        <x:f>IF(AND(U74="Yes",X74&gt;0),"Yes","No")</x:f>
        <x:v>No</x:v>
      </x:c>
      <x:c r="AA74" s="253" t="str">
        <x:f>IF(AND(U74="Yes",Y74&gt;0),"Yes","No")</x:f>
        <x:v>No</x:v>
      </x:c>
      <x:c r="AB74" s="265" t="n">
        <x:v>0</x:v>
      </x:c>
      <x:c r="AC74" s="265" t="n">
        <x:v>0</x:v>
      </x:c>
      <x:c r="AD74" s="271" t="str"/>
      <x:c r="AE74" s="274" t="str">
        <x:v>Not validated - no control/holdout</x:v>
      </x:c>
      <x:c r="AF74" s="277" t="str">
        <x:v>No exact promo-code claim found within 14 days</x:v>
      </x:c>
    </x:row>
    <x:row r="75">
      <x:c r="A75" s="252" t="str">
        <x:v>WS1-20260309-0070</x:v>
      </x:c>
      <x:c r="B75" s="253" t="str">
        <x:v>WS1</x:v>
      </x:c>
      <x:c r="C75" s="253" t="str">
        <x:v>MB8</x:v>
      </x:c>
      <x:c r="D75" s="259" t="n">
        <x:v>46090.166666666664</x:v>
      </x:c>
      <x:c r="E75" s="253" t="str">
        <x:v>1119875</x:v>
      </x:c>
      <x:c r="F75" s="253" t="str">
        <x:v>pasarikhwan</x:v>
      </x:c>
      <x:c r="G75" s="253" t="str">
        <x:v>Yes</x:v>
      </x:c>
      <x:c r="H75" s="253" t="str">
        <x:v>zhen</x:v>
      </x:c>
      <x:c r="I75" s="268" t="str">
        <x:f>IFERROR(VLOOKUP(H75,'Handler-Team Map'!$A$7:$C$17,2,FALSE),"")</x:f>
      </x:c>
      <x:c r="J75" s="268" t="str">
        <x:f>IFERROR(VLOOKUP(H75,'Handler-Team Map'!$A$7:$C$17,3,FALSE),"")</x:f>
      </x:c>
      <x:c r="K75" s="274" t="str">
        <x:v>FT_VM_DEP600_GET200_5X</x:v>
      </x:c>
      <x:c r="L75" s="274" t="str">
        <x:v>FT_VM_DEP600_GET200_5X</x:v>
      </x:c>
      <x:c r="M75" s="274" t="str">
        <x:v>VM Bns - Dep600 Get200 - 5x TO</x:v>
      </x:c>
      <x:c r="N75" s="253" t="str">
        <x:v>Yes</x:v>
      </x:c>
      <x:c r="O75" s="253" t="str">
        <x:v>No</x:v>
      </x:c>
      <x:c r="P75" s="262"/>
      <x:c r="Q75" s="253" t="str"/>
      <x:c r="R75" s="265" t="n">
        <x:v>0</x:v>
      </x:c>
      <x:c r="S75" s="253" t="str">
        <x:v>Yes</x:v>
      </x:c>
      <x:c r="T75" s="265" t="n">
        <x:v>210</x:v>
      </x:c>
      <x:c r="U75" s="253" t="str">
        <x:f>IF(AND(S75="Yes",T75=0),"Yes","No")</x:f>
        <x:v>No</x:v>
      </x:c>
      <x:c r="V75" s="259" t="n">
        <x:v>46090.166666666664</x:v>
      </x:c>
      <x:c r="W75" s="265" t="n">
        <x:v>170</x:v>
      </x:c>
      <x:c r="X75" s="265" t="n">
        <x:v>480</x:v>
      </x:c>
      <x:c r="Y75" s="265" t="n">
        <x:v>480</x:v>
      </x:c>
      <x:c r="Z75" s="253" t="str">
        <x:f>IF(AND(U75="Yes",X75&gt;0),"Yes","No")</x:f>
        <x:v>No</x:v>
      </x:c>
      <x:c r="AA75" s="253" t="str">
        <x:f>IF(AND(U75="Yes",Y75&gt;0),"Yes","No")</x:f>
        <x:v>No</x:v>
      </x:c>
      <x:c r="AB75" s="265" t="n">
        <x:v>479.85</x:v>
      </x:c>
      <x:c r="AC75" s="265" t="n">
        <x:v>479.85</x:v>
      </x:c>
      <x:c r="AD75" s="271" t="str"/>
      <x:c r="AE75" s="274" t="str">
        <x:v>Not validated - no control/holdout</x:v>
      </x:c>
      <x:c r="AF75" s="277" t="str">
        <x:v>No exact promo-code claim found within 14 days</x:v>
      </x:c>
    </x:row>
    <x:row r="76">
      <x:c r="A76" s="252" t="str">
        <x:v>WS1-20260309-0071</x:v>
      </x:c>
      <x:c r="B76" s="253" t="str">
        <x:v>WS1</x:v>
      </x:c>
      <x:c r="C76" s="253" t="str">
        <x:v>MB8</x:v>
      </x:c>
      <x:c r="D76" s="259" t="n">
        <x:v>46090.166666666664</x:v>
      </x:c>
      <x:c r="E76" s="253" t="str">
        <x:v>1124596</x:v>
      </x:c>
      <x:c r="F76" s="253" t="str">
        <x:v>Rizal666</x:v>
      </x:c>
      <x:c r="G76" s="253" t="str">
        <x:v>Yes</x:v>
      </x:c>
      <x:c r="H76" s="253" t="str">
        <x:v>zhen</x:v>
      </x:c>
      <x:c r="I76" s="268" t="str">
        <x:f>IFERROR(VLOOKUP(H76,'Handler-Team Map'!$A$7:$C$17,2,FALSE),"")</x:f>
      </x:c>
      <x:c r="J76" s="268" t="str">
        <x:f>IFERROR(VLOOKUP(H76,'Handler-Team Map'!$A$7:$C$17,3,FALSE),"")</x:f>
      </x:c>
      <x:c r="K76" s="274" t="str">
        <x:v>FT_VM_DEP700_GET300_2X</x:v>
      </x:c>
      <x:c r="L76" s="274" t="str">
        <x:v>FT_VM_DEP700_GET300_2X</x:v>
      </x:c>
      <x:c r="M76" s="274" t="str">
        <x:v>VM Bns - Dep700 Get300 - 2x TO</x:v>
      </x:c>
      <x:c r="N76" s="253" t="str">
        <x:v>Yes</x:v>
      </x:c>
      <x:c r="O76" s="253" t="str">
        <x:v>No</x:v>
      </x:c>
      <x:c r="P76" s="262"/>
      <x:c r="Q76" s="253" t="str"/>
      <x:c r="R76" s="265" t="n">
        <x:v>0</x:v>
      </x:c>
      <x:c r="S76" s="253" t="str">
        <x:v>Yes</x:v>
      </x:c>
      <x:c r="T76" s="265" t="n">
        <x:v>2202.5</x:v>
      </x:c>
      <x:c r="U76" s="253" t="str">
        <x:f>IF(AND(S76="Yes",T76=0),"Yes","No")</x:f>
        <x:v>No</x:v>
      </x:c>
      <x:c r="V76" s="259" t="n">
        <x:v>46090.166666666664</x:v>
      </x:c>
      <x:c r="W76" s="265" t="n">
        <x:v>248</x:v>
      </x:c>
      <x:c r="X76" s="265" t="n">
        <x:v>248</x:v>
      </x:c>
      <x:c r="Y76" s="265" t="n">
        <x:v>248</x:v>
      </x:c>
      <x:c r="Z76" s="253" t="str">
        <x:f>IF(AND(U76="Yes",X76&gt;0),"Yes","No")</x:f>
        <x:v>No</x:v>
      </x:c>
      <x:c r="AA76" s="253" t="str">
        <x:f>IF(AND(U76="Yes",Y76&gt;0),"Yes","No")</x:f>
        <x:v>No</x:v>
      </x:c>
      <x:c r="AB76" s="265" t="n">
        <x:v>247.83</x:v>
      </x:c>
      <x:c r="AC76" s="265" t="n">
        <x:v>237.30999999999995</x:v>
      </x:c>
      <x:c r="AD76" s="271" t="str"/>
      <x:c r="AE76" s="274" t="str">
        <x:v>Not validated - no control/holdout</x:v>
      </x:c>
      <x:c r="AF76" s="277" t="str">
        <x:v>No exact promo-code claim found within 14 days</x:v>
      </x:c>
    </x:row>
    <x:row r="77">
      <x:c r="A77" s="252" t="str">
        <x:v>WS1-20260309-0072</x:v>
      </x:c>
      <x:c r="B77" s="253" t="str">
        <x:v>WS1</x:v>
      </x:c>
      <x:c r="C77" s="253" t="str">
        <x:v>MB8</x:v>
      </x:c>
      <x:c r="D77" s="259" t="n">
        <x:v>46090.166666666664</x:v>
      </x:c>
      <x:c r="E77" s="253" t="str">
        <x:v>797301</x:v>
      </x:c>
      <x:c r="F77" s="253" t="str">
        <x:v>DOM1975</x:v>
      </x:c>
      <x:c r="G77" s="253" t="str">
        <x:v>Yes</x:v>
      </x:c>
      <x:c r="H77" s="253" t="str">
        <x:v>zhen</x:v>
      </x:c>
      <x:c r="I77" s="268" t="str">
        <x:f>IFERROR(VLOOKUP(H77,'Handler-Team Map'!$A$7:$C$17,2,FALSE),"")</x:f>
      </x:c>
      <x:c r="J77" s="268" t="str">
        <x:f>IFERROR(VLOOKUP(H77,'Handler-Team Map'!$A$7:$C$17,3,FALSE),"")</x:f>
      </x:c>
      <x:c r="K77" s="274" t="str">
        <x:v>FT_VM_DEP800_GET400_1X</x:v>
      </x:c>
      <x:c r="L77" s="274" t="str">
        <x:v>FT_VM_DEP800_GET400_1X</x:v>
      </x:c>
      <x:c r="M77" s="274" t="str">
        <x:v>VM Bns - Dep800 Get400 - 1x TO</x:v>
      </x:c>
      <x:c r="N77" s="253" t="str">
        <x:v>Yes</x:v>
      </x:c>
      <x:c r="O77" s="253" t="str">
        <x:v>No</x:v>
      </x:c>
      <x:c r="P77" s="262"/>
      <x:c r="Q77" s="253" t="str"/>
      <x:c r="R77" s="265" t="n">
        <x:v>0</x:v>
      </x:c>
      <x:c r="S77" s="253" t="str">
        <x:v>Yes</x:v>
      </x:c>
      <x:c r="T77" s="265" t="n">
        <x:v>11690</x:v>
      </x:c>
      <x:c r="U77" s="253" t="str">
        <x:f>IF(AND(S77="Yes",T77=0),"Yes","No")</x:f>
        <x:v>No</x:v>
      </x:c>
      <x:c r="V77" s="259"/>
      <x:c r="W77" s="265" t="n">
        <x:v>0</x:v>
      </x:c>
      <x:c r="X77" s="265" t="n">
        <x:v>0</x:v>
      </x:c>
      <x:c r="Y77" s="265" t="n">
        <x:v>0</x:v>
      </x:c>
      <x:c r="Z77" s="253" t="str">
        <x:f>IF(AND(U77="Yes",X77&gt;0),"Yes","No")</x:f>
        <x:v>No</x:v>
      </x:c>
      <x:c r="AA77" s="253" t="str">
        <x:f>IF(AND(U77="Yes",Y77&gt;0),"Yes","No")</x:f>
        <x:v>No</x:v>
      </x:c>
      <x:c r="AB77" s="265" t="n">
        <x:v>0</x:v>
      </x:c>
      <x:c r="AC77" s="265" t="n">
        <x:v>0</x:v>
      </x:c>
      <x:c r="AD77" s="271" t="str"/>
      <x:c r="AE77" s="274" t="str">
        <x:v>Not validated - no control/holdout</x:v>
      </x:c>
      <x:c r="AF77" s="277" t="str">
        <x:v>No exact promo-code claim found within 14 days</x:v>
      </x:c>
    </x:row>
    <x:row r="78">
      <x:c r="A78" s="252" t="str">
        <x:v>WS1-20260309-0073</x:v>
      </x:c>
      <x:c r="B78" s="253" t="str">
        <x:v>WS1</x:v>
      </x:c>
      <x:c r="C78" s="253" t="str">
        <x:v>MB8</x:v>
      </x:c>
      <x:c r="D78" s="259" t="n">
        <x:v>46090.166666666664</x:v>
      </x:c>
      <x:c r="E78" s="253" t="str">
        <x:v>65712</x:v>
      </x:c>
      <x:c r="F78" s="253" t="str">
        <x:v>nafey87</x:v>
      </x:c>
      <x:c r="G78" s="253" t="str">
        <x:v>Yes</x:v>
      </x:c>
      <x:c r="H78" s="253" t="str">
        <x:v>zhen</x:v>
      </x:c>
      <x:c r="I78" s="268" t="str">
        <x:f>IFERROR(VLOOKUP(H78,'Handler-Team Map'!$A$7:$C$17,2,FALSE),"")</x:f>
      </x:c>
      <x:c r="J78" s="268" t="str">
        <x:f>IFERROR(VLOOKUP(H78,'Handler-Team Map'!$A$7:$C$17,3,FALSE),"")</x:f>
      </x:c>
      <x:c r="K78" s="274" t="str">
        <x:v>FT_VM_DEP1000_GET700_2X</x:v>
      </x:c>
      <x:c r="L78" s="274" t="str">
        <x:v>FT_VM_DEP1000_GET700_2X</x:v>
      </x:c>
      <x:c r="M78" s="274" t="str">
        <x:v>VM Bns - Dep1000 Get700 - 2x TO</x:v>
      </x:c>
      <x:c r="N78" s="253" t="str">
        <x:v>Yes</x:v>
      </x:c>
      <x:c r="O78" s="253" t="str">
        <x:v>No</x:v>
      </x:c>
      <x:c r="P78" s="262"/>
      <x:c r="Q78" s="253" t="str"/>
      <x:c r="R78" s="265" t="n">
        <x:v>0</x:v>
      </x:c>
      <x:c r="S78" s="253" t="str">
        <x:v>Yes</x:v>
      </x:c>
      <x:c r="T78" s="265" t="n">
        <x:v>800</x:v>
      </x:c>
      <x:c r="U78" s="253" t="str">
        <x:f>IF(AND(S78="Yes",T78=0),"Yes","No")</x:f>
        <x:v>No</x:v>
      </x:c>
      <x:c r="V78" s="259"/>
      <x:c r="W78" s="265" t="n">
        <x:v>0</x:v>
      </x:c>
      <x:c r="X78" s="265" t="n">
        <x:v>0</x:v>
      </x:c>
      <x:c r="Y78" s="265" t="n">
        <x:v>0</x:v>
      </x:c>
      <x:c r="Z78" s="253" t="str">
        <x:f>IF(AND(U78="Yes",X78&gt;0),"Yes","No")</x:f>
        <x:v>No</x:v>
      </x:c>
      <x:c r="AA78" s="253" t="str">
        <x:f>IF(AND(U78="Yes",Y78&gt;0),"Yes","No")</x:f>
        <x:v>No</x:v>
      </x:c>
      <x:c r="AB78" s="265" t="n">
        <x:v>0</x:v>
      </x:c>
      <x:c r="AC78" s="265" t="n">
        <x:v>-0.5800000000000043</x:v>
      </x:c>
      <x:c r="AD78" s="271" t="str"/>
      <x:c r="AE78" s="274" t="str">
        <x:v>Not validated - no control/holdout</x:v>
      </x:c>
      <x:c r="AF78" s="277" t="str">
        <x:v>No exact promo-code claim found within 14 days</x:v>
      </x:c>
    </x:row>
    <x:row r="79">
      <x:c r="A79" s="252" t="str">
        <x:v>WS1-20260309-0074</x:v>
      </x:c>
      <x:c r="B79" s="253" t="str">
        <x:v>WS1</x:v>
      </x:c>
      <x:c r="C79" s="253" t="str">
        <x:v>MB8</x:v>
      </x:c>
      <x:c r="D79" s="259" t="n">
        <x:v>46090.166666666664</x:v>
      </x:c>
      <x:c r="E79" s="253" t="str">
        <x:v>659943</x:v>
      </x:c>
      <x:c r="F79" s="253" t="str">
        <x:v>Morlinmai</x:v>
      </x:c>
      <x:c r="G79" s="253" t="str">
        <x:v>Yes</x:v>
      </x:c>
      <x:c r="H79" s="253" t="str">
        <x:v>zhen</x:v>
      </x:c>
      <x:c r="I79" s="268" t="str">
        <x:f>IFERROR(VLOOKUP(H79,'Handler-Team Map'!$A$7:$C$17,2,FALSE),"")</x:f>
      </x:c>
      <x:c r="J79" s="268" t="str">
        <x:f>IFERROR(VLOOKUP(H79,'Handler-Team Map'!$A$7:$C$17,3,FALSE),"")</x:f>
      </x:c>
      <x:c r="K79" s="274" t="str">
        <x:v>FT_VM_DEP600_GET200_5X</x:v>
      </x:c>
      <x:c r="L79" s="274" t="str">
        <x:v>FT_VM_DEP600_GET200_5X</x:v>
      </x:c>
      <x:c r="M79" s="274" t="str">
        <x:v>VM Bns - Dep600 Get200 - 5x TO</x:v>
      </x:c>
      <x:c r="N79" s="253" t="str">
        <x:v>Yes</x:v>
      </x:c>
      <x:c r="O79" s="253" t="str">
        <x:v>No</x:v>
      </x:c>
      <x:c r="P79" s="262"/>
      <x:c r="Q79" s="253" t="str"/>
      <x:c r="R79" s="265" t="n">
        <x:v>0</x:v>
      </x:c>
      <x:c r="S79" s="253" t="str">
        <x:v>Yes</x:v>
      </x:c>
      <x:c r="T79" s="265" t="n">
        <x:v>1145</x:v>
      </x:c>
      <x:c r="U79" s="253" t="str">
        <x:f>IF(AND(S79="Yes",T79=0),"Yes","No")</x:f>
        <x:v>No</x:v>
      </x:c>
      <x:c r="V79" s="259" t="n">
        <x:v>46092.166666666664</x:v>
      </x:c>
      <x:c r="W79" s="265" t="n">
        <x:v>139</x:v>
      </x:c>
      <x:c r="X79" s="265" t="n">
        <x:v>2016</x:v>
      </x:c>
      <x:c r="Y79" s="265" t="n">
        <x:v>5297</x:v>
      </x:c>
      <x:c r="Z79" s="253" t="str">
        <x:f>IF(AND(U79="Yes",X79&gt;0),"Yes","No")</x:f>
        <x:v>No</x:v>
      </x:c>
      <x:c r="AA79" s="253" t="str">
        <x:f>IF(AND(U79="Yes",Y79&gt;0),"Yes","No")</x:f>
        <x:v>No</x:v>
      </x:c>
      <x:c r="AB79" s="265" t="n">
        <x:v>-1284.0000000000002</x:v>
      </x:c>
      <x:c r="AC79" s="265" t="n">
        <x:v>-267.79000000000036</x:v>
      </x:c>
      <x:c r="AD79" s="271" t="str"/>
      <x:c r="AE79" s="274" t="str">
        <x:v>Not validated - no control/holdout</x:v>
      </x:c>
      <x:c r="AF79" s="277" t="str">
        <x:v>No exact promo-code claim found within 14 days</x:v>
      </x:c>
    </x:row>
    <x:row r="80">
      <x:c r="A80" s="252" t="str">
        <x:v>WS1-20260309-0075</x:v>
      </x:c>
      <x:c r="B80" s="253" t="str">
        <x:v>WS1</x:v>
      </x:c>
      <x:c r="C80" s="253" t="str">
        <x:v>MB8</x:v>
      </x:c>
      <x:c r="D80" s="259" t="n">
        <x:v>46090.166666666664</x:v>
      </x:c>
      <x:c r="E80" s="253" t="str">
        <x:v>662132</x:v>
      </x:c>
      <x:c r="F80" s="253" t="str">
        <x:v>bunny88</x:v>
      </x:c>
      <x:c r="G80" s="253" t="str">
        <x:v>Yes</x:v>
      </x:c>
      <x:c r="H80" s="253" t="str">
        <x:v>zhen</x:v>
      </x:c>
      <x:c r="I80" s="268" t="str">
        <x:f>IFERROR(VLOOKUP(H80,'Handler-Team Map'!$A$7:$C$17,2,FALSE),"")</x:f>
      </x:c>
      <x:c r="J80" s="268" t="str">
        <x:f>IFERROR(VLOOKUP(H80,'Handler-Team Map'!$A$7:$C$17,3,FALSE),"")</x:f>
      </x:c>
      <x:c r="K80" s="274" t="str">
        <x:v>FT_VM_DEP1000_GET500_2X</x:v>
      </x:c>
      <x:c r="L80" s="274" t="str">
        <x:v>FT_VM_DEP1000_GET500_2X</x:v>
      </x:c>
      <x:c r="M80" s="274" t="str">
        <x:v>VM Bns - Dep1000 Get500 - 2x TO</x:v>
      </x:c>
      <x:c r="N80" s="253" t="str">
        <x:v>Yes</x:v>
      </x:c>
      <x:c r="O80" s="253" t="str">
        <x:v>No</x:v>
      </x:c>
      <x:c r="P80" s="262"/>
      <x:c r="Q80" s="253" t="str"/>
      <x:c r="R80" s="265" t="n">
        <x:v>0</x:v>
      </x:c>
      <x:c r="S80" s="253" t="str">
        <x:v>Yes</x:v>
      </x:c>
      <x:c r="T80" s="265" t="n">
        <x:v>4532</x:v>
      </x:c>
      <x:c r="U80" s="253" t="str">
        <x:f>IF(AND(S80="Yes",T80=0),"Yes","No")</x:f>
        <x:v>No</x:v>
      </x:c>
      <x:c r="V80" s="259"/>
      <x:c r="W80" s="265" t="n">
        <x:v>0</x:v>
      </x:c>
      <x:c r="X80" s="265" t="n">
        <x:v>0</x:v>
      </x:c>
      <x:c r="Y80" s="265" t="n">
        <x:v>0</x:v>
      </x:c>
      <x:c r="Z80" s="253" t="str">
        <x:f>IF(AND(U80="Yes",X80&gt;0),"Yes","No")</x:f>
        <x:v>No</x:v>
      </x:c>
      <x:c r="AA80" s="253" t="str">
        <x:f>IF(AND(U80="Yes",Y80&gt;0),"Yes","No")</x:f>
        <x:v>No</x:v>
      </x:c>
      <x:c r="AB80" s="265" t="n">
        <x:v>-0.039999999999999786</x:v>
      </x:c>
      <x:c r="AC80" s="265" t="n">
        <x:v>-0.039999999999999786</x:v>
      </x:c>
      <x:c r="AD80" s="271" t="str"/>
      <x:c r="AE80" s="274" t="str">
        <x:v>Not validated - no control/holdout</x:v>
      </x:c>
      <x:c r="AF80" s="277" t="str">
        <x:v>No exact promo-code claim found within 14 days</x:v>
      </x:c>
    </x:row>
    <x:row r="81">
      <x:c r="A81" s="252" t="str">
        <x:v>WS1-20260309-0076</x:v>
      </x:c>
      <x:c r="B81" s="253" t="str">
        <x:v>WS1</x:v>
      </x:c>
      <x:c r="C81" s="253" t="str">
        <x:v>MB8</x:v>
      </x:c>
      <x:c r="D81" s="259" t="n">
        <x:v>46090.166666666664</x:v>
      </x:c>
      <x:c r="E81" s="253" t="str">
        <x:v>264351</x:v>
      </x:c>
      <x:c r="F81" s="253" t="str">
        <x:v>Dino8284</x:v>
      </x:c>
      <x:c r="G81" s="253" t="str">
        <x:v>Yes</x:v>
      </x:c>
      <x:c r="H81" s="253" t="str">
        <x:v>zhen</x:v>
      </x:c>
      <x:c r="I81" s="268" t="str">
        <x:f>IFERROR(VLOOKUP(H81,'Handler-Team Map'!$A$7:$C$17,2,FALSE),"")</x:f>
      </x:c>
      <x:c r="J81" s="268" t="str">
        <x:f>IFERROR(VLOOKUP(H81,'Handler-Team Map'!$A$7:$C$17,3,FALSE),"")</x:f>
      </x:c>
      <x:c r="K81" s="274" t="str">
        <x:v>FT_VM_DEP1000_GET500_5X</x:v>
      </x:c>
      <x:c r="L81" s="274" t="str">
        <x:v>FT_VM_DEP1000_GET500_5X</x:v>
      </x:c>
      <x:c r="M81" s="274" t="str">
        <x:v>VM Bns - Dep1000 Get500 - 5x TO</x:v>
      </x:c>
      <x:c r="N81" s="253" t="str">
        <x:v>Yes</x:v>
      </x:c>
      <x:c r="O81" s="253" t="str">
        <x:v>No</x:v>
      </x:c>
      <x:c r="P81" s="262"/>
      <x:c r="Q81" s="253" t="str"/>
      <x:c r="R81" s="265" t="n">
        <x:v>0</x:v>
      </x:c>
      <x:c r="S81" s="253" t="str">
        <x:v>Yes</x:v>
      </x:c>
      <x:c r="T81" s="265" t="n">
        <x:v>275</x:v>
      </x:c>
      <x:c r="U81" s="253" t="str">
        <x:f>IF(AND(S81="Yes",T81=0),"Yes","No")</x:f>
        <x:v>No</x:v>
      </x:c>
      <x:c r="V81" s="259" t="n">
        <x:v>46090.166666666664</x:v>
      </x:c>
      <x:c r="W81" s="265" t="n">
        <x:v>60</x:v>
      </x:c>
      <x:c r="X81" s="265" t="n">
        <x:v>120</x:v>
      </x:c>
      <x:c r="Y81" s="265" t="n">
        <x:v>180</x:v>
      </x:c>
      <x:c r="Z81" s="253" t="str">
        <x:f>IF(AND(U81="Yes",X81&gt;0),"Yes","No")</x:f>
        <x:v>No</x:v>
      </x:c>
      <x:c r="AA81" s="253" t="str">
        <x:f>IF(AND(U81="Yes",Y81&gt;0),"Yes","No")</x:f>
        <x:v>No</x:v>
      </x:c>
      <x:c r="AB81" s="265" t="n">
        <x:v>119.85</x:v>
      </x:c>
      <x:c r="AC81" s="265" t="n">
        <x:v>179.26</x:v>
      </x:c>
      <x:c r="AD81" s="271" t="str"/>
      <x:c r="AE81" s="274" t="str">
        <x:v>Not validated - no control/holdout</x:v>
      </x:c>
      <x:c r="AF81" s="277" t="str">
        <x:v>No exact promo-code claim found within 14 days</x:v>
      </x:c>
    </x:row>
    <x:row r="82">
      <x:c r="A82" s="252" t="str">
        <x:v>WS1-20260309-0077</x:v>
      </x:c>
      <x:c r="B82" s="253" t="str">
        <x:v>WS1</x:v>
      </x:c>
      <x:c r="C82" s="253" t="str">
        <x:v>MB8</x:v>
      </x:c>
      <x:c r="D82" s="259" t="n">
        <x:v>46090.166666666664</x:v>
      </x:c>
      <x:c r="E82" s="253" t="str">
        <x:v>979675</x:v>
      </x:c>
      <x:c r="F82" s="253" t="str">
        <x:v>Lunlun587998</x:v>
      </x:c>
      <x:c r="G82" s="253" t="str">
        <x:v>Yes</x:v>
      </x:c>
      <x:c r="H82" s="253" t="str">
        <x:v>Serene</x:v>
      </x:c>
      <x:c r="I82" s="268" t="str">
        <x:f>IFERROR(VLOOKUP(H82,'Handler-Team Map'!$A$7:$C$17,2,FALSE),"")</x:f>
      </x:c>
      <x:c r="J82" s="268" t="str">
        <x:f>IFERROR(VLOOKUP(H82,'Handler-Team Map'!$A$7:$C$17,3,FALSE),"")</x:f>
      </x:c>
      <x:c r="K82" s="274" t="str">
        <x:v>FT_VM_FC_VARIABLE_8X - MYR 1088</x:v>
      </x:c>
      <x:c r="L82" s="274" t="str">
        <x:v>FT_VM_FC_VARIABLE_8X</x:v>
      </x:c>
      <x:c r="M82" s="274" t="str">
        <x:v>VM Bns - Free Credit - 8x TO</x:v>
      </x:c>
      <x:c r="N82" s="253" t="str">
        <x:v>Yes</x:v>
      </x:c>
      <x:c r="O82" s="253" t="str">
        <x:v>No</x:v>
      </x:c>
      <x:c r="P82" s="262"/>
      <x:c r="Q82" s="253" t="str"/>
      <x:c r="R82" s="265" t="n">
        <x:v>0</x:v>
      </x:c>
      <x:c r="S82" s="253" t="str">
        <x:v>Yes</x:v>
      </x:c>
      <x:c r="T82" s="265" t="n">
        <x:v>125337</x:v>
      </x:c>
      <x:c r="U82" s="253" t="str">
        <x:f>IF(AND(S82="Yes",T82=0),"Yes","No")</x:f>
        <x:v>No</x:v>
      </x:c>
      <x:c r="V82" s="259"/>
      <x:c r="W82" s="265" t="n">
        <x:v>0</x:v>
      </x:c>
      <x:c r="X82" s="265" t="n">
        <x:v>0</x:v>
      </x:c>
      <x:c r="Y82" s="265" t="n">
        <x:v>0</x:v>
      </x:c>
      <x:c r="Z82" s="253" t="str">
        <x:f>IF(AND(U82="Yes",X82&gt;0),"Yes","No")</x:f>
        <x:v>No</x:v>
      </x:c>
      <x:c r="AA82" s="253" t="str">
        <x:f>IF(AND(U82="Yes",Y82&gt;0),"Yes","No")</x:f>
        <x:v>No</x:v>
      </x:c>
      <x:c r="AB82" s="265" t="n">
        <x:v>0</x:v>
      </x:c>
      <x:c r="AC82" s="265" t="n">
        <x:v>-55.8</x:v>
      </x:c>
      <x:c r="AD82" s="271" t="str"/>
      <x:c r="AE82" s="274" t="str">
        <x:v>Not validated - no control/holdout</x:v>
      </x:c>
      <x:c r="AF82" s="277" t="str">
        <x:v>No exact promo-code claim found within 14 days</x:v>
      </x:c>
    </x:row>
    <x:row r="83">
      <x:c r="A83" s="252" t="str">
        <x:v>WS1-20260309-0078</x:v>
      </x:c>
      <x:c r="B83" s="253" t="str">
        <x:v>WS1</x:v>
      </x:c>
      <x:c r="C83" s="253" t="str">
        <x:v>MB8</x:v>
      </x:c>
      <x:c r="D83" s="259" t="n">
        <x:v>46090.166666666664</x:v>
      </x:c>
      <x:c r="E83" s="253" t="str">
        <x:v>1040864</x:v>
      </x:c>
      <x:c r="F83" s="253" t="str">
        <x:v>Alex52100</x:v>
      </x:c>
      <x:c r="G83" s="253" t="str">
        <x:v>Yes</x:v>
      </x:c>
      <x:c r="H83" s="253" t="str">
        <x:v>Serene</x:v>
      </x:c>
      <x:c r="I83" s="268" t="str">
        <x:f>IFERROR(VLOOKUP(H83,'Handler-Team Map'!$A$7:$C$17,2,FALSE),"")</x:f>
      </x:c>
      <x:c r="J83" s="268" t="str">
        <x:f>IFERROR(VLOOKUP(H83,'Handler-Team Map'!$A$7:$C$17,3,FALSE),"")</x:f>
      </x:c>
      <x:c r="K83" s="274" t="str">
        <x:v>FT_VM_DEP1000_GET500_5X</x:v>
      </x:c>
      <x:c r="L83" s="274" t="str">
        <x:v>FT_VM_DEP1000_GET500_5X</x:v>
      </x:c>
      <x:c r="M83" s="274" t="str">
        <x:v>VM Bns - Dep1000 Get500 - 5x TO</x:v>
      </x:c>
      <x:c r="N83" s="253" t="str">
        <x:v>Yes</x:v>
      </x:c>
      <x:c r="O83" s="253" t="str">
        <x:v>No</x:v>
      </x:c>
      <x:c r="P83" s="262"/>
      <x:c r="Q83" s="253" t="str"/>
      <x:c r="R83" s="265" t="n">
        <x:v>0</x:v>
      </x:c>
      <x:c r="S83" s="253" t="str">
        <x:v>Yes</x:v>
      </x:c>
      <x:c r="T83" s="265" t="n">
        <x:v>74050</x:v>
      </x:c>
      <x:c r="U83" s="253" t="str">
        <x:f>IF(AND(S83="Yes",T83=0),"Yes","No")</x:f>
        <x:v>No</x:v>
      </x:c>
      <x:c r="V83" s="259" t="n">
        <x:v>46093.166666666664</x:v>
      </x:c>
      <x:c r="W83" s="265" t="n">
        <x:v>600</x:v>
      </x:c>
      <x:c r="X83" s="265" t="n">
        <x:v>600</x:v>
      </x:c>
      <x:c r="Y83" s="265" t="n">
        <x:v>600</x:v>
      </x:c>
      <x:c r="Z83" s="253" t="str">
        <x:f>IF(AND(U83="Yes",X83&gt;0),"Yes","No")</x:f>
        <x:v>No</x:v>
      </x:c>
      <x:c r="AA83" s="253" t="str">
        <x:f>IF(AND(U83="Yes",Y83&gt;0),"Yes","No")</x:f>
        <x:v>No</x:v>
      </x:c>
      <x:c r="AB83" s="265" t="n">
        <x:v>599.88</x:v>
      </x:c>
      <x:c r="AC83" s="265" t="n">
        <x:v>599.88</x:v>
      </x:c>
      <x:c r="AD83" s="271" t="str"/>
      <x:c r="AE83" s="274" t="str">
        <x:v>Not validated - no control/holdout</x:v>
      </x:c>
      <x:c r="AF83" s="277" t="str">
        <x:v>No exact promo-code claim found within 14 days</x:v>
      </x:c>
    </x:row>
    <x:row r="84">
      <x:c r="A84" s="252" t="str">
        <x:v>WS1-20260309-0079</x:v>
      </x:c>
      <x:c r="B84" s="253" t="str">
        <x:v>WS1</x:v>
      </x:c>
      <x:c r="C84" s="253" t="str">
        <x:v>MB8</x:v>
      </x:c>
      <x:c r="D84" s="259" t="n">
        <x:v>46090.166666666664</x:v>
      </x:c>
      <x:c r="E84" s="253" t="str">
        <x:v>235185</x:v>
      </x:c>
      <x:c r="F84" s="253" t="str">
        <x:v>Lisalisa8282</x:v>
      </x:c>
      <x:c r="G84" s="253" t="str">
        <x:v>Yes</x:v>
      </x:c>
      <x:c r="H84" s="253" t="str">
        <x:v>Serene</x:v>
      </x:c>
      <x:c r="I84" s="268" t="str">
        <x:f>IFERROR(VLOOKUP(H84,'Handler-Team Map'!$A$7:$C$17,2,FALSE),"")</x:f>
      </x:c>
      <x:c r="J84" s="268" t="str">
        <x:f>IFERROR(VLOOKUP(H84,'Handler-Team Map'!$A$7:$C$17,3,FALSE),"")</x:f>
      </x:c>
      <x:c r="K84" s="274" t="str">
        <x:v>FT_VM_DEP1000_GET500_5X</x:v>
      </x:c>
      <x:c r="L84" s="274" t="str">
        <x:v>FT_VM_DEP1000_GET500_5X</x:v>
      </x:c>
      <x:c r="M84" s="274" t="str">
        <x:v>VM Bns - Dep1000 Get500 - 5x TO</x:v>
      </x:c>
      <x:c r="N84" s="253" t="str">
        <x:v>Yes</x:v>
      </x:c>
      <x:c r="O84" s="253" t="str">
        <x:v>No</x:v>
      </x:c>
      <x:c r="P84" s="262"/>
      <x:c r="Q84" s="253" t="str"/>
      <x:c r="R84" s="265" t="n">
        <x:v>0</x:v>
      </x:c>
      <x:c r="S84" s="253" t="str">
        <x:v>Yes</x:v>
      </x:c>
      <x:c r="T84" s="265" t="n">
        <x:v>8050</x:v>
      </x:c>
      <x:c r="U84" s="253" t="str">
        <x:f>IF(AND(S84="Yes",T84=0),"Yes","No")</x:f>
        <x:v>No</x:v>
      </x:c>
      <x:c r="V84" s="259" t="n">
        <x:v>46092.166666666664</x:v>
      </x:c>
      <x:c r="W84" s="265" t="n">
        <x:v>600</x:v>
      </x:c>
      <x:c r="X84" s="265" t="n">
        <x:v>600</x:v>
      </x:c>
      <x:c r="Y84" s="265" t="n">
        <x:v>600</x:v>
      </x:c>
      <x:c r="Z84" s="253" t="str">
        <x:f>IF(AND(U84="Yes",X84&gt;0),"Yes","No")</x:f>
        <x:v>No</x:v>
      </x:c>
      <x:c r="AA84" s="253" t="str">
        <x:f>IF(AND(U84="Yes",Y84&gt;0),"Yes","No")</x:f>
        <x:v>No</x:v>
      </x:c>
      <x:c r="AB84" s="265" t="n">
        <x:v>329.9</x:v>
      </x:c>
      <x:c r="AC84" s="265" t="n">
        <x:v>329.9</x:v>
      </x:c>
      <x:c r="AD84" s="271" t="str"/>
      <x:c r="AE84" s="274" t="str">
        <x:v>Not validated - no control/holdout</x:v>
      </x:c>
      <x:c r="AF84" s="277" t="str">
        <x:v>No exact promo-code claim found within 14 days</x:v>
      </x:c>
    </x:row>
    <x:row r="85">
      <x:c r="A85" s="252" t="str">
        <x:v>WS1-20260309-0080</x:v>
      </x:c>
      <x:c r="B85" s="253" t="str">
        <x:v>WS1</x:v>
      </x:c>
      <x:c r="C85" s="253" t="str">
        <x:v>MB8</x:v>
      </x:c>
      <x:c r="D85" s="259" t="n">
        <x:v>46090.166666666664</x:v>
      </x:c>
      <x:c r="E85" s="253" t="str">
        <x:v>223527</x:v>
      </x:c>
      <x:c r="F85" s="253" t="str">
        <x:v>Ashley78</x:v>
      </x:c>
      <x:c r="G85" s="253" t="str">
        <x:v>Yes</x:v>
      </x:c>
      <x:c r="H85" s="253" t="str">
        <x:v>Serene</x:v>
      </x:c>
      <x:c r="I85" s="268" t="str">
        <x:f>IFERROR(VLOOKUP(H85,'Handler-Team Map'!$A$7:$C$17,2,FALSE),"")</x:f>
      </x:c>
      <x:c r="J85" s="268" t="str">
        <x:f>IFERROR(VLOOKUP(H85,'Handler-Team Map'!$A$7:$C$17,3,FALSE),"")</x:f>
      </x:c>
      <x:c r="K85" s="274" t="str">
        <x:v>FT_VM_DEP1000_GET500_5X</x:v>
      </x:c>
      <x:c r="L85" s="274" t="str">
        <x:v>FT_VM_DEP1000_GET500_5X</x:v>
      </x:c>
      <x:c r="M85" s="274" t="str">
        <x:v>VM Bns - Dep1000 Get500 - 5x TO</x:v>
      </x:c>
      <x:c r="N85" s="253" t="str">
        <x:v>Yes</x:v>
      </x:c>
      <x:c r="O85" s="253" t="str">
        <x:v>No</x:v>
      </x:c>
      <x:c r="P85" s="262"/>
      <x:c r="Q85" s="253" t="str"/>
      <x:c r="R85" s="265" t="n">
        <x:v>0</x:v>
      </x:c>
      <x:c r="S85" s="253" t="str">
        <x:v>Yes</x:v>
      </x:c>
      <x:c r="T85" s="265" t="n">
        <x:v>0</x:v>
      </x:c>
      <x:c r="U85" s="253" t="str">
        <x:f>IF(AND(S85="Yes",T85=0),"Yes","No")</x:f>
        <x:v>Yes</x:v>
      </x:c>
      <x:c r="V85" s="259" t="n">
        <x:v>46093.166666666664</x:v>
      </x:c>
      <x:c r="W85" s="265" t="n">
        <x:v>2500</x:v>
      </x:c>
      <x:c r="X85" s="265" t="n">
        <x:v>2500</x:v>
      </x:c>
      <x:c r="Y85" s="265" t="n">
        <x:v>2500</x:v>
      </x:c>
      <x:c r="Z85" s="253" t="str">
        <x:f>IF(AND(U85="Yes",X85&gt;0),"Yes","No")</x:f>
        <x:v>Yes</x:v>
      </x:c>
      <x:c r="AA85" s="253" t="str">
        <x:f>IF(AND(U85="Yes",Y85&gt;0),"Yes","No")</x:f>
        <x:v>Yes</x:v>
      </x:c>
      <x:c r="AB85" s="265" t="n">
        <x:v>-254.9299999999998</x:v>
      </x:c>
      <x:c r="AC85" s="265" t="n">
        <x:v>-254.9299999999998</x:v>
      </x:c>
      <x:c r="AD85" s="271" t="str"/>
      <x:c r="AE85" s="274" t="str">
        <x:v>Not validated - no control/holdout</x:v>
      </x:c>
      <x:c r="AF85" s="277" t="str">
        <x:v>No exact promo-code claim found within 14 days</x:v>
      </x:c>
    </x:row>
    <x:row r="86">
      <x:c r="A86" s="252" t="str">
        <x:v>WS1-20260309-0081</x:v>
      </x:c>
      <x:c r="B86" s="253" t="str">
        <x:v>WS1</x:v>
      </x:c>
      <x:c r="C86" s="253" t="str">
        <x:v>MB8</x:v>
      </x:c>
      <x:c r="D86" s="259" t="n">
        <x:v>46090.166666666664</x:v>
      </x:c>
      <x:c r="E86" s="253" t="str">
        <x:v>56984</x:v>
      </x:c>
      <x:c r="F86" s="253" t="str">
        <x:v>MichelleTan1</x:v>
      </x:c>
      <x:c r="G86" s="253" t="str">
        <x:v>Yes</x:v>
      </x:c>
      <x:c r="H86" s="253" t="str">
        <x:v>Serene</x:v>
      </x:c>
      <x:c r="I86" s="268" t="str">
        <x:f>IFERROR(VLOOKUP(H86,'Handler-Team Map'!$A$7:$C$17,2,FALSE),"")</x:f>
      </x:c>
      <x:c r="J86" s="268" t="str">
        <x:f>IFERROR(VLOOKUP(H86,'Handler-Team Map'!$A$7:$C$17,3,FALSE),"")</x:f>
      </x:c>
      <x:c r="K86" s="274" t="str">
        <x:v>FT_VM_DEP1000_GET500_5X</x:v>
      </x:c>
      <x:c r="L86" s="274" t="str">
        <x:v>FT_VM_DEP1000_GET500_5X</x:v>
      </x:c>
      <x:c r="M86" s="274" t="str">
        <x:v>VM Bns - Dep1000 Get500 - 5x TO</x:v>
      </x:c>
      <x:c r="N86" s="253" t="str">
        <x:v>Yes</x:v>
      </x:c>
      <x:c r="O86" s="253" t="str">
        <x:v>No</x:v>
      </x:c>
      <x:c r="P86" s="262"/>
      <x:c r="Q86" s="253" t="str"/>
      <x:c r="R86" s="265" t="n">
        <x:v>0</x:v>
      </x:c>
      <x:c r="S86" s="253" t="str">
        <x:v>Yes</x:v>
      </x:c>
      <x:c r="T86" s="265" t="n">
        <x:v>4170</x:v>
      </x:c>
      <x:c r="U86" s="253" t="str">
        <x:f>IF(AND(S86="Yes",T86=0),"Yes","No")</x:f>
        <x:v>No</x:v>
      </x:c>
      <x:c r="V86" s="259" t="n">
        <x:v>46090.166666666664</x:v>
      </x:c>
      <x:c r="W86" s="265" t="n">
        <x:v>300</x:v>
      </x:c>
      <x:c r="X86" s="265" t="n">
        <x:v>1450</x:v>
      </x:c>
      <x:c r="Y86" s="265" t="n">
        <x:v>1450</x:v>
      </x:c>
      <x:c r="Z86" s="253" t="str">
        <x:f>IF(AND(U86="Yes",X86&gt;0),"Yes","No")</x:f>
        <x:v>No</x:v>
      </x:c>
      <x:c r="AA86" s="253" t="str">
        <x:f>IF(AND(U86="Yes",Y86&gt;0),"Yes","No")</x:f>
        <x:v>No</x:v>
      </x:c>
      <x:c r="AB86" s="265" t="n">
        <x:v>1449.83</x:v>
      </x:c>
      <x:c r="AC86" s="265" t="n">
        <x:v>1448.85</x:v>
      </x:c>
      <x:c r="AD86" s="271" t="str"/>
      <x:c r="AE86" s="274" t="str">
        <x:v>Not validated - no control/holdout</x:v>
      </x:c>
      <x:c r="AF86" s="277" t="str">
        <x:v>No exact promo-code claim found within 14 days</x:v>
      </x:c>
    </x:row>
    <x:row r="87">
      <x:c r="A87" s="252" t="str">
        <x:v>WS1-20260309-0082</x:v>
      </x:c>
      <x:c r="B87" s="253" t="str">
        <x:v>WS1</x:v>
      </x:c>
      <x:c r="C87" s="253" t="str">
        <x:v>MB8</x:v>
      </x:c>
      <x:c r="D87" s="259" t="n">
        <x:v>46090.166666666664</x:v>
      </x:c>
      <x:c r="E87" s="253" t="str">
        <x:v>312334</x:v>
      </x:c>
      <x:c r="F87" s="253" t="str">
        <x:v>lwc666</x:v>
      </x:c>
      <x:c r="G87" s="253" t="str">
        <x:v>Yes</x:v>
      </x:c>
      <x:c r="H87" s="253" t="str">
        <x:v>Serene</x:v>
      </x:c>
      <x:c r="I87" s="268" t="str">
        <x:f>IFERROR(VLOOKUP(H87,'Handler-Team Map'!$A$7:$C$17,2,FALSE),"")</x:f>
      </x:c>
      <x:c r="J87" s="268" t="str">
        <x:f>IFERROR(VLOOKUP(H87,'Handler-Team Map'!$A$7:$C$17,3,FALSE),"")</x:f>
      </x:c>
      <x:c r="K87" s="274" t="str">
        <x:v>FT_VM_DEP1000_GET800_2X</x:v>
      </x:c>
      <x:c r="L87" s="274" t="str">
        <x:v>FT_VM_DEP1000_GET800_2X</x:v>
      </x:c>
      <x:c r="M87" s="274" t="str">
        <x:v>VM Bns - Dep1000 Get800 - 2x TO</x:v>
      </x:c>
      <x:c r="N87" s="253" t="str">
        <x:v>Yes</x:v>
      </x:c>
      <x:c r="O87" s="253" t="str">
        <x:v>No</x:v>
      </x:c>
      <x:c r="P87" s="262"/>
      <x:c r="Q87" s="253" t="str"/>
      <x:c r="R87" s="265" t="n">
        <x:v>0</x:v>
      </x:c>
      <x:c r="S87" s="253" t="str">
        <x:v>Yes</x:v>
      </x:c>
      <x:c r="T87" s="265" t="n">
        <x:v>5668</x:v>
      </x:c>
      <x:c r="U87" s="253" t="str">
        <x:f>IF(AND(S87="Yes",T87=0),"Yes","No")</x:f>
        <x:v>No</x:v>
      </x:c>
      <x:c r="V87" s="259" t="n">
        <x:v>46091.166666666664</x:v>
      </x:c>
      <x:c r="W87" s="265" t="n">
        <x:v>960</x:v>
      </x:c>
      <x:c r="X87" s="265" t="n">
        <x:v>960</x:v>
      </x:c>
      <x:c r="Y87" s="265" t="n">
        <x:v>960</x:v>
      </x:c>
      <x:c r="Z87" s="253" t="str">
        <x:f>IF(AND(U87="Yes",X87&gt;0),"Yes","No")</x:f>
        <x:v>No</x:v>
      </x:c>
      <x:c r="AA87" s="253" t="str">
        <x:f>IF(AND(U87="Yes",Y87&gt;0),"Yes","No")</x:f>
        <x:v>No</x:v>
      </x:c>
      <x:c r="AB87" s="265" t="n">
        <x:v>358.48</x:v>
      </x:c>
      <x:c r="AC87" s="265" t="n">
        <x:v>357.83000000000004</x:v>
      </x:c>
      <x:c r="AD87" s="271" t="str"/>
      <x:c r="AE87" s="274" t="str">
        <x:v>Not validated - no control/holdout</x:v>
      </x:c>
      <x:c r="AF87" s="277" t="str">
        <x:v>No exact promo-code claim found within 14 days</x:v>
      </x:c>
    </x:row>
    <x:row r="88">
      <x:c r="A88" s="252" t="str">
        <x:v>WS1-20260309-0083</x:v>
      </x:c>
      <x:c r="B88" s="253" t="str">
        <x:v>WS1</x:v>
      </x:c>
      <x:c r="C88" s="253" t="str">
        <x:v>MB8</x:v>
      </x:c>
      <x:c r="D88" s="259" t="n">
        <x:v>46090.166666666664</x:v>
      </x:c>
      <x:c r="E88" s="253" t="str">
        <x:v>366576</x:v>
      </x:c>
      <x:c r="F88" s="253" t="str">
        <x:v>888huat</x:v>
      </x:c>
      <x:c r="G88" s="253" t="str">
        <x:v>Yes</x:v>
      </x:c>
      <x:c r="H88" s="253" t="str">
        <x:v>Serene</x:v>
      </x:c>
      <x:c r="I88" s="268" t="str">
        <x:f>IFERROR(VLOOKUP(H88,'Handler-Team Map'!$A$7:$C$17,2,FALSE),"")</x:f>
      </x:c>
      <x:c r="J88" s="268" t="str">
        <x:f>IFERROR(VLOOKUP(H88,'Handler-Team Map'!$A$7:$C$17,3,FALSE),"")</x:f>
      </x:c>
      <x:c r="K88" s="274" t="str">
        <x:v>FT_VM_DEP1000_GET900_1X</x:v>
      </x:c>
      <x:c r="L88" s="274" t="str">
        <x:v>FT_VM_DEP1000_GET900_1X</x:v>
      </x:c>
      <x:c r="M88" s="274" t="str">
        <x:v>VM Bns - Dep1000 Get900 - 1x TO</x:v>
      </x:c>
      <x:c r="N88" s="253" t="str">
        <x:v>Yes</x:v>
      </x:c>
      <x:c r="O88" s="253" t="str">
        <x:v>No</x:v>
      </x:c>
      <x:c r="P88" s="262"/>
      <x:c r="Q88" s="253" t="str"/>
      <x:c r="R88" s="265" t="n">
        <x:v>0</x:v>
      </x:c>
      <x:c r="S88" s="253" t="str">
        <x:v>Yes</x:v>
      </x:c>
      <x:c r="T88" s="265" t="n">
        <x:v>13790</x:v>
      </x:c>
      <x:c r="U88" s="253" t="str">
        <x:f>IF(AND(S88="Yes",T88=0),"Yes","No")</x:f>
        <x:v>No</x:v>
      </x:c>
      <x:c r="V88" s="259"/>
      <x:c r="W88" s="265" t="n">
        <x:v>0</x:v>
      </x:c>
      <x:c r="X88" s="265" t="n">
        <x:v>0</x:v>
      </x:c>
      <x:c r="Y88" s="265" t="n">
        <x:v>0</x:v>
      </x:c>
      <x:c r="Z88" s="253" t="str">
        <x:f>IF(AND(U88="Yes",X88&gt;0),"Yes","No")</x:f>
        <x:v>No</x:v>
      </x:c>
      <x:c r="AA88" s="253" t="str">
        <x:f>IF(AND(U88="Yes",Y88&gt;0),"Yes","No")</x:f>
        <x:v>No</x:v>
      </x:c>
      <x:c r="AB88" s="265" t="n">
        <x:v>0</x:v>
      </x:c>
      <x:c r="AC88" s="265" t="n">
        <x:v>0</x:v>
      </x:c>
      <x:c r="AD88" s="271" t="str"/>
      <x:c r="AE88" s="274" t="str">
        <x:v>Not validated - no control/holdout</x:v>
      </x:c>
      <x:c r="AF88" s="277" t="str">
        <x:v>No exact promo-code claim found within 14 days</x:v>
      </x:c>
    </x:row>
    <x:row r="89">
      <x:c r="A89" s="252" t="str">
        <x:v>WS1-20260309-0084</x:v>
      </x:c>
      <x:c r="B89" s="253" t="str">
        <x:v>WS1</x:v>
      </x:c>
      <x:c r="C89" s="253" t="str">
        <x:v>MB8</x:v>
      </x:c>
      <x:c r="D89" s="259" t="n">
        <x:v>46090.166666666664</x:v>
      </x:c>
      <x:c r="E89" s="253" t="str">
        <x:v>88414</x:v>
      </x:c>
      <x:c r="F89" s="253" t="str">
        <x:v>David1980</x:v>
      </x:c>
      <x:c r="G89" s="253" t="str">
        <x:v>Yes</x:v>
      </x:c>
      <x:c r="H89" s="253" t="str">
        <x:v>Serene</x:v>
      </x:c>
      <x:c r="I89" s="268" t="str">
        <x:f>IFERROR(VLOOKUP(H89,'Handler-Team Map'!$A$7:$C$17,2,FALSE),"")</x:f>
      </x:c>
      <x:c r="J89" s="268" t="str">
        <x:f>IFERROR(VLOOKUP(H89,'Handler-Team Map'!$A$7:$C$17,3,FALSE),"")</x:f>
      </x:c>
      <x:c r="K89" s="274" t="str">
        <x:v>FT_VM_DEP1000_GET500_5X</x:v>
      </x:c>
      <x:c r="L89" s="274" t="str">
        <x:v>FT_VM_DEP1000_GET500_5X</x:v>
      </x:c>
      <x:c r="M89" s="274" t="str">
        <x:v>VM Bns - Dep1000 Get500 - 5x TO</x:v>
      </x:c>
      <x:c r="N89" s="253" t="str">
        <x:v>Yes</x:v>
      </x:c>
      <x:c r="O89" s="253" t="str">
        <x:v>No</x:v>
      </x:c>
      <x:c r="P89" s="262"/>
      <x:c r="Q89" s="253" t="str"/>
      <x:c r="R89" s="265" t="n">
        <x:v>0</x:v>
      </x:c>
      <x:c r="S89" s="253" t="str">
        <x:v>Yes</x:v>
      </x:c>
      <x:c r="T89" s="265" t="n">
        <x:v>2400</x:v>
      </x:c>
      <x:c r="U89" s="253" t="str">
        <x:f>IF(AND(S89="Yes",T89=0),"Yes","No")</x:f>
        <x:v>No</x:v>
      </x:c>
      <x:c r="V89" s="259" t="n">
        <x:v>46090.166666666664</x:v>
      </x:c>
      <x:c r="W89" s="265" t="n">
        <x:v>90</x:v>
      </x:c>
      <x:c r="X89" s="265" t="n">
        <x:v>860</x:v>
      </x:c>
      <x:c r="Y89" s="265" t="n">
        <x:v>860</x:v>
      </x:c>
      <x:c r="Z89" s="253" t="str">
        <x:f>IF(AND(U89="Yes",X89&gt;0),"Yes","No")</x:f>
        <x:v>No</x:v>
      </x:c>
      <x:c r="AA89" s="253" t="str">
        <x:f>IF(AND(U89="Yes",Y89&gt;0),"Yes","No")</x:f>
        <x:v>No</x:v>
      </x:c>
      <x:c r="AB89" s="265" t="n">
        <x:v>862.53</x:v>
      </x:c>
      <x:c r="AC89" s="265" t="n">
        <x:v>861.07</x:v>
      </x:c>
      <x:c r="AD89" s="271" t="str"/>
      <x:c r="AE89" s="274" t="str">
        <x:v>Not validated - no control/holdout</x:v>
      </x:c>
      <x:c r="AF89" s="277" t="str">
        <x:v>No exact promo-code claim found within 14 days</x:v>
      </x:c>
    </x:row>
    <x:row r="90">
      <x:c r="A90" s="252" t="str">
        <x:v>WS1-20260309-0085</x:v>
      </x:c>
      <x:c r="B90" s="253" t="str">
        <x:v>WS1</x:v>
      </x:c>
      <x:c r="C90" s="253" t="str">
        <x:v>MB8</x:v>
      </x:c>
      <x:c r="D90" s="259" t="n">
        <x:v>46090.166666666664</x:v>
      </x:c>
      <x:c r="E90" s="253" t="str">
        <x:v>607976</x:v>
      </x:c>
      <x:c r="F90" s="253" t="str">
        <x:v>Towkey</x:v>
      </x:c>
      <x:c r="G90" s="253" t="str">
        <x:v>Yes</x:v>
      </x:c>
      <x:c r="H90" s="253" t="str">
        <x:v>Serene</x:v>
      </x:c>
      <x:c r="I90" s="268" t="str">
        <x:f>IFERROR(VLOOKUP(H90,'Handler-Team Map'!$A$7:$C$17,2,FALSE),"")</x:f>
      </x:c>
      <x:c r="J90" s="268" t="str">
        <x:f>IFERROR(VLOOKUP(H90,'Handler-Team Map'!$A$7:$C$17,3,FALSE),"")</x:f>
      </x:c>
      <x:c r="K90" s="274" t="str">
        <x:v>(MID) - VM_DEP600_GET200_5X</x:v>
      </x:c>
      <x:c r="L90" s="274" t="str">
        <x:v>FT_VM_DEP600_GET200_5X</x:v>
      </x:c>
      <x:c r="M90" s="274" t="str">
        <x:v>VM Bns - Dep600 Get200 - 5x TO</x:v>
      </x:c>
      <x:c r="N90" s="253" t="str">
        <x:v>Yes</x:v>
      </x:c>
      <x:c r="O90" s="253" t="str">
        <x:v>No</x:v>
      </x:c>
      <x:c r="P90" s="262"/>
      <x:c r="Q90" s="253" t="str"/>
      <x:c r="R90" s="265" t="n">
        <x:v>0</x:v>
      </x:c>
      <x:c r="S90" s="253" t="str">
        <x:v>Yes</x:v>
      </x:c>
      <x:c r="T90" s="265" t="n">
        <x:v>19260</x:v>
      </x:c>
      <x:c r="U90" s="253" t="str">
        <x:f>IF(AND(S90="Yes",T90=0),"Yes","No")</x:f>
        <x:v>No</x:v>
      </x:c>
      <x:c r="V90" s="259" t="n">
        <x:v>46090.166666666664</x:v>
      </x:c>
      <x:c r="W90" s="265" t="n">
        <x:v>1000</x:v>
      </x:c>
      <x:c r="X90" s="265" t="n">
        <x:v>8000</x:v>
      </x:c>
      <x:c r="Y90" s="265" t="n">
        <x:v>21900</x:v>
      </x:c>
      <x:c r="Z90" s="253" t="str">
        <x:f>IF(AND(U90="Yes",X90&gt;0),"Yes","No")</x:f>
        <x:v>No</x:v>
      </x:c>
      <x:c r="AA90" s="253" t="str">
        <x:f>IF(AND(U90="Yes",Y90&gt;0),"Yes","No")</x:f>
        <x:v>No</x:v>
      </x:c>
      <x:c r="AB90" s="265" t="n">
        <x:v>-22623.590000000004</x:v>
      </x:c>
      <x:c r="AC90" s="265" t="n">
        <x:v>-20898.700000000004</x:v>
      </x:c>
      <x:c r="AD90" s="271" t="str"/>
      <x:c r="AE90" s="274" t="str">
        <x:v>Not validated - no control/holdout</x:v>
      </x:c>
      <x:c r="AF90" s="277" t="str">
        <x:v>No exact promo-code claim found within 14 days</x:v>
      </x:c>
    </x:row>
    <x:row r="91">
      <x:c r="A91" s="252" t="str">
        <x:v>WS1-20260309-0086</x:v>
      </x:c>
      <x:c r="B91" s="253" t="str">
        <x:v>WS1</x:v>
      </x:c>
      <x:c r="C91" s="253" t="str">
        <x:v>MB8</x:v>
      </x:c>
      <x:c r="D91" s="259" t="n">
        <x:v>46090.166666666664</x:v>
      </x:c>
      <x:c r="E91" s="253" t="str">
        <x:v>613527</x:v>
      </x:c>
      <x:c r="F91" s="253" t="str">
        <x:v>boy1987</x:v>
      </x:c>
      <x:c r="G91" s="253" t="str">
        <x:v>Yes</x:v>
      </x:c>
      <x:c r="H91" s="253" t="str">
        <x:v>Serene</x:v>
      </x:c>
      <x:c r="I91" s="268" t="str">
        <x:f>IFERROR(VLOOKUP(H91,'Handler-Team Map'!$A$7:$C$17,2,FALSE),"")</x:f>
      </x:c>
      <x:c r="J91" s="268" t="str">
        <x:f>IFERROR(VLOOKUP(H91,'Handler-Team Map'!$A$7:$C$17,3,FALSE),"")</x:f>
      </x:c>
      <x:c r="K91" s="274" t="str">
        <x:v>FT_VM_DEP1000_GET500_5X</x:v>
      </x:c>
      <x:c r="L91" s="274" t="str">
        <x:v>FT_VM_DEP1000_GET500_5X</x:v>
      </x:c>
      <x:c r="M91" s="274" t="str">
        <x:v>VM Bns - Dep1000 Get500 - 5x TO</x:v>
      </x:c>
      <x:c r="N91" s="253" t="str">
        <x:v>Yes</x:v>
      </x:c>
      <x:c r="O91" s="253" t="str">
        <x:v>No</x:v>
      </x:c>
      <x:c r="P91" s="262"/>
      <x:c r="Q91" s="253" t="str"/>
      <x:c r="R91" s="265" t="n">
        <x:v>0</x:v>
      </x:c>
      <x:c r="S91" s="253" t="str">
        <x:v>Yes</x:v>
      </x:c>
      <x:c r="T91" s="265" t="n">
        <x:v>2790</x:v>
      </x:c>
      <x:c r="U91" s="253" t="str">
        <x:f>IF(AND(S91="Yes",T91=0),"Yes","No")</x:f>
        <x:v>No</x:v>
      </x:c>
      <x:c r="V91" s="259" t="n">
        <x:v>46090.166666666664</x:v>
      </x:c>
      <x:c r="W91" s="265" t="n">
        <x:v>350</x:v>
      </x:c>
      <x:c r="X91" s="265" t="n">
        <x:v>800</x:v>
      </x:c>
      <x:c r="Y91" s="265" t="n">
        <x:v>1790</x:v>
      </x:c>
      <x:c r="Z91" s="253" t="str">
        <x:f>IF(AND(U91="Yes",X91&gt;0),"Yes","No")</x:f>
        <x:v>No</x:v>
      </x:c>
      <x:c r="AA91" s="253" t="str">
        <x:f>IF(AND(U91="Yes",Y91&gt;0),"Yes","No")</x:f>
        <x:v>No</x:v>
      </x:c>
      <x:c r="AB91" s="265" t="n">
        <x:v>499.9599999999996</x:v>
      </x:c>
      <x:c r="AC91" s="265" t="n">
        <x:v>1489.9200000000003</x:v>
      </x:c>
      <x:c r="AD91" s="271" t="str"/>
      <x:c r="AE91" s="274" t="str">
        <x:v>Not validated - no control/holdout</x:v>
      </x:c>
      <x:c r="AF91" s="277" t="str">
        <x:v>No exact promo-code claim found within 14 days</x:v>
      </x:c>
    </x:row>
    <x:row r="92">
      <x:c r="A92" s="252" t="str">
        <x:v>WS1-20260309-0087</x:v>
      </x:c>
      <x:c r="B92" s="253" t="str">
        <x:v>WS1</x:v>
      </x:c>
      <x:c r="C92" s="253" t="str">
        <x:v>MB8</x:v>
      </x:c>
      <x:c r="D92" s="259" t="n">
        <x:v>46090.166666666664</x:v>
      </x:c>
      <x:c r="E92" s="253" t="str">
        <x:v>425039</x:v>
      </x:c>
      <x:c r="F92" s="253" t="str">
        <x:v>fiezeen83</x:v>
      </x:c>
      <x:c r="G92" s="253" t="str">
        <x:v>Yes</x:v>
      </x:c>
      <x:c r="H92" s="253" t="str">
        <x:v>Serene</x:v>
      </x:c>
      <x:c r="I92" s="268" t="str">
        <x:f>IFERROR(VLOOKUP(H92,'Handler-Team Map'!$A$7:$C$17,2,FALSE),"")</x:f>
      </x:c>
      <x:c r="J92" s="268" t="str">
        <x:f>IFERROR(VLOOKUP(H92,'Handler-Team Map'!$A$7:$C$17,3,FALSE),"")</x:f>
      </x:c>
      <x:c r="K92" s="274" t="str">
        <x:v>FT_VM_DEP1000_GET800_2X</x:v>
      </x:c>
      <x:c r="L92" s="274" t="str">
        <x:v>FT_VM_DEP1000_GET800_2X</x:v>
      </x:c>
      <x:c r="M92" s="274" t="str">
        <x:v>VM Bns - Dep1000 Get800 - 2x TO</x:v>
      </x:c>
      <x:c r="N92" s="253" t="str">
        <x:v>Yes</x:v>
      </x:c>
      <x:c r="O92" s="253" t="str">
        <x:v>No</x:v>
      </x:c>
      <x:c r="P92" s="262"/>
      <x:c r="Q92" s="253" t="str"/>
      <x:c r="R92" s="265" t="n">
        <x:v>0</x:v>
      </x:c>
      <x:c r="S92" s="253" t="str">
        <x:v>Yes</x:v>
      </x:c>
      <x:c r="T92" s="265" t="n">
        <x:v>7986</x:v>
      </x:c>
      <x:c r="U92" s="253" t="str">
        <x:f>IF(AND(S92="Yes",T92=0),"Yes","No")</x:f>
        <x:v>No</x:v>
      </x:c>
      <x:c r="V92" s="259"/>
      <x:c r="W92" s="265" t="n">
        <x:v>0</x:v>
      </x:c>
      <x:c r="X92" s="265" t="n">
        <x:v>0</x:v>
      </x:c>
      <x:c r="Y92" s="265" t="n">
        <x:v>0</x:v>
      </x:c>
      <x:c r="Z92" s="253" t="str">
        <x:f>IF(AND(U92="Yes",X92&gt;0),"Yes","No")</x:f>
        <x:v>No</x:v>
      </x:c>
      <x:c r="AA92" s="253" t="str">
        <x:f>IF(AND(U92="Yes",Y92&gt;0),"Yes","No")</x:f>
        <x:v>No</x:v>
      </x:c>
      <x:c r="AB92" s="265" t="n">
        <x:v>0</x:v>
      </x:c>
      <x:c r="AC92" s="265" t="n">
        <x:v>0</x:v>
      </x:c>
      <x:c r="AD92" s="271" t="str"/>
      <x:c r="AE92" s="274" t="str">
        <x:v>Not validated - no control/holdout</x:v>
      </x:c>
      <x:c r="AF92" s="277" t="str">
        <x:v>No exact promo-code claim found within 14 days</x:v>
      </x:c>
    </x:row>
    <x:row r="93">
      <x:c r="A93" s="252" t="str">
        <x:v>WS1-20260309-0088</x:v>
      </x:c>
      <x:c r="B93" s="253" t="str">
        <x:v>WS1</x:v>
      </x:c>
      <x:c r="C93" s="253" t="str">
        <x:v>MB8</x:v>
      </x:c>
      <x:c r="D93" s="259" t="n">
        <x:v>46090.166666666664</x:v>
      </x:c>
      <x:c r="E93" s="253" t="str">
        <x:v>508702</x:v>
      </x:c>
      <x:c r="F93" s="253" t="str">
        <x:v>Laksh</x:v>
      </x:c>
      <x:c r="G93" s="253" t="str">
        <x:v>Yes</x:v>
      </x:c>
      <x:c r="H93" s="253" t="str">
        <x:v>Serene</x:v>
      </x:c>
      <x:c r="I93" s="268" t="str">
        <x:f>IFERROR(VLOOKUP(H93,'Handler-Team Map'!$A$7:$C$17,2,FALSE),"")</x:f>
      </x:c>
      <x:c r="J93" s="268" t="str">
        <x:f>IFERROR(VLOOKUP(H93,'Handler-Team Map'!$A$7:$C$17,3,FALSE),"")</x:f>
      </x:c>
      <x:c r="K93" s="274" t="str">
        <x:v>FT_VM_DEP1000_GET800_2X</x:v>
      </x:c>
      <x:c r="L93" s="274" t="str">
        <x:v>FT_VM_DEP1000_GET800_2X</x:v>
      </x:c>
      <x:c r="M93" s="274" t="str">
        <x:v>VM Bns - Dep1000 Get800 - 2x TO</x:v>
      </x:c>
      <x:c r="N93" s="253" t="str">
        <x:v>Yes</x:v>
      </x:c>
      <x:c r="O93" s="253" t="str">
        <x:v>No</x:v>
      </x:c>
      <x:c r="P93" s="262"/>
      <x:c r="Q93" s="253" t="str"/>
      <x:c r="R93" s="265" t="n">
        <x:v>0</x:v>
      </x:c>
      <x:c r="S93" s="253" t="str">
        <x:v>Yes</x:v>
      </x:c>
      <x:c r="T93" s="265" t="n">
        <x:v>9600</x:v>
      </x:c>
      <x:c r="U93" s="253" t="str">
        <x:f>IF(AND(S93="Yes",T93=0),"Yes","No")</x:f>
        <x:v>No</x:v>
      </x:c>
      <x:c r="V93" s="259"/>
      <x:c r="W93" s="265" t="n">
        <x:v>0</x:v>
      </x:c>
      <x:c r="X93" s="265" t="n">
        <x:v>0</x:v>
      </x:c>
      <x:c r="Y93" s="265" t="n">
        <x:v>0</x:v>
      </x:c>
      <x:c r="Z93" s="253" t="str">
        <x:f>IF(AND(U93="Yes",X93&gt;0),"Yes","No")</x:f>
        <x:v>No</x:v>
      </x:c>
      <x:c r="AA93" s="253" t="str">
        <x:f>IF(AND(U93="Yes",Y93&gt;0),"Yes","No")</x:f>
        <x:v>No</x:v>
      </x:c>
      <x:c r="AB93" s="265" t="n">
        <x:v>-11.15</x:v>
      </x:c>
      <x:c r="AC93" s="265" t="n">
        <x:v>-11.15</x:v>
      </x:c>
      <x:c r="AD93" s="271" t="str"/>
      <x:c r="AE93" s="274" t="str">
        <x:v>Not validated - no control/holdout</x:v>
      </x:c>
      <x:c r="AF93" s="277" t="str">
        <x:v>No exact promo-code claim found within 14 days</x:v>
      </x:c>
    </x:row>
    <x:row r="94">
      <x:c r="A94" s="252" t="str">
        <x:v>WS1-20260309-0089</x:v>
      </x:c>
      <x:c r="B94" s="253" t="str">
        <x:v>WS1</x:v>
      </x:c>
      <x:c r="C94" s="253" t="str">
        <x:v>MB8</x:v>
      </x:c>
      <x:c r="D94" s="259" t="n">
        <x:v>46090.166666666664</x:v>
      </x:c>
      <x:c r="E94" s="253" t="str">
        <x:v>567766</x:v>
      </x:c>
      <x:c r="F94" s="253" t="str">
        <x:v>Ehcays</x:v>
      </x:c>
      <x:c r="G94" s="253" t="str">
        <x:v>Yes</x:v>
      </x:c>
      <x:c r="H94" s="253" t="str">
        <x:v>Serene</x:v>
      </x:c>
      <x:c r="I94" s="268" t="str">
        <x:f>IFERROR(VLOOKUP(H94,'Handler-Team Map'!$A$7:$C$17,2,FALSE),"")</x:f>
      </x:c>
      <x:c r="J94" s="268" t="str">
        <x:f>IFERROR(VLOOKUP(H94,'Handler-Team Map'!$A$7:$C$17,3,FALSE),"")</x:f>
      </x:c>
      <x:c r="K94" s="274" t="str">
        <x:v>FT_VM_DEP1000_GET500_2X</x:v>
      </x:c>
      <x:c r="L94" s="274" t="str">
        <x:v>FT_VM_DEP1000_GET500_2X</x:v>
      </x:c>
      <x:c r="M94" s="274" t="str">
        <x:v>VM Bns - Dep1000 Get500 - 2x TO</x:v>
      </x:c>
      <x:c r="N94" s="253" t="str">
        <x:v>Yes</x:v>
      </x:c>
      <x:c r="O94" s="253" t="str">
        <x:v>No</x:v>
      </x:c>
      <x:c r="P94" s="262"/>
      <x:c r="Q94" s="253" t="str"/>
      <x:c r="R94" s="265" t="n">
        <x:v>0</x:v>
      </x:c>
      <x:c r="S94" s="253" t="str">
        <x:v>Yes</x:v>
      </x:c>
      <x:c r="T94" s="265" t="n">
        <x:v>5567</x:v>
      </x:c>
      <x:c r="U94" s="253" t="str">
        <x:f>IF(AND(S94="Yes",T94=0),"Yes","No")</x:f>
        <x:v>No</x:v>
      </x:c>
      <x:c r="V94" s="259"/>
      <x:c r="W94" s="265" t="n">
        <x:v>0</x:v>
      </x:c>
      <x:c r="X94" s="265" t="n">
        <x:v>0</x:v>
      </x:c>
      <x:c r="Y94" s="265" t="n">
        <x:v>0</x:v>
      </x:c>
      <x:c r="Z94" s="253" t="str">
        <x:f>IF(AND(U94="Yes",X94&gt;0),"Yes","No")</x:f>
        <x:v>No</x:v>
      </x:c>
      <x:c r="AA94" s="253" t="str">
        <x:f>IF(AND(U94="Yes",Y94&gt;0),"Yes","No")</x:f>
        <x:v>No</x:v>
      </x:c>
      <x:c r="AB94" s="265" t="n">
        <x:v>0</x:v>
      </x:c>
      <x:c r="AC94" s="265" t="n">
        <x:v>-0.38</x:v>
      </x:c>
      <x:c r="AD94" s="271" t="str"/>
      <x:c r="AE94" s="274" t="str">
        <x:v>Not validated - no control/holdout</x:v>
      </x:c>
      <x:c r="AF94" s="277" t="str">
        <x:v>No exact promo-code claim found within 14 days</x:v>
      </x:c>
    </x:row>
    <x:row r="95">
      <x:c r="A95" s="252" t="str">
        <x:v>WS1-20260309-0090</x:v>
      </x:c>
      <x:c r="B95" s="253" t="str">
        <x:v>WS1</x:v>
      </x:c>
      <x:c r="C95" s="253" t="str">
        <x:v>MB8</x:v>
      </x:c>
      <x:c r="D95" s="259" t="n">
        <x:v>46090.166666666664</x:v>
      </x:c>
      <x:c r="E95" s="253" t="str">
        <x:v>694849</x:v>
      </x:c>
      <x:c r="F95" s="253" t="str">
        <x:v>Komi787</x:v>
      </x:c>
      <x:c r="G95" s="253" t="str">
        <x:v>Yes</x:v>
      </x:c>
      <x:c r="H95" s="253" t="str">
        <x:v>Serene</x:v>
      </x:c>
      <x:c r="I95" s="268" t="str">
        <x:f>IFERROR(VLOOKUP(H95,'Handler-Team Map'!$A$7:$C$17,2,FALSE),"")</x:f>
      </x:c>
      <x:c r="J95" s="268" t="str">
        <x:f>IFERROR(VLOOKUP(H95,'Handler-Team Map'!$A$7:$C$17,3,FALSE),"")</x:f>
      </x:c>
      <x:c r="K95" s="274" t="str">
        <x:v>FT_VM_DEP1000_GET500_2X</x:v>
      </x:c>
      <x:c r="L95" s="274" t="str">
        <x:v>FT_VM_DEP1000_GET500_2X</x:v>
      </x:c>
      <x:c r="M95" s="274" t="str">
        <x:v>VM Bns - Dep1000 Get500 - 2x TO</x:v>
      </x:c>
      <x:c r="N95" s="253" t="str">
        <x:v>Yes</x:v>
      </x:c>
      <x:c r="O95" s="253" t="str">
        <x:v>No</x:v>
      </x:c>
      <x:c r="P95" s="262"/>
      <x:c r="Q95" s="253" t="str"/>
      <x:c r="R95" s="265" t="n">
        <x:v>0</x:v>
      </x:c>
      <x:c r="S95" s="253" t="str">
        <x:v>Yes</x:v>
      </x:c>
      <x:c r="T95" s="265" t="n">
        <x:v>19180</x:v>
      </x:c>
      <x:c r="U95" s="253" t="str">
        <x:f>IF(AND(S95="Yes",T95=0),"Yes","No")</x:f>
        <x:v>No</x:v>
      </x:c>
      <x:c r="V95" s="259"/>
      <x:c r="W95" s="265" t="n">
        <x:v>0</x:v>
      </x:c>
      <x:c r="X95" s="265" t="n">
        <x:v>0</x:v>
      </x:c>
      <x:c r="Y95" s="265" t="n">
        <x:v>0</x:v>
      </x:c>
      <x:c r="Z95" s="253" t="str">
        <x:f>IF(AND(U95="Yes",X95&gt;0),"Yes","No")</x:f>
        <x:v>No</x:v>
      </x:c>
      <x:c r="AA95" s="253" t="str">
        <x:f>IF(AND(U95="Yes",Y95&gt;0),"Yes","No")</x:f>
        <x:v>No</x:v>
      </x:c>
      <x:c r="AB95" s="265" t="n">
        <x:v>0</x:v>
      </x:c>
      <x:c r="AC95" s="265" t="n">
        <x:v>0</x:v>
      </x:c>
      <x:c r="AD95" s="271" t="str"/>
      <x:c r="AE95" s="274" t="str">
        <x:v>Not validated - no control/holdout</x:v>
      </x:c>
      <x:c r="AF95" s="277" t="str">
        <x:v>No exact promo-code claim found within 14 days</x:v>
      </x:c>
    </x:row>
    <x:row r="96">
      <x:c r="A96" s="252" t="str">
        <x:v>WS1-20260309-0091</x:v>
      </x:c>
      <x:c r="B96" s="253" t="str">
        <x:v>WS1</x:v>
      </x:c>
      <x:c r="C96" s="253" t="str">
        <x:v>MB8</x:v>
      </x:c>
      <x:c r="D96" s="259" t="n">
        <x:v>46090.166666666664</x:v>
      </x:c>
      <x:c r="E96" s="253" t="str">
        <x:v>565086</x:v>
      </x:c>
      <x:c r="F96" s="253" t="str">
        <x:v>Prasad23</x:v>
      </x:c>
      <x:c r="G96" s="253" t="str">
        <x:v>Yes</x:v>
      </x:c>
      <x:c r="H96" s="253" t="str">
        <x:v>Serene</x:v>
      </x:c>
      <x:c r="I96" s="268" t="str">
        <x:f>IFERROR(VLOOKUP(H96,'Handler-Team Map'!$A$7:$C$17,2,FALSE),"")</x:f>
      </x:c>
      <x:c r="J96" s="268" t="str">
        <x:f>IFERROR(VLOOKUP(H96,'Handler-Team Map'!$A$7:$C$17,3,FALSE),"")</x:f>
      </x:c>
      <x:c r="K96" s="274" t="str">
        <x:v>FT_VM_DEP1000_GET500_2X</x:v>
      </x:c>
      <x:c r="L96" s="274" t="str">
        <x:v>FT_VM_DEP1000_GET500_2X</x:v>
      </x:c>
      <x:c r="M96" s="274" t="str">
        <x:v>VM Bns - Dep1000 Get500 - 2x TO</x:v>
      </x:c>
      <x:c r="N96" s="253" t="str">
        <x:v>Yes</x:v>
      </x:c>
      <x:c r="O96" s="253" t="str">
        <x:v>No</x:v>
      </x:c>
      <x:c r="P96" s="262"/>
      <x:c r="Q96" s="253" t="str"/>
      <x:c r="R96" s="265" t="n">
        <x:v>0</x:v>
      </x:c>
      <x:c r="S96" s="253" t="str">
        <x:v>Yes</x:v>
      </x:c>
      <x:c r="T96" s="265" t="n">
        <x:v>864</x:v>
      </x:c>
      <x:c r="U96" s="253" t="str">
        <x:f>IF(AND(S96="Yes",T96=0),"Yes","No")</x:f>
        <x:v>No</x:v>
      </x:c>
      <x:c r="V96" s="259"/>
      <x:c r="W96" s="265" t="n">
        <x:v>0</x:v>
      </x:c>
      <x:c r="X96" s="265" t="n">
        <x:v>0</x:v>
      </x:c>
      <x:c r="Y96" s="265" t="n">
        <x:v>0</x:v>
      </x:c>
      <x:c r="Z96" s="253" t="str">
        <x:f>IF(AND(U96="Yes",X96&gt;0),"Yes","No")</x:f>
        <x:v>No</x:v>
      </x:c>
      <x:c r="AA96" s="253" t="str">
        <x:f>IF(AND(U96="Yes",Y96&gt;0),"Yes","No")</x:f>
        <x:v>No</x:v>
      </x:c>
      <x:c r="AB96" s="265" t="n">
        <x:v>0</x:v>
      </x:c>
      <x:c r="AC96" s="265" t="n">
        <x:v>0</x:v>
      </x:c>
      <x:c r="AD96" s="271" t="str"/>
      <x:c r="AE96" s="274" t="str">
        <x:v>Not validated - no control/holdout</x:v>
      </x:c>
      <x:c r="AF96" s="277" t="str">
        <x:v>No exact promo-code claim found within 14 days</x:v>
      </x:c>
    </x:row>
    <x:row r="97">
      <x:c r="A97" s="252" t="str">
        <x:v>WS1-20260309-0092</x:v>
      </x:c>
      <x:c r="B97" s="253" t="str">
        <x:v>WS1</x:v>
      </x:c>
      <x:c r="C97" s="253" t="str">
        <x:v>MB8</x:v>
      </x:c>
      <x:c r="D97" s="259" t="n">
        <x:v>46090.166666666664</x:v>
      </x:c>
      <x:c r="E97" s="253" t="str">
        <x:v>479308</x:v>
      </x:c>
      <x:c r="F97" s="253" t="str">
        <x:v>Krulyen86</x:v>
      </x:c>
      <x:c r="G97" s="253" t="str">
        <x:v>Yes</x:v>
      </x:c>
      <x:c r="H97" s="253" t="str">
        <x:v>Serene</x:v>
      </x:c>
      <x:c r="I97" s="268" t="str">
        <x:f>IFERROR(VLOOKUP(H97,'Handler-Team Map'!$A$7:$C$17,2,FALSE),"")</x:f>
      </x:c>
      <x:c r="J97" s="268" t="str">
        <x:f>IFERROR(VLOOKUP(H97,'Handler-Team Map'!$A$7:$C$17,3,FALSE),"")</x:f>
      </x:c>
      <x:c r="K97" s="274" t="str">
        <x:v>FT_VM_DEP600_GET200_5X</x:v>
      </x:c>
      <x:c r="L97" s="274" t="str">
        <x:v>FT_VM_DEP600_GET200_5X</x:v>
      </x:c>
      <x:c r="M97" s="274" t="str">
        <x:v>VM Bns - Dep600 Get200 - 5x TO</x:v>
      </x:c>
      <x:c r="N97" s="253" t="str">
        <x:v>Yes</x:v>
      </x:c>
      <x:c r="O97" s="253" t="str">
        <x:v>No</x:v>
      </x:c>
      <x:c r="P97" s="262"/>
      <x:c r="Q97" s="253" t="str"/>
      <x:c r="R97" s="265" t="n">
        <x:v>0</x:v>
      </x:c>
      <x:c r="S97" s="253" t="str">
        <x:v>Yes</x:v>
      </x:c>
      <x:c r="T97" s="265" t="n">
        <x:v>180</x:v>
      </x:c>
      <x:c r="U97" s="253" t="str">
        <x:f>IF(AND(S97="Yes",T97=0),"Yes","No")</x:f>
        <x:v>No</x:v>
      </x:c>
      <x:c r="V97" s="259" t="n">
        <x:v>46093.166666666664</x:v>
      </x:c>
      <x:c r="W97" s="265" t="n">
        <x:v>100</x:v>
      </x:c>
      <x:c r="X97" s="265" t="n">
        <x:v>100</x:v>
      </x:c>
      <x:c r="Y97" s="265" t="n">
        <x:v>100</x:v>
      </x:c>
      <x:c r="Z97" s="253" t="str">
        <x:f>IF(AND(U97="Yes",X97&gt;0),"Yes","No")</x:f>
        <x:v>No</x:v>
      </x:c>
      <x:c r="AA97" s="253" t="str">
        <x:f>IF(AND(U97="Yes",Y97&gt;0),"Yes","No")</x:f>
        <x:v>No</x:v>
      </x:c>
      <x:c r="AB97" s="265" t="n">
        <x:v>-1511.2700000000002</x:v>
      </x:c>
      <x:c r="AC97" s="265" t="n">
        <x:v>-1511.2700000000002</x:v>
      </x:c>
      <x:c r="AD97" s="271" t="str"/>
      <x:c r="AE97" s="274" t="str">
        <x:v>Not validated - no control/holdout</x:v>
      </x:c>
      <x:c r="AF97" s="277" t="str">
        <x:v>No exact promo-code claim found within 14 days</x:v>
      </x:c>
    </x:row>
    <x:row r="98">
      <x:c r="A98" s="252" t="str">
        <x:v>WS1-20260309-0093</x:v>
      </x:c>
      <x:c r="B98" s="253" t="str">
        <x:v>WS1</x:v>
      </x:c>
      <x:c r="C98" s="253" t="str">
        <x:v>MB8</x:v>
      </x:c>
      <x:c r="D98" s="259" t="n">
        <x:v>46090.166666666664</x:v>
      </x:c>
      <x:c r="E98" s="253" t="str">
        <x:v>527612</x:v>
      </x:c>
      <x:c r="F98" s="253" t="str">
        <x:v>Boboi98</x:v>
      </x:c>
      <x:c r="G98" s="253" t="str">
        <x:v>Yes</x:v>
      </x:c>
      <x:c r="H98" s="253" t="str">
        <x:v>Serene</x:v>
      </x:c>
      <x:c r="I98" s="268" t="str">
        <x:f>IFERROR(VLOOKUP(H98,'Handler-Team Map'!$A$7:$C$17,2,FALSE),"")</x:f>
      </x:c>
      <x:c r="J98" s="268" t="str">
        <x:f>IFERROR(VLOOKUP(H98,'Handler-Team Map'!$A$7:$C$17,3,FALSE),"")</x:f>
      </x:c>
      <x:c r="K98" s="274" t="str">
        <x:v>FT_VM_DEP1000_GET500_5X</x:v>
      </x:c>
      <x:c r="L98" s="274" t="str">
        <x:v>FT_VM_DEP1000_GET500_5X</x:v>
      </x:c>
      <x:c r="M98" s="274" t="str">
        <x:v>VM Bns - Dep1000 Get500 - 5x TO</x:v>
      </x:c>
      <x:c r="N98" s="253" t="str">
        <x:v>Yes</x:v>
      </x:c>
      <x:c r="O98" s="253" t="str">
        <x:v>No</x:v>
      </x:c>
      <x:c r="P98" s="262"/>
      <x:c r="Q98" s="253" t="str"/>
      <x:c r="R98" s="265" t="n">
        <x:v>0</x:v>
      </x:c>
      <x:c r="S98" s="253" t="str">
        <x:v>Yes</x:v>
      </x:c>
      <x:c r="T98" s="265" t="n">
        <x:v>8120</x:v>
      </x:c>
      <x:c r="U98" s="253" t="str">
        <x:f>IF(AND(S98="Yes",T98=0),"Yes","No")</x:f>
        <x:v>No</x:v>
      </x:c>
      <x:c r="V98" s="259" t="n">
        <x:v>46092.166666666664</x:v>
      </x:c>
      <x:c r="W98" s="265" t="n">
        <x:v>260</x:v>
      </x:c>
      <x:c r="X98" s="265" t="n">
        <x:v>5460</x:v>
      </x:c>
      <x:c r="Y98" s="265" t="n">
        <x:v>5690</x:v>
      </x:c>
      <x:c r="Z98" s="253" t="str">
        <x:f>IF(AND(U98="Yes",X98&gt;0),"Yes","No")</x:f>
        <x:v>No</x:v>
      </x:c>
      <x:c r="AA98" s="253" t="str">
        <x:f>IF(AND(U98="Yes",Y98&gt;0),"Yes","No")</x:f>
        <x:v>No</x:v>
      </x:c>
      <x:c r="AB98" s="265" t="n">
        <x:v>2966.37</x:v>
      </x:c>
      <x:c r="AC98" s="265" t="n">
        <x:v>3195.46</x:v>
      </x:c>
      <x:c r="AD98" s="271" t="str"/>
      <x:c r="AE98" s="274" t="str">
        <x:v>Not validated - no control/holdout</x:v>
      </x:c>
      <x:c r="AF98" s="277" t="str">
        <x:v>No exact promo-code claim found within 14 days</x:v>
      </x:c>
    </x:row>
    <x:row r="99">
      <x:c r="A99" s="252" t="str">
        <x:v>WS1-20260309-0094</x:v>
      </x:c>
      <x:c r="B99" s="253" t="str">
        <x:v>WS1</x:v>
      </x:c>
      <x:c r="C99" s="253" t="str">
        <x:v>MB8</x:v>
      </x:c>
      <x:c r="D99" s="259" t="n">
        <x:v>46090.166666666664</x:v>
      </x:c>
      <x:c r="E99" s="253" t="str">
        <x:v>157630</x:v>
      </x:c>
      <x:c r="F99" s="253" t="str">
        <x:v>Luckanut007</x:v>
      </x:c>
      <x:c r="G99" s="253" t="str">
        <x:v>Yes</x:v>
      </x:c>
      <x:c r="H99" s="253" t="str">
        <x:v>Serene</x:v>
      </x:c>
      <x:c r="I99" s="268" t="str">
        <x:f>IFERROR(VLOOKUP(H99,'Handler-Team Map'!$A$7:$C$17,2,FALSE),"")</x:f>
      </x:c>
      <x:c r="J99" s="268" t="str">
        <x:f>IFERROR(VLOOKUP(H99,'Handler-Team Map'!$A$7:$C$17,3,FALSE),"")</x:f>
      </x:c>
      <x:c r="K99" s="274" t="str">
        <x:v>FT_VM_DEP1000_GET500_5X</x:v>
      </x:c>
      <x:c r="L99" s="274" t="str">
        <x:v>FT_VM_DEP1000_GET500_5X</x:v>
      </x:c>
      <x:c r="M99" s="274" t="str">
        <x:v>VM Bns - Dep1000 Get500 - 5x TO</x:v>
      </x:c>
      <x:c r="N99" s="253" t="str">
        <x:v>Yes</x:v>
      </x:c>
      <x:c r="O99" s="253" t="str">
        <x:v>No</x:v>
      </x:c>
      <x:c r="P99" s="262"/>
      <x:c r="Q99" s="253" t="str"/>
      <x:c r="R99" s="265" t="n">
        <x:v>0</x:v>
      </x:c>
      <x:c r="S99" s="253" t="str">
        <x:v>Yes</x:v>
      </x:c>
      <x:c r="T99" s="265" t="n">
        <x:v>5545</x:v>
      </x:c>
      <x:c r="U99" s="253" t="str">
        <x:f>IF(AND(S99="Yes",T99=0),"Yes","No")</x:f>
        <x:v>No</x:v>
      </x:c>
      <x:c r="V99" s="259" t="n">
        <x:v>46090.166666666664</x:v>
      </x:c>
      <x:c r="W99" s="265" t="n">
        <x:v>100</x:v>
      </x:c>
      <x:c r="X99" s="265" t="n">
        <x:v>500</x:v>
      </x:c>
      <x:c r="Y99" s="265" t="n">
        <x:v>575</x:v>
      </x:c>
      <x:c r="Z99" s="253" t="str">
        <x:f>IF(AND(U99="Yes",X99&gt;0),"Yes","No")</x:f>
        <x:v>No</x:v>
      </x:c>
      <x:c r="AA99" s="253" t="str">
        <x:f>IF(AND(U99="Yes",Y99&gt;0),"Yes","No")</x:f>
        <x:v>No</x:v>
      </x:c>
      <x:c r="AB99" s="265" t="n">
        <x:v>99.78</x:v>
      </x:c>
      <x:c r="AC99" s="265" t="n">
        <x:v>174.81</x:v>
      </x:c>
      <x:c r="AD99" s="271" t="str"/>
      <x:c r="AE99" s="274" t="str">
        <x:v>Not validated - no control/holdout</x:v>
      </x:c>
      <x:c r="AF99" s="277" t="str">
        <x:v>No exact promo-code claim found within 14 days</x:v>
      </x:c>
    </x:row>
    <x:row r="100">
      <x:c r="A100" s="252" t="str">
        <x:v>WS1-20260309-0095</x:v>
      </x:c>
      <x:c r="B100" s="253" t="str">
        <x:v>WS1</x:v>
      </x:c>
      <x:c r="C100" s="253" t="str">
        <x:v>MB8</x:v>
      </x:c>
      <x:c r="D100" s="259" t="n">
        <x:v>46090.166666666664</x:v>
      </x:c>
      <x:c r="E100" s="253" t="str">
        <x:v>649828</x:v>
      </x:c>
      <x:c r="F100" s="253" t="str">
        <x:v>Redberry7</x:v>
      </x:c>
      <x:c r="G100" s="253" t="str">
        <x:v>Yes</x:v>
      </x:c>
      <x:c r="H100" s="253" t="str">
        <x:v>Serene</x:v>
      </x:c>
      <x:c r="I100" s="268" t="str">
        <x:f>IFERROR(VLOOKUP(H100,'Handler-Team Map'!$A$7:$C$17,2,FALSE),"")</x:f>
      </x:c>
      <x:c r="J100" s="268" t="str">
        <x:f>IFERROR(VLOOKUP(H100,'Handler-Team Map'!$A$7:$C$17,3,FALSE),"")</x:f>
      </x:c>
      <x:c r="K100" s="274" t="str">
        <x:v>FT_VM_DEP1000_GET500_5X</x:v>
      </x:c>
      <x:c r="L100" s="274" t="str">
        <x:v>FT_VM_DEP1000_GET500_5X</x:v>
      </x:c>
      <x:c r="M100" s="274" t="str">
        <x:v>VM Bns - Dep1000 Get500 - 5x TO</x:v>
      </x:c>
      <x:c r="N100" s="253" t="str">
        <x:v>Yes</x:v>
      </x:c>
      <x:c r="O100" s="253" t="str">
        <x:v>No</x:v>
      </x:c>
      <x:c r="P100" s="262"/>
      <x:c r="Q100" s="253" t="str"/>
      <x:c r="R100" s="265" t="n">
        <x:v>0</x:v>
      </x:c>
      <x:c r="S100" s="253" t="str">
        <x:v>Yes</x:v>
      </x:c>
      <x:c r="T100" s="265" t="n">
        <x:v>4195</x:v>
      </x:c>
      <x:c r="U100" s="253" t="str">
        <x:f>IF(AND(S100="Yes",T100=0),"Yes","No")</x:f>
        <x:v>No</x:v>
      </x:c>
      <x:c r="V100" s="259" t="n">
        <x:v>46090.166666666664</x:v>
      </x:c>
      <x:c r="W100" s="265" t="n">
        <x:v>100</x:v>
      </x:c>
      <x:c r="X100" s="265" t="n">
        <x:v>360</x:v>
      </x:c>
      <x:c r="Y100" s="265" t="n">
        <x:v>570</x:v>
      </x:c>
      <x:c r="Z100" s="253" t="str">
        <x:f>IF(AND(U100="Yes",X100&gt;0),"Yes","No")</x:f>
        <x:v>No</x:v>
      </x:c>
      <x:c r="AA100" s="253" t="str">
        <x:f>IF(AND(U100="Yes",Y100&gt;0),"Yes","No")</x:f>
        <x:v>No</x:v>
      </x:c>
      <x:c r="AB100" s="265" t="n">
        <x:v>371.84000000000003</x:v>
      </x:c>
      <x:c r="AC100" s="265" t="n">
        <x:v>582.95</x:v>
      </x:c>
      <x:c r="AD100" s="271" t="str"/>
      <x:c r="AE100" s="274" t="str">
        <x:v>Not validated - no control/holdout</x:v>
      </x:c>
      <x:c r="AF100" s="277" t="str">
        <x:v>No exact promo-code claim found within 14 days</x:v>
      </x:c>
    </x:row>
    <x:row r="101">
      <x:c r="A101" s="252" t="str">
        <x:v>WS1-20260309-0096</x:v>
      </x:c>
      <x:c r="B101" s="253" t="str">
        <x:v>WS1</x:v>
      </x:c>
      <x:c r="C101" s="253" t="str">
        <x:v>MB8</x:v>
      </x:c>
      <x:c r="D101" s="259" t="n">
        <x:v>46090.166666666664</x:v>
      </x:c>
      <x:c r="E101" s="253" t="str">
        <x:v>65752</x:v>
      </x:c>
      <x:c r="F101" s="253" t="str">
        <x:v>Yologii1</x:v>
      </x:c>
      <x:c r="G101" s="253" t="str">
        <x:v>Yes</x:v>
      </x:c>
      <x:c r="H101" s="253" t="str">
        <x:v>Serene</x:v>
      </x:c>
      <x:c r="I101" s="268" t="str">
        <x:f>IFERROR(VLOOKUP(H101,'Handler-Team Map'!$A$7:$C$17,2,FALSE),"")</x:f>
      </x:c>
      <x:c r="J101" s="268" t="str">
        <x:f>IFERROR(VLOOKUP(H101,'Handler-Team Map'!$A$7:$C$17,3,FALSE),"")</x:f>
      </x:c>
      <x:c r="K101" s="274" t="str">
        <x:v>FT_VM_DEP1000_GET500_2X</x:v>
      </x:c>
      <x:c r="L101" s="274" t="str">
        <x:v>FT_VM_DEP1000_GET500_2X</x:v>
      </x:c>
      <x:c r="M101" s="274" t="str">
        <x:v>VM Bns - Dep1000 Get500 - 2x TO</x:v>
      </x:c>
      <x:c r="N101" s="253" t="str">
        <x:v>Yes</x:v>
      </x:c>
      <x:c r="O101" s="253" t="str">
        <x:v>No</x:v>
      </x:c>
      <x:c r="P101" s="262"/>
      <x:c r="Q101" s="253" t="str"/>
      <x:c r="R101" s="265" t="n">
        <x:v>0</x:v>
      </x:c>
      <x:c r="S101" s="253" t="str">
        <x:v>Yes</x:v>
      </x:c>
      <x:c r="T101" s="265" t="n">
        <x:v>300</x:v>
      </x:c>
      <x:c r="U101" s="253" t="str">
        <x:f>IF(AND(S101="Yes",T101=0),"Yes","No")</x:f>
        <x:v>No</x:v>
      </x:c>
      <x:c r="V101" s="259"/>
      <x:c r="W101" s="265" t="n">
        <x:v>0</x:v>
      </x:c>
      <x:c r="X101" s="265" t="n">
        <x:v>0</x:v>
      </x:c>
      <x:c r="Y101" s="265" t="n">
        <x:v>0</x:v>
      </x:c>
      <x:c r="Z101" s="253" t="str">
        <x:f>IF(AND(U101="Yes",X101&gt;0),"Yes","No")</x:f>
        <x:v>No</x:v>
      </x:c>
      <x:c r="AA101" s="253" t="str">
        <x:f>IF(AND(U101="Yes",Y101&gt;0),"Yes","No")</x:f>
        <x:v>No</x:v>
      </x:c>
      <x:c r="AB101" s="265" t="n">
        <x:v>0</x:v>
      </x:c>
      <x:c r="AC101" s="265" t="n">
        <x:v>-1.37</x:v>
      </x:c>
      <x:c r="AD101" s="271" t="str"/>
      <x:c r="AE101" s="274" t="str">
        <x:v>Not validated - no control/holdout</x:v>
      </x:c>
      <x:c r="AF101" s="277" t="str">
        <x:v>No exact promo-code claim found within 14 days</x:v>
      </x:c>
    </x:row>
    <x:row r="102">
      <x:c r="A102" s="252" t="str">
        <x:v>WS1-20260309-0097</x:v>
      </x:c>
      <x:c r="B102" s="253" t="str">
        <x:v>WS1</x:v>
      </x:c>
      <x:c r="C102" s="253" t="str">
        <x:v>MB8</x:v>
      </x:c>
      <x:c r="D102" s="259" t="n">
        <x:v>46090.166666666664</x:v>
      </x:c>
      <x:c r="E102" s="253" t="str">
        <x:v>663213</x:v>
      </x:c>
      <x:c r="F102" s="253" t="str">
        <x:v>Visron333</x:v>
      </x:c>
      <x:c r="G102" s="253" t="str">
        <x:v>Yes</x:v>
      </x:c>
      <x:c r="H102" s="253" t="str">
        <x:v>Serene</x:v>
      </x:c>
      <x:c r="I102" s="268" t="str">
        <x:f>IFERROR(VLOOKUP(H102,'Handler-Team Map'!$A$7:$C$17,2,FALSE),"")</x:f>
      </x:c>
      <x:c r="J102" s="268" t="str">
        <x:f>IFERROR(VLOOKUP(H102,'Handler-Team Map'!$A$7:$C$17,3,FALSE),"")</x:f>
      </x:c>
      <x:c r="K102" s="274" t="str">
        <x:v>FT_VM_DEP800_GET400_2X</x:v>
      </x:c>
      <x:c r="L102" s="274" t="str">
        <x:v>FT_VM_DEP800_GET400_2X</x:v>
      </x:c>
      <x:c r="M102" s="274" t="str">
        <x:v>VM Bns - Dep800 Get400 - 2x TO</x:v>
      </x:c>
      <x:c r="N102" s="253" t="str">
        <x:v>Yes</x:v>
      </x:c>
      <x:c r="O102" s="253" t="str">
        <x:v>No</x:v>
      </x:c>
      <x:c r="P102" s="262"/>
      <x:c r="Q102" s="253" t="str"/>
      <x:c r="R102" s="265" t="n">
        <x:v>0</x:v>
      </x:c>
      <x:c r="S102" s="253" t="str">
        <x:v>Yes</x:v>
      </x:c>
      <x:c r="T102" s="265" t="n">
        <x:v>1050</x:v>
      </x:c>
      <x:c r="U102" s="253" t="str">
        <x:f>IF(AND(S102="Yes",T102=0),"Yes","No")</x:f>
        <x:v>No</x:v>
      </x:c>
      <x:c r="V102" s="259"/>
      <x:c r="W102" s="265" t="n">
        <x:v>0</x:v>
      </x:c>
      <x:c r="X102" s="265" t="n">
        <x:v>0</x:v>
      </x:c>
      <x:c r="Y102" s="265" t="n">
        <x:v>0</x:v>
      </x:c>
      <x:c r="Z102" s="253" t="str">
        <x:f>IF(AND(U102="Yes",X102&gt;0),"Yes","No")</x:f>
        <x:v>No</x:v>
      </x:c>
      <x:c r="AA102" s="253" t="str">
        <x:f>IF(AND(U102="Yes",Y102&gt;0),"Yes","No")</x:f>
        <x:v>No</x:v>
      </x:c>
      <x:c r="AB102" s="265" t="n">
        <x:v>0.30000000000000027</x:v>
      </x:c>
      <x:c r="AC102" s="265" t="n">
        <x:v>0.30000000000000027</x:v>
      </x:c>
      <x:c r="AD102" s="271" t="str"/>
      <x:c r="AE102" s="274" t="str">
        <x:v>Not validated - no control/holdout</x:v>
      </x:c>
      <x:c r="AF102" s="277" t="str">
        <x:v>No exact promo-code claim found within 14 days</x:v>
      </x:c>
    </x:row>
    <x:row r="103">
      <x:c r="A103" s="252" t="str">
        <x:v>WS1-20260309-0098</x:v>
      </x:c>
      <x:c r="B103" s="253" t="str">
        <x:v>WS1</x:v>
      </x:c>
      <x:c r="C103" s="253" t="str">
        <x:v>MB8</x:v>
      </x:c>
      <x:c r="D103" s="259" t="n">
        <x:v>46090.166666666664</x:v>
      </x:c>
      <x:c r="E103" s="253" t="str">
        <x:v>563446</x:v>
      </x:c>
      <x:c r="F103" s="253" t="str">
        <x:v>James2609</x:v>
      </x:c>
      <x:c r="G103" s="253" t="str">
        <x:v>Yes</x:v>
      </x:c>
      <x:c r="H103" s="253" t="str">
        <x:v>Serene</x:v>
      </x:c>
      <x:c r="I103" s="268" t="str">
        <x:f>IFERROR(VLOOKUP(H103,'Handler-Team Map'!$A$7:$C$17,2,FALSE),"")</x:f>
      </x:c>
      <x:c r="J103" s="268" t="str">
        <x:f>IFERROR(VLOOKUP(H103,'Handler-Team Map'!$A$7:$C$17,3,FALSE),"")</x:f>
      </x:c>
      <x:c r="K103" s="274" t="str">
        <x:v>FT_VM_DEP700_GET300_2X</x:v>
      </x:c>
      <x:c r="L103" s="274" t="str">
        <x:v>FT_VM_DEP700_GET300_2X</x:v>
      </x:c>
      <x:c r="M103" s="274" t="str">
        <x:v>VM Bns - Dep700 Get300 - 2x TO</x:v>
      </x:c>
      <x:c r="N103" s="253" t="str">
        <x:v>Yes</x:v>
      </x:c>
      <x:c r="O103" s="253" t="str">
        <x:v>No</x:v>
      </x:c>
      <x:c r="P103" s="262"/>
      <x:c r="Q103" s="253" t="str"/>
      <x:c r="R103" s="265" t="n">
        <x:v>0</x:v>
      </x:c>
      <x:c r="S103" s="253" t="str">
        <x:v>Yes</x:v>
      </x:c>
      <x:c r="T103" s="265" t="n">
        <x:v>200</x:v>
      </x:c>
      <x:c r="U103" s="253" t="str">
        <x:f>IF(AND(S103="Yes",T103=0),"Yes","No")</x:f>
        <x:v>No</x:v>
      </x:c>
      <x:c r="V103" s="259"/>
      <x:c r="W103" s="265" t="n">
        <x:v>0</x:v>
      </x:c>
      <x:c r="X103" s="265" t="n">
        <x:v>0</x:v>
      </x:c>
      <x:c r="Y103" s="265" t="n">
        <x:v>0</x:v>
      </x:c>
      <x:c r="Z103" s="253" t="str">
        <x:f>IF(AND(U103="Yes",X103&gt;0),"Yes","No")</x:f>
        <x:v>No</x:v>
      </x:c>
      <x:c r="AA103" s="253" t="str">
        <x:f>IF(AND(U103="Yes",Y103&gt;0),"Yes","No")</x:f>
        <x:v>No</x:v>
      </x:c>
      <x:c r="AB103" s="265" t="n">
        <x:v>2.5799999999999996</x:v>
      </x:c>
      <x:c r="AC103" s="265" t="n">
        <x:v>2.5599999999999996</x:v>
      </x:c>
      <x:c r="AD103" s="271" t="str"/>
      <x:c r="AE103" s="274" t="str">
        <x:v>Not validated - no control/holdout</x:v>
      </x:c>
      <x:c r="AF103" s="277" t="str">
        <x:v>No exact promo-code claim found within 14 days</x:v>
      </x:c>
    </x:row>
    <x:row r="104">
      <x:c r="A104" s="252" t="str">
        <x:v>WS1-20260309-0099</x:v>
      </x:c>
      <x:c r="B104" s="253" t="str">
        <x:v>WS1</x:v>
      </x:c>
      <x:c r="C104" s="253" t="str">
        <x:v>MB8</x:v>
      </x:c>
      <x:c r="D104" s="259" t="n">
        <x:v>46090.166666666664</x:v>
      </x:c>
      <x:c r="E104" s="253" t="str">
        <x:v>773122</x:v>
      </x:c>
      <x:c r="F104" s="253" t="str">
        <x:v>Kadir0361</x:v>
      </x:c>
      <x:c r="G104" s="253" t="str">
        <x:v>Yes</x:v>
      </x:c>
      <x:c r="H104" s="253" t="str">
        <x:v>Serene</x:v>
      </x:c>
      <x:c r="I104" s="268" t="str">
        <x:f>IFERROR(VLOOKUP(H104,'Handler-Team Map'!$A$7:$C$17,2,FALSE),"")</x:f>
      </x:c>
      <x:c r="J104" s="268" t="str">
        <x:f>IFERROR(VLOOKUP(H104,'Handler-Team Map'!$A$7:$C$17,3,FALSE),"")</x:f>
      </x:c>
      <x:c r="K104" s="274" t="str">
        <x:v>FT_VM_DEP700_GET300_2X</x:v>
      </x:c>
      <x:c r="L104" s="274" t="str">
        <x:v>FT_VM_DEP700_GET300_2X</x:v>
      </x:c>
      <x:c r="M104" s="274" t="str">
        <x:v>VM Bns - Dep700 Get300 - 2x TO</x:v>
      </x:c>
      <x:c r="N104" s="253" t="str">
        <x:v>Yes</x:v>
      </x:c>
      <x:c r="O104" s="253" t="str">
        <x:v>No</x:v>
      </x:c>
      <x:c r="P104" s="262"/>
      <x:c r="Q104" s="253" t="str"/>
      <x:c r="R104" s="265" t="n">
        <x:v>0</x:v>
      </x:c>
      <x:c r="S104" s="253" t="str">
        <x:v>Yes</x:v>
      </x:c>
      <x:c r="T104" s="265" t="n">
        <x:v>300</x:v>
      </x:c>
      <x:c r="U104" s="253" t="str">
        <x:f>IF(AND(S104="Yes",T104=0),"Yes","No")</x:f>
        <x:v>No</x:v>
      </x:c>
      <x:c r="V104" s="259" t="n">
        <x:v>46092.166666666664</x:v>
      </x:c>
      <x:c r="W104" s="265" t="n">
        <x:v>420</x:v>
      </x:c>
      <x:c r="X104" s="265" t="n">
        <x:v>420</x:v>
      </x:c>
      <x:c r="Y104" s="265" t="n">
        <x:v>420</x:v>
      </x:c>
      <x:c r="Z104" s="253" t="str">
        <x:f>IF(AND(U104="Yes",X104&gt;0),"Yes","No")</x:f>
        <x:v>No</x:v>
      </x:c>
      <x:c r="AA104" s="253" t="str">
        <x:f>IF(AND(U104="Yes",Y104&gt;0),"Yes","No")</x:f>
        <x:v>No</x:v>
      </x:c>
      <x:c r="AB104" s="265" t="n">
        <x:v>403.97</x:v>
      </x:c>
      <x:c r="AC104" s="265" t="n">
        <x:v>403.97</x:v>
      </x:c>
      <x:c r="AD104" s="271" t="str"/>
      <x:c r="AE104" s="274" t="str">
        <x:v>Not validated - no control/holdout</x:v>
      </x:c>
      <x:c r="AF104" s="277" t="str">
        <x:v>No exact promo-code claim found within 14 days</x:v>
      </x:c>
    </x:row>
    <x:row r="105">
      <x:c r="A105" s="252" t="str">
        <x:v>WS1-20260309-0100</x:v>
      </x:c>
      <x:c r="B105" s="253" t="str">
        <x:v>WS1</x:v>
      </x:c>
      <x:c r="C105" s="253" t="str">
        <x:v>MB8</x:v>
      </x:c>
      <x:c r="D105" s="259" t="n">
        <x:v>46090.166666666664</x:v>
      </x:c>
      <x:c r="E105" s="253" t="str">
        <x:v>789390</x:v>
      </x:c>
      <x:c r="F105" s="253" t="str">
        <x:v>wanpine97</x:v>
      </x:c>
      <x:c r="G105" s="253" t="str">
        <x:v>Yes</x:v>
      </x:c>
      <x:c r="H105" s="253" t="str">
        <x:v>Serene</x:v>
      </x:c>
      <x:c r="I105" s="268" t="str">
        <x:f>IFERROR(VLOOKUP(H105,'Handler-Team Map'!$A$7:$C$17,2,FALSE),"")</x:f>
      </x:c>
      <x:c r="J105" s="268" t="str">
        <x:f>IFERROR(VLOOKUP(H105,'Handler-Team Map'!$A$7:$C$17,3,FALSE),"")</x:f>
      </x:c>
      <x:c r="K105" s="274" t="str">
        <x:v>FT_VM_DEP600_GET200_5X</x:v>
      </x:c>
      <x:c r="L105" s="274" t="str">
        <x:v>FT_VM_DEP600_GET200_5X</x:v>
      </x:c>
      <x:c r="M105" s="274" t="str">
        <x:v>VM Bns - Dep600 Get200 - 5x TO</x:v>
      </x:c>
      <x:c r="N105" s="253" t="str">
        <x:v>Yes</x:v>
      </x:c>
      <x:c r="O105" s="253" t="str">
        <x:v>No</x:v>
      </x:c>
      <x:c r="P105" s="262"/>
      <x:c r="Q105" s="253" t="str"/>
      <x:c r="R105" s="265" t="n">
        <x:v>0</x:v>
      </x:c>
      <x:c r="S105" s="253" t="str">
        <x:v>Yes</x:v>
      </x:c>
      <x:c r="T105" s="265" t="n">
        <x:v>164</x:v>
      </x:c>
      <x:c r="U105" s="253" t="str">
        <x:f>IF(AND(S105="Yes",T105=0),"Yes","No")</x:f>
        <x:v>No</x:v>
      </x:c>
      <x:c r="V105" s="259" t="n">
        <x:v>46090.166666666664</x:v>
      </x:c>
      <x:c r="W105" s="265" t="n">
        <x:v>700</x:v>
      </x:c>
      <x:c r="X105" s="265" t="n">
        <x:v>3700</x:v>
      </x:c>
      <x:c r="Y105" s="265" t="n">
        <x:v>3788</x:v>
      </x:c>
      <x:c r="Z105" s="253" t="str">
        <x:f>IF(AND(U105="Yes",X105&gt;0),"Yes","No")</x:f>
        <x:v>No</x:v>
      </x:c>
      <x:c r="AA105" s="253" t="str">
        <x:f>IF(AND(U105="Yes",Y105&gt;0),"Yes","No")</x:f>
        <x:v>No</x:v>
      </x:c>
      <x:c r="AB105" s="265" t="n">
        <x:v>-408.11000000000035</x:v>
      </x:c>
      <x:c r="AC105" s="265" t="n">
        <x:v>-317.54000000000036</x:v>
      </x:c>
      <x:c r="AD105" s="271" t="str"/>
      <x:c r="AE105" s="274" t="str">
        <x:v>Not validated - no control/holdout</x:v>
      </x:c>
      <x:c r="AF105" s="277" t="str">
        <x:v>No exact promo-code claim found within 14 days</x:v>
      </x:c>
    </x:row>
    <x:row r="106">
      <x:c r="A106" s="252" t="str">
        <x:v>WS1-20260309-0101</x:v>
      </x:c>
      <x:c r="B106" s="253" t="str">
        <x:v>WS1</x:v>
      </x:c>
      <x:c r="C106" s="253" t="str">
        <x:v>MB8</x:v>
      </x:c>
      <x:c r="D106" s="259" t="n">
        <x:v>46090.166666666664</x:v>
      </x:c>
      <x:c r="E106" s="253" t="str">
        <x:v>173100</x:v>
      </x:c>
      <x:c r="F106" s="253" t="str">
        <x:v>V33n06</x:v>
      </x:c>
      <x:c r="G106" s="253" t="str">
        <x:v>Yes</x:v>
      </x:c>
      <x:c r="H106" s="253" t="str">
        <x:v>Serene</x:v>
      </x:c>
      <x:c r="I106" s="268" t="str">
        <x:f>IFERROR(VLOOKUP(H106,'Handler-Team Map'!$A$7:$C$17,2,FALSE),"")</x:f>
      </x:c>
      <x:c r="J106" s="268" t="str">
        <x:f>IFERROR(VLOOKUP(H106,'Handler-Team Map'!$A$7:$C$17,3,FALSE),"")</x:f>
      </x:c>
      <x:c r="K106" s="274" t="str">
        <x:v>FT_VM_DEP700_GET300_2X</x:v>
      </x:c>
      <x:c r="L106" s="274" t="str">
        <x:v>FT_VM_DEP700_GET300_2X</x:v>
      </x:c>
      <x:c r="M106" s="274" t="str">
        <x:v>VM Bns - Dep700 Get300 - 2x TO</x:v>
      </x:c>
      <x:c r="N106" s="253" t="str">
        <x:v>Yes</x:v>
      </x:c>
      <x:c r="O106" s="253" t="str">
        <x:v>No</x:v>
      </x:c>
      <x:c r="P106" s="262"/>
      <x:c r="Q106" s="253" t="str"/>
      <x:c r="R106" s="265" t="n">
        <x:v>0</x:v>
      </x:c>
      <x:c r="S106" s="253" t="str">
        <x:v>Yes</x:v>
      </x:c>
      <x:c r="T106" s="265" t="n">
        <x:v>1146.46</x:v>
      </x:c>
      <x:c r="U106" s="253" t="str">
        <x:f>IF(AND(S106="Yes",T106=0),"Yes","No")</x:f>
        <x:v>No</x:v>
      </x:c>
      <x:c r="V106" s="259"/>
      <x:c r="W106" s="265" t="n">
        <x:v>0</x:v>
      </x:c>
      <x:c r="X106" s="265" t="n">
        <x:v>0</x:v>
      </x:c>
      <x:c r="Y106" s="265" t="n">
        <x:v>0</x:v>
      </x:c>
      <x:c r="Z106" s="253" t="str">
        <x:f>IF(AND(U106="Yes",X106&gt;0),"Yes","No")</x:f>
        <x:v>No</x:v>
      </x:c>
      <x:c r="AA106" s="253" t="str">
        <x:f>IF(AND(U106="Yes",Y106&gt;0),"Yes","No")</x:f>
        <x:v>No</x:v>
      </x:c>
      <x:c r="AB106" s="265" t="n">
        <x:v>0</x:v>
      </x:c>
      <x:c r="AC106" s="265" t="n">
        <x:v>-0.19999999999998863</x:v>
      </x:c>
      <x:c r="AD106" s="271" t="str"/>
      <x:c r="AE106" s="274" t="str">
        <x:v>Not validated - no control/holdout</x:v>
      </x:c>
      <x:c r="AF106" s="277" t="str">
        <x:v>No exact promo-code claim found within 14 days</x:v>
      </x:c>
    </x:row>
    <x:row r="107">
      <x:c r="A107" s="252" t="str">
        <x:v>WS1-20260309-0102</x:v>
      </x:c>
      <x:c r="B107" s="253" t="str">
        <x:v>WS1</x:v>
      </x:c>
      <x:c r="C107" s="253" t="str">
        <x:v>MB8</x:v>
      </x:c>
      <x:c r="D107" s="259" t="n">
        <x:v>46090.166666666664</x:v>
      </x:c>
      <x:c r="E107" s="253" t="str">
        <x:v>813028</x:v>
      </x:c>
      <x:c r="F107" s="253" t="str">
        <x:v>Kspro</x:v>
      </x:c>
      <x:c r="G107" s="253" t="str">
        <x:v>Yes</x:v>
      </x:c>
      <x:c r="H107" s="253" t="str">
        <x:v>Serene</x:v>
      </x:c>
      <x:c r="I107" s="268" t="str">
        <x:f>IFERROR(VLOOKUP(H107,'Handler-Team Map'!$A$7:$C$17,2,FALSE),"")</x:f>
      </x:c>
      <x:c r="J107" s="268" t="str">
        <x:f>IFERROR(VLOOKUP(H107,'Handler-Team Map'!$A$7:$C$17,3,FALSE),"")</x:f>
      </x:c>
      <x:c r="K107" s="274" t="str">
        <x:v>FT_VM_DEP1000_GET700_2X</x:v>
      </x:c>
      <x:c r="L107" s="274" t="str">
        <x:v>FT_VM_DEP1000_GET700_2X</x:v>
      </x:c>
      <x:c r="M107" s="274" t="str">
        <x:v>VM Bns - Dep1000 Get700 - 2x TO</x:v>
      </x:c>
      <x:c r="N107" s="253" t="str">
        <x:v>Yes</x:v>
      </x:c>
      <x:c r="O107" s="253" t="str">
        <x:v>No</x:v>
      </x:c>
      <x:c r="P107" s="262"/>
      <x:c r="Q107" s="253" t="str"/>
      <x:c r="R107" s="265" t="n">
        <x:v>0</x:v>
      </x:c>
      <x:c r="S107" s="253" t="str">
        <x:v>Yes</x:v>
      </x:c>
      <x:c r="T107" s="265" t="n">
        <x:v>1800</x:v>
      </x:c>
      <x:c r="U107" s="253" t="str">
        <x:f>IF(AND(S107="Yes",T107=0),"Yes","No")</x:f>
        <x:v>No</x:v>
      </x:c>
      <x:c r="V107" s="259" t="n">
        <x:v>46091.166666666664</x:v>
      </x:c>
      <x:c r="W107" s="265" t="n">
        <x:v>200</x:v>
      </x:c>
      <x:c r="X107" s="265" t="n">
        <x:v>200</x:v>
      </x:c>
      <x:c r="Y107" s="265" t="n">
        <x:v>200</x:v>
      </x:c>
      <x:c r="Z107" s="253" t="str">
        <x:f>IF(AND(U107="Yes",X107&gt;0),"Yes","No")</x:f>
        <x:v>No</x:v>
      </x:c>
      <x:c r="AA107" s="253" t="str">
        <x:f>IF(AND(U107="Yes",Y107&gt;0),"Yes","No")</x:f>
        <x:v>No</x:v>
      </x:c>
      <x:c r="AB107" s="265" t="n">
        <x:v>198.61999999999998</x:v>
      </x:c>
      <x:c r="AC107" s="265" t="n">
        <x:v>198.61999999999998</x:v>
      </x:c>
      <x:c r="AD107" s="271" t="str"/>
      <x:c r="AE107" s="274" t="str">
        <x:v>Not validated - no control/holdout</x:v>
      </x:c>
      <x:c r="AF107" s="277" t="str">
        <x:v>No exact promo-code claim found within 14 days</x:v>
      </x:c>
    </x:row>
    <x:row r="108">
      <x:c r="A108" s="252" t="str">
        <x:v>WS1-20260309-0103</x:v>
      </x:c>
      <x:c r="B108" s="253" t="str">
        <x:v>WS1</x:v>
      </x:c>
      <x:c r="C108" s="253" t="str">
        <x:v>MB8</x:v>
      </x:c>
      <x:c r="D108" s="259" t="n">
        <x:v>46090.166666666664</x:v>
      </x:c>
      <x:c r="E108" s="253" t="str">
        <x:v>890278</x:v>
      </x:c>
      <x:c r="F108" s="253" t="str">
        <x:v>Rainz6609</x:v>
      </x:c>
      <x:c r="G108" s="253" t="str">
        <x:v>Yes</x:v>
      </x:c>
      <x:c r="H108" s="253" t="str">
        <x:v>Serene</x:v>
      </x:c>
      <x:c r="I108" s="268" t="str">
        <x:f>IFERROR(VLOOKUP(H108,'Handler-Team Map'!$A$7:$C$17,2,FALSE),"")</x:f>
      </x:c>
      <x:c r="J108" s="268" t="str">
        <x:f>IFERROR(VLOOKUP(H108,'Handler-Team Map'!$A$7:$C$17,3,FALSE),"")</x:f>
      </x:c>
      <x:c r="K108" s="274" t="str">
        <x:v>FT_VM_DEP1000_GET500_2X</x:v>
      </x:c>
      <x:c r="L108" s="274" t="str">
        <x:v>FT_VM_DEP1000_GET500_2X</x:v>
      </x:c>
      <x:c r="M108" s="274" t="str">
        <x:v>VM Bns - Dep1000 Get500 - 2x TO</x:v>
      </x:c>
      <x:c r="N108" s="253" t="str">
        <x:v>Yes</x:v>
      </x:c>
      <x:c r="O108" s="253" t="str">
        <x:v>No</x:v>
      </x:c>
      <x:c r="P108" s="262"/>
      <x:c r="Q108" s="253" t="str"/>
      <x:c r="R108" s="265" t="n">
        <x:v>0</x:v>
      </x:c>
      <x:c r="S108" s="253" t="str">
        <x:v>Yes</x:v>
      </x:c>
      <x:c r="T108" s="265" t="n">
        <x:v>830</x:v>
      </x:c>
      <x:c r="U108" s="253" t="str">
        <x:f>IF(AND(S108="Yes",T108=0),"Yes","No")</x:f>
        <x:v>No</x:v>
      </x:c>
      <x:c r="V108" s="259"/>
      <x:c r="W108" s="265" t="n">
        <x:v>0</x:v>
      </x:c>
      <x:c r="X108" s="265" t="n">
        <x:v>0</x:v>
      </x:c>
      <x:c r="Y108" s="265" t="n">
        <x:v>0</x:v>
      </x:c>
      <x:c r="Z108" s="253" t="str">
        <x:f>IF(AND(U108="Yes",X108&gt;0),"Yes","No")</x:f>
        <x:v>No</x:v>
      </x:c>
      <x:c r="AA108" s="253" t="str">
        <x:f>IF(AND(U108="Yes",Y108&gt;0),"Yes","No")</x:f>
        <x:v>No</x:v>
      </x:c>
      <x:c r="AB108" s="265" t="n">
        <x:v>0</x:v>
      </x:c>
      <x:c r="AC108" s="265" t="n">
        <x:v>0.04000000000000384</x:v>
      </x:c>
      <x:c r="AD108" s="271" t="str"/>
      <x:c r="AE108" s="274" t="str">
        <x:v>Not validated - no control/holdout</x:v>
      </x:c>
      <x:c r="AF108" s="277" t="str">
        <x:v>No exact promo-code claim found within 14 days</x:v>
      </x:c>
    </x:row>
    <x:row r="109">
      <x:c r="A109" s="252" t="str">
        <x:v>WS1-20260309-0104</x:v>
      </x:c>
      <x:c r="B109" s="253" t="str">
        <x:v>WS1</x:v>
      </x:c>
      <x:c r="C109" s="253" t="str">
        <x:v>MB8</x:v>
      </x:c>
      <x:c r="D109" s="259" t="n">
        <x:v>46090.166666666664</x:v>
      </x:c>
      <x:c r="E109" s="253" t="str">
        <x:v>436059</x:v>
      </x:c>
      <x:c r="F109" s="253" t="str">
        <x:v>Daniel233</x:v>
      </x:c>
      <x:c r="G109" s="253" t="str">
        <x:v>Yes</x:v>
      </x:c>
      <x:c r="H109" s="253" t="str">
        <x:v>Jiahui</x:v>
      </x:c>
      <x:c r="I109" s="268" t="str">
        <x:f>IFERROR(VLOOKUP(H109,'Handler-Team Map'!$A$7:$C$17,2,FALSE),"")</x:f>
      </x:c>
      <x:c r="J109" s="268" t="str">
        <x:f>IFERROR(VLOOKUP(H109,'Handler-Team Map'!$A$7:$C$17,3,FALSE),"")</x:f>
      </x:c>
      <x:c r="K109" s="274" t="str">
        <x:v>FT_VM_DEP1000_GET500_5X</x:v>
      </x:c>
      <x:c r="L109" s="274" t="str">
        <x:v>FT_VM_DEP1000_GET500_5X</x:v>
      </x:c>
      <x:c r="M109" s="274" t="str">
        <x:v>VM Bns - Dep1000 Get500 - 5x TO</x:v>
      </x:c>
      <x:c r="N109" s="253" t="str">
        <x:v>Yes</x:v>
      </x:c>
      <x:c r="O109" s="253" t="str">
        <x:v>No</x:v>
      </x:c>
      <x:c r="P109" s="262"/>
      <x:c r="Q109" s="253" t="str"/>
      <x:c r="R109" s="265" t="n">
        <x:v>0</x:v>
      </x:c>
      <x:c r="S109" s="253" t="str">
        <x:v>Yes</x:v>
      </x:c>
      <x:c r="T109" s="265" t="n">
        <x:v>1900</x:v>
      </x:c>
      <x:c r="U109" s="253" t="str">
        <x:f>IF(AND(S109="Yes",T109=0),"Yes","No")</x:f>
        <x:v>No</x:v>
      </x:c>
      <x:c r="V109" s="259" t="n">
        <x:v>46093.166666666664</x:v>
      </x:c>
      <x:c r="W109" s="265" t="n">
        <x:v>1000</x:v>
      </x:c>
      <x:c r="X109" s="265" t="n">
        <x:v>1000</x:v>
      </x:c>
      <x:c r="Y109" s="265" t="n">
        <x:v>2100</x:v>
      </x:c>
      <x:c r="Z109" s="253" t="str">
        <x:f>IF(AND(U109="Yes",X109&gt;0),"Yes","No")</x:f>
        <x:v>No</x:v>
      </x:c>
      <x:c r="AA109" s="253" t="str">
        <x:f>IF(AND(U109="Yes",Y109&gt;0),"Yes","No")</x:f>
        <x:v>No</x:v>
      </x:c>
      <x:c r="AB109" s="265" t="n">
        <x:v>999.9400000000004</x:v>
      </x:c>
      <x:c r="AC109" s="265" t="n">
        <x:v>1895.0100000000002</x:v>
      </x:c>
      <x:c r="AD109" s="271" t="str"/>
      <x:c r="AE109" s="274" t="str">
        <x:v>Not validated - no control/holdout</x:v>
      </x:c>
      <x:c r="AF109" s="277" t="str">
        <x:v>No exact promo-code claim found within 14 days</x:v>
      </x:c>
    </x:row>
    <x:row r="110">
      <x:c r="A110" s="252" t="str">
        <x:v>WS1-20260309-0105</x:v>
      </x:c>
      <x:c r="B110" s="253" t="str">
        <x:v>WS1</x:v>
      </x:c>
      <x:c r="C110" s="253" t="str">
        <x:v>MB8</x:v>
      </x:c>
      <x:c r="D110" s="259" t="n">
        <x:v>46090.166666666664</x:v>
      </x:c>
      <x:c r="E110" s="253" t="str">
        <x:v>65606</x:v>
      </x:c>
      <x:c r="F110" s="253" t="str">
        <x:v>Wkr365066</x:v>
      </x:c>
      <x:c r="G110" s="253" t="str">
        <x:v>Yes</x:v>
      </x:c>
      <x:c r="H110" s="253" t="str">
        <x:v>Jiahui</x:v>
      </x:c>
      <x:c r="I110" s="268" t="str">
        <x:f>IFERROR(VLOOKUP(H110,'Handler-Team Map'!$A$7:$C$17,2,FALSE),"")</x:f>
      </x:c>
      <x:c r="J110" s="268" t="str">
        <x:f>IFERROR(VLOOKUP(H110,'Handler-Team Map'!$A$7:$C$17,3,FALSE),"")</x:f>
      </x:c>
      <x:c r="K110" s="274" t="str">
        <x:v>FT_VM_DEP1000_GET500_5X</x:v>
      </x:c>
      <x:c r="L110" s="274" t="str">
        <x:v>FT_VM_DEP1000_GET500_5X</x:v>
      </x:c>
      <x:c r="M110" s="274" t="str">
        <x:v>VM Bns - Dep1000 Get500 - 5x TO</x:v>
      </x:c>
      <x:c r="N110" s="253" t="str">
        <x:v>Yes</x:v>
      </x:c>
      <x:c r="O110" s="253" t="str">
        <x:v>No</x:v>
      </x:c>
      <x:c r="P110" s="262"/>
      <x:c r="Q110" s="253" t="str"/>
      <x:c r="R110" s="265" t="n">
        <x:v>0</x:v>
      </x:c>
      <x:c r="S110" s="253" t="str">
        <x:v>Yes</x:v>
      </x:c>
      <x:c r="T110" s="265" t="n">
        <x:v>3600</x:v>
      </x:c>
      <x:c r="U110" s="253" t="str">
        <x:f>IF(AND(S110="Yes",T110=0),"Yes","No")</x:f>
        <x:v>No</x:v>
      </x:c>
      <x:c r="V110" s="259" t="n">
        <x:v>46092.166666666664</x:v>
      </x:c>
      <x:c r="W110" s="265" t="n">
        <x:v>2600</x:v>
      </x:c>
      <x:c r="X110" s="265" t="n">
        <x:v>2600</x:v>
      </x:c>
      <x:c r="Y110" s="265" t="n">
        <x:v>2900</x:v>
      </x:c>
      <x:c r="Z110" s="253" t="str">
        <x:f>IF(AND(U110="Yes",X110&gt;0),"Yes","No")</x:f>
        <x:v>No</x:v>
      </x:c>
      <x:c r="AA110" s="253" t="str">
        <x:f>IF(AND(U110="Yes",Y110&gt;0),"Yes","No")</x:f>
        <x:v>No</x:v>
      </x:c>
      <x:c r="AB110" s="265" t="n">
        <x:v>568.4899999999997</x:v>
      </x:c>
      <x:c r="AC110" s="265" t="n">
        <x:v>301.9299999999996</x:v>
      </x:c>
      <x:c r="AD110" s="271" t="str"/>
      <x:c r="AE110" s="274" t="str">
        <x:v>Not validated - no control/holdout</x:v>
      </x:c>
      <x:c r="AF110" s="277" t="str">
        <x:v>No exact promo-code claim found within 14 days</x:v>
      </x:c>
    </x:row>
    <x:row r="111">
      <x:c r="A111" s="252" t="str">
        <x:v>WS1-20260309-0106</x:v>
      </x:c>
      <x:c r="B111" s="253" t="str">
        <x:v>WS1</x:v>
      </x:c>
      <x:c r="C111" s="253" t="str">
        <x:v>MB8</x:v>
      </x:c>
      <x:c r="D111" s="259" t="n">
        <x:v>46090.166666666664</x:v>
      </x:c>
      <x:c r="E111" s="253" t="str">
        <x:v>512299</x:v>
      </x:c>
      <x:c r="F111" s="253" t="str">
        <x:v>Goutthee13</x:v>
      </x:c>
      <x:c r="G111" s="253" t="str">
        <x:v>Yes</x:v>
      </x:c>
      <x:c r="H111" s="253" t="str">
        <x:v>Sheena</x:v>
      </x:c>
      <x:c r="I111" s="268" t="str">
        <x:f>IFERROR(VLOOKUP(H111,'Handler-Team Map'!$A$7:$C$17,2,FALSE),"")</x:f>
      </x:c>
      <x:c r="J111" s="268" t="str">
        <x:f>IFERROR(VLOOKUP(H111,'Handler-Team Map'!$A$7:$C$17,3,FALSE),"")</x:f>
      </x:c>
      <x:c r="K111" s="274" t="str">
        <x:v>FT_VM_DEP1000_GET500_5X</x:v>
      </x:c>
      <x:c r="L111" s="274" t="str">
        <x:v>FT_VM_DEP1000_GET500_5X</x:v>
      </x:c>
      <x:c r="M111" s="274" t="str">
        <x:v>VM Bns - Dep1000 Get500 - 5x TO</x:v>
      </x:c>
      <x:c r="N111" s="253" t="str">
        <x:v>Yes</x:v>
      </x:c>
      <x:c r="O111" s="253" t="str">
        <x:v>No</x:v>
      </x:c>
      <x:c r="P111" s="262"/>
      <x:c r="Q111" s="253" t="str"/>
      <x:c r="R111" s="265" t="n">
        <x:v>0</x:v>
      </x:c>
      <x:c r="S111" s="253" t="str">
        <x:v>Yes</x:v>
      </x:c>
      <x:c r="T111" s="265" t="n">
        <x:v>28511</x:v>
      </x:c>
      <x:c r="U111" s="253" t="str">
        <x:f>IF(AND(S111="Yes",T111=0),"Yes","No")</x:f>
        <x:v>No</x:v>
      </x:c>
      <x:c r="V111" s="259" t="n">
        <x:v>46091.166666666664</x:v>
      </x:c>
      <x:c r="W111" s="265" t="n">
        <x:v>1000</x:v>
      </x:c>
      <x:c r="X111" s="265" t="n">
        <x:v>45073</x:v>
      </x:c>
      <x:c r="Y111" s="265" t="n">
        <x:v>45573</x:v>
      </x:c>
      <x:c r="Z111" s="253" t="str">
        <x:f>IF(AND(U111="Yes",X111&gt;0),"Yes","No")</x:f>
        <x:v>No</x:v>
      </x:c>
      <x:c r="AA111" s="253" t="str">
        <x:f>IF(AND(U111="Yes",Y111&gt;0),"Yes","No")</x:f>
        <x:v>No</x:v>
      </x:c>
      <x:c r="AB111" s="265" t="n">
        <x:v>9024.369999999988</x:v>
      </x:c>
      <x:c r="AC111" s="265" t="n">
        <x:v>9523.579999999987</x:v>
      </x:c>
      <x:c r="AD111" s="271" t="str"/>
      <x:c r="AE111" s="274" t="str">
        <x:v>Not validated - no control/holdout</x:v>
      </x:c>
      <x:c r="AF111" s="277" t="str">
        <x:v>No exact promo-code claim found within 14 days</x:v>
      </x:c>
    </x:row>
    <x:row r="112">
      <x:c r="A112" s="252" t="str">
        <x:v>WS1-20260309-0107</x:v>
      </x:c>
      <x:c r="B112" s="253" t="str">
        <x:v>WS1</x:v>
      </x:c>
      <x:c r="C112" s="253" t="str">
        <x:v>MB8</x:v>
      </x:c>
      <x:c r="D112" s="259" t="n">
        <x:v>46090.166666666664</x:v>
      </x:c>
      <x:c r="E112" s="253" t="str">
        <x:v>986687</x:v>
      </x:c>
      <x:c r="F112" s="253" t="str">
        <x:v>Kavin31</x:v>
      </x:c>
      <x:c r="G112" s="253" t="str">
        <x:v>Yes</x:v>
      </x:c>
      <x:c r="H112" s="253" t="str">
        <x:v>Sheena</x:v>
      </x:c>
      <x:c r="I112" s="268" t="str">
        <x:f>IFERROR(VLOOKUP(H112,'Handler-Team Map'!$A$7:$C$17,2,FALSE),"")</x:f>
      </x:c>
      <x:c r="J112" s="268" t="str">
        <x:f>IFERROR(VLOOKUP(H112,'Handler-Team Map'!$A$7:$C$17,3,FALSE),"")</x:f>
      </x:c>
      <x:c r="K112" s="274" t="str">
        <x:v>FT_VM_DEP1000_GET500_5X</x:v>
      </x:c>
      <x:c r="L112" s="274" t="str">
        <x:v>FT_VM_DEP1000_GET500_5X</x:v>
      </x:c>
      <x:c r="M112" s="274" t="str">
        <x:v>VM Bns - Dep1000 Get500 - 5x TO</x:v>
      </x:c>
      <x:c r="N112" s="253" t="str">
        <x:v>Yes</x:v>
      </x:c>
      <x:c r="O112" s="253" t="str">
        <x:v>No</x:v>
      </x:c>
      <x:c r="P112" s="262"/>
      <x:c r="Q112" s="253" t="str"/>
      <x:c r="R112" s="265" t="n">
        <x:v>0</x:v>
      </x:c>
      <x:c r="S112" s="253" t="str">
        <x:v>Yes</x:v>
      </x:c>
      <x:c r="T112" s="265" t="n">
        <x:v>12814</x:v>
      </x:c>
      <x:c r="U112" s="253" t="str">
        <x:f>IF(AND(S112="Yes",T112=0),"Yes","No")</x:f>
        <x:v>No</x:v>
      </x:c>
      <x:c r="V112" s="259" t="n">
        <x:v>46091.166666666664</x:v>
      </x:c>
      <x:c r="W112" s="265" t="n">
        <x:v>100</x:v>
      </x:c>
      <x:c r="X112" s="265" t="n">
        <x:v>24549</x:v>
      </x:c>
      <x:c r="Y112" s="265" t="n">
        <x:v>25957</x:v>
      </x:c>
      <x:c r="Z112" s="253" t="str">
        <x:f>IF(AND(U112="Yes",X112&gt;0),"Yes","No")</x:f>
        <x:v>No</x:v>
      </x:c>
      <x:c r="AA112" s="253" t="str">
        <x:f>IF(AND(U112="Yes",Y112&gt;0),"Yes","No")</x:f>
        <x:v>No</x:v>
      </x:c>
      <x:c r="AB112" s="265" t="n">
        <x:v>2958.8700000000013</x:v>
      </x:c>
      <x:c r="AC112" s="265" t="n">
        <x:v>3576.680000000001</x:v>
      </x:c>
      <x:c r="AD112" s="271" t="str"/>
      <x:c r="AE112" s="274" t="str">
        <x:v>Not validated - no control/holdout</x:v>
      </x:c>
      <x:c r="AF112" s="277" t="str">
        <x:v>No exact promo-code claim found within 14 days</x:v>
      </x:c>
    </x:row>
    <x:row r="113">
      <x:c r="A113" s="252" t="str">
        <x:v>WS1-20260309-0108</x:v>
      </x:c>
      <x:c r="B113" s="253" t="str">
        <x:v>WS1</x:v>
      </x:c>
      <x:c r="C113" s="253" t="str">
        <x:v>MB8</x:v>
      </x:c>
      <x:c r="D113" s="259" t="n">
        <x:v>46090.166666666664</x:v>
      </x:c>
      <x:c r="E113" s="253" t="str">
        <x:v>659098</x:v>
      </x:c>
      <x:c r="F113" s="253" t="str">
        <x:v>Samreet</x:v>
      </x:c>
      <x:c r="G113" s="253" t="str">
        <x:v>Yes</x:v>
      </x:c>
      <x:c r="H113" s="253" t="str">
        <x:v>Sheena</x:v>
      </x:c>
      <x:c r="I113" s="268" t="str">
        <x:f>IFERROR(VLOOKUP(H113,'Handler-Team Map'!$A$7:$C$17,2,FALSE),"")</x:f>
      </x:c>
      <x:c r="J113" s="268" t="str">
        <x:f>IFERROR(VLOOKUP(H113,'Handler-Team Map'!$A$7:$C$17,3,FALSE),"")</x:f>
      </x:c>
      <x:c r="K113" s="274" t="str">
        <x:v>FT_VM_DEP1000_GET500_5X</x:v>
      </x:c>
      <x:c r="L113" s="274" t="str">
        <x:v>FT_VM_DEP1000_GET500_5X</x:v>
      </x:c>
      <x:c r="M113" s="274" t="str">
        <x:v>VM Bns - Dep1000 Get500 - 5x TO</x:v>
      </x:c>
      <x:c r="N113" s="253" t="str">
        <x:v>Yes</x:v>
      </x:c>
      <x:c r="O113" s="253" t="str">
        <x:v>No</x:v>
      </x:c>
      <x:c r="P113" s="262"/>
      <x:c r="Q113" s="253" t="str"/>
      <x:c r="R113" s="265" t="n">
        <x:v>0</x:v>
      </x:c>
      <x:c r="S113" s="253" t="str">
        <x:v>Yes</x:v>
      </x:c>
      <x:c r="T113" s="265" t="n">
        <x:v>81500</x:v>
      </x:c>
      <x:c r="U113" s="253" t="str">
        <x:f>IF(AND(S113="Yes",T113=0),"Yes","No")</x:f>
        <x:v>No</x:v>
      </x:c>
      <x:c r="V113" s="259" t="n">
        <x:v>46092.166666666664</x:v>
      </x:c>
      <x:c r="W113" s="265" t="n">
        <x:v>500</x:v>
      </x:c>
      <x:c r="X113" s="265" t="n">
        <x:v>13500</x:v>
      </x:c>
      <x:c r="Y113" s="265" t="n">
        <x:v>13500</x:v>
      </x:c>
      <x:c r="Z113" s="253" t="str">
        <x:f>IF(AND(U113="Yes",X113&gt;0),"Yes","No")</x:f>
        <x:v>No</x:v>
      </x:c>
      <x:c r="AA113" s="253" t="str">
        <x:f>IF(AND(U113="Yes",Y113&gt;0),"Yes","No")</x:f>
        <x:v>No</x:v>
      </x:c>
      <x:c r="AB113" s="265" t="n">
        <x:v>12182.2</x:v>
      </x:c>
      <x:c r="AC113" s="265" t="n">
        <x:v>12182.890000000001</x:v>
      </x:c>
      <x:c r="AD113" s="271" t="str"/>
      <x:c r="AE113" s="274" t="str">
        <x:v>Not validated - no control/holdout</x:v>
      </x:c>
      <x:c r="AF113" s="277" t="str">
        <x:v>No exact promo-code claim found within 14 days</x:v>
      </x:c>
    </x:row>
    <x:row r="114">
      <x:c r="A114" s="252" t="str">
        <x:v>WS1-20260309-0109</x:v>
      </x:c>
      <x:c r="B114" s="253" t="str">
        <x:v>WS1</x:v>
      </x:c>
      <x:c r="C114" s="253" t="str">
        <x:v>MB8</x:v>
      </x:c>
      <x:c r="D114" s="259" t="n">
        <x:v>46090.166666666664</x:v>
      </x:c>
      <x:c r="E114" s="253" t="str">
        <x:v>111833</x:v>
      </x:c>
      <x:c r="F114" s="253" t="str">
        <x:v>ESR1980</x:v>
      </x:c>
      <x:c r="G114" s="253" t="str">
        <x:v>Yes</x:v>
      </x:c>
      <x:c r="H114" s="253" t="str">
        <x:v>Sheena</x:v>
      </x:c>
      <x:c r="I114" s="268" t="str">
        <x:f>IFERROR(VLOOKUP(H114,'Handler-Team Map'!$A$7:$C$17,2,FALSE),"")</x:f>
      </x:c>
      <x:c r="J114" s="268" t="str">
        <x:f>IFERROR(VLOOKUP(H114,'Handler-Team Map'!$A$7:$C$17,3,FALSE),"")</x:f>
      </x:c>
      <x:c r="K114" s="274" t="str">
        <x:v>FT_VM_DEP1000_GET500_5X</x:v>
      </x:c>
      <x:c r="L114" s="274" t="str">
        <x:v>FT_VM_DEP1000_GET500_5X</x:v>
      </x:c>
      <x:c r="M114" s="274" t="str">
        <x:v>VM Bns - Dep1000 Get500 - 5x TO</x:v>
      </x:c>
      <x:c r="N114" s="253" t="str">
        <x:v>Yes</x:v>
      </x:c>
      <x:c r="O114" s="253" t="str">
        <x:v>No</x:v>
      </x:c>
      <x:c r="P114" s="262"/>
      <x:c r="Q114" s="253" t="str"/>
      <x:c r="R114" s="265" t="n">
        <x:v>0</x:v>
      </x:c>
      <x:c r="S114" s="253" t="str">
        <x:v>Yes</x:v>
      </x:c>
      <x:c r="T114" s="265" t="n">
        <x:v>18100</x:v>
      </x:c>
      <x:c r="U114" s="253" t="str">
        <x:f>IF(AND(S114="Yes",T114=0),"Yes","No")</x:f>
        <x:v>No</x:v>
      </x:c>
      <x:c r="V114" s="259" t="n">
        <x:v>46093.166666666664</x:v>
      </x:c>
      <x:c r="W114" s="265" t="n">
        <x:v>3100</x:v>
      </x:c>
      <x:c r="X114" s="265" t="n">
        <x:v>6100</x:v>
      </x:c>
      <x:c r="Y114" s="265" t="n">
        <x:v>6400</x:v>
      </x:c>
      <x:c r="Z114" s="253" t="str">
        <x:f>IF(AND(U114="Yes",X114&gt;0),"Yes","No")</x:f>
        <x:v>No</x:v>
      </x:c>
      <x:c r="AA114" s="253" t="str">
        <x:f>IF(AND(U114="Yes",Y114&gt;0),"Yes","No")</x:f>
        <x:v>No</x:v>
      </x:c>
      <x:c r="AB114" s="265" t="n">
        <x:v>6083.01</x:v>
      </x:c>
      <x:c r="AC114" s="265" t="n">
        <x:v>6394.55</x:v>
      </x:c>
      <x:c r="AD114" s="271" t="str"/>
      <x:c r="AE114" s="274" t="str">
        <x:v>Not validated - no control/holdout</x:v>
      </x:c>
      <x:c r="AF114" s="277" t="str">
        <x:v>No exact promo-code claim found within 14 days</x:v>
      </x:c>
    </x:row>
    <x:row r="115">
      <x:c r="A115" s="252" t="str">
        <x:v>WS1-20260309-0110</x:v>
      </x:c>
      <x:c r="B115" s="253" t="str">
        <x:v>WS1</x:v>
      </x:c>
      <x:c r="C115" s="253" t="str">
        <x:v>MB8</x:v>
      </x:c>
      <x:c r="D115" s="259" t="n">
        <x:v>46090.166666666664</x:v>
      </x:c>
      <x:c r="E115" s="253" t="str">
        <x:v>761196</x:v>
      </x:c>
      <x:c r="F115" s="253" t="str">
        <x:v>LIMFONGYAW</x:v>
      </x:c>
      <x:c r="G115" s="253" t="str">
        <x:v>Yes</x:v>
      </x:c>
      <x:c r="H115" s="253" t="str">
        <x:v>Sheena</x:v>
      </x:c>
      <x:c r="I115" s="268" t="str">
        <x:f>IFERROR(VLOOKUP(H115,'Handler-Team Map'!$A$7:$C$17,2,FALSE),"")</x:f>
      </x:c>
      <x:c r="J115" s="268" t="str">
        <x:f>IFERROR(VLOOKUP(H115,'Handler-Team Map'!$A$7:$C$17,3,FALSE),"")</x:f>
      </x:c>
      <x:c r="K115" s="274" t="str">
        <x:v>FT_VM_DEP600_GET200_5X</x:v>
      </x:c>
      <x:c r="L115" s="274" t="str">
        <x:v>FT_VM_DEP600_GET200_5X</x:v>
      </x:c>
      <x:c r="M115" s="274" t="str">
        <x:v>VM Bns - Dep600 Get200 - 5x TO</x:v>
      </x:c>
      <x:c r="N115" s="253" t="str">
        <x:v>Yes</x:v>
      </x:c>
      <x:c r="O115" s="253" t="str">
        <x:v>No</x:v>
      </x:c>
      <x:c r="P115" s="262"/>
      <x:c r="Q115" s="253" t="str"/>
      <x:c r="R115" s="265" t="n">
        <x:v>0</x:v>
      </x:c>
      <x:c r="S115" s="253" t="str">
        <x:v>Yes</x:v>
      </x:c>
      <x:c r="T115" s="265" t="n">
        <x:v>11500</x:v>
      </x:c>
      <x:c r="U115" s="253" t="str">
        <x:f>IF(AND(S115="Yes",T115=0),"Yes","No")</x:f>
        <x:v>No</x:v>
      </x:c>
      <x:c r="V115" s="259" t="n">
        <x:v>46092.166666666664</x:v>
      </x:c>
      <x:c r="W115" s="265" t="n">
        <x:v>1000</x:v>
      </x:c>
      <x:c r="X115" s="265" t="n">
        <x:v>1000</x:v>
      </x:c>
      <x:c r="Y115" s="265" t="n">
        <x:v>2950</x:v>
      </x:c>
      <x:c r="Z115" s="253" t="str">
        <x:f>IF(AND(U115="Yes",X115&gt;0),"Yes","No")</x:f>
        <x:v>No</x:v>
      </x:c>
      <x:c r="AA115" s="253" t="str">
        <x:f>IF(AND(U115="Yes",Y115&gt;0),"Yes","No")</x:f>
        <x:v>No</x:v>
      </x:c>
      <x:c r="AB115" s="265" t="n">
        <x:v>982.08</x:v>
      </x:c>
      <x:c r="AC115" s="265" t="n">
        <x:v>2329.18</x:v>
      </x:c>
      <x:c r="AD115" s="271" t="str"/>
      <x:c r="AE115" s="274" t="str">
        <x:v>Not validated - no control/holdout</x:v>
      </x:c>
      <x:c r="AF115" s="277" t="str">
        <x:v>No exact promo-code claim found within 14 days</x:v>
      </x:c>
    </x:row>
    <x:row r="116">
      <x:c r="A116" s="252" t="str">
        <x:v>WS1-20260309-0111</x:v>
      </x:c>
      <x:c r="B116" s="253" t="str">
        <x:v>WS1</x:v>
      </x:c>
      <x:c r="C116" s="253" t="str">
        <x:v>MB8</x:v>
      </x:c>
      <x:c r="D116" s="259" t="n">
        <x:v>46090.166666666664</x:v>
      </x:c>
      <x:c r="E116" s="253" t="str">
        <x:v>444362</x:v>
      </x:c>
      <x:c r="F116" s="253" t="str">
        <x:v>Engkudaim</x:v>
      </x:c>
      <x:c r="G116" s="253" t="str">
        <x:v>Yes</x:v>
      </x:c>
      <x:c r="H116" s="253" t="str">
        <x:v>Jiahui</x:v>
      </x:c>
      <x:c r="I116" s="268" t="str">
        <x:f>IFERROR(VLOOKUP(H116,'Handler-Team Map'!$A$7:$C$17,2,FALSE),"")</x:f>
      </x:c>
      <x:c r="J116" s="268" t="str">
        <x:f>IFERROR(VLOOKUP(H116,'Handler-Team Map'!$A$7:$C$17,3,FALSE),"")</x:f>
      </x:c>
      <x:c r="K116" s="274" t="str">
        <x:v>FT_VM_DEP600_GET200_5X</x:v>
      </x:c>
      <x:c r="L116" s="274" t="str">
        <x:v>FT_VM_DEP600_GET200_5X</x:v>
      </x:c>
      <x:c r="M116" s="274" t="str">
        <x:v>VM Bns - Dep600 Get200 - 5x TO</x:v>
      </x:c>
      <x:c r="N116" s="253" t="str">
        <x:v>Yes</x:v>
      </x:c>
      <x:c r="O116" s="253" t="str">
        <x:v>No</x:v>
      </x:c>
      <x:c r="P116" s="262"/>
      <x:c r="Q116" s="253" t="str"/>
      <x:c r="R116" s="265" t="n">
        <x:v>0</x:v>
      </x:c>
      <x:c r="S116" s="253" t="str">
        <x:v>Yes</x:v>
      </x:c>
      <x:c r="T116" s="265" t="n">
        <x:v>4470</x:v>
      </x:c>
      <x:c r="U116" s="253" t="str">
        <x:f>IF(AND(S116="Yes",T116=0),"Yes","No")</x:f>
        <x:v>No</x:v>
      </x:c>
      <x:c r="V116" s="259" t="n">
        <x:v>46092.166666666664</x:v>
      </x:c>
      <x:c r="W116" s="265" t="n">
        <x:v>150</x:v>
      </x:c>
      <x:c r="X116" s="265" t="n">
        <x:v>2300</x:v>
      </x:c>
      <x:c r="Y116" s="265" t="n">
        <x:v>2530</x:v>
      </x:c>
      <x:c r="Z116" s="253" t="str">
        <x:f>IF(AND(U116="Yes",X116&gt;0),"Yes","No")</x:f>
        <x:v>No</x:v>
      </x:c>
      <x:c r="AA116" s="253" t="str">
        <x:f>IF(AND(U116="Yes",Y116&gt;0),"Yes","No")</x:f>
        <x:v>No</x:v>
      </x:c>
      <x:c r="AB116" s="265" t="n">
        <x:v>1998.6600000000003</x:v>
      </x:c>
      <x:c r="AC116" s="265" t="n">
        <x:v>2229.96</x:v>
      </x:c>
      <x:c r="AD116" s="271" t="str"/>
      <x:c r="AE116" s="274" t="str">
        <x:v>Not validated - no control/holdout</x:v>
      </x:c>
      <x:c r="AF116" s="277" t="str">
        <x:v>No exact promo-code claim found within 14 days</x:v>
      </x:c>
    </x:row>
    <x:row r="117">
      <x:c r="A117" s="252" t="str">
        <x:v>WS1-20260309-0112</x:v>
      </x:c>
      <x:c r="B117" s="253" t="str">
        <x:v>WS1</x:v>
      </x:c>
      <x:c r="C117" s="253" t="str">
        <x:v>MB8</x:v>
      </x:c>
      <x:c r="D117" s="259" t="n">
        <x:v>46090.166666666664</x:v>
      </x:c>
      <x:c r="E117" s="253" t="str">
        <x:v>18225</x:v>
      </x:c>
      <x:c r="F117" s="253" t="str">
        <x:v>fadzlan90</x:v>
      </x:c>
      <x:c r="G117" s="253" t="str">
        <x:v>Yes</x:v>
      </x:c>
      <x:c r="H117" s="253" t="str">
        <x:v>Jiahui</x:v>
      </x:c>
      <x:c r="I117" s="268" t="str">
        <x:f>IFERROR(VLOOKUP(H117,'Handler-Team Map'!$A$7:$C$17,2,FALSE),"")</x:f>
      </x:c>
      <x:c r="J117" s="268" t="str">
        <x:f>IFERROR(VLOOKUP(H117,'Handler-Team Map'!$A$7:$C$17,3,FALSE),"")</x:f>
      </x:c>
      <x:c r="K117" s="274" t="str">
        <x:v>FT_VM_DEP1000_GET500_5X</x:v>
      </x:c>
      <x:c r="L117" s="274" t="str">
        <x:v>FT_VM_DEP1000_GET500_5X</x:v>
      </x:c>
      <x:c r="M117" s="274" t="str">
        <x:v>VM Bns - Dep1000 Get500 - 5x TO</x:v>
      </x:c>
      <x:c r="N117" s="253" t="str">
        <x:v>Yes</x:v>
      </x:c>
      <x:c r="O117" s="253" t="str">
        <x:v>No</x:v>
      </x:c>
      <x:c r="P117" s="262"/>
      <x:c r="Q117" s="253" t="str"/>
      <x:c r="R117" s="265" t="n">
        <x:v>0</x:v>
      </x:c>
      <x:c r="S117" s="253" t="str">
        <x:v>Yes</x:v>
      </x:c>
      <x:c r="T117" s="265" t="n">
        <x:v>1630</x:v>
      </x:c>
      <x:c r="U117" s="253" t="str">
        <x:f>IF(AND(S117="Yes",T117=0),"Yes","No")</x:f>
        <x:v>No</x:v>
      </x:c>
      <x:c r="V117" s="259" t="n">
        <x:v>46092.166666666664</x:v>
      </x:c>
      <x:c r="W117" s="265" t="n">
        <x:v>30</x:v>
      </x:c>
      <x:c r="X117" s="265" t="n">
        <x:v>420</x:v>
      </x:c>
      <x:c r="Y117" s="265" t="n">
        <x:v>600</x:v>
      </x:c>
      <x:c r="Z117" s="253" t="str">
        <x:f>IF(AND(U117="Yes",X117&gt;0),"Yes","No")</x:f>
        <x:v>No</x:v>
      </x:c>
      <x:c r="AA117" s="253" t="str">
        <x:f>IF(AND(U117="Yes",Y117&gt;0),"Yes","No")</x:f>
        <x:v>No</x:v>
      </x:c>
      <x:c r="AB117" s="265" t="n">
        <x:v>410.6300000000001</x:v>
      </x:c>
      <x:c r="AC117" s="265" t="n">
        <x:v>599.6800000000001</x:v>
      </x:c>
      <x:c r="AD117" s="271" t="str"/>
      <x:c r="AE117" s="274" t="str">
        <x:v>Not validated - no control/holdout</x:v>
      </x:c>
      <x:c r="AF117" s="277" t="str">
        <x:v>No exact promo-code claim found within 14 days</x:v>
      </x:c>
    </x:row>
    <x:row r="118">
      <x:c r="A118" s="252" t="str">
        <x:v>WS1-20260309-0113</x:v>
      </x:c>
      <x:c r="B118" s="253" t="str">
        <x:v>WS1</x:v>
      </x:c>
      <x:c r="C118" s="253" t="str">
        <x:v>MB8</x:v>
      </x:c>
      <x:c r="D118" s="259" t="n">
        <x:v>46090.166666666664</x:v>
      </x:c>
      <x:c r="E118" s="253" t="str">
        <x:v>561841</x:v>
      </x:c>
      <x:c r="F118" s="253" t="str">
        <x:v>Jamponn</x:v>
      </x:c>
      <x:c r="G118" s="253" t="str">
        <x:v>Yes</x:v>
      </x:c>
      <x:c r="H118" s="253" t="str">
        <x:v>Jiahui</x:v>
      </x:c>
      <x:c r="I118" s="268" t="str">
        <x:f>IFERROR(VLOOKUP(H118,'Handler-Team Map'!$A$7:$C$17,2,FALSE),"")</x:f>
      </x:c>
      <x:c r="J118" s="268" t="str">
        <x:f>IFERROR(VLOOKUP(H118,'Handler-Team Map'!$A$7:$C$17,3,FALSE),"")</x:f>
      </x:c>
      <x:c r="K118" s="274" t="str">
        <x:v>FT_VM_DEP800_GET400_2X</x:v>
      </x:c>
      <x:c r="L118" s="274" t="str">
        <x:v>FT_VM_DEP800_GET400_2X</x:v>
      </x:c>
      <x:c r="M118" s="274" t="str">
        <x:v>VM Bns - Dep800 Get400 - 2x TO</x:v>
      </x:c>
      <x:c r="N118" s="253" t="str">
        <x:v>Yes</x:v>
      </x:c>
      <x:c r="O118" s="253" t="str">
        <x:v>No</x:v>
      </x:c>
      <x:c r="P118" s="262"/>
      <x:c r="Q118" s="253" t="str"/>
      <x:c r="R118" s="265" t="n">
        <x:v>0</x:v>
      </x:c>
      <x:c r="S118" s="253" t="str">
        <x:v>Yes</x:v>
      </x:c>
      <x:c r="T118" s="265" t="n">
        <x:v>1280</x:v>
      </x:c>
      <x:c r="U118" s="253" t="str">
        <x:f>IF(AND(S118="Yes",T118=0),"Yes","No")</x:f>
        <x:v>No</x:v>
      </x:c>
      <x:c r="V118" s="259" t="n">
        <x:v>46090.166666666664</x:v>
      </x:c>
      <x:c r="W118" s="265" t="n">
        <x:v>50</x:v>
      </x:c>
      <x:c r="X118" s="265" t="n">
        <x:v>50</x:v>
      </x:c>
      <x:c r="Y118" s="265" t="n">
        <x:v>50</x:v>
      </x:c>
      <x:c r="Z118" s="253" t="str">
        <x:f>IF(AND(U118="Yes",X118&gt;0),"Yes","No")</x:f>
        <x:v>No</x:v>
      </x:c>
      <x:c r="AA118" s="253" t="str">
        <x:f>IF(AND(U118="Yes",Y118&gt;0),"Yes","No")</x:f>
        <x:v>No</x:v>
      </x:c>
      <x:c r="AB118" s="265" t="n">
        <x:v>51.28</x:v>
      </x:c>
      <x:c r="AC118" s="265" t="n">
        <x:v>51.36000000000001</x:v>
      </x:c>
      <x:c r="AD118" s="271" t="str"/>
      <x:c r="AE118" s="274" t="str">
        <x:v>Not validated - no control/holdout</x:v>
      </x:c>
      <x:c r="AF118" s="277" t="str">
        <x:v>No exact promo-code claim found within 14 days</x:v>
      </x:c>
    </x:row>
    <x:row r="119">
      <x:c r="A119" s="252" t="str">
        <x:v>WS1-20260309-0114</x:v>
      </x:c>
      <x:c r="B119" s="253" t="str">
        <x:v>WS1</x:v>
      </x:c>
      <x:c r="C119" s="253" t="str">
        <x:v>MB8</x:v>
      </x:c>
      <x:c r="D119" s="259" t="n">
        <x:v>46090.166666666664</x:v>
      </x:c>
      <x:c r="E119" s="253" t="str">
        <x:v>523045</x:v>
      </x:c>
      <x:c r="F119" s="253" t="str">
        <x:v>Richel89</x:v>
      </x:c>
      <x:c r="G119" s="253" t="str">
        <x:v>Yes</x:v>
      </x:c>
      <x:c r="H119" s="253" t="str">
        <x:v>Jiahui</x:v>
      </x:c>
      <x:c r="I119" s="268" t="str">
        <x:f>IFERROR(VLOOKUP(H119,'Handler-Team Map'!$A$7:$C$17,2,FALSE),"")</x:f>
      </x:c>
      <x:c r="J119" s="268" t="str">
        <x:f>IFERROR(VLOOKUP(H119,'Handler-Team Map'!$A$7:$C$17,3,FALSE),"")</x:f>
      </x:c>
      <x:c r="K119" s="274" t="str">
        <x:v>FT_VM_DEP600_GET200_5X</x:v>
      </x:c>
      <x:c r="L119" s="274" t="str">
        <x:v>FT_VM_DEP600_GET200_5X</x:v>
      </x:c>
      <x:c r="M119" s="274" t="str">
        <x:v>VM Bns - Dep600 Get200 - 5x TO</x:v>
      </x:c>
      <x:c r="N119" s="253" t="str">
        <x:v>Yes</x:v>
      </x:c>
      <x:c r="O119" s="253" t="str">
        <x:v>No</x:v>
      </x:c>
      <x:c r="P119" s="262"/>
      <x:c r="Q119" s="253" t="str"/>
      <x:c r="R119" s="265" t="n">
        <x:v>0</x:v>
      </x:c>
      <x:c r="S119" s="253" t="str">
        <x:v>Yes</x:v>
      </x:c>
      <x:c r="T119" s="265" t="n">
        <x:v>200</x:v>
      </x:c>
      <x:c r="U119" s="253" t="str">
        <x:f>IF(AND(S119="Yes",T119=0),"Yes","No")</x:f>
        <x:v>No</x:v>
      </x:c>
      <x:c r="V119" s="259" t="n">
        <x:v>46095.166666666664</x:v>
      </x:c>
      <x:c r="W119" s="265" t="n">
        <x:v>8200</x:v>
      </x:c>
      <x:c r="X119" s="265" t="n">
        <x:v>8300</x:v>
      </x:c>
      <x:c r="Y119" s="265" t="n">
        <x:v>9500</x:v>
      </x:c>
      <x:c r="Z119" s="253" t="str">
        <x:f>IF(AND(U119="Yes",X119&gt;0),"Yes","No")</x:f>
        <x:v>No</x:v>
      </x:c>
      <x:c r="AA119" s="253" t="str">
        <x:f>IF(AND(U119="Yes",Y119&gt;0),"Yes","No")</x:f>
        <x:v>No</x:v>
      </x:c>
      <x:c r="AB119" s="265" t="n">
        <x:v>7872.679999999999</x:v>
      </x:c>
      <x:c r="AC119" s="265" t="n">
        <x:v>9072.76</x:v>
      </x:c>
      <x:c r="AD119" s="271" t="str"/>
      <x:c r="AE119" s="274" t="str">
        <x:v>Not validated - no control/holdout</x:v>
      </x:c>
      <x:c r="AF119" s="277" t="str">
        <x:v>No exact promo-code claim found within 14 days</x:v>
      </x:c>
    </x:row>
    <x:row r="120">
      <x:c r="A120" s="252" t="str">
        <x:v>WS1-20260309-0115</x:v>
      </x:c>
      <x:c r="B120" s="253" t="str">
        <x:v>WS1</x:v>
      </x:c>
      <x:c r="C120" s="253" t="str">
        <x:v>MB8</x:v>
      </x:c>
      <x:c r="D120" s="259" t="n">
        <x:v>46090.166666666664</x:v>
      </x:c>
      <x:c r="E120" s="253" t="str">
        <x:v>697781</x:v>
      </x:c>
      <x:c r="F120" s="253" t="str">
        <x:v>Darma22</x:v>
      </x:c>
      <x:c r="G120" s="253" t="str">
        <x:v>Yes</x:v>
      </x:c>
      <x:c r="H120" s="253" t="str">
        <x:v>Jiahui</x:v>
      </x:c>
      <x:c r="I120" s="268" t="str">
        <x:f>IFERROR(VLOOKUP(H120,'Handler-Team Map'!$A$7:$C$17,2,FALSE),"")</x:f>
      </x:c>
      <x:c r="J120" s="268" t="str">
        <x:f>IFERROR(VLOOKUP(H120,'Handler-Team Map'!$A$7:$C$17,3,FALSE),"")</x:f>
      </x:c>
      <x:c r="K120" s="274" t="str">
        <x:v>FT_VM_DEP600_GET200_5X</x:v>
      </x:c>
      <x:c r="L120" s="274" t="str">
        <x:v>FT_VM_DEP600_GET200_5X</x:v>
      </x:c>
      <x:c r="M120" s="274" t="str">
        <x:v>VM Bns - Dep600 Get200 - 5x TO</x:v>
      </x:c>
      <x:c r="N120" s="253" t="str">
        <x:v>Yes</x:v>
      </x:c>
      <x:c r="O120" s="253" t="str">
        <x:v>No</x:v>
      </x:c>
      <x:c r="P120" s="262"/>
      <x:c r="Q120" s="253" t="str"/>
      <x:c r="R120" s="265" t="n">
        <x:v>0</x:v>
      </x:c>
      <x:c r="S120" s="253" t="str">
        <x:v>Yes</x:v>
      </x:c>
      <x:c r="T120" s="265" t="n">
        <x:v>1386</x:v>
      </x:c>
      <x:c r="U120" s="253" t="str">
        <x:f>IF(AND(S120="Yes",T120=0),"Yes","No")</x:f>
        <x:v>No</x:v>
      </x:c>
      <x:c r="V120" s="259" t="n">
        <x:v>46090.166666666664</x:v>
      </x:c>
      <x:c r="W120" s="265" t="n">
        <x:v>100</x:v>
      </x:c>
      <x:c r="X120" s="265" t="n">
        <x:v>619</x:v>
      </x:c>
      <x:c r="Y120" s="265" t="n">
        <x:v>869</x:v>
      </x:c>
      <x:c r="Z120" s="253" t="str">
        <x:f>IF(AND(U120="Yes",X120&gt;0),"Yes","No")</x:f>
        <x:v>No</x:v>
      </x:c>
      <x:c r="AA120" s="253" t="str">
        <x:f>IF(AND(U120="Yes",Y120&gt;0),"Yes","No")</x:f>
        <x:v>No</x:v>
      </x:c>
      <x:c r="AB120" s="265" t="n">
        <x:v>538.9699999999999</x:v>
      </x:c>
      <x:c r="AC120" s="265" t="n">
        <x:v>659.04</x:v>
      </x:c>
      <x:c r="AD120" s="271" t="str"/>
      <x:c r="AE120" s="274" t="str">
        <x:v>Not validated - no control/holdout</x:v>
      </x:c>
      <x:c r="AF120" s="277" t="str">
        <x:v>No exact promo-code claim found within 14 days</x:v>
      </x:c>
    </x:row>
    <x:row r="121">
      <x:c r="A121" s="252" t="str">
        <x:v>WS1-20260309-0116</x:v>
      </x:c>
      <x:c r="B121" s="253" t="str">
        <x:v>WS1</x:v>
      </x:c>
      <x:c r="C121" s="253" t="str">
        <x:v>MB8</x:v>
      </x:c>
      <x:c r="D121" s="259" t="n">
        <x:v>46090.166666666664</x:v>
      </x:c>
      <x:c r="E121" s="253" t="str">
        <x:v>698206</x:v>
      </x:c>
      <x:c r="F121" s="253" t="str">
        <x:v>baoying3221</x:v>
      </x:c>
      <x:c r="G121" s="253" t="str">
        <x:v>Yes</x:v>
      </x:c>
      <x:c r="H121" s="253" t="str">
        <x:v>Jiahui</x:v>
      </x:c>
      <x:c r="I121" s="268" t="str">
        <x:f>IFERROR(VLOOKUP(H121,'Handler-Team Map'!$A$7:$C$17,2,FALSE),"")</x:f>
      </x:c>
      <x:c r="J121" s="268" t="str">
        <x:f>IFERROR(VLOOKUP(H121,'Handler-Team Map'!$A$7:$C$17,3,FALSE),"")</x:f>
      </x:c>
      <x:c r="K121" s="274" t="str">
        <x:v>FT_VM_DEP600_GET200_5X</x:v>
      </x:c>
      <x:c r="L121" s="274" t="str">
        <x:v>FT_VM_DEP600_GET200_5X</x:v>
      </x:c>
      <x:c r="M121" s="274" t="str">
        <x:v>VM Bns - Dep600 Get200 - 5x TO</x:v>
      </x:c>
      <x:c r="N121" s="253" t="str">
        <x:v>Yes</x:v>
      </x:c>
      <x:c r="O121" s="253" t="str">
        <x:v>No</x:v>
      </x:c>
      <x:c r="P121" s="262"/>
      <x:c r="Q121" s="253" t="str"/>
      <x:c r="R121" s="265" t="n">
        <x:v>0</x:v>
      </x:c>
      <x:c r="S121" s="253" t="str">
        <x:v>Yes</x:v>
      </x:c>
      <x:c r="T121" s="265" t="n">
        <x:v>3206</x:v>
      </x:c>
      <x:c r="U121" s="253" t="str">
        <x:f>IF(AND(S121="Yes",T121=0),"Yes","No")</x:f>
        <x:v>No</x:v>
      </x:c>
      <x:c r="V121" s="259" t="n">
        <x:v>46095.166666666664</x:v>
      </x:c>
      <x:c r="W121" s="265" t="n">
        <x:v>200</x:v>
      </x:c>
      <x:c r="X121" s="265" t="n">
        <x:v>200</x:v>
      </x:c>
      <x:c r="Y121" s="265" t="n">
        <x:v>1000</x:v>
      </x:c>
      <x:c r="Z121" s="253" t="str">
        <x:f>IF(AND(U121="Yes",X121&gt;0),"Yes","No")</x:f>
        <x:v>No</x:v>
      </x:c>
      <x:c r="AA121" s="253" t="str">
        <x:f>IF(AND(U121="Yes",Y121&gt;0),"Yes","No")</x:f>
        <x:v>No</x:v>
      </x:c>
      <x:c r="AB121" s="265" t="n">
        <x:v>197.05</x:v>
      </x:c>
      <x:c r="AC121" s="265" t="n">
        <x:v>609.7099999999999</x:v>
      </x:c>
      <x:c r="AD121" s="271" t="str"/>
      <x:c r="AE121" s="274" t="str">
        <x:v>Not validated - no control/holdout</x:v>
      </x:c>
      <x:c r="AF121" s="277" t="str">
        <x:v>No exact promo-code claim found within 14 days</x:v>
      </x:c>
    </x:row>
    <x:row r="122">
      <x:c r="A122" s="252" t="str">
        <x:v>WS1-20260309-0117</x:v>
      </x:c>
      <x:c r="B122" s="253" t="str">
        <x:v>WS1</x:v>
      </x:c>
      <x:c r="C122" s="253" t="str">
        <x:v>MB8</x:v>
      </x:c>
      <x:c r="D122" s="259" t="n">
        <x:v>46090.166666666664</x:v>
      </x:c>
      <x:c r="E122" s="253" t="str">
        <x:v>649758</x:v>
      </x:c>
      <x:c r="F122" s="253" t="str">
        <x:v>Azizi79</x:v>
      </x:c>
      <x:c r="G122" s="253" t="str">
        <x:v>Yes</x:v>
      </x:c>
      <x:c r="H122" s="253" t="str">
        <x:v>Jiahui</x:v>
      </x:c>
      <x:c r="I122" s="268" t="str">
        <x:f>IFERROR(VLOOKUP(H122,'Handler-Team Map'!$A$7:$C$17,2,FALSE),"")</x:f>
      </x:c>
      <x:c r="J122" s="268" t="str">
        <x:f>IFERROR(VLOOKUP(H122,'Handler-Team Map'!$A$7:$C$17,3,FALSE),"")</x:f>
      </x:c>
      <x:c r="K122" s="274" t="str">
        <x:v>FT_VM_DEP600_GET200_5X</x:v>
      </x:c>
      <x:c r="L122" s="274" t="str">
        <x:v>FT_VM_DEP600_GET200_5X</x:v>
      </x:c>
      <x:c r="M122" s="274" t="str">
        <x:v>VM Bns - Dep600 Get200 - 5x TO</x:v>
      </x:c>
      <x:c r="N122" s="253" t="str">
        <x:v>Yes</x:v>
      </x:c>
      <x:c r="O122" s="253" t="str">
        <x:v>No</x:v>
      </x:c>
      <x:c r="P122" s="262"/>
      <x:c r="Q122" s="253" t="str"/>
      <x:c r="R122" s="265" t="n">
        <x:v>0</x:v>
      </x:c>
      <x:c r="S122" s="253" t="str">
        <x:v>Yes</x:v>
      </x:c>
      <x:c r="T122" s="265" t="n">
        <x:v>1840</x:v>
      </x:c>
      <x:c r="U122" s="253" t="str">
        <x:f>IF(AND(S122="Yes",T122=0),"Yes","No")</x:f>
        <x:v>No</x:v>
      </x:c>
      <x:c r="V122" s="259" t="n">
        <x:v>46093.166666666664</x:v>
      </x:c>
      <x:c r="W122" s="265" t="n">
        <x:v>30</x:v>
      </x:c>
      <x:c r="X122" s="265" t="n">
        <x:v>60</x:v>
      </x:c>
      <x:c r="Y122" s="265" t="n">
        <x:v>170</x:v>
      </x:c>
      <x:c r="Z122" s="253" t="str">
        <x:f>IF(AND(U122="Yes",X122&gt;0),"Yes","No")</x:f>
        <x:v>No</x:v>
      </x:c>
      <x:c r="AA122" s="253" t="str">
        <x:f>IF(AND(U122="Yes",Y122&gt;0),"Yes","No")</x:f>
        <x:v>No</x:v>
      </x:c>
      <x:c r="AB122" s="265" t="n">
        <x:v>60.88000000000001</x:v>
      </x:c>
      <x:c r="AC122" s="265" t="n">
        <x:v>170.10000000000002</x:v>
      </x:c>
      <x:c r="AD122" s="271" t="str"/>
      <x:c r="AE122" s="274" t="str">
        <x:v>Not validated - no control/holdout</x:v>
      </x:c>
      <x:c r="AF122" s="277" t="str">
        <x:v>No exact promo-code claim found within 14 days</x:v>
      </x:c>
    </x:row>
    <x:row r="123">
      <x:c r="A123" s="252" t="str">
        <x:v>WS1-20260309-0118</x:v>
      </x:c>
      <x:c r="B123" s="253" t="str">
        <x:v>WS1</x:v>
      </x:c>
      <x:c r="C123" s="253" t="str">
        <x:v>MB8</x:v>
      </x:c>
      <x:c r="D123" s="259" t="n">
        <x:v>46090.166666666664</x:v>
      </x:c>
      <x:c r="E123" s="253" t="str">
        <x:v>650336</x:v>
      </x:c>
      <x:c r="F123" s="253" t="str">
        <x:v>Parade</x:v>
      </x:c>
      <x:c r="G123" s="253" t="str">
        <x:v>Yes</x:v>
      </x:c>
      <x:c r="H123" s="253" t="str">
        <x:v>Jiahui</x:v>
      </x:c>
      <x:c r="I123" s="268" t="str">
        <x:f>IFERROR(VLOOKUP(H123,'Handler-Team Map'!$A$7:$C$17,2,FALSE),"")</x:f>
      </x:c>
      <x:c r="J123" s="268" t="str">
        <x:f>IFERROR(VLOOKUP(H123,'Handler-Team Map'!$A$7:$C$17,3,FALSE),"")</x:f>
      </x:c>
      <x:c r="K123" s="274" t="str">
        <x:v>FT_VM_DEP600_GET200_5X</x:v>
      </x:c>
      <x:c r="L123" s="274" t="str">
        <x:v>FT_VM_DEP600_GET200_5X</x:v>
      </x:c>
      <x:c r="M123" s="274" t="str">
        <x:v>VM Bns - Dep600 Get200 - 5x TO</x:v>
      </x:c>
      <x:c r="N123" s="253" t="str">
        <x:v>Yes</x:v>
      </x:c>
      <x:c r="O123" s="253" t="str">
        <x:v>No</x:v>
      </x:c>
      <x:c r="P123" s="262"/>
      <x:c r="Q123" s="253" t="str"/>
      <x:c r="R123" s="265" t="n">
        <x:v>0</x:v>
      </x:c>
      <x:c r="S123" s="253" t="str">
        <x:v>Yes</x:v>
      </x:c>
      <x:c r="T123" s="265" t="n">
        <x:v>250</x:v>
      </x:c>
      <x:c r="U123" s="253" t="str">
        <x:f>IF(AND(S123="Yes",T123=0),"Yes","No")</x:f>
        <x:v>No</x:v>
      </x:c>
      <x:c r="V123" s="259" t="n">
        <x:v>46095.166666666664</x:v>
      </x:c>
      <x:c r="W123" s="265" t="n">
        <x:v>60</x:v>
      </x:c>
      <x:c r="X123" s="265" t="n">
        <x:v>60</x:v>
      </x:c>
      <x:c r="Y123" s="265" t="n">
        <x:v>120</x:v>
      </x:c>
      <x:c r="Z123" s="253" t="str">
        <x:f>IF(AND(U123="Yes",X123&gt;0),"Yes","No")</x:f>
        <x:v>No</x:v>
      </x:c>
      <x:c r="AA123" s="253" t="str">
        <x:f>IF(AND(U123="Yes",Y123&gt;0),"Yes","No")</x:f>
        <x:v>No</x:v>
      </x:c>
      <x:c r="AB123" s="265" t="n">
        <x:v>57.519999999999975</x:v>
      </x:c>
      <x:c r="AC123" s="265" t="n">
        <x:v>117.58</x:v>
      </x:c>
      <x:c r="AD123" s="271" t="str"/>
      <x:c r="AE123" s="274" t="str">
        <x:v>Not validated - no control/holdout</x:v>
      </x:c>
      <x:c r="AF123" s="277" t="str">
        <x:v>No exact promo-code claim found within 14 days</x:v>
      </x:c>
    </x:row>
    <x:row r="124">
      <x:c r="A124" s="252" t="str">
        <x:v>WS1-20260309-0119</x:v>
      </x:c>
      <x:c r="B124" s="253" t="str">
        <x:v>WS1</x:v>
      </x:c>
      <x:c r="C124" s="253" t="str"/>
      <x:c r="D124" s="259" t="n">
        <x:v>46090.166666666664</x:v>
      </x:c>
      <x:c r="E124" s="253" t="str">
        <x:v>650454</x:v>
      </x:c>
      <x:c r="F124" s="253" t="str">
        <x:v>yuyuni</x:v>
      </x:c>
      <x:c r="G124" s="253" t="str">
        <x:v>No</x:v>
      </x:c>
      <x:c r="H124" s="253" t="str">
        <x:v>Jiahui</x:v>
      </x:c>
      <x:c r="I124" s="268" t="str">
        <x:f>IFERROR(VLOOKUP(H124,'Handler-Team Map'!$A$7:$C$17,2,FALSE),"")</x:f>
      </x:c>
      <x:c r="J124" s="268" t="str">
        <x:f>IFERROR(VLOOKUP(H124,'Handler-Team Map'!$A$7:$C$17,3,FALSE),"")</x:f>
      </x:c>
      <x:c r="K124" s="274" t="str">
        <x:v>FT_VM_DEP700_GET300_2X</x:v>
      </x:c>
      <x:c r="L124" s="274" t="str">
        <x:v>FT_VM_DEP700_GET300_2X</x:v>
      </x:c>
      <x:c r="M124" s="274" t="str">
        <x:v>VM Bns - Dep700 Get300 - 2x TO</x:v>
      </x:c>
      <x:c r="N124" s="253" t="str">
        <x:v>Yes</x:v>
      </x:c>
      <x:c r="O124" s="253" t="str">
        <x:v>No</x:v>
      </x:c>
      <x:c r="P124" s="262"/>
      <x:c r="Q124" s="253" t="str"/>
      <x:c r="R124" s="265" t="n">
        <x:v>0</x:v>
      </x:c>
      <x:c r="S124" s="253" t="str">
        <x:v>No</x:v>
      </x:c>
      <x:c r="T124" s="265" t="n">
        <x:v>530</x:v>
      </x:c>
      <x:c r="U124" s="253" t="str">
        <x:f>IF(AND(S124="Yes",T124=0),"Yes","No")</x:f>
        <x:v>No</x:v>
      </x:c>
      <x:c r="V124" s="259"/>
      <x:c r="W124" s="265" t="n">
        <x:v>0</x:v>
      </x:c>
      <x:c r="X124" s="265" t="n">
        <x:v>0</x:v>
      </x:c>
      <x:c r="Y124" s="265" t="n">
        <x:v>0</x:v>
      </x:c>
      <x:c r="Z124" s="253" t="str">
        <x:f>IF(AND(U124="Yes",X124&gt;0),"Yes","No")</x:f>
        <x:v>No</x:v>
      </x:c>
      <x:c r="AA124" s="253" t="str">
        <x:f>IF(AND(U124="Yes",Y124&gt;0),"Yes","No")</x:f>
        <x:v>No</x:v>
      </x:c>
      <x:c r="AB124" s="265" t="n">
        <x:v>677.8399999999998</x:v>
      </x:c>
      <x:c r="AC124" s="265" t="n">
        <x:v>677.8399999999998</x:v>
      </x:c>
      <x:c r="AD124" s="271" t="str"/>
      <x:c r="AE124" s="274" t="str">
        <x:v>Not validated - no control/holdout</x:v>
      </x:c>
      <x:c r="AF124" s="277" t="str">
        <x:v>Member ID not matched; outcome metrics unavailable</x:v>
      </x:c>
    </x:row>
    <x:row r="125">
      <x:c r="A125" s="252" t="str">
        <x:v>WS1-20260309-0120</x:v>
      </x:c>
      <x:c r="B125" s="253" t="str">
        <x:v>WS1</x:v>
      </x:c>
      <x:c r="C125" s="253" t="str">
        <x:v>MB8</x:v>
      </x:c>
      <x:c r="D125" s="259" t="n">
        <x:v>46090.166666666664</x:v>
      </x:c>
      <x:c r="E125" s="253" t="str">
        <x:v>654772</x:v>
      </x:c>
      <x:c r="F125" s="253" t="str">
        <x:v>Ben6176</x:v>
      </x:c>
      <x:c r="G125" s="253" t="str">
        <x:v>Yes</x:v>
      </x:c>
      <x:c r="H125" s="253" t="str">
        <x:v>Jiahui</x:v>
      </x:c>
      <x:c r="I125" s="268" t="str">
        <x:f>IFERROR(VLOOKUP(H125,'Handler-Team Map'!$A$7:$C$17,2,FALSE),"")</x:f>
      </x:c>
      <x:c r="J125" s="268" t="str">
        <x:f>IFERROR(VLOOKUP(H125,'Handler-Team Map'!$A$7:$C$17,3,FALSE),"")</x:f>
      </x:c>
      <x:c r="K125" s="274" t="str">
        <x:v>FT_VM_DEP600_GET200_5X</x:v>
      </x:c>
      <x:c r="L125" s="274" t="str">
        <x:v>FT_VM_DEP600_GET200_5X</x:v>
      </x:c>
      <x:c r="M125" s="274" t="str">
        <x:v>VM Bns - Dep600 Get200 - 5x TO</x:v>
      </x:c>
      <x:c r="N125" s="253" t="str">
        <x:v>Yes</x:v>
      </x:c>
      <x:c r="O125" s="253" t="str">
        <x:v>No</x:v>
      </x:c>
      <x:c r="P125" s="262"/>
      <x:c r="Q125" s="253" t="str"/>
      <x:c r="R125" s="265" t="n">
        <x:v>0</x:v>
      </x:c>
      <x:c r="S125" s="253" t="str">
        <x:v>Yes</x:v>
      </x:c>
      <x:c r="T125" s="265" t="n">
        <x:v>480</x:v>
      </x:c>
      <x:c r="U125" s="253" t="str">
        <x:f>IF(AND(S125="Yes",T125=0),"Yes","No")</x:f>
        <x:v>No</x:v>
      </x:c>
      <x:c r="V125" s="259" t="n">
        <x:v>46090.166666666664</x:v>
      </x:c>
      <x:c r="W125" s="265" t="n">
        <x:v>30</x:v>
      </x:c>
      <x:c r="X125" s="265" t="n">
        <x:v>120</x:v>
      </x:c>
      <x:c r="Y125" s="265" t="n">
        <x:v>210</x:v>
      </x:c>
      <x:c r="Z125" s="253" t="str">
        <x:f>IF(AND(U125="Yes",X125&gt;0),"Yes","No")</x:f>
        <x:v>No</x:v>
      </x:c>
      <x:c r="AA125" s="253" t="str">
        <x:f>IF(AND(U125="Yes",Y125&gt;0),"Yes","No")</x:f>
        <x:v>No</x:v>
      </x:c>
      <x:c r="AB125" s="265" t="n">
        <x:v>120</x:v>
      </x:c>
      <x:c r="AC125" s="265" t="n">
        <x:v>209.13</x:v>
      </x:c>
      <x:c r="AD125" s="271" t="str"/>
      <x:c r="AE125" s="274" t="str">
        <x:v>Not validated - no control/holdout</x:v>
      </x:c>
      <x:c r="AF125" s="277" t="str">
        <x:v>No exact promo-code claim found within 14 days</x:v>
      </x:c>
    </x:row>
    <x:row r="126">
      <x:c r="A126" s="252" t="str">
        <x:v>WS1-20260309-0121</x:v>
      </x:c>
      <x:c r="B126" s="253" t="str">
        <x:v>WS1</x:v>
      </x:c>
      <x:c r="C126" s="253" t="str">
        <x:v>MB8</x:v>
      </x:c>
      <x:c r="D126" s="259" t="n">
        <x:v>46090.166666666664</x:v>
      </x:c>
      <x:c r="E126" s="253" t="str">
        <x:v>656766</x:v>
      </x:c>
      <x:c r="F126" s="253" t="str">
        <x:v>jie9200</x:v>
      </x:c>
      <x:c r="G126" s="253" t="str">
        <x:v>Yes</x:v>
      </x:c>
      <x:c r="H126" s="253" t="str">
        <x:v>Jiahui</x:v>
      </x:c>
      <x:c r="I126" s="268" t="str">
        <x:f>IFERROR(VLOOKUP(H126,'Handler-Team Map'!$A$7:$C$17,2,FALSE),"")</x:f>
      </x:c>
      <x:c r="J126" s="268" t="str">
        <x:f>IFERROR(VLOOKUP(H126,'Handler-Team Map'!$A$7:$C$17,3,FALSE),"")</x:f>
      </x:c>
      <x:c r="K126" s="274" t="str">
        <x:v>FT_VM_DEP1000_GET500_5X</x:v>
      </x:c>
      <x:c r="L126" s="274" t="str">
        <x:v>FT_VM_DEP1000_GET500_5X</x:v>
      </x:c>
      <x:c r="M126" s="274" t="str">
        <x:v>VM Bns - Dep1000 Get500 - 5x TO</x:v>
      </x:c>
      <x:c r="N126" s="253" t="str">
        <x:v>Yes</x:v>
      </x:c>
      <x:c r="O126" s="253" t="str">
        <x:v>No</x:v>
      </x:c>
      <x:c r="P126" s="262"/>
      <x:c r="Q126" s="253" t="str"/>
      <x:c r="R126" s="265" t="n">
        <x:v>0</x:v>
      </x:c>
      <x:c r="S126" s="253" t="str">
        <x:v>Yes</x:v>
      </x:c>
      <x:c r="T126" s="265" t="n">
        <x:v>2280</x:v>
      </x:c>
      <x:c r="U126" s="253" t="str">
        <x:f>IF(AND(S126="Yes",T126=0),"Yes","No")</x:f>
        <x:v>No</x:v>
      </x:c>
      <x:c r="V126" s="259" t="n">
        <x:v>46090.166666666664</x:v>
      </x:c>
      <x:c r="W126" s="265" t="n">
        <x:v>100</x:v>
      </x:c>
      <x:c r="X126" s="265" t="n">
        <x:v>200</x:v>
      </x:c>
      <x:c r="Y126" s="265" t="n">
        <x:v>200</x:v>
      </x:c>
      <x:c r="Z126" s="253" t="str">
        <x:f>IF(AND(U126="Yes",X126&gt;0),"Yes","No")</x:f>
        <x:v>No</x:v>
      </x:c>
      <x:c r="AA126" s="253" t="str">
        <x:f>IF(AND(U126="Yes",Y126&gt;0),"Yes","No")</x:f>
        <x:v>No</x:v>
      </x:c>
      <x:c r="AB126" s="265" t="n">
        <x:v>199.27999999999997</x:v>
      </x:c>
      <x:c r="AC126" s="265" t="n">
        <x:v>199.27999999999997</x:v>
      </x:c>
      <x:c r="AD126" s="271" t="str"/>
      <x:c r="AE126" s="274" t="str">
        <x:v>Not validated - no control/holdout</x:v>
      </x:c>
      <x:c r="AF126" s="277" t="str">
        <x:v>No exact promo-code claim found within 14 days</x:v>
      </x:c>
    </x:row>
    <x:row r="127">
      <x:c r="A127" s="252" t="str">
        <x:v>WS1-20260309-0122</x:v>
      </x:c>
      <x:c r="B127" s="253" t="str">
        <x:v>WS1</x:v>
      </x:c>
      <x:c r="C127" s="253" t="str">
        <x:v>MB8</x:v>
      </x:c>
      <x:c r="D127" s="259" t="n">
        <x:v>46090.166666666664</x:v>
      </x:c>
      <x:c r="E127" s="253" t="str">
        <x:v>658023</x:v>
      </x:c>
      <x:c r="F127" s="253" t="str">
        <x:v>Kathir29</x:v>
      </x:c>
      <x:c r="G127" s="253" t="str">
        <x:v>Yes</x:v>
      </x:c>
      <x:c r="H127" s="253" t="str">
        <x:v>Jiahui</x:v>
      </x:c>
      <x:c r="I127" s="268" t="str">
        <x:f>IFERROR(VLOOKUP(H127,'Handler-Team Map'!$A$7:$C$17,2,FALSE),"")</x:f>
      </x:c>
      <x:c r="J127" s="268" t="str">
        <x:f>IFERROR(VLOOKUP(H127,'Handler-Team Map'!$A$7:$C$17,3,FALSE),"")</x:f>
      </x:c>
      <x:c r="K127" s="274" t="str">
        <x:v>FT_VM_DEP600_GET200_5X</x:v>
      </x:c>
      <x:c r="L127" s="274" t="str">
        <x:v>FT_VM_DEP600_GET200_5X</x:v>
      </x:c>
      <x:c r="M127" s="274" t="str">
        <x:v>VM Bns - Dep600 Get200 - 5x TO</x:v>
      </x:c>
      <x:c r="N127" s="253" t="str">
        <x:v>Yes</x:v>
      </x:c>
      <x:c r="O127" s="253" t="str">
        <x:v>No</x:v>
      </x:c>
      <x:c r="P127" s="262"/>
      <x:c r="Q127" s="253" t="str"/>
      <x:c r="R127" s="265" t="n">
        <x:v>0</x:v>
      </x:c>
      <x:c r="S127" s="253" t="str">
        <x:v>Yes</x:v>
      </x:c>
      <x:c r="T127" s="265" t="n">
        <x:v>3750</x:v>
      </x:c>
      <x:c r="U127" s="253" t="str">
        <x:f>IF(AND(S127="Yes",T127=0),"Yes","No")</x:f>
        <x:v>No</x:v>
      </x:c>
      <x:c r="V127" s="259" t="n">
        <x:v>46092.166666666664</x:v>
      </x:c>
      <x:c r="W127" s="265" t="n">
        <x:v>200</x:v>
      </x:c>
      <x:c r="X127" s="265" t="n">
        <x:v>400</x:v>
      </x:c>
      <x:c r="Y127" s="265" t="n">
        <x:v>400</x:v>
      </x:c>
      <x:c r="Z127" s="253" t="str">
        <x:f>IF(AND(U127="Yes",X127&gt;0),"Yes","No")</x:f>
        <x:v>No</x:v>
      </x:c>
      <x:c r="AA127" s="253" t="str">
        <x:f>IF(AND(U127="Yes",Y127&gt;0),"Yes","No")</x:f>
        <x:v>No</x:v>
      </x:c>
      <x:c r="AB127" s="265" t="n">
        <x:v>-206.64999999999998</x:v>
      </x:c>
      <x:c r="AC127" s="265" t="n">
        <x:v>-206.64999999999998</x:v>
      </x:c>
      <x:c r="AD127" s="271" t="str"/>
      <x:c r="AE127" s="274" t="str">
        <x:v>Not validated - no control/holdout</x:v>
      </x:c>
      <x:c r="AF127" s="277" t="str">
        <x:v>No exact promo-code claim found within 14 days</x:v>
      </x:c>
    </x:row>
    <x:row r="128">
      <x:c r="A128" s="252" t="str">
        <x:v>WS1-20260309-0123</x:v>
      </x:c>
      <x:c r="B128" s="253" t="str">
        <x:v>WS1</x:v>
      </x:c>
      <x:c r="C128" s="253" t="str">
        <x:v>MB8</x:v>
      </x:c>
      <x:c r="D128" s="259" t="n">
        <x:v>46090.166666666664</x:v>
      </x:c>
      <x:c r="E128" s="253" t="str">
        <x:v>661718</x:v>
      </x:c>
      <x:c r="F128" s="253" t="str">
        <x:v>Akk749898</x:v>
      </x:c>
      <x:c r="G128" s="253" t="str">
        <x:v>Yes</x:v>
      </x:c>
      <x:c r="H128" s="253" t="str">
        <x:v>Jiahui</x:v>
      </x:c>
      <x:c r="I128" s="268" t="str">
        <x:f>IFERROR(VLOOKUP(H128,'Handler-Team Map'!$A$7:$C$17,2,FALSE),"")</x:f>
      </x:c>
      <x:c r="J128" s="268" t="str">
        <x:f>IFERROR(VLOOKUP(H128,'Handler-Team Map'!$A$7:$C$17,3,FALSE),"")</x:f>
      </x:c>
      <x:c r="K128" s="274" t="str">
        <x:v>FT_VM_DEP600_GET200_5X</x:v>
      </x:c>
      <x:c r="L128" s="274" t="str">
        <x:v>FT_VM_DEP600_GET200_5X</x:v>
      </x:c>
      <x:c r="M128" s="274" t="str">
        <x:v>VM Bns - Dep600 Get200 - 5x TO</x:v>
      </x:c>
      <x:c r="N128" s="253" t="str">
        <x:v>Yes</x:v>
      </x:c>
      <x:c r="O128" s="253" t="str">
        <x:v>No</x:v>
      </x:c>
      <x:c r="P128" s="262"/>
      <x:c r="Q128" s="253" t="str"/>
      <x:c r="R128" s="265" t="n">
        <x:v>0</x:v>
      </x:c>
      <x:c r="S128" s="253" t="str">
        <x:v>Yes</x:v>
      </x:c>
      <x:c r="T128" s="265" t="n">
        <x:v>410</x:v>
      </x:c>
      <x:c r="U128" s="253" t="str">
        <x:f>IF(AND(S128="Yes",T128=0),"Yes","No")</x:f>
        <x:v>No</x:v>
      </x:c>
      <x:c r="V128" s="259" t="n">
        <x:v>46094.166666666664</x:v>
      </x:c>
      <x:c r="W128" s="265" t="n">
        <x:v>30</x:v>
      </x:c>
      <x:c r="X128" s="265" t="n">
        <x:v>30</x:v>
      </x:c>
      <x:c r="Y128" s="265" t="n">
        <x:v>30</x:v>
      </x:c>
      <x:c r="Z128" s="253" t="str">
        <x:f>IF(AND(U128="Yes",X128&gt;0),"Yes","No")</x:f>
        <x:v>No</x:v>
      </x:c>
      <x:c r="AA128" s="253" t="str">
        <x:f>IF(AND(U128="Yes",Y128&gt;0),"Yes","No")</x:f>
        <x:v>No</x:v>
      </x:c>
      <x:c r="AB128" s="265" t="n">
        <x:v>29.999999999999954</x:v>
      </x:c>
      <x:c r="AC128" s="265" t="n">
        <x:v>29.999999999999954</x:v>
      </x:c>
      <x:c r="AD128" s="271" t="str"/>
      <x:c r="AE128" s="274" t="str">
        <x:v>Not validated - no control/holdout</x:v>
      </x:c>
      <x:c r="AF128" s="277" t="str">
        <x:v>No exact promo-code claim found within 14 days</x:v>
      </x:c>
    </x:row>
    <x:row r="129">
      <x:c r="A129" s="252" t="str">
        <x:v>WS1-20260309-0124</x:v>
      </x:c>
      <x:c r="B129" s="253" t="str">
        <x:v>WS1</x:v>
      </x:c>
      <x:c r="C129" s="253" t="str">
        <x:v>MB8</x:v>
      </x:c>
      <x:c r="D129" s="259" t="n">
        <x:v>46090.166666666664</x:v>
      </x:c>
      <x:c r="E129" s="253" t="str">
        <x:v>661851</x:v>
      </x:c>
      <x:c r="F129" s="253" t="str">
        <x:v>Matt2304</x:v>
      </x:c>
      <x:c r="G129" s="253" t="str">
        <x:v>Yes</x:v>
      </x:c>
      <x:c r="H129" s="253" t="str">
        <x:v>Jiahui</x:v>
      </x:c>
      <x:c r="I129" s="268" t="str">
        <x:f>IFERROR(VLOOKUP(H129,'Handler-Team Map'!$A$7:$C$17,2,FALSE),"")</x:f>
      </x:c>
      <x:c r="J129" s="268" t="str">
        <x:f>IFERROR(VLOOKUP(H129,'Handler-Team Map'!$A$7:$C$17,3,FALSE),"")</x:f>
      </x:c>
      <x:c r="K129" s="274" t="str">
        <x:v>FT_VM_DEP600_GET200_5X</x:v>
      </x:c>
      <x:c r="L129" s="274" t="str">
        <x:v>FT_VM_DEP600_GET200_5X</x:v>
      </x:c>
      <x:c r="M129" s="274" t="str">
        <x:v>VM Bns - Dep600 Get200 - 5x TO</x:v>
      </x:c>
      <x:c r="N129" s="253" t="str">
        <x:v>Yes</x:v>
      </x:c>
      <x:c r="O129" s="253" t="str">
        <x:v>No</x:v>
      </x:c>
      <x:c r="P129" s="262"/>
      <x:c r="Q129" s="253" t="str"/>
      <x:c r="R129" s="265" t="n">
        <x:v>0</x:v>
      </x:c>
      <x:c r="S129" s="253" t="str">
        <x:v>Yes</x:v>
      </x:c>
      <x:c r="T129" s="265" t="n">
        <x:v>1160</x:v>
      </x:c>
      <x:c r="U129" s="253" t="str">
        <x:f>IF(AND(S129="Yes",T129=0),"Yes","No")</x:f>
        <x:v>No</x:v>
      </x:c>
      <x:c r="V129" s="259" t="n">
        <x:v>46092.166666666664</x:v>
      </x:c>
      <x:c r="W129" s="265" t="n">
        <x:v>140</x:v>
      </x:c>
      <x:c r="X129" s="265" t="n">
        <x:v>140</x:v>
      </x:c>
      <x:c r="Y129" s="265" t="n">
        <x:v>140</x:v>
      </x:c>
      <x:c r="Z129" s="253" t="str">
        <x:f>IF(AND(U129="Yes",X129&gt;0),"Yes","No")</x:f>
        <x:v>No</x:v>
      </x:c>
      <x:c r="AA129" s="253" t="str">
        <x:f>IF(AND(U129="Yes",Y129&gt;0),"Yes","No")</x:f>
        <x:v>No</x:v>
      </x:c>
      <x:c r="AB129" s="265" t="n">
        <x:v>141.05999999999997</x:v>
      </x:c>
      <x:c r="AC129" s="265" t="n">
        <x:v>141.05999999999997</x:v>
      </x:c>
      <x:c r="AD129" s="271" t="str"/>
      <x:c r="AE129" s="274" t="str">
        <x:v>Not validated - no control/holdout</x:v>
      </x:c>
      <x:c r="AF129" s="277" t="str">
        <x:v>No exact promo-code claim found within 14 days</x:v>
      </x:c>
    </x:row>
    <x:row r="130">
      <x:c r="A130" s="252" t="str">
        <x:v>WS1-20260309-0125</x:v>
      </x:c>
      <x:c r="B130" s="253" t="str">
        <x:v>WS1</x:v>
      </x:c>
      <x:c r="C130" s="253" t="str">
        <x:v>MB8</x:v>
      </x:c>
      <x:c r="D130" s="259" t="n">
        <x:v>46090.166666666664</x:v>
      </x:c>
      <x:c r="E130" s="253" t="str">
        <x:v>662052</x:v>
      </x:c>
      <x:c r="F130" s="253" t="str">
        <x:v>Parthibanvrn198</x:v>
      </x:c>
      <x:c r="G130" s="253" t="str">
        <x:v>Yes</x:v>
      </x:c>
      <x:c r="H130" s="253" t="str">
        <x:v>Jiahui</x:v>
      </x:c>
      <x:c r="I130" s="268" t="str">
        <x:f>IFERROR(VLOOKUP(H130,'Handler-Team Map'!$A$7:$C$17,2,FALSE),"")</x:f>
      </x:c>
      <x:c r="J130" s="268" t="str">
        <x:f>IFERROR(VLOOKUP(H130,'Handler-Team Map'!$A$7:$C$17,3,FALSE),"")</x:f>
      </x:c>
      <x:c r="K130" s="274" t="str">
        <x:v>FT_VM_DEP1000_GET500_5X</x:v>
      </x:c>
      <x:c r="L130" s="274" t="str">
        <x:v>FT_VM_DEP1000_GET500_5X</x:v>
      </x:c>
      <x:c r="M130" s="274" t="str">
        <x:v>VM Bns - Dep1000 Get500 - 5x TO</x:v>
      </x:c>
      <x:c r="N130" s="253" t="str">
        <x:v>Yes</x:v>
      </x:c>
      <x:c r="O130" s="253" t="str">
        <x:v>No</x:v>
      </x:c>
      <x:c r="P130" s="262"/>
      <x:c r="Q130" s="253" t="str"/>
      <x:c r="R130" s="265" t="n">
        <x:v>0</x:v>
      </x:c>
      <x:c r="S130" s="253" t="str">
        <x:v>Yes</x:v>
      </x:c>
      <x:c r="T130" s="265" t="n">
        <x:v>1775</x:v>
      </x:c>
      <x:c r="U130" s="253" t="str">
        <x:f>IF(AND(S130="Yes",T130=0),"Yes","No")</x:f>
        <x:v>No</x:v>
      </x:c>
      <x:c r="V130" s="259" t="n">
        <x:v>46096.166666666664</x:v>
      </x:c>
      <x:c r="W130" s="265" t="n">
        <x:v>140</x:v>
      </x:c>
      <x:c r="X130" s="265" t="n">
        <x:v>140</x:v>
      </x:c>
      <x:c r="Y130" s="265" t="n">
        <x:v>280</x:v>
      </x:c>
      <x:c r="Z130" s="253" t="str">
        <x:f>IF(AND(U130="Yes",X130&gt;0),"Yes","No")</x:f>
        <x:v>No</x:v>
      </x:c>
      <x:c r="AA130" s="253" t="str">
        <x:f>IF(AND(U130="Yes",Y130&gt;0),"Yes","No")</x:f>
        <x:v>No</x:v>
      </x:c>
      <x:c r="AB130" s="265" t="n">
        <x:v>139.63000000000002</x:v>
      </x:c>
      <x:c r="AC130" s="265" t="n">
        <x:v>279.47</x:v>
      </x:c>
      <x:c r="AD130" s="271" t="str"/>
      <x:c r="AE130" s="274" t="str">
        <x:v>Not validated - no control/holdout</x:v>
      </x:c>
      <x:c r="AF130" s="277" t="str">
        <x:v>No exact promo-code claim found within 14 days</x:v>
      </x:c>
    </x:row>
    <x:row r="131">
      <x:c r="A131" s="252" t="str">
        <x:v>WS1-20260309-0126</x:v>
      </x:c>
      <x:c r="B131" s="253" t="str">
        <x:v>WS1</x:v>
      </x:c>
      <x:c r="C131" s="253" t="str">
        <x:v>MB8</x:v>
      </x:c>
      <x:c r="D131" s="259" t="n">
        <x:v>46090.166666666664</x:v>
      </x:c>
      <x:c r="E131" s="253" t="str">
        <x:v>748383</x:v>
      </x:c>
      <x:c r="F131" s="253" t="str">
        <x:v>abgya</x:v>
      </x:c>
      <x:c r="G131" s="253" t="str">
        <x:v>Yes</x:v>
      </x:c>
      <x:c r="H131" s="253" t="str">
        <x:v>Jiahui</x:v>
      </x:c>
      <x:c r="I131" s="268" t="str">
        <x:f>IFERROR(VLOOKUP(H131,'Handler-Team Map'!$A$7:$C$17,2,FALSE),"")</x:f>
      </x:c>
      <x:c r="J131" s="268" t="str">
        <x:f>IFERROR(VLOOKUP(H131,'Handler-Team Map'!$A$7:$C$17,3,FALSE),"")</x:f>
      </x:c>
      <x:c r="K131" s="274" t="str">
        <x:v>FT_VM_DEP700_GET300_2X</x:v>
      </x:c>
      <x:c r="L131" s="274" t="str">
        <x:v>FT_VM_DEP700_GET300_2X</x:v>
      </x:c>
      <x:c r="M131" s="274" t="str">
        <x:v>VM Bns - Dep700 Get300 - 2x TO</x:v>
      </x:c>
      <x:c r="N131" s="253" t="str">
        <x:v>Yes</x:v>
      </x:c>
      <x:c r="O131" s="253" t="str">
        <x:v>No</x:v>
      </x:c>
      <x:c r="P131" s="262"/>
      <x:c r="Q131" s="253" t="str"/>
      <x:c r="R131" s="265" t="n">
        <x:v>0</x:v>
      </x:c>
      <x:c r="S131" s="253" t="str">
        <x:v>Yes</x:v>
      </x:c>
      <x:c r="T131" s="265" t="n">
        <x:v>370</x:v>
      </x:c>
      <x:c r="U131" s="253" t="str">
        <x:f>IF(AND(S131="Yes",T131=0),"Yes","No")</x:f>
        <x:v>No</x:v>
      </x:c>
      <x:c r="V131" s="259" t="n">
        <x:v>46090.166666666664</x:v>
      </x:c>
      <x:c r="W131" s="265" t="n">
        <x:v>770</x:v>
      </x:c>
      <x:c r="X131" s="265" t="n">
        <x:v>770</x:v>
      </x:c>
      <x:c r="Y131" s="265" t="n">
        <x:v>770</x:v>
      </x:c>
      <x:c r="Z131" s="253" t="str">
        <x:f>IF(AND(U131="Yes",X131&gt;0),"Yes","No")</x:f>
        <x:v>No</x:v>
      </x:c>
      <x:c r="AA131" s="253" t="str">
        <x:f>IF(AND(U131="Yes",Y131&gt;0),"Yes","No")</x:f>
        <x:v>No</x:v>
      </x:c>
      <x:c r="AB131" s="265" t="n">
        <x:v>429.4900000000001</x:v>
      </x:c>
      <x:c r="AC131" s="265" t="n">
        <x:v>429.4900000000001</x:v>
      </x:c>
      <x:c r="AD131" s="271" t="str"/>
      <x:c r="AE131" s="274" t="str">
        <x:v>Not validated - no control/holdout</x:v>
      </x:c>
      <x:c r="AF131" s="277" t="str">
        <x:v>No exact promo-code claim found within 14 days</x:v>
      </x:c>
    </x:row>
    <x:row r="132">
      <x:c r="A132" s="252" t="str">
        <x:v>WS1-20260309-0127</x:v>
      </x:c>
      <x:c r="B132" s="253" t="str">
        <x:v>WS1</x:v>
      </x:c>
      <x:c r="C132" s="253" t="str">
        <x:v>MB8</x:v>
      </x:c>
      <x:c r="D132" s="259" t="n">
        <x:v>46090.166666666664</x:v>
      </x:c>
      <x:c r="E132" s="253" t="str">
        <x:v>653760</x:v>
      </x:c>
      <x:c r="F132" s="253" t="str">
        <x:v>nikyweiii</x:v>
      </x:c>
      <x:c r="G132" s="253" t="str">
        <x:v>Yes</x:v>
      </x:c>
      <x:c r="H132" s="253" t="str">
        <x:v>Jiahui</x:v>
      </x:c>
      <x:c r="I132" s="268" t="str">
        <x:f>IFERROR(VLOOKUP(H132,'Handler-Team Map'!$A$7:$C$17,2,FALSE),"")</x:f>
      </x:c>
      <x:c r="J132" s="268" t="str">
        <x:f>IFERROR(VLOOKUP(H132,'Handler-Team Map'!$A$7:$C$17,3,FALSE),"")</x:f>
      </x:c>
      <x:c r="K132" s="274" t="str">
        <x:v>FT_VM_DEP700_GET300_2X</x:v>
      </x:c>
      <x:c r="L132" s="274" t="str">
        <x:v>FT_VM_DEP700_GET300_2X</x:v>
      </x:c>
      <x:c r="M132" s="274" t="str">
        <x:v>VM Bns - Dep700 Get300 - 2x TO</x:v>
      </x:c>
      <x:c r="N132" s="253" t="str">
        <x:v>Yes</x:v>
      </x:c>
      <x:c r="O132" s="253" t="str">
        <x:v>No</x:v>
      </x:c>
      <x:c r="P132" s="262"/>
      <x:c r="Q132" s="253" t="str"/>
      <x:c r="R132" s="265" t="n">
        <x:v>0</x:v>
      </x:c>
      <x:c r="S132" s="253" t="str">
        <x:v>Yes</x:v>
      </x:c>
      <x:c r="T132" s="265" t="n">
        <x:v>600</x:v>
      </x:c>
      <x:c r="U132" s="253" t="str">
        <x:f>IF(AND(S132="Yes",T132=0),"Yes","No")</x:f>
        <x:v>No</x:v>
      </x:c>
      <x:c r="V132" s="259"/>
      <x:c r="W132" s="265" t="n">
        <x:v>0</x:v>
      </x:c>
      <x:c r="X132" s="265" t="n">
        <x:v>0</x:v>
      </x:c>
      <x:c r="Y132" s="265" t="n">
        <x:v>0</x:v>
      </x:c>
      <x:c r="Z132" s="253" t="str">
        <x:f>IF(AND(U132="Yes",X132&gt;0),"Yes","No")</x:f>
        <x:v>No</x:v>
      </x:c>
      <x:c r="AA132" s="253" t="str">
        <x:f>IF(AND(U132="Yes",Y132&gt;0),"Yes","No")</x:f>
        <x:v>No</x:v>
      </x:c>
      <x:c r="AB132" s="265" t="n">
        <x:v>0</x:v>
      </x:c>
      <x:c r="AC132" s="265" t="n">
        <x:v>0</x:v>
      </x:c>
      <x:c r="AD132" s="271" t="str"/>
      <x:c r="AE132" s="274" t="str">
        <x:v>Not validated - no control/holdout</x:v>
      </x:c>
      <x:c r="AF132" s="277" t="str">
        <x:v>No exact promo-code claim found within 14 days</x:v>
      </x:c>
    </x:row>
    <x:row r="133">
      <x:c r="A133" s="252" t="str">
        <x:v>WS1-20260309-0128</x:v>
      </x:c>
      <x:c r="B133" s="253" t="str">
        <x:v>WS1</x:v>
      </x:c>
      <x:c r="C133" s="253" t="str">
        <x:v>MB8</x:v>
      </x:c>
      <x:c r="D133" s="259" t="n">
        <x:v>46090.166666666664</x:v>
      </x:c>
      <x:c r="E133" s="253" t="str">
        <x:v>319269</x:v>
      </x:c>
      <x:c r="F133" s="253" t="str">
        <x:v>king34</x:v>
      </x:c>
      <x:c r="G133" s="253" t="str">
        <x:v>Yes</x:v>
      </x:c>
      <x:c r="H133" s="253" t="str">
        <x:v>Jiahui</x:v>
      </x:c>
      <x:c r="I133" s="268" t="str">
        <x:f>IFERROR(VLOOKUP(H133,'Handler-Team Map'!$A$7:$C$17,2,FALSE),"")</x:f>
      </x:c>
      <x:c r="J133" s="268" t="str">
        <x:f>IFERROR(VLOOKUP(H133,'Handler-Team Map'!$A$7:$C$17,3,FALSE),"")</x:f>
      </x:c>
      <x:c r="K133" s="274" t="str">
        <x:v>FT_VM_DEP1000_GET500_5X</x:v>
      </x:c>
      <x:c r="L133" s="274" t="str">
        <x:v>FT_VM_DEP1000_GET500_5X</x:v>
      </x:c>
      <x:c r="M133" s="274" t="str">
        <x:v>VM Bns - Dep1000 Get500 - 5x TO</x:v>
      </x:c>
      <x:c r="N133" s="253" t="str">
        <x:v>Yes</x:v>
      </x:c>
      <x:c r="O133" s="253" t="str">
        <x:v>No</x:v>
      </x:c>
      <x:c r="P133" s="262"/>
      <x:c r="Q133" s="253" t="str"/>
      <x:c r="R133" s="265" t="n">
        <x:v>0</x:v>
      </x:c>
      <x:c r="S133" s="253" t="str">
        <x:v>Yes</x:v>
      </x:c>
      <x:c r="T133" s="265" t="n">
        <x:v>3750</x:v>
      </x:c>
      <x:c r="U133" s="253" t="str">
        <x:f>IF(AND(S133="Yes",T133=0),"Yes","No")</x:f>
        <x:v>No</x:v>
      </x:c>
      <x:c r="V133" s="259" t="n">
        <x:v>46095.166666666664</x:v>
      </x:c>
      <x:c r="W133" s="265" t="n">
        <x:v>1000</x:v>
      </x:c>
      <x:c r="X133" s="265" t="n">
        <x:v>1000</x:v>
      </x:c>
      <x:c r="Y133" s="265" t="n">
        <x:v>1000</x:v>
      </x:c>
      <x:c r="Z133" s="253" t="str">
        <x:f>IF(AND(U133="Yes",X133&gt;0),"Yes","No")</x:f>
        <x:v>No</x:v>
      </x:c>
      <x:c r="AA133" s="253" t="str">
        <x:f>IF(AND(U133="Yes",Y133&gt;0),"Yes","No")</x:f>
        <x:v>No</x:v>
      </x:c>
      <x:c r="AB133" s="265" t="n">
        <x:v>974.1800000000001</x:v>
      </x:c>
      <x:c r="AC133" s="265" t="n">
        <x:v>999.9200000000001</x:v>
      </x:c>
      <x:c r="AD133" s="271" t="str"/>
      <x:c r="AE133" s="274" t="str">
        <x:v>Not validated - no control/holdout</x:v>
      </x:c>
      <x:c r="AF133" s="277" t="str">
        <x:v>No exact promo-code claim found within 14 days</x:v>
      </x:c>
    </x:row>
    <x:row r="134">
      <x:c r="A134" s="252" t="str">
        <x:v>WS1-20260309-0129</x:v>
      </x:c>
      <x:c r="B134" s="253" t="str">
        <x:v>WS1</x:v>
      </x:c>
      <x:c r="C134" s="253" t="str">
        <x:v>MB8</x:v>
      </x:c>
      <x:c r="D134" s="259" t="n">
        <x:v>46090.166666666664</x:v>
      </x:c>
      <x:c r="E134" s="253" t="str">
        <x:v>509419</x:v>
      </x:c>
      <x:c r="F134" s="253" t="str">
        <x:v>sialak0825</x:v>
      </x:c>
      <x:c r="G134" s="253" t="str">
        <x:v>Yes</x:v>
      </x:c>
      <x:c r="H134" s="253" t="str">
        <x:v>Jiahui</x:v>
      </x:c>
      <x:c r="I134" s="268" t="str">
        <x:f>IFERROR(VLOOKUP(H134,'Handler-Team Map'!$A$7:$C$17,2,FALSE),"")</x:f>
      </x:c>
      <x:c r="J134" s="268" t="str">
        <x:f>IFERROR(VLOOKUP(H134,'Handler-Team Map'!$A$7:$C$17,3,FALSE),"")</x:f>
      </x:c>
      <x:c r="K134" s="274" t="str">
        <x:v>FT_VM_FC_VARIABLE_5X - MYR 1088</x:v>
      </x:c>
      <x:c r="L134" s="274" t="str">
        <x:v>FT_VM_FC_VARIABLE_5X</x:v>
      </x:c>
      <x:c r="M134" s="274" t="str">
        <x:v>VM Bns - Free Credit - 5x TO</x:v>
      </x:c>
      <x:c r="N134" s="253" t="str">
        <x:v>Yes</x:v>
      </x:c>
      <x:c r="O134" s="253" t="str">
        <x:v>No</x:v>
      </x:c>
      <x:c r="P134" s="262"/>
      <x:c r="Q134" s="253" t="str"/>
      <x:c r="R134" s="265" t="n">
        <x:v>0</x:v>
      </x:c>
      <x:c r="S134" s="253" t="str">
        <x:v>Yes</x:v>
      </x:c>
      <x:c r="T134" s="265" t="n">
        <x:v>915.9</x:v>
      </x:c>
      <x:c r="U134" s="253" t="str">
        <x:f>IF(AND(S134="Yes",T134=0),"Yes","No")</x:f>
        <x:v>No</x:v>
      </x:c>
      <x:c r="V134" s="259"/>
      <x:c r="W134" s="265" t="n">
        <x:v>0</x:v>
      </x:c>
      <x:c r="X134" s="265" t="n">
        <x:v>0</x:v>
      </x:c>
      <x:c r="Y134" s="265" t="n">
        <x:v>0</x:v>
      </x:c>
      <x:c r="Z134" s="253" t="str">
        <x:f>IF(AND(U134="Yes",X134&gt;0),"Yes","No")</x:f>
        <x:v>No</x:v>
      </x:c>
      <x:c r="AA134" s="253" t="str">
        <x:f>IF(AND(U134="Yes",Y134&gt;0),"Yes","No")</x:f>
        <x:v>No</x:v>
      </x:c>
      <x:c r="AB134" s="265" t="n">
        <x:v>0</x:v>
      </x:c>
      <x:c r="AC134" s="265" t="n">
        <x:v>0</x:v>
      </x:c>
      <x:c r="AD134" s="271" t="str"/>
      <x:c r="AE134" s="274" t="str">
        <x:v>Not validated - no control/holdout</x:v>
      </x:c>
      <x:c r="AF134" s="277" t="str">
        <x:v>No exact promo-code claim found within 14 days</x:v>
      </x:c>
    </x:row>
    <x:row r="135">
      <x:c r="A135" s="252" t="str">
        <x:v>WS1-20260309-0130</x:v>
      </x:c>
      <x:c r="B135" s="253" t="str">
        <x:v>WS1</x:v>
      </x:c>
      <x:c r="C135" s="253" t="str">
        <x:v>MB8</x:v>
      </x:c>
      <x:c r="D135" s="259" t="n">
        <x:v>46090.166666666664</x:v>
      </x:c>
      <x:c r="E135" s="253" t="str">
        <x:v>443479</x:v>
      </x:c>
      <x:c r="F135" s="253" t="str">
        <x:v>Ijall</x:v>
      </x:c>
      <x:c r="G135" s="253" t="str">
        <x:v>Yes</x:v>
      </x:c>
      <x:c r="H135" s="253" t="str">
        <x:v>Jiahui</x:v>
      </x:c>
      <x:c r="I135" s="268" t="str">
        <x:f>IFERROR(VLOOKUP(H135,'Handler-Team Map'!$A$7:$C$17,2,FALSE),"")</x:f>
      </x:c>
      <x:c r="J135" s="268" t="str">
        <x:f>IFERROR(VLOOKUP(H135,'Handler-Team Map'!$A$7:$C$17,3,FALSE),"")</x:f>
      </x:c>
      <x:c r="K135" s="274" t="str">
        <x:v>FT_VM_DEP600_GET200_5X</x:v>
      </x:c>
      <x:c r="L135" s="274" t="str">
        <x:v>FT_VM_DEP600_GET200_5X</x:v>
      </x:c>
      <x:c r="M135" s="274" t="str">
        <x:v>VM Bns - Dep600 Get200 - 5x TO</x:v>
      </x:c>
      <x:c r="N135" s="253" t="str">
        <x:v>Yes</x:v>
      </x:c>
      <x:c r="O135" s="253" t="str">
        <x:v>No</x:v>
      </x:c>
      <x:c r="P135" s="262"/>
      <x:c r="Q135" s="253" t="str"/>
      <x:c r="R135" s="265" t="n">
        <x:v>0</x:v>
      </x:c>
      <x:c r="S135" s="253" t="str">
        <x:v>Yes</x:v>
      </x:c>
      <x:c r="T135" s="265" t="n">
        <x:v>120</x:v>
      </x:c>
      <x:c r="U135" s="253" t="str">
        <x:f>IF(AND(S135="Yes",T135=0),"Yes","No")</x:f>
        <x:v>No</x:v>
      </x:c>
      <x:c r="V135" s="259" t="n">
        <x:v>46090.166666666664</x:v>
      </x:c>
      <x:c r="W135" s="265" t="n">
        <x:v>210</x:v>
      </x:c>
      <x:c r="X135" s="265" t="n">
        <x:v>540</x:v>
      </x:c>
      <x:c r="Y135" s="265" t="n">
        <x:v>540</x:v>
      </x:c>
      <x:c r="Z135" s="253" t="str">
        <x:f>IF(AND(U135="Yes",X135&gt;0),"Yes","No")</x:f>
        <x:v>No</x:v>
      </x:c>
      <x:c r="AA135" s="253" t="str">
        <x:f>IF(AND(U135="Yes",Y135&gt;0),"Yes","No")</x:f>
        <x:v>No</x:v>
      </x:c>
      <x:c r="AB135" s="265" t="n">
        <x:v>-159.98000000000025</x:v>
      </x:c>
      <x:c r="AC135" s="265" t="n">
        <x:v>-160.02000000000027</x:v>
      </x:c>
      <x:c r="AD135" s="271" t="str"/>
      <x:c r="AE135" s="274" t="str">
        <x:v>Not validated - no control/holdout</x:v>
      </x:c>
      <x:c r="AF135" s="277" t="str">
        <x:v>No exact promo-code claim found within 14 days</x:v>
      </x:c>
    </x:row>
    <x:row r="136">
      <x:c r="A136" s="252" t="str">
        <x:v>WS1-20260309-0131</x:v>
      </x:c>
      <x:c r="B136" s="253" t="str">
        <x:v>WS1</x:v>
      </x:c>
      <x:c r="C136" s="253" t="str">
        <x:v>MB8</x:v>
      </x:c>
      <x:c r="D136" s="259" t="n">
        <x:v>46090.166666666664</x:v>
      </x:c>
      <x:c r="E136" s="253" t="str">
        <x:v>522352</x:v>
      </x:c>
      <x:c r="F136" s="253" t="str">
        <x:v>Zool1976</x:v>
      </x:c>
      <x:c r="G136" s="253" t="str">
        <x:v>Yes</x:v>
      </x:c>
      <x:c r="H136" s="253" t="str">
        <x:v>Jiahui</x:v>
      </x:c>
      <x:c r="I136" s="268" t="str">
        <x:f>IFERROR(VLOOKUP(H136,'Handler-Team Map'!$A$7:$C$17,2,FALSE),"")</x:f>
      </x:c>
      <x:c r="J136" s="268" t="str">
        <x:f>IFERROR(VLOOKUP(H136,'Handler-Team Map'!$A$7:$C$17,3,FALSE),"")</x:f>
      </x:c>
      <x:c r="K136" s="274" t="str">
        <x:v>FT_VM_DEP600_GET200_5X</x:v>
      </x:c>
      <x:c r="L136" s="274" t="str">
        <x:v>FT_VM_DEP600_GET200_5X</x:v>
      </x:c>
      <x:c r="M136" s="274" t="str">
        <x:v>VM Bns - Dep600 Get200 - 5x TO</x:v>
      </x:c>
      <x:c r="N136" s="253" t="str">
        <x:v>Yes</x:v>
      </x:c>
      <x:c r="O136" s="253" t="str">
        <x:v>No</x:v>
      </x:c>
      <x:c r="P136" s="262"/>
      <x:c r="Q136" s="253" t="str"/>
      <x:c r="R136" s="265" t="n">
        <x:v>0</x:v>
      </x:c>
      <x:c r="S136" s="253" t="str">
        <x:v>Yes</x:v>
      </x:c>
      <x:c r="T136" s="265" t="n">
        <x:v>492</x:v>
      </x:c>
      <x:c r="U136" s="253" t="str">
        <x:f>IF(AND(S136="Yes",T136=0),"Yes","No")</x:f>
        <x:v>No</x:v>
      </x:c>
      <x:c r="V136" s="259" t="n">
        <x:v>46091.166666666664</x:v>
      </x:c>
      <x:c r="W136" s="265" t="n">
        <x:v>30</x:v>
      </x:c>
      <x:c r="X136" s="265" t="n">
        <x:v>120</x:v>
      </x:c>
      <x:c r="Y136" s="265" t="n">
        <x:v>120</x:v>
      </x:c>
      <x:c r="Z136" s="253" t="str">
        <x:f>IF(AND(U136="Yes",X136&gt;0),"Yes","No")</x:f>
        <x:v>No</x:v>
      </x:c>
      <x:c r="AA136" s="253" t="str">
        <x:f>IF(AND(U136="Yes",Y136&gt;0),"Yes","No")</x:f>
        <x:v>No</x:v>
      </x:c>
      <x:c r="AB136" s="265" t="n">
        <x:v>118.83</x:v>
      </x:c>
      <x:c r="AC136" s="265" t="n">
        <x:v>118.83</x:v>
      </x:c>
      <x:c r="AD136" s="271" t="str"/>
      <x:c r="AE136" s="274" t="str">
        <x:v>Not validated - no control/holdout</x:v>
      </x:c>
      <x:c r="AF136" s="277" t="str">
        <x:v>No exact promo-code claim found within 14 days</x:v>
      </x:c>
    </x:row>
    <x:row r="137">
      <x:c r="A137" s="252" t="str">
        <x:v>WS1-20260309-0132</x:v>
      </x:c>
      <x:c r="B137" s="253" t="str">
        <x:v>WS1</x:v>
      </x:c>
      <x:c r="C137" s="253" t="str">
        <x:v>MB8</x:v>
      </x:c>
      <x:c r="D137" s="259" t="n">
        <x:v>46090.166666666664</x:v>
      </x:c>
      <x:c r="E137" s="253" t="str">
        <x:v>526419</x:v>
      </x:c>
      <x:c r="F137" s="253" t="str">
        <x:v>Tachan18</x:v>
      </x:c>
      <x:c r="G137" s="253" t="str">
        <x:v>Yes</x:v>
      </x:c>
      <x:c r="H137" s="253" t="str">
        <x:v>Jiahui</x:v>
      </x:c>
      <x:c r="I137" s="268" t="str">
        <x:f>IFERROR(VLOOKUP(H137,'Handler-Team Map'!$A$7:$C$17,2,FALSE),"")</x:f>
      </x:c>
      <x:c r="J137" s="268" t="str">
        <x:f>IFERROR(VLOOKUP(H137,'Handler-Team Map'!$A$7:$C$17,3,FALSE),"")</x:f>
      </x:c>
      <x:c r="K137" s="274" t="str">
        <x:v>FT_VM_DEP700_GET300_2X</x:v>
      </x:c>
      <x:c r="L137" s="274" t="str">
        <x:v>FT_VM_DEP700_GET300_2X</x:v>
      </x:c>
      <x:c r="M137" s="274" t="str">
        <x:v>VM Bns - Dep700 Get300 - 2x TO</x:v>
      </x:c>
      <x:c r="N137" s="253" t="str">
        <x:v>Yes</x:v>
      </x:c>
      <x:c r="O137" s="253" t="str">
        <x:v>No</x:v>
      </x:c>
      <x:c r="P137" s="262"/>
      <x:c r="Q137" s="253" t="str"/>
      <x:c r="R137" s="265" t="n">
        <x:v>0</x:v>
      </x:c>
      <x:c r="S137" s="253" t="str">
        <x:v>Yes</x:v>
      </x:c>
      <x:c r="T137" s="265" t="n">
        <x:v>450</x:v>
      </x:c>
      <x:c r="U137" s="253" t="str">
        <x:f>IF(AND(S137="Yes",T137=0),"Yes","No")</x:f>
        <x:v>No</x:v>
      </x:c>
      <x:c r="V137" s="259"/>
      <x:c r="W137" s="265" t="n">
        <x:v>0</x:v>
      </x:c>
      <x:c r="X137" s="265" t="n">
        <x:v>0</x:v>
      </x:c>
      <x:c r="Y137" s="265" t="n">
        <x:v>0</x:v>
      </x:c>
      <x:c r="Z137" s="253" t="str">
        <x:f>IF(AND(U137="Yes",X137&gt;0),"Yes","No")</x:f>
        <x:v>No</x:v>
      </x:c>
      <x:c r="AA137" s="253" t="str">
        <x:f>IF(AND(U137="Yes",Y137&gt;0),"Yes","No")</x:f>
        <x:v>No</x:v>
      </x:c>
      <x:c r="AB137" s="265" t="n">
        <x:v>0</x:v>
      </x:c>
      <x:c r="AC137" s="265" t="n">
        <x:v>0.020000000000001794</x:v>
      </x:c>
      <x:c r="AD137" s="271" t="str"/>
      <x:c r="AE137" s="274" t="str">
        <x:v>Not validated - no control/holdout</x:v>
      </x:c>
      <x:c r="AF137" s="277" t="str">
        <x:v>No exact promo-code claim found within 14 days</x:v>
      </x:c>
    </x:row>
    <x:row r="138">
      <x:c r="A138" s="252" t="str">
        <x:v>WS1-20260309-0133</x:v>
      </x:c>
      <x:c r="B138" s="253" t="str">
        <x:v>WS1</x:v>
      </x:c>
      <x:c r="C138" s="253" t="str">
        <x:v>MB8</x:v>
      </x:c>
      <x:c r="D138" s="259" t="n">
        <x:v>46090.166666666664</x:v>
      </x:c>
      <x:c r="E138" s="253" t="str">
        <x:v>529339</x:v>
      </x:c>
      <x:c r="F138" s="253" t="str">
        <x:v>Botak81</x:v>
      </x:c>
      <x:c r="G138" s="253" t="str">
        <x:v>Yes</x:v>
      </x:c>
      <x:c r="H138" s="253" t="str">
        <x:v>Jiahui</x:v>
      </x:c>
      <x:c r="I138" s="268" t="str">
        <x:f>IFERROR(VLOOKUP(H138,'Handler-Team Map'!$A$7:$C$17,2,FALSE),"")</x:f>
      </x:c>
      <x:c r="J138" s="268" t="str">
        <x:f>IFERROR(VLOOKUP(H138,'Handler-Team Map'!$A$7:$C$17,3,FALSE),"")</x:f>
      </x:c>
      <x:c r="K138" s="274" t="str">
        <x:v>FT_VM_DEP600_GET200_5X</x:v>
      </x:c>
      <x:c r="L138" s="274" t="str">
        <x:v>FT_VM_DEP600_GET200_5X</x:v>
      </x:c>
      <x:c r="M138" s="274" t="str">
        <x:v>VM Bns - Dep600 Get200 - 5x TO</x:v>
      </x:c>
      <x:c r="N138" s="253" t="str">
        <x:v>Yes</x:v>
      </x:c>
      <x:c r="O138" s="253" t="str">
        <x:v>No</x:v>
      </x:c>
      <x:c r="P138" s="262"/>
      <x:c r="Q138" s="253" t="str"/>
      <x:c r="R138" s="265" t="n">
        <x:v>0</x:v>
      </x:c>
      <x:c r="S138" s="253" t="str">
        <x:v>Yes</x:v>
      </x:c>
      <x:c r="T138" s="265" t="n">
        <x:v>30</x:v>
      </x:c>
      <x:c r="U138" s="253" t="str">
        <x:f>IF(AND(S138="Yes",T138=0),"Yes","No")</x:f>
        <x:v>No</x:v>
      </x:c>
      <x:c r="V138" s="259" t="n">
        <x:v>46094.166666666664</x:v>
      </x:c>
      <x:c r="W138" s="265" t="n">
        <x:v>30</x:v>
      </x:c>
      <x:c r="X138" s="265" t="n">
        <x:v>30</x:v>
      </x:c>
      <x:c r="Y138" s="265" t="n">
        <x:v>30</x:v>
      </x:c>
      <x:c r="Z138" s="253" t="str">
        <x:f>IF(AND(U138="Yes",X138&gt;0),"Yes","No")</x:f>
        <x:v>No</x:v>
      </x:c>
      <x:c r="AA138" s="253" t="str">
        <x:f>IF(AND(U138="Yes",Y138&gt;0),"Yes","No")</x:f>
        <x:v>No</x:v>
      </x:c>
      <x:c r="AB138" s="265" t="n">
        <x:v>29.73</x:v>
      </x:c>
      <x:c r="AC138" s="265" t="n">
        <x:v>29.73</x:v>
      </x:c>
      <x:c r="AD138" s="271" t="str"/>
      <x:c r="AE138" s="274" t="str">
        <x:v>Not validated - no control/holdout</x:v>
      </x:c>
      <x:c r="AF138" s="277" t="str">
        <x:v>No exact promo-code claim found within 14 days</x:v>
      </x:c>
    </x:row>
    <x:row r="139">
      <x:c r="A139" s="252" t="str">
        <x:v>WS1-20260309-0134</x:v>
      </x:c>
      <x:c r="B139" s="253" t="str">
        <x:v>WS1</x:v>
      </x:c>
      <x:c r="C139" s="253" t="str">
        <x:v>MB8</x:v>
      </x:c>
      <x:c r="D139" s="259" t="n">
        <x:v>46090.166666666664</x:v>
      </x:c>
      <x:c r="E139" s="253" t="str">
        <x:v>159367</x:v>
      </x:c>
      <x:c r="F139" s="253" t="str">
        <x:v>mybetnini</x:v>
      </x:c>
      <x:c r="G139" s="253" t="str">
        <x:v>Yes</x:v>
      </x:c>
      <x:c r="H139" s="253" t="str">
        <x:v>Jiahui</x:v>
      </x:c>
      <x:c r="I139" s="268" t="str">
        <x:f>IFERROR(VLOOKUP(H139,'Handler-Team Map'!$A$7:$C$17,2,FALSE),"")</x:f>
      </x:c>
      <x:c r="J139" s="268" t="str">
        <x:f>IFERROR(VLOOKUP(H139,'Handler-Team Map'!$A$7:$C$17,3,FALSE),"")</x:f>
      </x:c>
      <x:c r="K139" s="274" t="str">
        <x:v>FT_VM_DEP800_GET400_1X</x:v>
      </x:c>
      <x:c r="L139" s="274" t="str">
        <x:v>FT_VM_DEP800_GET400_1X</x:v>
      </x:c>
      <x:c r="M139" s="274" t="str">
        <x:v>VM Bns - Dep800 Get400 - 1x TO</x:v>
      </x:c>
      <x:c r="N139" s="253" t="str">
        <x:v>Yes</x:v>
      </x:c>
      <x:c r="O139" s="253" t="str">
        <x:v>No</x:v>
      </x:c>
      <x:c r="P139" s="262"/>
      <x:c r="Q139" s="253" t="str"/>
      <x:c r="R139" s="265" t="n">
        <x:v>0</x:v>
      </x:c>
      <x:c r="S139" s="253" t="str">
        <x:v>Yes</x:v>
      </x:c>
      <x:c r="T139" s="265" t="n">
        <x:v>881</x:v>
      </x:c>
      <x:c r="U139" s="253" t="str">
        <x:f>IF(AND(S139="Yes",T139=0),"Yes","No")</x:f>
        <x:v>No</x:v>
      </x:c>
      <x:c r="V139" s="259"/>
      <x:c r="W139" s="265" t="n">
        <x:v>0</x:v>
      </x:c>
      <x:c r="X139" s="265" t="n">
        <x:v>0</x:v>
      </x:c>
      <x:c r="Y139" s="265" t="n">
        <x:v>0</x:v>
      </x:c>
      <x:c r="Z139" s="253" t="str">
        <x:f>IF(AND(U139="Yes",X139&gt;0),"Yes","No")</x:f>
        <x:v>No</x:v>
      </x:c>
      <x:c r="AA139" s="253" t="str">
        <x:f>IF(AND(U139="Yes",Y139&gt;0),"Yes","No")</x:f>
        <x:v>No</x:v>
      </x:c>
      <x:c r="AB139" s="265" t="n">
        <x:v>0</x:v>
      </x:c>
      <x:c r="AC139" s="265" t="n">
        <x:v>-0.3999999999999986</x:v>
      </x:c>
      <x:c r="AD139" s="271" t="str"/>
      <x:c r="AE139" s="274" t="str">
        <x:v>Not validated - no control/holdout</x:v>
      </x:c>
      <x:c r="AF139" s="277" t="str">
        <x:v>No exact promo-code claim found within 14 days</x:v>
      </x:c>
    </x:row>
    <x:row r="140">
      <x:c r="A140" s="252" t="str">
        <x:v>WS1-20260309-0135</x:v>
      </x:c>
      <x:c r="B140" s="253" t="str">
        <x:v>WS1</x:v>
      </x:c>
      <x:c r="C140" s="253" t="str">
        <x:v>MB8</x:v>
      </x:c>
      <x:c r="D140" s="259" t="n">
        <x:v>46090.166666666664</x:v>
      </x:c>
      <x:c r="E140" s="253" t="str">
        <x:v>1015547</x:v>
      </x:c>
      <x:c r="F140" s="253" t="str">
        <x:v>Xakura85</x:v>
      </x:c>
      <x:c r="G140" s="253" t="str">
        <x:v>Yes</x:v>
      </x:c>
      <x:c r="H140" s="253" t="str">
        <x:v>Jiahui</x:v>
      </x:c>
      <x:c r="I140" s="268" t="str">
        <x:f>IFERROR(VLOOKUP(H140,'Handler-Team Map'!$A$7:$C$17,2,FALSE),"")</x:f>
      </x:c>
      <x:c r="J140" s="268" t="str">
        <x:f>IFERROR(VLOOKUP(H140,'Handler-Team Map'!$A$7:$C$17,3,FALSE),"")</x:f>
      </x:c>
      <x:c r="K140" s="274" t="str">
        <x:v>FT_VM_DEP600_GET200_5X</x:v>
      </x:c>
      <x:c r="L140" s="274" t="str">
        <x:v>FT_VM_DEP600_GET200_5X</x:v>
      </x:c>
      <x:c r="M140" s="274" t="str">
        <x:v>VM Bns - Dep600 Get200 - 5x TO</x:v>
      </x:c>
      <x:c r="N140" s="253" t="str">
        <x:v>Yes</x:v>
      </x:c>
      <x:c r="O140" s="253" t="str">
        <x:v>No</x:v>
      </x:c>
      <x:c r="P140" s="262"/>
      <x:c r="Q140" s="253" t="str"/>
      <x:c r="R140" s="265" t="n">
        <x:v>0</x:v>
      </x:c>
      <x:c r="S140" s="253" t="str">
        <x:v>Yes</x:v>
      </x:c>
      <x:c r="T140" s="265" t="n">
        <x:v>160</x:v>
      </x:c>
      <x:c r="U140" s="253" t="str">
        <x:f>IF(AND(S140="Yes",T140=0),"Yes","No")</x:f>
        <x:v>No</x:v>
      </x:c>
      <x:c r="V140" s="259" t="n">
        <x:v>46091.166666666664</x:v>
      </x:c>
      <x:c r="W140" s="265" t="n">
        <x:v>150</x:v>
      </x:c>
      <x:c r="X140" s="265" t="n">
        <x:v>780</x:v>
      </x:c>
      <x:c r="Y140" s="265" t="n">
        <x:v>780</x:v>
      </x:c>
      <x:c r="Z140" s="253" t="str">
        <x:f>IF(AND(U140="Yes",X140&gt;0),"Yes","No")</x:f>
        <x:v>No</x:v>
      </x:c>
      <x:c r="AA140" s="253" t="str">
        <x:f>IF(AND(U140="Yes",Y140&gt;0),"Yes","No")</x:f>
        <x:v>No</x:v>
      </x:c>
      <x:c r="AB140" s="265" t="n">
        <x:v>52.239999999999924</x:v>
      </x:c>
      <x:c r="AC140" s="265" t="n">
        <x:v>53.72999999999993</x:v>
      </x:c>
      <x:c r="AD140" s="271" t="str"/>
      <x:c r="AE140" s="274" t="str">
        <x:v>Not validated - no control/holdout</x:v>
      </x:c>
      <x:c r="AF140" s="277" t="str">
        <x:v>No exact promo-code claim found within 14 days</x:v>
      </x:c>
    </x:row>
    <x:row r="141">
      <x:c r="A141" s="252" t="str">
        <x:v>WS1-20260309-0136</x:v>
      </x:c>
      <x:c r="B141" s="253" t="str">
        <x:v>WS1</x:v>
      </x:c>
      <x:c r="C141" s="253" t="str">
        <x:v>MB8</x:v>
      </x:c>
      <x:c r="D141" s="259" t="n">
        <x:v>46090.166666666664</x:v>
      </x:c>
      <x:c r="E141" s="253" t="str">
        <x:v>651464</x:v>
      </x:c>
      <x:c r="F141" s="253" t="str">
        <x:v>Aepul91</x:v>
      </x:c>
      <x:c r="G141" s="253" t="str">
        <x:v>Yes</x:v>
      </x:c>
      <x:c r="H141" s="253" t="str">
        <x:v>Jiahui</x:v>
      </x:c>
      <x:c r="I141" s="268" t="str">
        <x:f>IFERROR(VLOOKUP(H141,'Handler-Team Map'!$A$7:$C$17,2,FALSE),"")</x:f>
      </x:c>
      <x:c r="J141" s="268" t="str">
        <x:f>IFERROR(VLOOKUP(H141,'Handler-Team Map'!$A$7:$C$17,3,FALSE),"")</x:f>
      </x:c>
      <x:c r="K141" s="274" t="str">
        <x:v>FT_VM_DEP1000_GET500_5X</x:v>
      </x:c>
      <x:c r="L141" s="274" t="str">
        <x:v>FT_VM_DEP1000_GET500_5X</x:v>
      </x:c>
      <x:c r="M141" s="274" t="str">
        <x:v>VM Bns - Dep1000 Get500 - 5x TO</x:v>
      </x:c>
      <x:c r="N141" s="253" t="str">
        <x:v>Yes</x:v>
      </x:c>
      <x:c r="O141" s="253" t="str">
        <x:v>No</x:v>
      </x:c>
      <x:c r="P141" s="262"/>
      <x:c r="Q141" s="253" t="str"/>
      <x:c r="R141" s="265" t="n">
        <x:v>0</x:v>
      </x:c>
      <x:c r="S141" s="253" t="str">
        <x:v>Yes</x:v>
      </x:c>
      <x:c r="T141" s="265" t="n">
        <x:v>1450</x:v>
      </x:c>
      <x:c r="U141" s="253" t="str">
        <x:f>IF(AND(S141="Yes",T141=0),"Yes","No")</x:f>
        <x:v>No</x:v>
      </x:c>
      <x:c r="V141" s="259" t="n">
        <x:v>46092.166666666664</x:v>
      </x:c>
      <x:c r="W141" s="265" t="n">
        <x:v>200</x:v>
      </x:c>
      <x:c r="X141" s="265" t="n">
        <x:v>200</x:v>
      </x:c>
      <x:c r="Y141" s="265" t="n">
        <x:v>900</x:v>
      </x:c>
      <x:c r="Z141" s="253" t="str">
        <x:f>IF(AND(U141="Yes",X141&gt;0),"Yes","No")</x:f>
        <x:v>No</x:v>
      </x:c>
      <x:c r="AA141" s="253" t="str">
        <x:f>IF(AND(U141="Yes",Y141&gt;0),"Yes","No")</x:f>
        <x:v>No</x:v>
      </x:c>
      <x:c r="AB141" s="265" t="n">
        <x:v>-488.87999999999994</x:v>
      </x:c>
      <x:c r="AC141" s="265" t="n">
        <x:v>-418.49999999999994</x:v>
      </x:c>
      <x:c r="AD141" s="271" t="str"/>
      <x:c r="AE141" s="274" t="str">
        <x:v>Not validated - no control/holdout</x:v>
      </x:c>
      <x:c r="AF141" s="277" t="str">
        <x:v>No exact promo-code claim found within 14 days</x:v>
      </x:c>
    </x:row>
    <x:row r="142">
      <x:c r="A142" s="252" t="str">
        <x:v>WS1-20260309-0137</x:v>
      </x:c>
      <x:c r="B142" s="253" t="str">
        <x:v>WS1</x:v>
      </x:c>
      <x:c r="C142" s="253" t="str">
        <x:v>MB8</x:v>
      </x:c>
      <x:c r="D142" s="259" t="n">
        <x:v>46090.166666666664</x:v>
      </x:c>
      <x:c r="E142" s="253" t="str">
        <x:v>653611</x:v>
      </x:c>
      <x:c r="F142" s="253" t="str">
        <x:v>joelk88</x:v>
      </x:c>
      <x:c r="G142" s="253" t="str">
        <x:v>Yes</x:v>
      </x:c>
      <x:c r="H142" s="253" t="str">
        <x:v>Jiahui</x:v>
      </x:c>
      <x:c r="I142" s="268" t="str">
        <x:f>IFERROR(VLOOKUP(H142,'Handler-Team Map'!$A$7:$C$17,2,FALSE),"")</x:f>
      </x:c>
      <x:c r="J142" s="268" t="str">
        <x:f>IFERROR(VLOOKUP(H142,'Handler-Team Map'!$A$7:$C$17,3,FALSE),"")</x:f>
      </x:c>
      <x:c r="K142" s="274" t="str">
        <x:v>FT_VM_DEP800_GET400_2X</x:v>
      </x:c>
      <x:c r="L142" s="274" t="str">
        <x:v>FT_VM_DEP800_GET400_2X</x:v>
      </x:c>
      <x:c r="M142" s="274" t="str">
        <x:v>VM Bns - Dep800 Get400 - 2x TO</x:v>
      </x:c>
      <x:c r="N142" s="253" t="str">
        <x:v>Yes</x:v>
      </x:c>
      <x:c r="O142" s="253" t="str">
        <x:v>No</x:v>
      </x:c>
      <x:c r="P142" s="262"/>
      <x:c r="Q142" s="253" t="str"/>
      <x:c r="R142" s="265" t="n">
        <x:v>0</x:v>
      </x:c>
      <x:c r="S142" s="253" t="str">
        <x:v>Yes</x:v>
      </x:c>
      <x:c r="T142" s="265" t="n">
        <x:v>300</x:v>
      </x:c>
      <x:c r="U142" s="253" t="str">
        <x:f>IF(AND(S142="Yes",T142=0),"Yes","No")</x:f>
        <x:v>No</x:v>
      </x:c>
      <x:c r="V142" s="259"/>
      <x:c r="W142" s="265" t="n">
        <x:v>0</x:v>
      </x:c>
      <x:c r="X142" s="265" t="n">
        <x:v>0</x:v>
      </x:c>
      <x:c r="Y142" s="265" t="n">
        <x:v>0</x:v>
      </x:c>
      <x:c r="Z142" s="253" t="str">
        <x:f>IF(AND(U142="Yes",X142&gt;0),"Yes","No")</x:f>
        <x:v>No</x:v>
      </x:c>
      <x:c r="AA142" s="253" t="str">
        <x:f>IF(AND(U142="Yes",Y142&gt;0),"Yes","No")</x:f>
        <x:v>No</x:v>
      </x:c>
      <x:c r="AB142" s="265" t="n">
        <x:v>0</x:v>
      </x:c>
      <x:c r="AC142" s="265" t="n">
        <x:v>0</x:v>
      </x:c>
      <x:c r="AD142" s="271" t="str"/>
      <x:c r="AE142" s="274" t="str">
        <x:v>Not validated - no control/holdout</x:v>
      </x:c>
      <x:c r="AF142" s="277" t="str">
        <x:v>No exact promo-code claim found within 14 days</x:v>
      </x:c>
    </x:row>
    <x:row r="143">
      <x:c r="A143" s="252" t="str">
        <x:v>WS1-20260309-0138</x:v>
      </x:c>
      <x:c r="B143" s="253" t="str">
        <x:v>WS1</x:v>
      </x:c>
      <x:c r="C143" s="253" t="str">
        <x:v>MB8</x:v>
      </x:c>
      <x:c r="D143" s="259" t="n">
        <x:v>46090.166666666664</x:v>
      </x:c>
      <x:c r="E143" s="253" t="str">
        <x:v>654671</x:v>
      </x:c>
      <x:c r="F143" s="253" t="str">
        <x:v>Farhan182262</x:v>
      </x:c>
      <x:c r="G143" s="253" t="str">
        <x:v>Yes</x:v>
      </x:c>
      <x:c r="H143" s="253" t="str">
        <x:v>Jiahui</x:v>
      </x:c>
      <x:c r="I143" s="268" t="str">
        <x:f>IFERROR(VLOOKUP(H143,'Handler-Team Map'!$A$7:$C$17,2,FALSE),"")</x:f>
      </x:c>
      <x:c r="J143" s="268" t="str">
        <x:f>IFERROR(VLOOKUP(H143,'Handler-Team Map'!$A$7:$C$17,3,FALSE),"")</x:f>
      </x:c>
      <x:c r="K143" s="274" t="str">
        <x:v>FT_VM_DEP600_GET200_5X</x:v>
      </x:c>
      <x:c r="L143" s="274" t="str">
        <x:v>FT_VM_DEP600_GET200_5X</x:v>
      </x:c>
      <x:c r="M143" s="274" t="str">
        <x:v>VM Bns - Dep600 Get200 - 5x TO</x:v>
      </x:c>
      <x:c r="N143" s="253" t="str">
        <x:v>Yes</x:v>
      </x:c>
      <x:c r="O143" s="253" t="str">
        <x:v>No</x:v>
      </x:c>
      <x:c r="P143" s="262"/>
      <x:c r="Q143" s="253" t="str"/>
      <x:c r="R143" s="265" t="n">
        <x:v>0</x:v>
      </x:c>
      <x:c r="S143" s="253" t="str">
        <x:v>Yes</x:v>
      </x:c>
      <x:c r="T143" s="265" t="n">
        <x:v>1914</x:v>
      </x:c>
      <x:c r="U143" s="253" t="str">
        <x:f>IF(AND(S143="Yes",T143=0),"Yes","No")</x:f>
        <x:v>No</x:v>
      </x:c>
      <x:c r="V143" s="259" t="n">
        <x:v>46091.166666666664</x:v>
      </x:c>
      <x:c r="W143" s="265" t="n">
        <x:v>100</x:v>
      </x:c>
      <x:c r="X143" s="265" t="n">
        <x:v>468</x:v>
      </x:c>
      <x:c r="Y143" s="265" t="n">
        <x:v>468</x:v>
      </x:c>
      <x:c r="Z143" s="253" t="str">
        <x:f>IF(AND(U143="Yes",X143&gt;0),"Yes","No")</x:f>
        <x:v>No</x:v>
      </x:c>
      <x:c r="AA143" s="253" t="str">
        <x:f>IF(AND(U143="Yes",Y143&gt;0),"Yes","No")</x:f>
        <x:v>No</x:v>
      </x:c>
      <x:c r="AB143" s="265" t="n">
        <x:v>468.12</x:v>
      </x:c>
      <x:c r="AC143" s="265" t="n">
        <x:v>468.12</x:v>
      </x:c>
      <x:c r="AD143" s="271" t="str"/>
      <x:c r="AE143" s="274" t="str">
        <x:v>Not validated - no control/holdout</x:v>
      </x:c>
      <x:c r="AF143" s="277" t="str">
        <x:v>No exact promo-code claim found within 14 days</x:v>
      </x:c>
    </x:row>
    <x:row r="144">
      <x:c r="A144" s="252" t="str">
        <x:v>WS1-20260309-0139</x:v>
      </x:c>
      <x:c r="B144" s="253" t="str">
        <x:v>WS1</x:v>
      </x:c>
      <x:c r="C144" s="253" t="str">
        <x:v>MB8</x:v>
      </x:c>
      <x:c r="D144" s="259" t="n">
        <x:v>46090.166666666664</x:v>
      </x:c>
      <x:c r="E144" s="253" t="str">
        <x:v>799821</x:v>
      </x:c>
      <x:c r="F144" s="253" t="str">
        <x:v>W9059g</x:v>
      </x:c>
      <x:c r="G144" s="253" t="str">
        <x:v>Yes</x:v>
      </x:c>
      <x:c r="H144" s="253" t="str">
        <x:v>Jiahui</x:v>
      </x:c>
      <x:c r="I144" s="268" t="str">
        <x:f>IFERROR(VLOOKUP(H144,'Handler-Team Map'!$A$7:$C$17,2,FALSE),"")</x:f>
      </x:c>
      <x:c r="J144" s="268" t="str">
        <x:f>IFERROR(VLOOKUP(H144,'Handler-Team Map'!$A$7:$C$17,3,FALSE),"")</x:f>
      </x:c>
      <x:c r="K144" s="274" t="str">
        <x:v>FT_VM_FC_VARIABLE_5X - MYR 888</x:v>
      </x:c>
      <x:c r="L144" s="274" t="str">
        <x:v>FT_VM_FC_VARIABLE_5X</x:v>
      </x:c>
      <x:c r="M144" s="274" t="str">
        <x:v>VM Bns - Free Credit - 5x TO</x:v>
      </x:c>
      <x:c r="N144" s="253" t="str">
        <x:v>Yes</x:v>
      </x:c>
      <x:c r="O144" s="253" t="str">
        <x:v>No</x:v>
      </x:c>
      <x:c r="P144" s="262"/>
      <x:c r="Q144" s="253" t="str"/>
      <x:c r="R144" s="265" t="n">
        <x:v>0</x:v>
      </x:c>
      <x:c r="S144" s="253" t="str">
        <x:v>Yes</x:v>
      </x:c>
      <x:c r="T144" s="265" t="n">
        <x:v>1800</x:v>
      </x:c>
      <x:c r="U144" s="253" t="str">
        <x:f>IF(AND(S144="Yes",T144=0),"Yes","No")</x:f>
        <x:v>No</x:v>
      </x:c>
      <x:c r="V144" s="259"/>
      <x:c r="W144" s="265" t="n">
        <x:v>0</x:v>
      </x:c>
      <x:c r="X144" s="265" t="n">
        <x:v>0</x:v>
      </x:c>
      <x:c r="Y144" s="265" t="n">
        <x:v>0</x:v>
      </x:c>
      <x:c r="Z144" s="253" t="str">
        <x:f>IF(AND(U144="Yes",X144&gt;0),"Yes","No")</x:f>
        <x:v>No</x:v>
      </x:c>
      <x:c r="AA144" s="253" t="str">
        <x:f>IF(AND(U144="Yes",Y144&gt;0),"Yes","No")</x:f>
        <x:v>No</x:v>
      </x:c>
      <x:c r="AB144" s="265" t="n">
        <x:v>0</x:v>
      </x:c>
      <x:c r="AC144" s="265" t="n">
        <x:v>0</x:v>
      </x:c>
      <x:c r="AD144" s="271" t="str"/>
      <x:c r="AE144" s="274" t="str">
        <x:v>Not validated - no control/holdout</x:v>
      </x:c>
      <x:c r="AF144" s="277" t="str">
        <x:v>No exact promo-code claim found within 14 days</x:v>
      </x:c>
    </x:row>
    <x:row r="145">
      <x:c r="A145" s="252" t="str">
        <x:v>WS1-20260309-0140</x:v>
      </x:c>
      <x:c r="B145" s="253" t="str">
        <x:v>WS1</x:v>
      </x:c>
      <x:c r="C145" s="253" t="str">
        <x:v>MB8</x:v>
      </x:c>
      <x:c r="D145" s="259" t="n">
        <x:v>46090.166666666664</x:v>
      </x:c>
      <x:c r="E145" s="253" t="str">
        <x:v>8</x:v>
      </x:c>
      <x:c r="F145" s="253" t="str">
        <x:v>meilian1996</x:v>
      </x:c>
      <x:c r="G145" s="253" t="str">
        <x:v>Yes</x:v>
      </x:c>
      <x:c r="H145" s="253" t="str">
        <x:v>Jiahui</x:v>
      </x:c>
      <x:c r="I145" s="268" t="str">
        <x:f>IFERROR(VLOOKUP(H145,'Handler-Team Map'!$A$7:$C$17,2,FALSE),"")</x:f>
      </x:c>
      <x:c r="J145" s="268" t="str">
        <x:f>IFERROR(VLOOKUP(H145,'Handler-Team Map'!$A$7:$C$17,3,FALSE),"")</x:f>
      </x:c>
      <x:c r="K145" s="274" t="str">
        <x:v>FT_VM_DEP1000_GET500_5X</x:v>
      </x:c>
      <x:c r="L145" s="274" t="str">
        <x:v>FT_VM_DEP1000_GET500_5X</x:v>
      </x:c>
      <x:c r="M145" s="274" t="str">
        <x:v>VM Bns - Dep1000 Get500 - 5x TO</x:v>
      </x:c>
      <x:c r="N145" s="253" t="str">
        <x:v>Yes</x:v>
      </x:c>
      <x:c r="O145" s="253" t="str">
        <x:v>No</x:v>
      </x:c>
      <x:c r="P145" s="262"/>
      <x:c r="Q145" s="253" t="str"/>
      <x:c r="R145" s="265" t="n">
        <x:v>0</x:v>
      </x:c>
      <x:c r="S145" s="253" t="str">
        <x:v>Yes</x:v>
      </x:c>
      <x:c r="T145" s="265" t="n">
        <x:v>50</x:v>
      </x:c>
      <x:c r="U145" s="253" t="str">
        <x:f>IF(AND(S145="Yes",T145=0),"Yes","No")</x:f>
        <x:v>No</x:v>
      </x:c>
      <x:c r="V145" s="259" t="n">
        <x:v>46093.166666666664</x:v>
      </x:c>
      <x:c r="W145" s="265" t="n">
        <x:v>300</x:v>
      </x:c>
      <x:c r="X145" s="265" t="n">
        <x:v>300</x:v>
      </x:c>
      <x:c r="Y145" s="265" t="n">
        <x:v>300</x:v>
      </x:c>
      <x:c r="Z145" s="253" t="str">
        <x:f>IF(AND(U145="Yes",X145&gt;0),"Yes","No")</x:f>
        <x:v>No</x:v>
      </x:c>
      <x:c r="AA145" s="253" t="str">
        <x:f>IF(AND(U145="Yes",Y145&gt;0),"Yes","No")</x:f>
        <x:v>No</x:v>
      </x:c>
      <x:c r="AB145" s="265" t="n">
        <x:v>287.3999999999998</x:v>
      </x:c>
      <x:c r="AC145" s="265" t="n">
        <x:v>287.3999999999998</x:v>
      </x:c>
      <x:c r="AD145" s="271" t="str"/>
      <x:c r="AE145" s="274" t="str">
        <x:v>Not validated - no control/holdout</x:v>
      </x:c>
      <x:c r="AF145" s="277" t="str">
        <x:v>No exact promo-code claim found within 14 days</x:v>
      </x:c>
    </x:row>
    <x:row r="146">
      <x:c r="A146" s="252" t="str">
        <x:v>WS1-20260309-0141</x:v>
      </x:c>
      <x:c r="B146" s="253" t="str">
        <x:v>WS1</x:v>
      </x:c>
      <x:c r="C146" s="253" t="str">
        <x:v>MB8</x:v>
      </x:c>
      <x:c r="D146" s="259" t="n">
        <x:v>46090.166666666664</x:v>
      </x:c>
      <x:c r="E146" s="253" t="str">
        <x:v>658786</x:v>
      </x:c>
      <x:c r="F146" s="253" t="str">
        <x:v>VJ4697</x:v>
      </x:c>
      <x:c r="G146" s="253" t="str">
        <x:v>Yes</x:v>
      </x:c>
      <x:c r="H146" s="253" t="str">
        <x:v>Jiahui</x:v>
      </x:c>
      <x:c r="I146" s="268" t="str">
        <x:f>IFERROR(VLOOKUP(H146,'Handler-Team Map'!$A$7:$C$17,2,FALSE),"")</x:f>
      </x:c>
      <x:c r="J146" s="268" t="str">
        <x:f>IFERROR(VLOOKUP(H146,'Handler-Team Map'!$A$7:$C$17,3,FALSE),"")</x:f>
      </x:c>
      <x:c r="K146" s="274" t="str">
        <x:v>FT_VM_DEP1000_GET500_1X</x:v>
      </x:c>
      <x:c r="L146" s="274" t="str">
        <x:v>FT_VM_DEP1000_GET500_1X</x:v>
      </x:c>
      <x:c r="M146" s="274" t="str">
        <x:v>VM Bns - Dep1000 Get500 - 1x TO</x:v>
      </x:c>
      <x:c r="N146" s="253" t="str">
        <x:v>Yes</x:v>
      </x:c>
      <x:c r="O146" s="253" t="str">
        <x:v>No</x:v>
      </x:c>
      <x:c r="P146" s="262"/>
      <x:c r="Q146" s="253" t="str"/>
      <x:c r="R146" s="265" t="n">
        <x:v>0</x:v>
      </x:c>
      <x:c r="S146" s="253" t="str">
        <x:v>Yes</x:v>
      </x:c>
      <x:c r="T146" s="265" t="n">
        <x:v>1100</x:v>
      </x:c>
      <x:c r="U146" s="253" t="str">
        <x:f>IF(AND(S146="Yes",T146=0),"Yes","No")</x:f>
        <x:v>No</x:v>
      </x:c>
      <x:c r="V146" s="259"/>
      <x:c r="W146" s="265" t="n">
        <x:v>0</x:v>
      </x:c>
      <x:c r="X146" s="265" t="n">
        <x:v>0</x:v>
      </x:c>
      <x:c r="Y146" s="265" t="n">
        <x:v>0</x:v>
      </x:c>
      <x:c r="Z146" s="253" t="str">
        <x:f>IF(AND(U146="Yes",X146&gt;0),"Yes","No")</x:f>
        <x:v>No</x:v>
      </x:c>
      <x:c r="AA146" s="253" t="str">
        <x:f>IF(AND(U146="Yes",Y146&gt;0),"Yes","No")</x:f>
        <x:v>No</x:v>
      </x:c>
      <x:c r="AB146" s="265" t="n">
        <x:v>0</x:v>
      </x:c>
      <x:c r="AC146" s="265" t="n">
        <x:v>0</x:v>
      </x:c>
      <x:c r="AD146" s="271" t="str"/>
      <x:c r="AE146" s="274" t="str">
        <x:v>Not validated - no control/holdout</x:v>
      </x:c>
      <x:c r="AF146" s="277" t="str">
        <x:v>No exact promo-code claim found within 14 days</x:v>
      </x:c>
    </x:row>
    <x:row r="147">
      <x:c r="A147" s="252" t="str">
        <x:v>WS1-20260309-0142</x:v>
      </x:c>
      <x:c r="B147" s="253" t="str">
        <x:v>WS1</x:v>
      </x:c>
      <x:c r="C147" s="253" t="str">
        <x:v>MB8</x:v>
      </x:c>
      <x:c r="D147" s="259" t="n">
        <x:v>46090.166666666664</x:v>
      </x:c>
      <x:c r="E147" s="253" t="str">
        <x:v>663601</x:v>
      </x:c>
      <x:c r="F147" s="253" t="str">
        <x:v>Kidtwist</x:v>
      </x:c>
      <x:c r="G147" s="253" t="str">
        <x:v>Yes</x:v>
      </x:c>
      <x:c r="H147" s="253" t="str">
        <x:v>Jiahui</x:v>
      </x:c>
      <x:c r="I147" s="268" t="str">
        <x:f>IFERROR(VLOOKUP(H147,'Handler-Team Map'!$A$7:$C$17,2,FALSE),"")</x:f>
      </x:c>
      <x:c r="J147" s="268" t="str">
        <x:f>IFERROR(VLOOKUP(H147,'Handler-Team Map'!$A$7:$C$17,3,FALSE),"")</x:f>
      </x:c>
      <x:c r="K147" s="274" t="str">
        <x:v>FT_VM_FC_VARIABLE_5X - MYR 588</x:v>
      </x:c>
      <x:c r="L147" s="274" t="str">
        <x:v>FT_VM_FC_VARIABLE_5X</x:v>
      </x:c>
      <x:c r="M147" s="274" t="str">
        <x:v>VM Bns - Free Credit - 5x TO</x:v>
      </x:c>
      <x:c r="N147" s="253" t="str">
        <x:v>Yes</x:v>
      </x:c>
      <x:c r="O147" s="253" t="str">
        <x:v>No</x:v>
      </x:c>
      <x:c r="P147" s="262"/>
      <x:c r="Q147" s="253" t="str"/>
      <x:c r="R147" s="265" t="n">
        <x:v>0</x:v>
      </x:c>
      <x:c r="S147" s="253" t="str">
        <x:v>Yes</x:v>
      </x:c>
      <x:c r="T147" s="265" t="n">
        <x:v>710</x:v>
      </x:c>
      <x:c r="U147" s="253" t="str">
        <x:f>IF(AND(S147="Yes",T147=0),"Yes","No")</x:f>
        <x:v>No</x:v>
      </x:c>
      <x:c r="V147" s="259"/>
      <x:c r="W147" s="265" t="n">
        <x:v>0</x:v>
      </x:c>
      <x:c r="X147" s="265" t="n">
        <x:v>0</x:v>
      </x:c>
      <x:c r="Y147" s="265" t="n">
        <x:v>0</x:v>
      </x:c>
      <x:c r="Z147" s="253" t="str">
        <x:f>IF(AND(U147="Yes",X147&gt;0),"Yes","No")</x:f>
        <x:v>No</x:v>
      </x:c>
      <x:c r="AA147" s="253" t="str">
        <x:f>IF(AND(U147="Yes",Y147&gt;0),"Yes","No")</x:f>
        <x:v>No</x:v>
      </x:c>
      <x:c r="AB147" s="265" t="n">
        <x:v>0</x:v>
      </x:c>
      <x:c r="AC147" s="265" t="n">
        <x:v>0</x:v>
      </x:c>
      <x:c r="AD147" s="271" t="str"/>
      <x:c r="AE147" s="274" t="str">
        <x:v>Not validated - no control/holdout</x:v>
      </x:c>
      <x:c r="AF147" s="277" t="str">
        <x:v>No exact promo-code claim found within 14 days</x:v>
      </x:c>
    </x:row>
    <x:row r="148">
      <x:c r="A148" s="252" t="str">
        <x:v>WS1-20260309-0143</x:v>
      </x:c>
      <x:c r="B148" s="253" t="str">
        <x:v>WS1</x:v>
      </x:c>
      <x:c r="C148" s="253" t="str">
        <x:v>MB8</x:v>
      </x:c>
      <x:c r="D148" s="259" t="n">
        <x:v>46090.166666666664</x:v>
      </x:c>
      <x:c r="E148" s="253" t="str">
        <x:v>663821</x:v>
      </x:c>
      <x:c r="F148" s="253" t="str">
        <x:v>Rahman08</x:v>
      </x:c>
      <x:c r="G148" s="253" t="str">
        <x:v>Yes</x:v>
      </x:c>
      <x:c r="H148" s="253" t="str">
        <x:v>Jiahui</x:v>
      </x:c>
      <x:c r="I148" s="268" t="str">
        <x:f>IFERROR(VLOOKUP(H148,'Handler-Team Map'!$A$7:$C$17,2,FALSE),"")</x:f>
      </x:c>
      <x:c r="J148" s="268" t="str">
        <x:f>IFERROR(VLOOKUP(H148,'Handler-Team Map'!$A$7:$C$17,3,FALSE),"")</x:f>
      </x:c>
      <x:c r="K148" s="274" t="str">
        <x:v>FT_VM_DEP700_GET300_1X</x:v>
      </x:c>
      <x:c r="L148" s="274" t="str">
        <x:v>FT_VM_DEP700_GET300_1X</x:v>
      </x:c>
      <x:c r="M148" s="274" t="str">
        <x:v>VM Bns - Dep700 Get300 - 1x TO</x:v>
      </x:c>
      <x:c r="N148" s="253" t="str">
        <x:v>Yes</x:v>
      </x:c>
      <x:c r="O148" s="253" t="str">
        <x:v>No</x:v>
      </x:c>
      <x:c r="P148" s="262"/>
      <x:c r="Q148" s="253" t="str"/>
      <x:c r="R148" s="265" t="n">
        <x:v>0</x:v>
      </x:c>
      <x:c r="S148" s="253" t="str">
        <x:v>Yes</x:v>
      </x:c>
      <x:c r="T148" s="265" t="n">
        <x:v>120</x:v>
      </x:c>
      <x:c r="U148" s="253" t="str">
        <x:f>IF(AND(S148="Yes",T148=0),"Yes","No")</x:f>
        <x:v>No</x:v>
      </x:c>
      <x:c r="V148" s="259"/>
      <x:c r="W148" s="265" t="n">
        <x:v>0</x:v>
      </x:c>
      <x:c r="X148" s="265" t="n">
        <x:v>0</x:v>
      </x:c>
      <x:c r="Y148" s="265" t="n">
        <x:v>0</x:v>
      </x:c>
      <x:c r="Z148" s="253" t="str">
        <x:f>IF(AND(U148="Yes",X148&gt;0),"Yes","No")</x:f>
        <x:v>No</x:v>
      </x:c>
      <x:c r="AA148" s="253" t="str">
        <x:f>IF(AND(U148="Yes",Y148&gt;0),"Yes","No")</x:f>
        <x:v>No</x:v>
      </x:c>
      <x:c r="AB148" s="265" t="n">
        <x:v>0.01000000000000889</x:v>
      </x:c>
      <x:c r="AC148" s="265" t="n">
        <x:v>-248.26</x:v>
      </x:c>
      <x:c r="AD148" s="271" t="str"/>
      <x:c r="AE148" s="274" t="str">
        <x:v>Not validated - no control/holdout</x:v>
      </x:c>
      <x:c r="AF148" s="277" t="str">
        <x:v>No exact promo-code claim found within 14 days</x:v>
      </x:c>
    </x:row>
    <x:row r="149">
      <x:c r="A149" s="252" t="str">
        <x:v>WS1-20260309-0144</x:v>
      </x:c>
      <x:c r="B149" s="253" t="str">
        <x:v>WS1</x:v>
      </x:c>
      <x:c r="C149" s="253" t="str">
        <x:v>MB8</x:v>
      </x:c>
      <x:c r="D149" s="259" t="n">
        <x:v>46090.166666666664</x:v>
      </x:c>
      <x:c r="E149" s="253" t="str">
        <x:v>663945</x:v>
      </x:c>
      <x:c r="F149" s="253" t="str">
        <x:v>Naveen13</x:v>
      </x:c>
      <x:c r="G149" s="253" t="str">
        <x:v>Yes</x:v>
      </x:c>
      <x:c r="H149" s="253" t="str">
        <x:v>Jiahui</x:v>
      </x:c>
      <x:c r="I149" s="268" t="str">
        <x:f>IFERROR(VLOOKUP(H149,'Handler-Team Map'!$A$7:$C$17,2,FALSE),"")</x:f>
      </x:c>
      <x:c r="J149" s="268" t="str">
        <x:f>IFERROR(VLOOKUP(H149,'Handler-Team Map'!$A$7:$C$17,3,FALSE),"")</x:f>
      </x:c>
      <x:c r="K149" s="274" t="str">
        <x:v>FT_VM_FC_VARIABLE_5X - MYR 888</x:v>
      </x:c>
      <x:c r="L149" s="274" t="str">
        <x:v>FT_VM_FC_VARIABLE_5X</x:v>
      </x:c>
      <x:c r="M149" s="274" t="str">
        <x:v>VM Bns - Free Credit - 5x TO</x:v>
      </x:c>
      <x:c r="N149" s="253" t="str">
        <x:v>Yes</x:v>
      </x:c>
      <x:c r="O149" s="253" t="str">
        <x:v>No</x:v>
      </x:c>
      <x:c r="P149" s="262"/>
      <x:c r="Q149" s="253" t="str"/>
      <x:c r="R149" s="265" t="n">
        <x:v>0</x:v>
      </x:c>
      <x:c r="S149" s="253" t="str">
        <x:v>Yes</x:v>
      </x:c>
      <x:c r="T149" s="265" t="n">
        <x:v>320</x:v>
      </x:c>
      <x:c r="U149" s="253" t="str">
        <x:f>IF(AND(S149="Yes",T149=0),"Yes","No")</x:f>
        <x:v>No</x:v>
      </x:c>
      <x:c r="V149" s="259"/>
      <x:c r="W149" s="265" t="n">
        <x:v>0</x:v>
      </x:c>
      <x:c r="X149" s="265" t="n">
        <x:v>0</x:v>
      </x:c>
      <x:c r="Y149" s="265" t="n">
        <x:v>0</x:v>
      </x:c>
      <x:c r="Z149" s="253" t="str">
        <x:f>IF(AND(U149="Yes",X149&gt;0),"Yes","No")</x:f>
        <x:v>No</x:v>
      </x:c>
      <x:c r="AA149" s="253" t="str">
        <x:f>IF(AND(U149="Yes",Y149&gt;0),"Yes","No")</x:f>
        <x:v>No</x:v>
      </x:c>
      <x:c r="AB149" s="265" t="n">
        <x:v>0</x:v>
      </x:c>
      <x:c r="AC149" s="265" t="n">
        <x:v>0</x:v>
      </x:c>
      <x:c r="AD149" s="271" t="str"/>
      <x:c r="AE149" s="274" t="str">
        <x:v>Not validated - no control/holdout</x:v>
      </x:c>
      <x:c r="AF149" s="277" t="str">
        <x:v>No exact promo-code claim found within 14 days</x:v>
      </x:c>
    </x:row>
    <x:row r="150">
      <x:c r="A150" s="252" t="str">
        <x:v>WS1-20260309-0145</x:v>
      </x:c>
      <x:c r="B150" s="253" t="str">
        <x:v>WS1</x:v>
      </x:c>
      <x:c r="C150" s="253" t="str">
        <x:v>MB8</x:v>
      </x:c>
      <x:c r="D150" s="259" t="n">
        <x:v>46090.166666666664</x:v>
      </x:c>
      <x:c r="E150" s="253" t="str">
        <x:v>96620</x:v>
      </x:c>
      <x:c r="F150" s="253" t="str">
        <x:v>hussin01121631071</x:v>
      </x:c>
      <x:c r="G150" s="253" t="str">
        <x:v>Yes</x:v>
      </x:c>
      <x:c r="H150" s="253" t="str">
        <x:v>Jiahui</x:v>
      </x:c>
      <x:c r="I150" s="268" t="str">
        <x:f>IFERROR(VLOOKUP(H150,'Handler-Team Map'!$A$7:$C$17,2,FALSE),"")</x:f>
      </x:c>
      <x:c r="J150" s="268" t="str">
        <x:f>IFERROR(VLOOKUP(H150,'Handler-Team Map'!$A$7:$C$17,3,FALSE),"")</x:f>
      </x:c>
      <x:c r="K150" s="274" t="str">
        <x:v>FT_VM_DEP1000_GET500_5X</x:v>
      </x:c>
      <x:c r="L150" s="274" t="str">
        <x:v>FT_VM_DEP1000_GET500_5X</x:v>
      </x:c>
      <x:c r="M150" s="274" t="str">
        <x:v>VM Bns - Dep1000 Get500 - 5x TO</x:v>
      </x:c>
      <x:c r="N150" s="253" t="str">
        <x:v>Yes</x:v>
      </x:c>
      <x:c r="O150" s="253" t="str">
        <x:v>No</x:v>
      </x:c>
      <x:c r="P150" s="262"/>
      <x:c r="Q150" s="253" t="str"/>
      <x:c r="R150" s="265" t="n">
        <x:v>0</x:v>
      </x:c>
      <x:c r="S150" s="253" t="str">
        <x:v>Yes</x:v>
      </x:c>
      <x:c r="T150" s="265" t="n">
        <x:v>200</x:v>
      </x:c>
      <x:c r="U150" s="253" t="str">
        <x:f>IF(AND(S150="Yes",T150=0),"Yes","No")</x:f>
        <x:v>No</x:v>
      </x:c>
      <x:c r="V150" s="259" t="n">
        <x:v>46094.166666666664</x:v>
      </x:c>
      <x:c r="W150" s="265" t="n">
        <x:v>50</x:v>
      </x:c>
      <x:c r="X150" s="265" t="n">
        <x:v>50</x:v>
      </x:c>
      <x:c r="Y150" s="265" t="n">
        <x:v>130</x:v>
      </x:c>
      <x:c r="Z150" s="253" t="str">
        <x:f>IF(AND(U150="Yes",X150&gt;0),"Yes","No")</x:f>
        <x:v>No</x:v>
      </x:c>
      <x:c r="AA150" s="253" t="str">
        <x:f>IF(AND(U150="Yes",Y150&gt;0),"Yes","No")</x:f>
        <x:v>No</x:v>
      </x:c>
      <x:c r="AB150" s="265" t="n">
        <x:v>49.92000000000002</x:v>
      </x:c>
      <x:c r="AC150" s="265" t="n">
        <x:v>129.65000000000003</x:v>
      </x:c>
      <x:c r="AD150" s="271" t="str"/>
      <x:c r="AE150" s="274" t="str">
        <x:v>Not validated - no control/holdout</x:v>
      </x:c>
      <x:c r="AF150" s="277" t="str">
        <x:v>No exact promo-code claim found within 14 days</x:v>
      </x:c>
    </x:row>
    <x:row r="151">
      <x:c r="A151" s="252" t="str">
        <x:v>WS1-20260309-0146</x:v>
      </x:c>
      <x:c r="B151" s="253" t="str">
        <x:v>WS1</x:v>
      </x:c>
      <x:c r="C151" s="253" t="str">
        <x:v>MB8</x:v>
      </x:c>
      <x:c r="D151" s="259" t="n">
        <x:v>46090.166666666664</x:v>
      </x:c>
      <x:c r="E151" s="253" t="str">
        <x:v>445444</x:v>
      </x:c>
      <x:c r="F151" s="253" t="str">
        <x:v>ruffy67</x:v>
      </x:c>
      <x:c r="G151" s="253" t="str">
        <x:v>Yes</x:v>
      </x:c>
      <x:c r="H151" s="253" t="str">
        <x:v>Elda</x:v>
      </x:c>
      <x:c r="I151" s="268" t="str">
        <x:f>IFERROR(VLOOKUP(H151,'Handler-Team Map'!$A$7:$C$17,2,FALSE),"")</x:f>
      </x:c>
      <x:c r="J151" s="268" t="str">
        <x:f>IFERROR(VLOOKUP(H151,'Handler-Team Map'!$A$7:$C$17,3,FALSE),"")</x:f>
      </x:c>
      <x:c r="K151" s="274" t="str">
        <x:v>FT_VM_DEP600_GET200_5X</x:v>
      </x:c>
      <x:c r="L151" s="274" t="str">
        <x:v>FT_VM_DEP600_GET200_5X</x:v>
      </x:c>
      <x:c r="M151" s="274" t="str">
        <x:v>VM Bns - Dep600 Get200 - 5x TO</x:v>
      </x:c>
      <x:c r="N151" s="253" t="str">
        <x:v>Yes</x:v>
      </x:c>
      <x:c r="O151" s="253" t="str">
        <x:v>No</x:v>
      </x:c>
      <x:c r="P151" s="262"/>
      <x:c r="Q151" s="253" t="str"/>
      <x:c r="R151" s="265" t="n">
        <x:v>0</x:v>
      </x:c>
      <x:c r="S151" s="253" t="str">
        <x:v>Yes</x:v>
      </x:c>
      <x:c r="T151" s="265" t="n">
        <x:v>700</x:v>
      </x:c>
      <x:c r="U151" s="253" t="str">
        <x:f>IF(AND(S151="Yes",T151=0),"Yes","No")</x:f>
        <x:v>No</x:v>
      </x:c>
      <x:c r="V151" s="259" t="n">
        <x:v>46095.166666666664</x:v>
      </x:c>
      <x:c r="W151" s="265" t="n">
        <x:v>1000</x:v>
      </x:c>
      <x:c r="X151" s="265" t="n">
        <x:v>1000</x:v>
      </x:c>
      <x:c r="Y151" s="265" t="n">
        <x:v>1000</x:v>
      </x:c>
      <x:c r="Z151" s="253" t="str">
        <x:f>IF(AND(U151="Yes",X151&gt;0),"Yes","No")</x:f>
        <x:v>No</x:v>
      </x:c>
      <x:c r="AA151" s="253" t="str">
        <x:f>IF(AND(U151="Yes",Y151&gt;0),"Yes","No")</x:f>
        <x:v>No</x:v>
      </x:c>
      <x:c r="AB151" s="265" t="n">
        <x:v>999.93</x:v>
      </x:c>
      <x:c r="AC151" s="265" t="n">
        <x:v>999.93</x:v>
      </x:c>
      <x:c r="AD151" s="271" t="str"/>
      <x:c r="AE151" s="274" t="str">
        <x:v>Not validated - no control/holdout</x:v>
      </x:c>
      <x:c r="AF151" s="277" t="str">
        <x:v>No exact promo-code claim found within 14 days</x:v>
      </x:c>
    </x:row>
    <x:row r="152">
      <x:c r="A152" s="252" t="str">
        <x:v>WS1-20260309-0147</x:v>
      </x:c>
      <x:c r="B152" s="253" t="str">
        <x:v>WS1</x:v>
      </x:c>
      <x:c r="C152" s="253" t="str">
        <x:v>MB8</x:v>
      </x:c>
      <x:c r="D152" s="259" t="n">
        <x:v>46090.166666666664</x:v>
      </x:c>
      <x:c r="E152" s="253" t="str">
        <x:v>561316</x:v>
      </x:c>
      <x:c r="F152" s="253" t="str">
        <x:v>userbet88my</x:v>
      </x:c>
      <x:c r="G152" s="253" t="str">
        <x:v>Yes</x:v>
      </x:c>
      <x:c r="H152" s="253" t="str">
        <x:v>Elda</x:v>
      </x:c>
      <x:c r="I152" s="268" t="str">
        <x:f>IFERROR(VLOOKUP(H152,'Handler-Team Map'!$A$7:$C$17,2,FALSE),"")</x:f>
      </x:c>
      <x:c r="J152" s="268" t="str">
        <x:f>IFERROR(VLOOKUP(H152,'Handler-Team Map'!$A$7:$C$17,3,FALSE),"")</x:f>
      </x:c>
      <x:c r="K152" s="274" t="str">
        <x:v>FT_VM_DEP1000_GET500_5X</x:v>
      </x:c>
      <x:c r="L152" s="274" t="str">
        <x:v>FT_VM_DEP1000_GET500_5X</x:v>
      </x:c>
      <x:c r="M152" s="274" t="str">
        <x:v>VM Bns - Dep1000 Get500 - 5x TO</x:v>
      </x:c>
      <x:c r="N152" s="253" t="str">
        <x:v>Yes</x:v>
      </x:c>
      <x:c r="O152" s="253" t="str">
        <x:v>No</x:v>
      </x:c>
      <x:c r="P152" s="262"/>
      <x:c r="Q152" s="253" t="str"/>
      <x:c r="R152" s="265" t="n">
        <x:v>0</x:v>
      </x:c>
      <x:c r="S152" s="253" t="str">
        <x:v>Yes</x:v>
      </x:c>
      <x:c r="T152" s="265" t="n">
        <x:v>0</x:v>
      </x:c>
      <x:c r="U152" s="253" t="str">
        <x:f>IF(AND(S152="Yes",T152=0),"Yes","No")</x:f>
        <x:v>Yes</x:v>
      </x:c>
      <x:c r="V152" s="259" t="n">
        <x:v>46099.166666666664</x:v>
      </x:c>
      <x:c r="W152" s="265" t="n">
        <x:v>250</x:v>
      </x:c>
      <x:c r="X152" s="265" t="n">
        <x:v>0</x:v>
      </x:c>
      <x:c r="Y152" s="265" t="n">
        <x:v>250</x:v>
      </x:c>
      <x:c r="Z152" s="253" t="str">
        <x:f>IF(AND(U152="Yes",X152&gt;0),"Yes","No")</x:f>
        <x:v>No</x:v>
      </x:c>
      <x:c r="AA152" s="253" t="str">
        <x:f>IF(AND(U152="Yes",Y152&gt;0),"Yes","No")</x:f>
        <x:v>Yes</x:v>
      </x:c>
      <x:c r="AB152" s="265" t="n">
        <x:v>-2.209999999999987</x:v>
      </x:c>
      <x:c r="AC152" s="265" t="n">
        <x:v>249.63999999999993</x:v>
      </x:c>
      <x:c r="AD152" s="271" t="str"/>
      <x:c r="AE152" s="274" t="str">
        <x:v>Not validated - no control/holdout</x:v>
      </x:c>
      <x:c r="AF152" s="277" t="str">
        <x:v>No exact promo-code claim found within 14 days</x:v>
      </x:c>
    </x:row>
    <x:row r="153">
      <x:c r="A153" s="252" t="str">
        <x:v>WS1-20260309-0148</x:v>
      </x:c>
      <x:c r="B153" s="253" t="str">
        <x:v>WS1</x:v>
      </x:c>
      <x:c r="C153" s="253" t="str">
        <x:v>MB8</x:v>
      </x:c>
      <x:c r="D153" s="259" t="n">
        <x:v>46090.166666666664</x:v>
      </x:c>
      <x:c r="E153" s="253" t="str">
        <x:v>527887</x:v>
      </x:c>
      <x:c r="F153" s="253" t="str">
        <x:v>mohdnazri86</x:v>
      </x:c>
      <x:c r="G153" s="253" t="str">
        <x:v>Yes</x:v>
      </x:c>
      <x:c r="H153" s="253" t="str">
        <x:v>Elda</x:v>
      </x:c>
      <x:c r="I153" s="268" t="str">
        <x:f>IFERROR(VLOOKUP(H153,'Handler-Team Map'!$A$7:$C$17,2,FALSE),"")</x:f>
      </x:c>
      <x:c r="J153" s="268" t="str">
        <x:f>IFERROR(VLOOKUP(H153,'Handler-Team Map'!$A$7:$C$17,3,FALSE),"")</x:f>
      </x:c>
      <x:c r="K153" s="274" t="str">
        <x:v>FT_VM_DEP600_GET200_5X</x:v>
      </x:c>
      <x:c r="L153" s="274" t="str">
        <x:v>FT_VM_DEP600_GET200_5X</x:v>
      </x:c>
      <x:c r="M153" s="274" t="str">
        <x:v>VM Bns - Dep600 Get200 - 5x TO</x:v>
      </x:c>
      <x:c r="N153" s="253" t="str">
        <x:v>Yes</x:v>
      </x:c>
      <x:c r="O153" s="253" t="str">
        <x:v>No</x:v>
      </x:c>
      <x:c r="P153" s="262"/>
      <x:c r="Q153" s="253" t="str"/>
      <x:c r="R153" s="265" t="n">
        <x:v>0</x:v>
      </x:c>
      <x:c r="S153" s="253" t="str">
        <x:v>Yes</x:v>
      </x:c>
      <x:c r="T153" s="265" t="n">
        <x:v>60</x:v>
      </x:c>
      <x:c r="U153" s="253" t="str">
        <x:f>IF(AND(S153="Yes",T153=0),"Yes","No")</x:f>
        <x:v>No</x:v>
      </x:c>
      <x:c r="V153" s="259" t="n">
        <x:v>46094.166666666664</x:v>
      </x:c>
      <x:c r="W153" s="265" t="n">
        <x:v>30</x:v>
      </x:c>
      <x:c r="X153" s="265" t="n">
        <x:v>30</x:v>
      </x:c>
      <x:c r="Y153" s="265" t="n">
        <x:v>30</x:v>
      </x:c>
      <x:c r="Z153" s="253" t="str">
        <x:f>IF(AND(U153="Yes",X153&gt;0),"Yes","No")</x:f>
        <x:v>No</x:v>
      </x:c>
      <x:c r="AA153" s="253" t="str">
        <x:f>IF(AND(U153="Yes",Y153&gt;0),"Yes","No")</x:f>
        <x:v>No</x:v>
      </x:c>
      <x:c r="AB153" s="265" t="n">
        <x:v>-270.3899999999998</x:v>
      </x:c>
      <x:c r="AC153" s="265" t="n">
        <x:v>-270.49999999999983</x:v>
      </x:c>
      <x:c r="AD153" s="271" t="str"/>
      <x:c r="AE153" s="274" t="str">
        <x:v>Not validated - no control/holdout</x:v>
      </x:c>
      <x:c r="AF153" s="277" t="str">
        <x:v>No exact promo-code claim found within 14 days</x:v>
      </x:c>
    </x:row>
    <x:row r="154">
      <x:c r="A154" s="252" t="str">
        <x:v>WS1-20260309-0149</x:v>
      </x:c>
      <x:c r="B154" s="253" t="str">
        <x:v>WS1</x:v>
      </x:c>
      <x:c r="C154" s="253" t="str">
        <x:v>MB8</x:v>
      </x:c>
      <x:c r="D154" s="259" t="n">
        <x:v>46090.166666666664</x:v>
      </x:c>
      <x:c r="E154" s="253" t="str">
        <x:v>6952</x:v>
      </x:c>
      <x:c r="F154" s="253" t="str">
        <x:v>Shimme82</x:v>
      </x:c>
      <x:c r="G154" s="253" t="str">
        <x:v>Yes</x:v>
      </x:c>
      <x:c r="H154" s="253" t="str">
        <x:v>Elda</x:v>
      </x:c>
      <x:c r="I154" s="268" t="str">
        <x:f>IFERROR(VLOOKUP(H154,'Handler-Team Map'!$A$7:$C$17,2,FALSE),"")</x:f>
      </x:c>
      <x:c r="J154" s="268" t="str">
        <x:f>IFERROR(VLOOKUP(H154,'Handler-Team Map'!$A$7:$C$17,3,FALSE),"")</x:f>
      </x:c>
      <x:c r="K154" s="274" t="str">
        <x:v>FT_VM_DEP1000_GET500_5X</x:v>
      </x:c>
      <x:c r="L154" s="274" t="str">
        <x:v>FT_VM_DEP1000_GET500_5X</x:v>
      </x:c>
      <x:c r="M154" s="274" t="str">
        <x:v>VM Bns - Dep1000 Get500 - 5x TO</x:v>
      </x:c>
      <x:c r="N154" s="253" t="str">
        <x:v>Yes</x:v>
      </x:c>
      <x:c r="O154" s="253" t="str">
        <x:v>No</x:v>
      </x:c>
      <x:c r="P154" s="262"/>
      <x:c r="Q154" s="253" t="str"/>
      <x:c r="R154" s="265" t="n">
        <x:v>0</x:v>
      </x:c>
      <x:c r="S154" s="253" t="str">
        <x:v>Yes</x:v>
      </x:c>
      <x:c r="T154" s="265" t="n">
        <x:v>130</x:v>
      </x:c>
      <x:c r="U154" s="253" t="str">
        <x:f>IF(AND(S154="Yes",T154=0),"Yes","No")</x:f>
        <x:v>No</x:v>
      </x:c>
      <x:c r="V154" s="259" t="n">
        <x:v>46095.166666666664</x:v>
      </x:c>
      <x:c r="W154" s="265" t="n">
        <x:v>30</x:v>
      </x:c>
      <x:c r="X154" s="265" t="n">
        <x:v>60</x:v>
      </x:c>
      <x:c r="Y154" s="265" t="n">
        <x:v>90</x:v>
      </x:c>
      <x:c r="Z154" s="253" t="str">
        <x:f>IF(AND(U154="Yes",X154&gt;0),"Yes","No")</x:f>
        <x:v>No</x:v>
      </x:c>
      <x:c r="AA154" s="253" t="str">
        <x:f>IF(AND(U154="Yes",Y154&gt;0),"Yes","No")</x:f>
        <x:v>No</x:v>
      </x:c>
      <x:c r="AB154" s="265" t="n">
        <x:v>133.51</x:v>
      </x:c>
      <x:c r="AC154" s="265" t="n">
        <x:v>163.64</x:v>
      </x:c>
      <x:c r="AD154" s="271" t="str"/>
      <x:c r="AE154" s="274" t="str">
        <x:v>Not validated - no control/holdout</x:v>
      </x:c>
      <x:c r="AF154" s="277" t="str">
        <x:v>No exact promo-code claim found within 14 days</x:v>
      </x:c>
    </x:row>
    <x:row r="155">
      <x:c r="A155" s="252" t="str">
        <x:v>WS1-20260309-0150</x:v>
      </x:c>
      <x:c r="B155" s="253" t="str">
        <x:v>WS1</x:v>
      </x:c>
      <x:c r="C155" s="253" t="str">
        <x:v>MB8</x:v>
      </x:c>
      <x:c r="D155" s="259" t="n">
        <x:v>46090.166666666664</x:v>
      </x:c>
      <x:c r="E155" s="253" t="str">
        <x:v>699060</x:v>
      </x:c>
      <x:c r="F155" s="253" t="str">
        <x:v>Ace1208</x:v>
      </x:c>
      <x:c r="G155" s="253" t="str">
        <x:v>Yes</x:v>
      </x:c>
      <x:c r="H155" s="253" t="str">
        <x:v>Elda</x:v>
      </x:c>
      <x:c r="I155" s="268" t="str">
        <x:f>IFERROR(VLOOKUP(H155,'Handler-Team Map'!$A$7:$C$17,2,FALSE),"")</x:f>
      </x:c>
      <x:c r="J155" s="268" t="str">
        <x:f>IFERROR(VLOOKUP(H155,'Handler-Team Map'!$A$7:$C$17,3,FALSE),"")</x:f>
      </x:c>
      <x:c r="K155" s="274" t="str">
        <x:v>FT_VM_DEP600_GET200_5X</x:v>
      </x:c>
      <x:c r="L155" s="274" t="str">
        <x:v>FT_VM_DEP600_GET200_5X</x:v>
      </x:c>
      <x:c r="M155" s="274" t="str">
        <x:v>VM Bns - Dep600 Get200 - 5x TO</x:v>
      </x:c>
      <x:c r="N155" s="253" t="str">
        <x:v>Yes</x:v>
      </x:c>
      <x:c r="O155" s="253" t="str">
        <x:v>No</x:v>
      </x:c>
      <x:c r="P155" s="262"/>
      <x:c r="Q155" s="253" t="str"/>
      <x:c r="R155" s="265" t="n">
        <x:v>0</x:v>
      </x:c>
      <x:c r="S155" s="253" t="str">
        <x:v>Yes</x:v>
      </x:c>
      <x:c r="T155" s="265" t="n">
        <x:v>1950</x:v>
      </x:c>
      <x:c r="U155" s="253" t="str">
        <x:f>IF(AND(S155="Yes",T155=0),"Yes","No")</x:f>
        <x:v>No</x:v>
      </x:c>
      <x:c r="V155" s="259" t="n">
        <x:v>46097.166666666664</x:v>
      </x:c>
      <x:c r="W155" s="265" t="n">
        <x:v>450</x:v>
      </x:c>
      <x:c r="X155" s="265" t="n">
        <x:v>0</x:v>
      </x:c>
      <x:c r="Y155" s="265" t="n">
        <x:v>450</x:v>
      </x:c>
      <x:c r="Z155" s="253" t="str">
        <x:f>IF(AND(U155="Yes",X155&gt;0),"Yes","No")</x:f>
        <x:v>No</x:v>
      </x:c>
      <x:c r="AA155" s="253" t="str">
        <x:f>IF(AND(U155="Yes",Y155&gt;0),"Yes","No")</x:f>
        <x:v>No</x:v>
      </x:c>
      <x:c r="AB155" s="265" t="n">
        <x:v>0</x:v>
      </x:c>
      <x:c r="AC155" s="265" t="n">
        <x:v>519.46</x:v>
      </x:c>
      <x:c r="AD155" s="271" t="str"/>
      <x:c r="AE155" s="274" t="str">
        <x:v>Not validated - no control/holdout</x:v>
      </x:c>
      <x:c r="AF155" s="277" t="str">
        <x:v>No exact promo-code claim found within 14 days</x:v>
      </x:c>
    </x:row>
    <x:row r="156">
      <x:c r="A156" s="252" t="str">
        <x:v>WS1-20260309-0151</x:v>
      </x:c>
      <x:c r="B156" s="253" t="str">
        <x:v>WS1</x:v>
      </x:c>
      <x:c r="C156" s="253" t="str">
        <x:v>MB8</x:v>
      </x:c>
      <x:c r="D156" s="259" t="n">
        <x:v>46090.166666666664</x:v>
      </x:c>
      <x:c r="E156" s="253" t="str">
        <x:v>102768</x:v>
      </x:c>
      <x:c r="F156" s="253" t="str">
        <x:v>Richela86</x:v>
      </x:c>
      <x:c r="G156" s="253" t="str">
        <x:v>Yes</x:v>
      </x:c>
      <x:c r="H156" s="253" t="str">
        <x:v>Elda</x:v>
      </x:c>
      <x:c r="I156" s="268" t="str">
        <x:f>IFERROR(VLOOKUP(H156,'Handler-Team Map'!$A$7:$C$17,2,FALSE),"")</x:f>
      </x:c>
      <x:c r="J156" s="268" t="str">
        <x:f>IFERROR(VLOOKUP(H156,'Handler-Team Map'!$A$7:$C$17,3,FALSE),"")</x:f>
      </x:c>
      <x:c r="K156" s="274" t="str">
        <x:v>FT_VM_DEP600_GET200_5X</x:v>
      </x:c>
      <x:c r="L156" s="274" t="str">
        <x:v>FT_VM_DEP600_GET200_5X</x:v>
      </x:c>
      <x:c r="M156" s="274" t="str">
        <x:v>VM Bns - Dep600 Get200 - 5x TO</x:v>
      </x:c>
      <x:c r="N156" s="253" t="str">
        <x:v>Yes</x:v>
      </x:c>
      <x:c r="O156" s="253" t="str">
        <x:v>No</x:v>
      </x:c>
      <x:c r="P156" s="262"/>
      <x:c r="Q156" s="253" t="str"/>
      <x:c r="R156" s="265" t="n">
        <x:v>0</x:v>
      </x:c>
      <x:c r="S156" s="253" t="str">
        <x:v>Yes</x:v>
      </x:c>
      <x:c r="T156" s="265" t="n">
        <x:v>500</x:v>
      </x:c>
      <x:c r="U156" s="253" t="str">
        <x:f>IF(AND(S156="Yes",T156=0),"Yes","No")</x:f>
        <x:v>No</x:v>
      </x:c>
      <x:c r="V156" s="259" t="n">
        <x:v>46091.166666666664</x:v>
      </x:c>
      <x:c r="W156" s="265" t="n">
        <x:v>200</x:v>
      </x:c>
      <x:c r="X156" s="265" t="n">
        <x:v>350</x:v>
      </x:c>
      <x:c r="Y156" s="265" t="n">
        <x:v>350</x:v>
      </x:c>
      <x:c r="Z156" s="253" t="str">
        <x:f>IF(AND(U156="Yes",X156&gt;0),"Yes","No")</x:f>
        <x:v>No</x:v>
      </x:c>
      <x:c r="AA156" s="253" t="str">
        <x:f>IF(AND(U156="Yes",Y156&gt;0),"Yes","No")</x:f>
        <x:v>No</x:v>
      </x:c>
      <x:c r="AB156" s="265" t="n">
        <x:v>350.01</x:v>
      </x:c>
      <x:c r="AC156" s="265" t="n">
        <x:v>350.01</x:v>
      </x:c>
      <x:c r="AD156" s="271" t="str"/>
      <x:c r="AE156" s="274" t="str">
        <x:v>Not validated - no control/holdout</x:v>
      </x:c>
      <x:c r="AF156" s="277" t="str">
        <x:v>No exact promo-code claim found within 14 days</x:v>
      </x:c>
    </x:row>
    <x:row r="157">
      <x:c r="A157" s="252" t="str">
        <x:v>WS1-20260309-0152</x:v>
      </x:c>
      <x:c r="B157" s="253" t="str">
        <x:v>WS1</x:v>
      </x:c>
      <x:c r="C157" s="253" t="str">
        <x:v>MB8</x:v>
      </x:c>
      <x:c r="D157" s="259" t="n">
        <x:v>46090.166666666664</x:v>
      </x:c>
      <x:c r="E157" s="253" t="str">
        <x:v>163316</x:v>
      </x:c>
      <x:c r="F157" s="253" t="str">
        <x:v>huathuat</x:v>
      </x:c>
      <x:c r="G157" s="253" t="str">
        <x:v>Yes</x:v>
      </x:c>
      <x:c r="H157" s="253" t="str">
        <x:v>Elda</x:v>
      </x:c>
      <x:c r="I157" s="268" t="str">
        <x:f>IFERROR(VLOOKUP(H157,'Handler-Team Map'!$A$7:$C$17,2,FALSE),"")</x:f>
      </x:c>
      <x:c r="J157" s="268" t="str">
        <x:f>IFERROR(VLOOKUP(H157,'Handler-Team Map'!$A$7:$C$17,3,FALSE),"")</x:f>
      </x:c>
      <x:c r="K157" s="274" t="str">
        <x:v>FT_VM_DEP600_GET200_5X</x:v>
      </x:c>
      <x:c r="L157" s="274" t="str">
        <x:v>FT_VM_DEP600_GET200_5X</x:v>
      </x:c>
      <x:c r="M157" s="274" t="str">
        <x:v>VM Bns - Dep600 Get200 - 5x TO</x:v>
      </x:c>
      <x:c r="N157" s="253" t="str">
        <x:v>Yes</x:v>
      </x:c>
      <x:c r="O157" s="253" t="str">
        <x:v>No</x:v>
      </x:c>
      <x:c r="P157" s="262"/>
      <x:c r="Q157" s="253" t="str"/>
      <x:c r="R157" s="265" t="n">
        <x:v>0</x:v>
      </x:c>
      <x:c r="S157" s="253" t="str">
        <x:v>Yes</x:v>
      </x:c>
      <x:c r="T157" s="265" t="n">
        <x:v>11000</x:v>
      </x:c>
      <x:c r="U157" s="253" t="str">
        <x:f>IF(AND(S157="Yes",T157=0),"Yes","No")</x:f>
        <x:v>No</x:v>
      </x:c>
      <x:c r="V157" s="259" t="n">
        <x:v>46092.166666666664</x:v>
      </x:c>
      <x:c r="W157" s="265" t="n">
        <x:v>90</x:v>
      </x:c>
      <x:c r="X157" s="265" t="n">
        <x:v>2590</x:v>
      </x:c>
      <x:c r="Y157" s="265" t="n">
        <x:v>9380</x:v>
      </x:c>
      <x:c r="Z157" s="253" t="str">
        <x:f>IF(AND(U157="Yes",X157&gt;0),"Yes","No")</x:f>
        <x:v>No</x:v>
      </x:c>
      <x:c r="AA157" s="253" t="str">
        <x:f>IF(AND(U157="Yes",Y157&gt;0),"Yes","No")</x:f>
        <x:v>No</x:v>
      </x:c>
      <x:c r="AB157" s="265" t="n">
        <x:v>539.71</x:v>
      </x:c>
      <x:c r="AC157" s="265" t="n">
        <x:v>-719.77</x:v>
      </x:c>
      <x:c r="AD157" s="271" t="str"/>
      <x:c r="AE157" s="274" t="str">
        <x:v>Not validated - no control/holdout</x:v>
      </x:c>
      <x:c r="AF157" s="277" t="str">
        <x:v>No exact promo-code claim found within 14 days</x:v>
      </x:c>
    </x:row>
    <x:row r="158">
      <x:c r="A158" s="252" t="str">
        <x:v>WS1-20260309-0153</x:v>
      </x:c>
      <x:c r="B158" s="253" t="str">
        <x:v>WS1</x:v>
      </x:c>
      <x:c r="C158" s="253" t="str">
        <x:v>MB8</x:v>
      </x:c>
      <x:c r="D158" s="259" t="n">
        <x:v>46090.166666666664</x:v>
      </x:c>
      <x:c r="E158" s="253" t="str">
        <x:v>877524</x:v>
      </x:c>
      <x:c r="F158" s="253" t="str">
        <x:v>Ongcm</x:v>
      </x:c>
      <x:c r="G158" s="253" t="str">
        <x:v>Yes</x:v>
      </x:c>
      <x:c r="H158" s="253" t="str">
        <x:v>Claire</x:v>
      </x:c>
      <x:c r="I158" s="268" t="str">
        <x:f>IFERROR(VLOOKUP(H158,'Handler-Team Map'!$A$7:$C$17,2,FALSE),"")</x:f>
      </x:c>
      <x:c r="J158" s="268" t="str">
        <x:f>IFERROR(VLOOKUP(H158,'Handler-Team Map'!$A$7:$C$17,3,FALSE),"")</x:f>
      </x:c>
      <x:c r="K158" s="274" t="str">
        <x:v>FT_VM_DEP1000_GET500_5X</x:v>
      </x:c>
      <x:c r="L158" s="274" t="str">
        <x:v>FT_VM_DEP1000_GET500_5X</x:v>
      </x:c>
      <x:c r="M158" s="274" t="str">
        <x:v>VM Bns - Dep1000 Get500 - 5x TO</x:v>
      </x:c>
      <x:c r="N158" s="253" t="str">
        <x:v>Yes</x:v>
      </x:c>
      <x:c r="O158" s="253" t="str">
        <x:v>No</x:v>
      </x:c>
      <x:c r="P158" s="262"/>
      <x:c r="Q158" s="253" t="str"/>
      <x:c r="R158" s="265" t="n">
        <x:v>0</x:v>
      </x:c>
      <x:c r="S158" s="253" t="str">
        <x:v>Yes</x:v>
      </x:c>
      <x:c r="T158" s="265" t="n">
        <x:v>0</x:v>
      </x:c>
      <x:c r="U158" s="253" t="str">
        <x:f>IF(AND(S158="Yes",T158=0),"Yes","No")</x:f>
        <x:v>Yes</x:v>
      </x:c>
      <x:c r="V158" s="259" t="n">
        <x:v>46099.166666666664</x:v>
      </x:c>
      <x:c r="W158" s="265" t="n">
        <x:v>900</x:v>
      </x:c>
      <x:c r="X158" s="265" t="n">
        <x:v>0</x:v>
      </x:c>
      <x:c r="Y158" s="265" t="n">
        <x:v>900</x:v>
      </x:c>
      <x:c r="Z158" s="253" t="str">
        <x:f>IF(AND(U158="Yes",X158&gt;0),"Yes","No")</x:f>
        <x:v>No</x:v>
      </x:c>
      <x:c r="AA158" s="253" t="str">
        <x:f>IF(AND(U158="Yes",Y158&gt;0),"Yes","No")</x:f>
        <x:v>Yes</x:v>
      </x:c>
      <x:c r="AB158" s="265" t="n">
        <x:v>0</x:v>
      </x:c>
      <x:c r="AC158" s="265" t="n">
        <x:v>900.5900000000001</x:v>
      </x:c>
      <x:c r="AD158" s="271" t="str"/>
      <x:c r="AE158" s="274" t="str">
        <x:v>Not validated - no control/holdout</x:v>
      </x:c>
      <x:c r="AF158" s="277" t="str">
        <x:v>No exact promo-code claim found within 14 days</x:v>
      </x:c>
    </x:row>
    <x:row r="159">
      <x:c r="A159" s="252" t="str">
        <x:v>WS1-20260309-0154</x:v>
      </x:c>
      <x:c r="B159" s="253" t="str">
        <x:v>WS1</x:v>
      </x:c>
      <x:c r="C159" s="253" t="str">
        <x:v>MB8</x:v>
      </x:c>
      <x:c r="D159" s="259" t="n">
        <x:v>46090.166666666664</x:v>
      </x:c>
      <x:c r="E159" s="253" t="str">
        <x:v>201339</x:v>
      </x:c>
      <x:c r="F159" s="253" t="str">
        <x:v>Sathis23</x:v>
      </x:c>
      <x:c r="G159" s="253" t="str">
        <x:v>Yes</x:v>
      </x:c>
      <x:c r="H159" s="253" t="str">
        <x:v>Claire</x:v>
      </x:c>
      <x:c r="I159" s="268" t="str">
        <x:f>IFERROR(VLOOKUP(H159,'Handler-Team Map'!$A$7:$C$17,2,FALSE),"")</x:f>
      </x:c>
      <x:c r="J159" s="268" t="str">
        <x:f>IFERROR(VLOOKUP(H159,'Handler-Team Map'!$A$7:$C$17,3,FALSE),"")</x:f>
      </x:c>
      <x:c r="K159" s="274" t="str">
        <x:v>(MID) - VM_DEP600_GET200_5X</x:v>
      </x:c>
      <x:c r="L159" s="274" t="str">
        <x:v>FT_VM_DEP600_GET200_5X</x:v>
      </x:c>
      <x:c r="M159" s="274" t="str">
        <x:v>VM Bns - Dep600 Get200 - 5x TO</x:v>
      </x:c>
      <x:c r="N159" s="253" t="str">
        <x:v>Yes</x:v>
      </x:c>
      <x:c r="O159" s="253" t="str">
        <x:v>No</x:v>
      </x:c>
      <x:c r="P159" s="262"/>
      <x:c r="Q159" s="253" t="str"/>
      <x:c r="R159" s="265" t="n">
        <x:v>0</x:v>
      </x:c>
      <x:c r="S159" s="253" t="str">
        <x:v>Yes</x:v>
      </x:c>
      <x:c r="T159" s="265" t="n">
        <x:v>0</x:v>
      </x:c>
      <x:c r="U159" s="253" t="str">
        <x:f>IF(AND(S159="Yes",T159=0),"Yes","No")</x:f>
        <x:v>Yes</x:v>
      </x:c>
      <x:c r="V159" s="259"/>
      <x:c r="W159" s="265" t="n">
        <x:v>0</x:v>
      </x:c>
      <x:c r="X159" s="265" t="n">
        <x:v>0</x:v>
      </x:c>
      <x:c r="Y159" s="265" t="n">
        <x:v>0</x:v>
      </x:c>
      <x:c r="Z159" s="253" t="str">
        <x:f>IF(AND(U159="Yes",X159&gt;0),"Yes","No")</x:f>
        <x:v>No</x:v>
      </x:c>
      <x:c r="AA159" s="253" t="str">
        <x:f>IF(AND(U159="Yes",Y159&gt;0),"Yes","No")</x:f>
        <x:v>No</x:v>
      </x:c>
      <x:c r="AB159" s="265" t="n">
        <x:v>-1.3199999999999954</x:v>
      </x:c>
      <x:c r="AC159" s="265" t="n">
        <x:v>-1.3199999999999954</x:v>
      </x:c>
      <x:c r="AD159" s="271" t="str"/>
      <x:c r="AE159" s="274" t="str">
        <x:v>Not validated - no control/holdout</x:v>
      </x:c>
      <x:c r="AF159" s="277" t="str">
        <x:v>No exact promo-code claim found within 14 days</x:v>
      </x:c>
    </x:row>
    <x:row r="160">
      <x:c r="A160" s="252" t="str">
        <x:v>WS1-20260309-0155</x:v>
      </x:c>
      <x:c r="B160" s="253" t="str">
        <x:v>WS1</x:v>
      </x:c>
      <x:c r="C160" s="253" t="str">
        <x:v>MB8</x:v>
      </x:c>
      <x:c r="D160" s="259" t="n">
        <x:v>46090.166666666664</x:v>
      </x:c>
      <x:c r="E160" s="253" t="str">
        <x:v>164954</x:v>
      </x:c>
      <x:c r="F160" s="253" t="str">
        <x:v>andrewc522</x:v>
      </x:c>
      <x:c r="G160" s="253" t="str">
        <x:v>Yes</x:v>
      </x:c>
      <x:c r="H160" s="253" t="str">
        <x:v>Claire</x:v>
      </x:c>
      <x:c r="I160" s="268" t="str">
        <x:f>IFERROR(VLOOKUP(H160,'Handler-Team Map'!$A$7:$C$17,2,FALSE),"")</x:f>
      </x:c>
      <x:c r="J160" s="268" t="str">
        <x:f>IFERROR(VLOOKUP(H160,'Handler-Team Map'!$A$7:$C$17,3,FALSE),"")</x:f>
      </x:c>
      <x:c r="K160" s="274" t="str">
        <x:v>FT_VM_DEP1000_GET500_5X</x:v>
      </x:c>
      <x:c r="L160" s="274" t="str">
        <x:v>FT_VM_DEP1000_GET500_5X</x:v>
      </x:c>
      <x:c r="M160" s="274" t="str">
        <x:v>VM Bns - Dep1000 Get500 - 5x TO</x:v>
      </x:c>
      <x:c r="N160" s="253" t="str">
        <x:v>Yes</x:v>
      </x:c>
      <x:c r="O160" s="253" t="str">
        <x:v>No</x:v>
      </x:c>
      <x:c r="P160" s="262"/>
      <x:c r="Q160" s="253" t="str"/>
      <x:c r="R160" s="265" t="n">
        <x:v>0</x:v>
      </x:c>
      <x:c r="S160" s="253" t="str">
        <x:v>Yes</x:v>
      </x:c>
      <x:c r="T160" s="265" t="n">
        <x:v>0</x:v>
      </x:c>
      <x:c r="U160" s="253" t="str">
        <x:f>IF(AND(S160="Yes",T160=0),"Yes","No")</x:f>
        <x:v>Yes</x:v>
      </x:c>
      <x:c r="V160" s="259" t="n">
        <x:v>46099.166666666664</x:v>
      </x:c>
      <x:c r="W160" s="265" t="n">
        <x:v>300</x:v>
      </x:c>
      <x:c r="X160" s="265" t="n">
        <x:v>0</x:v>
      </x:c>
      <x:c r="Y160" s="265" t="n">
        <x:v>300</x:v>
      </x:c>
      <x:c r="Z160" s="253" t="str">
        <x:f>IF(AND(U160="Yes",X160&gt;0),"Yes","No")</x:f>
        <x:v>No</x:v>
      </x:c>
      <x:c r="AA160" s="253" t="str">
        <x:f>IF(AND(U160="Yes",Y160&gt;0),"Yes","No")</x:f>
        <x:v>Yes</x:v>
      </x:c>
      <x:c r="AB160" s="265" t="n">
        <x:v>0</x:v>
      </x:c>
      <x:c r="AC160" s="265" t="n">
        <x:v>296.05</x:v>
      </x:c>
      <x:c r="AD160" s="271" t="str"/>
      <x:c r="AE160" s="274" t="str">
        <x:v>Not validated - no control/holdout</x:v>
      </x:c>
      <x:c r="AF160" s="277" t="str">
        <x:v>No exact promo-code claim found within 14 days</x:v>
      </x:c>
    </x:row>
    <x:row r="161">
      <x:c r="A161" s="252" t="str">
        <x:v>WS1-20260309-0156</x:v>
      </x:c>
      <x:c r="B161" s="253" t="str">
        <x:v>WS1</x:v>
      </x:c>
      <x:c r="C161" s="253" t="str">
        <x:v>MB8</x:v>
      </x:c>
      <x:c r="D161" s="259" t="n">
        <x:v>46090.166666666664</x:v>
      </x:c>
      <x:c r="E161" s="253" t="str">
        <x:v>99822</x:v>
      </x:c>
      <x:c r="F161" s="253" t="str">
        <x:v>Tapa7584</x:v>
      </x:c>
      <x:c r="G161" s="253" t="str">
        <x:v>Yes</x:v>
      </x:c>
      <x:c r="H161" s="253" t="str">
        <x:v>Claire</x:v>
      </x:c>
      <x:c r="I161" s="268" t="str">
        <x:f>IFERROR(VLOOKUP(H161,'Handler-Team Map'!$A$7:$C$17,2,FALSE),"")</x:f>
      </x:c>
      <x:c r="J161" s="268" t="str">
        <x:f>IFERROR(VLOOKUP(H161,'Handler-Team Map'!$A$7:$C$17,3,FALSE),"")</x:f>
      </x:c>
      <x:c r="K161" s="274" t="str">
        <x:v>FT_VM_DEP1000_GET500_5X</x:v>
      </x:c>
      <x:c r="L161" s="274" t="str">
        <x:v>FT_VM_DEP1000_GET500_5X</x:v>
      </x:c>
      <x:c r="M161" s="274" t="str">
        <x:v>VM Bns - Dep1000 Get500 - 5x TO</x:v>
      </x:c>
      <x:c r="N161" s="253" t="str">
        <x:v>Yes</x:v>
      </x:c>
      <x:c r="O161" s="253" t="str">
        <x:v>No</x:v>
      </x:c>
      <x:c r="P161" s="262"/>
      <x:c r="Q161" s="253" t="str"/>
      <x:c r="R161" s="265" t="n">
        <x:v>0</x:v>
      </x:c>
      <x:c r="S161" s="253" t="str">
        <x:v>Yes</x:v>
      </x:c>
      <x:c r="T161" s="265" t="n">
        <x:v>0</x:v>
      </x:c>
      <x:c r="U161" s="253" t="str">
        <x:f>IF(AND(S161="Yes",T161=0),"Yes","No")</x:f>
        <x:v>Yes</x:v>
      </x:c>
      <x:c r="V161" s="259" t="n">
        <x:v>46094.166666666664</x:v>
      </x:c>
      <x:c r="W161" s="265" t="n">
        <x:v>150</x:v>
      </x:c>
      <x:c r="X161" s="265" t="n">
        <x:v>350</x:v>
      </x:c>
      <x:c r="Y161" s="265" t="n">
        <x:v>350</x:v>
      </x:c>
      <x:c r="Z161" s="253" t="str">
        <x:f>IF(AND(U161="Yes",X161&gt;0),"Yes","No")</x:f>
        <x:v>Yes</x:v>
      </x:c>
      <x:c r="AA161" s="253" t="str">
        <x:f>IF(AND(U161="Yes",Y161&gt;0),"Yes","No")</x:f>
        <x:v>Yes</x:v>
      </x:c>
      <x:c r="AB161" s="265" t="n">
        <x:v>336.53999999999996</x:v>
      </x:c>
      <x:c r="AC161" s="265" t="n">
        <x:v>348.30999999999995</x:v>
      </x:c>
      <x:c r="AD161" s="271" t="str"/>
      <x:c r="AE161" s="274" t="str">
        <x:v>Not validated - no control/holdout</x:v>
      </x:c>
      <x:c r="AF161" s="277" t="str">
        <x:v>No exact promo-code claim found within 14 days</x:v>
      </x:c>
    </x:row>
    <x:row r="162">
      <x:c r="A162" s="252" t="str">
        <x:v>WS1-20260309-0157</x:v>
      </x:c>
      <x:c r="B162" s="253" t="str">
        <x:v>WS1</x:v>
      </x:c>
      <x:c r="C162" s="253" t="str">
        <x:v>MB8</x:v>
      </x:c>
      <x:c r="D162" s="259" t="n">
        <x:v>46090.166666666664</x:v>
      </x:c>
      <x:c r="E162" s="253" t="str">
        <x:v>511512</x:v>
      </x:c>
      <x:c r="F162" s="253" t="str">
        <x:v>Wei8888</x:v>
      </x:c>
      <x:c r="G162" s="253" t="str">
        <x:v>Yes</x:v>
      </x:c>
      <x:c r="H162" s="253" t="str">
        <x:v>Claire</x:v>
      </x:c>
      <x:c r="I162" s="268" t="str">
        <x:f>IFERROR(VLOOKUP(H162,'Handler-Team Map'!$A$7:$C$17,2,FALSE),"")</x:f>
      </x:c>
      <x:c r="J162" s="268" t="str">
        <x:f>IFERROR(VLOOKUP(H162,'Handler-Team Map'!$A$7:$C$17,3,FALSE),"")</x:f>
      </x:c>
      <x:c r="K162" s="274" t="str">
        <x:v>FT_VM_DEP1000_GET500_5X</x:v>
      </x:c>
      <x:c r="L162" s="274" t="str">
        <x:v>FT_VM_DEP1000_GET500_5X</x:v>
      </x:c>
      <x:c r="M162" s="274" t="str">
        <x:v>VM Bns - Dep1000 Get500 - 5x TO</x:v>
      </x:c>
      <x:c r="N162" s="253" t="str">
        <x:v>Yes</x:v>
      </x:c>
      <x:c r="O162" s="253" t="str">
        <x:v>No</x:v>
      </x:c>
      <x:c r="P162" s="262"/>
      <x:c r="Q162" s="253" t="str"/>
      <x:c r="R162" s="265" t="n">
        <x:v>0</x:v>
      </x:c>
      <x:c r="S162" s="253" t="str">
        <x:v>Yes</x:v>
      </x:c>
      <x:c r="T162" s="265" t="n">
        <x:v>0</x:v>
      </x:c>
      <x:c r="U162" s="253" t="str">
        <x:f>IF(AND(S162="Yes",T162=0),"Yes","No")</x:f>
        <x:v>Yes</x:v>
      </x:c>
      <x:c r="V162" s="259" t="n">
        <x:v>46098.166666666664</x:v>
      </x:c>
      <x:c r="W162" s="265" t="n">
        <x:v>100</x:v>
      </x:c>
      <x:c r="X162" s="265" t="n">
        <x:v>0</x:v>
      </x:c>
      <x:c r="Y162" s="265" t="n">
        <x:v>100</x:v>
      </x:c>
      <x:c r="Z162" s="253" t="str">
        <x:f>IF(AND(U162="Yes",X162&gt;0),"Yes","No")</x:f>
        <x:v>No</x:v>
      </x:c>
      <x:c r="AA162" s="253" t="str">
        <x:f>IF(AND(U162="Yes",Y162&gt;0),"Yes","No")</x:f>
        <x:v>Yes</x:v>
      </x:c>
      <x:c r="AB162" s="265" t="n">
        <x:v>0</x:v>
      </x:c>
      <x:c r="AC162" s="265" t="n">
        <x:v>100.03</x:v>
      </x:c>
      <x:c r="AD162" s="271" t="str"/>
      <x:c r="AE162" s="274" t="str">
        <x:v>Not validated - no control/holdout</x:v>
      </x:c>
      <x:c r="AF162" s="277" t="str">
        <x:v>No exact promo-code claim found within 14 days</x:v>
      </x:c>
    </x:row>
    <x:row r="163">
      <x:c r="A163" s="252" t="str">
        <x:v>WS1-20260309-0158</x:v>
      </x:c>
      <x:c r="B163" s="253" t="str">
        <x:v>WS1</x:v>
      </x:c>
      <x:c r="C163" s="253" t="str">
        <x:v>MB8</x:v>
      </x:c>
      <x:c r="D163" s="259" t="n">
        <x:v>46090.166666666664</x:v>
      </x:c>
      <x:c r="E163" s="253" t="str">
        <x:v>181245</x:v>
      </x:c>
      <x:c r="F163" s="253" t="str">
        <x:v>Leng1219</x:v>
      </x:c>
      <x:c r="G163" s="253" t="str">
        <x:v>Yes</x:v>
      </x:c>
      <x:c r="H163" s="253" t="str">
        <x:v>Claire</x:v>
      </x:c>
      <x:c r="I163" s="268" t="str">
        <x:f>IFERROR(VLOOKUP(H163,'Handler-Team Map'!$A$7:$C$17,2,FALSE),"")</x:f>
      </x:c>
      <x:c r="J163" s="268" t="str">
        <x:f>IFERROR(VLOOKUP(H163,'Handler-Team Map'!$A$7:$C$17,3,FALSE),"")</x:f>
      </x:c>
      <x:c r="K163" s="274" t="str">
        <x:v>FT_VM_DEP1000_GET500_1X</x:v>
      </x:c>
      <x:c r="L163" s="274" t="str">
        <x:v>FT_VM_DEP1000_GET500_1X</x:v>
      </x:c>
      <x:c r="M163" s="274" t="str">
        <x:v>VM Bns - Dep1000 Get500 - 1x TO</x:v>
      </x:c>
      <x:c r="N163" s="253" t="str">
        <x:v>Yes</x:v>
      </x:c>
      <x:c r="O163" s="253" t="str">
        <x:v>No</x:v>
      </x:c>
      <x:c r="P163" s="262"/>
      <x:c r="Q163" s="253" t="str"/>
      <x:c r="R163" s="265" t="n">
        <x:v>0</x:v>
      </x:c>
      <x:c r="S163" s="253" t="str">
        <x:v>Yes</x:v>
      </x:c>
      <x:c r="T163" s="265" t="n">
        <x:v>320</x:v>
      </x:c>
      <x:c r="U163" s="253" t="str">
        <x:f>IF(AND(S163="Yes",T163=0),"Yes","No")</x:f>
        <x:v>No</x:v>
      </x:c>
      <x:c r="V163" s="259"/>
      <x:c r="W163" s="265" t="n">
        <x:v>0</x:v>
      </x:c>
      <x:c r="X163" s="265" t="n">
        <x:v>0</x:v>
      </x:c>
      <x:c r="Y163" s="265" t="n">
        <x:v>0</x:v>
      </x:c>
      <x:c r="Z163" s="253" t="str">
        <x:f>IF(AND(U163="Yes",X163&gt;0),"Yes","No")</x:f>
        <x:v>No</x:v>
      </x:c>
      <x:c r="AA163" s="253" t="str">
        <x:f>IF(AND(U163="Yes",Y163&gt;0),"Yes","No")</x:f>
        <x:v>No</x:v>
      </x:c>
      <x:c r="AB163" s="265" t="n">
        <x:v>0</x:v>
      </x:c>
      <x:c r="AC163" s="265" t="n">
        <x:v>0</x:v>
      </x:c>
      <x:c r="AD163" s="271" t="str"/>
      <x:c r="AE163" s="274" t="str">
        <x:v>Not validated - no control/holdout</x:v>
      </x:c>
      <x:c r="AF163" s="277" t="str">
        <x:v>No exact promo-code claim found within 14 days</x:v>
      </x:c>
    </x:row>
    <x:row r="164">
      <x:c r="A164" s="252" t="str">
        <x:v>WS1-20260309-0159</x:v>
      </x:c>
      <x:c r="B164" s="253" t="str">
        <x:v>WS1</x:v>
      </x:c>
      <x:c r="C164" s="253" t="str">
        <x:v>MB8</x:v>
      </x:c>
      <x:c r="D164" s="259" t="n">
        <x:v>46090.166666666664</x:v>
      </x:c>
      <x:c r="E164" s="253" t="str">
        <x:v>565058</x:v>
      </x:c>
      <x:c r="F164" s="253" t="str">
        <x:v>aril5785</x:v>
      </x:c>
      <x:c r="G164" s="253" t="str">
        <x:v>Yes</x:v>
      </x:c>
      <x:c r="H164" s="253" t="str">
        <x:v>Claire</x:v>
      </x:c>
      <x:c r="I164" s="268" t="str">
        <x:f>IFERROR(VLOOKUP(H164,'Handler-Team Map'!$A$7:$C$17,2,FALSE),"")</x:f>
      </x:c>
      <x:c r="J164" s="268" t="str">
        <x:f>IFERROR(VLOOKUP(H164,'Handler-Team Map'!$A$7:$C$17,3,FALSE),"")</x:f>
      </x:c>
      <x:c r="K164" s="274" t="str">
        <x:v>FT_VM_DEP1000_GET500_5X</x:v>
      </x:c>
      <x:c r="L164" s="274" t="str">
        <x:v>FT_VM_DEP1000_GET500_5X</x:v>
      </x:c>
      <x:c r="M164" s="274" t="str">
        <x:v>VM Bns - Dep1000 Get500 - 5x TO</x:v>
      </x:c>
      <x:c r="N164" s="253" t="str">
        <x:v>Yes</x:v>
      </x:c>
      <x:c r="O164" s="253" t="str">
        <x:v>No</x:v>
      </x:c>
      <x:c r="P164" s="262"/>
      <x:c r="Q164" s="253" t="str"/>
      <x:c r="R164" s="265" t="n">
        <x:v>0</x:v>
      </x:c>
      <x:c r="S164" s="253" t="str">
        <x:v>Yes</x:v>
      </x:c>
      <x:c r="T164" s="265" t="n">
        <x:v>3673</x:v>
      </x:c>
      <x:c r="U164" s="253" t="str">
        <x:f>IF(AND(S164="Yes",T164=0),"Yes","No")</x:f>
        <x:v>No</x:v>
      </x:c>
      <x:c r="V164" s="259" t="n">
        <x:v>46090.166666666664</x:v>
      </x:c>
      <x:c r="W164" s="265" t="n">
        <x:v>90</x:v>
      </x:c>
      <x:c r="X164" s="265" t="n">
        <x:v>510</x:v>
      </x:c>
      <x:c r="Y164" s="265" t="n">
        <x:v>3990</x:v>
      </x:c>
      <x:c r="Z164" s="253" t="str">
        <x:f>IF(AND(U164="Yes",X164&gt;0),"Yes","No")</x:f>
        <x:v>No</x:v>
      </x:c>
      <x:c r="AA164" s="253" t="str">
        <x:f>IF(AND(U164="Yes",Y164&gt;0),"Yes","No")</x:f>
        <x:v>No</x:v>
      </x:c>
      <x:c r="AB164" s="265" t="n">
        <x:v>-2810.74</x:v>
      </x:c>
      <x:c r="AC164" s="265" t="n">
        <x:v>636.0600000000002</x:v>
      </x:c>
      <x:c r="AD164" s="271" t="str"/>
      <x:c r="AE164" s="274" t="str">
        <x:v>Not validated - no control/holdout</x:v>
      </x:c>
      <x:c r="AF164" s="277" t="str">
        <x:v>No exact promo-code claim found within 14 days</x:v>
      </x:c>
    </x:row>
    <x:row r="165">
      <x:c r="A165" s="252" t="str">
        <x:v>WS1-20260309-0160</x:v>
      </x:c>
      <x:c r="B165" s="253" t="str">
        <x:v>WS1</x:v>
      </x:c>
      <x:c r="C165" s="253" t="str">
        <x:v>MB8</x:v>
      </x:c>
      <x:c r="D165" s="259" t="n">
        <x:v>46090.166666666664</x:v>
      </x:c>
      <x:c r="E165" s="253" t="str">
        <x:v>522788</x:v>
      </x:c>
      <x:c r="F165" s="253" t="str">
        <x:v>leba111</x:v>
      </x:c>
      <x:c r="G165" s="253" t="str">
        <x:v>Yes</x:v>
      </x:c>
      <x:c r="H165" s="253" t="str">
        <x:v>Claire</x:v>
      </x:c>
      <x:c r="I165" s="268" t="str">
        <x:f>IFERROR(VLOOKUP(H165,'Handler-Team Map'!$A$7:$C$17,2,FALSE),"")</x:f>
      </x:c>
      <x:c r="J165" s="268" t="str">
        <x:f>IFERROR(VLOOKUP(H165,'Handler-Team Map'!$A$7:$C$17,3,FALSE),"")</x:f>
      </x:c>
      <x:c r="K165" s="274" t="str">
        <x:v>FT_VM_FC_VARIABLE_5X - MYR 588</x:v>
      </x:c>
      <x:c r="L165" s="274" t="str">
        <x:v>FT_VM_FC_VARIABLE_5X</x:v>
      </x:c>
      <x:c r="M165" s="274" t="str">
        <x:v>VM Bns - Free Credit - 5x TO</x:v>
      </x:c>
      <x:c r="N165" s="253" t="str">
        <x:v>Yes</x:v>
      </x:c>
      <x:c r="O165" s="253" t="str">
        <x:v>No</x:v>
      </x:c>
      <x:c r="P165" s="262"/>
      <x:c r="Q165" s="253" t="str"/>
      <x:c r="R165" s="265" t="n">
        <x:v>0</x:v>
      </x:c>
      <x:c r="S165" s="253" t="str">
        <x:v>Yes</x:v>
      </x:c>
      <x:c r="T165" s="265" t="n">
        <x:v>500</x:v>
      </x:c>
      <x:c r="U165" s="253" t="str">
        <x:f>IF(AND(S165="Yes",T165=0),"Yes","No")</x:f>
        <x:v>No</x:v>
      </x:c>
      <x:c r="V165" s="259"/>
      <x:c r="W165" s="265" t="n">
        <x:v>0</x:v>
      </x:c>
      <x:c r="X165" s="265" t="n">
        <x:v>0</x:v>
      </x:c>
      <x:c r="Y165" s="265" t="n">
        <x:v>0</x:v>
      </x:c>
      <x:c r="Z165" s="253" t="str">
        <x:f>IF(AND(U165="Yes",X165&gt;0),"Yes","No")</x:f>
        <x:v>No</x:v>
      </x:c>
      <x:c r="AA165" s="253" t="str">
        <x:f>IF(AND(U165="Yes",Y165&gt;0),"Yes","No")</x:f>
        <x:v>No</x:v>
      </x:c>
      <x:c r="AB165" s="265" t="n">
        <x:v>0</x:v>
      </x:c>
      <x:c r="AC165" s="265" t="n">
        <x:v>0</x:v>
      </x:c>
      <x:c r="AD165" s="271" t="str"/>
      <x:c r="AE165" s="274" t="str">
        <x:v>Not validated - no control/holdout</x:v>
      </x:c>
      <x:c r="AF165" s="277" t="str">
        <x:v>No exact promo-code claim found within 14 days</x:v>
      </x:c>
    </x:row>
    <x:row r="166">
      <x:c r="A166" s="252" t="str">
        <x:v>WS1-20260309-0161</x:v>
      </x:c>
      <x:c r="B166" s="253" t="str">
        <x:v>WS1</x:v>
      </x:c>
      <x:c r="C166" s="253" t="str">
        <x:v>MB8</x:v>
      </x:c>
      <x:c r="D166" s="259" t="n">
        <x:v>46090.166666666664</x:v>
      </x:c>
      <x:c r="E166" s="253" t="str">
        <x:v>28287</x:v>
      </x:c>
      <x:c r="F166" s="253" t="str">
        <x:v>Haze88</x:v>
      </x:c>
      <x:c r="G166" s="253" t="str">
        <x:v>Yes</x:v>
      </x:c>
      <x:c r="H166" s="253" t="str">
        <x:v>Claire</x:v>
      </x:c>
      <x:c r="I166" s="268" t="str">
        <x:f>IFERROR(VLOOKUP(H166,'Handler-Team Map'!$A$7:$C$17,2,FALSE),"")</x:f>
      </x:c>
      <x:c r="J166" s="268" t="str">
        <x:f>IFERROR(VLOOKUP(H166,'Handler-Team Map'!$A$7:$C$17,3,FALSE),"")</x:f>
      </x:c>
      <x:c r="K166" s="274" t="str">
        <x:v>FT_VM_DEP1000_GET500_5X</x:v>
      </x:c>
      <x:c r="L166" s="274" t="str">
        <x:v>FT_VM_DEP1000_GET500_5X</x:v>
      </x:c>
      <x:c r="M166" s="274" t="str">
        <x:v>VM Bns - Dep1000 Get500 - 5x TO</x:v>
      </x:c>
      <x:c r="N166" s="253" t="str">
        <x:v>Yes</x:v>
      </x:c>
      <x:c r="O166" s="253" t="str">
        <x:v>Yes</x:v>
      </x:c>
      <x:c r="P166" s="262" t="n">
        <x:v>46095.6528125</x:v>
      </x:c>
      <x:c r="Q166" s="253" t="str">
        <x:v>Exact code</x:v>
      </x:c>
      <x:c r="R166" s="265" t="n">
        <x:v>500</x:v>
      </x:c>
      <x:c r="S166" s="253" t="str">
        <x:v>Yes</x:v>
      </x:c>
      <x:c r="T166" s="265" t="n">
        <x:v>2850</x:v>
      </x:c>
      <x:c r="U166" s="253" t="str">
        <x:f>IF(AND(S166="Yes",T166=0),"Yes","No")</x:f>
        <x:v>No</x:v>
      </x:c>
      <x:c r="V166" s="259" t="n">
        <x:v>46095.166666666664</x:v>
      </x:c>
      <x:c r="W166" s="265" t="n">
        <x:v>1000</x:v>
      </x:c>
      <x:c r="X166" s="265" t="n">
        <x:v>1000</x:v>
      </x:c>
      <x:c r="Y166" s="265" t="n">
        <x:v>1000</x:v>
      </x:c>
      <x:c r="Z166" s="253" t="str">
        <x:f>IF(AND(U166="Yes",X166&gt;0),"Yes","No")</x:f>
        <x:v>No</x:v>
      </x:c>
      <x:c r="AA166" s="253" t="str">
        <x:f>IF(AND(U166="Yes",Y166&gt;0),"Yes","No")</x:f>
        <x:v>No</x:v>
      </x:c>
      <x:c r="AB166" s="265" t="n">
        <x:v>74.60999999999967</x:v>
      </x:c>
      <x:c r="AC166" s="265" t="n">
        <x:v>527.2899999999995</x:v>
      </x:c>
      <x:c r="AD166" s="271" t="str"/>
      <x:c r="AE166" s="274" t="str">
        <x:v>Not validated - no control/holdout</x:v>
      </x:c>
      <x:c r="AF166" s="277" t="str">
        <x:v>Member and exact promo code matched</x:v>
      </x:c>
    </x:row>
    <x:row r="167">
      <x:c r="A167" s="252" t="str">
        <x:v>WS1-20260309-0162</x:v>
      </x:c>
      <x:c r="B167" s="253" t="str">
        <x:v>WS1</x:v>
      </x:c>
      <x:c r="C167" s="253" t="str">
        <x:v>MB8</x:v>
      </x:c>
      <x:c r="D167" s="259" t="n">
        <x:v>46090.166666666664</x:v>
      </x:c>
      <x:c r="E167" s="253" t="str">
        <x:v>165474</x:v>
      </x:c>
      <x:c r="F167" s="253" t="str">
        <x:v>Arelz89</x:v>
      </x:c>
      <x:c r="G167" s="253" t="str">
        <x:v>Yes</x:v>
      </x:c>
      <x:c r="H167" s="253" t="str">
        <x:v>Claire</x:v>
      </x:c>
      <x:c r="I167" s="268" t="str">
        <x:f>IFERROR(VLOOKUP(H167,'Handler-Team Map'!$A$7:$C$17,2,FALSE),"")</x:f>
      </x:c>
      <x:c r="J167" s="268" t="str">
        <x:f>IFERROR(VLOOKUP(H167,'Handler-Team Map'!$A$7:$C$17,3,FALSE),"")</x:f>
      </x:c>
      <x:c r="K167" s="274" t="str">
        <x:v>FT_VM_DEP800_GET400_1X</x:v>
      </x:c>
      <x:c r="L167" s="274" t="str">
        <x:v>FT_VM_DEP800_GET400_1X</x:v>
      </x:c>
      <x:c r="M167" s="274" t="str">
        <x:v>VM Bns - Dep800 Get400 - 1x TO</x:v>
      </x:c>
      <x:c r="N167" s="253" t="str">
        <x:v>Yes</x:v>
      </x:c>
      <x:c r="O167" s="253" t="str">
        <x:v>No</x:v>
      </x:c>
      <x:c r="P167" s="262"/>
      <x:c r="Q167" s="253" t="str"/>
      <x:c r="R167" s="265" t="n">
        <x:v>0</x:v>
      </x:c>
      <x:c r="S167" s="253" t="str">
        <x:v>Yes</x:v>
      </x:c>
      <x:c r="T167" s="265" t="n">
        <x:v>6450</x:v>
      </x:c>
      <x:c r="U167" s="253" t="str">
        <x:f>IF(AND(S167="Yes",T167=0),"Yes","No")</x:f>
        <x:v>No</x:v>
      </x:c>
      <x:c r="V167" s="259"/>
      <x:c r="W167" s="265" t="n">
        <x:v>0</x:v>
      </x:c>
      <x:c r="X167" s="265" t="n">
        <x:v>0</x:v>
      </x:c>
      <x:c r="Y167" s="265" t="n">
        <x:v>0</x:v>
      </x:c>
      <x:c r="Z167" s="253" t="str">
        <x:f>IF(AND(U167="Yes",X167&gt;0),"Yes","No")</x:f>
        <x:v>No</x:v>
      </x:c>
      <x:c r="AA167" s="253" t="str">
        <x:f>IF(AND(U167="Yes",Y167&gt;0),"Yes","No")</x:f>
        <x:v>No</x:v>
      </x:c>
      <x:c r="AB167" s="265" t="n">
        <x:v>-1.2999999999999878</x:v>
      </x:c>
      <x:c r="AC167" s="265" t="n">
        <x:v>-0.19999999999998014</x:v>
      </x:c>
      <x:c r="AD167" s="271" t="str"/>
      <x:c r="AE167" s="274" t="str">
        <x:v>Not validated - no control/holdout</x:v>
      </x:c>
      <x:c r="AF167" s="277" t="str">
        <x:v>No exact promo-code claim found within 14 days</x:v>
      </x:c>
    </x:row>
    <x:row r="168">
      <x:c r="A168" s="252" t="str">
        <x:v>WS1-20260309-0163</x:v>
      </x:c>
      <x:c r="B168" s="253" t="str">
        <x:v>WS1</x:v>
      </x:c>
      <x:c r="C168" s="253" t="str">
        <x:v>MB8</x:v>
      </x:c>
      <x:c r="D168" s="259" t="n">
        <x:v>46090.166666666664</x:v>
      </x:c>
      <x:c r="E168" s="253" t="str">
        <x:v>172032</x:v>
      </x:c>
      <x:c r="F168" s="253" t="str">
        <x:v>Hasbi21</x:v>
      </x:c>
      <x:c r="G168" s="253" t="str">
        <x:v>Yes</x:v>
      </x:c>
      <x:c r="H168" s="253" t="str">
        <x:v>Claire</x:v>
      </x:c>
      <x:c r="I168" s="268" t="str">
        <x:f>IFERROR(VLOOKUP(H168,'Handler-Team Map'!$A$7:$C$17,2,FALSE),"")</x:f>
      </x:c>
      <x:c r="J168" s="268" t="str">
        <x:f>IFERROR(VLOOKUP(H168,'Handler-Team Map'!$A$7:$C$17,3,FALSE),"")</x:f>
      </x:c>
      <x:c r="K168" s="274" t="str">
        <x:v>FT_VM_DEP800_GET400_1X</x:v>
      </x:c>
      <x:c r="L168" s="274" t="str">
        <x:v>FT_VM_DEP800_GET400_1X</x:v>
      </x:c>
      <x:c r="M168" s="274" t="str">
        <x:v>VM Bns - Dep800 Get400 - 1x TO</x:v>
      </x:c>
      <x:c r="N168" s="253" t="str">
        <x:v>Yes</x:v>
      </x:c>
      <x:c r="O168" s="253" t="str">
        <x:v>No</x:v>
      </x:c>
      <x:c r="P168" s="262"/>
      <x:c r="Q168" s="253" t="str"/>
      <x:c r="R168" s="265" t="n">
        <x:v>0</x:v>
      </x:c>
      <x:c r="S168" s="253" t="str">
        <x:v>Yes</x:v>
      </x:c>
      <x:c r="T168" s="265" t="n">
        <x:v>230</x:v>
      </x:c>
      <x:c r="U168" s="253" t="str">
        <x:f>IF(AND(S168="Yes",T168=0),"Yes","No")</x:f>
        <x:v>No</x:v>
      </x:c>
      <x:c r="V168" s="259"/>
      <x:c r="W168" s="265" t="n">
        <x:v>0</x:v>
      </x:c>
      <x:c r="X168" s="265" t="n">
        <x:v>0</x:v>
      </x:c>
      <x:c r="Y168" s="265" t="n">
        <x:v>0</x:v>
      </x:c>
      <x:c r="Z168" s="253" t="str">
        <x:f>IF(AND(U168="Yes",X168&gt;0),"Yes","No")</x:f>
        <x:v>No</x:v>
      </x:c>
      <x:c r="AA168" s="253" t="str">
        <x:f>IF(AND(U168="Yes",Y168&gt;0),"Yes","No")</x:f>
        <x:v>No</x:v>
      </x:c>
      <x:c r="AB168" s="265" t="n">
        <x:v>0</x:v>
      </x:c>
      <x:c r="AC168" s="265" t="n">
        <x:v>0</x:v>
      </x:c>
      <x:c r="AD168" s="271" t="str"/>
      <x:c r="AE168" s="274" t="str">
        <x:v>Not validated - no control/holdout</x:v>
      </x:c>
      <x:c r="AF168" s="277" t="str">
        <x:v>No exact promo-code claim found within 14 days</x:v>
      </x:c>
    </x:row>
    <x:row r="169">
      <x:c r="A169" s="252" t="str">
        <x:v>WS1-20260309-0164</x:v>
      </x:c>
      <x:c r="B169" s="253" t="str">
        <x:v>WS1</x:v>
      </x:c>
      <x:c r="C169" s="253" t="str">
        <x:v>MB8</x:v>
      </x:c>
      <x:c r="D169" s="259" t="n">
        <x:v>46090.166666666664</x:v>
      </x:c>
      <x:c r="E169" s="253" t="str">
        <x:v>65536</x:v>
      </x:c>
      <x:c r="F169" s="253" t="str">
        <x:v>killer84</x:v>
      </x:c>
      <x:c r="G169" s="253" t="str">
        <x:v>Yes</x:v>
      </x:c>
      <x:c r="H169" s="253" t="str">
        <x:v>Claire</x:v>
      </x:c>
      <x:c r="I169" s="268" t="str">
        <x:f>IFERROR(VLOOKUP(H169,'Handler-Team Map'!$A$7:$C$17,2,FALSE),"")</x:f>
      </x:c>
      <x:c r="J169" s="268" t="str">
        <x:f>IFERROR(VLOOKUP(H169,'Handler-Team Map'!$A$7:$C$17,3,FALSE),"")</x:f>
      </x:c>
      <x:c r="K169" s="274" t="str">
        <x:v>FT_VM_DEP800_GET400_1X</x:v>
      </x:c>
      <x:c r="L169" s="274" t="str">
        <x:v>FT_VM_DEP800_GET400_1X</x:v>
      </x:c>
      <x:c r="M169" s="274" t="str">
        <x:v>VM Bns - Dep800 Get400 - 1x TO</x:v>
      </x:c>
      <x:c r="N169" s="253" t="str">
        <x:v>Yes</x:v>
      </x:c>
      <x:c r="O169" s="253" t="str">
        <x:v>No</x:v>
      </x:c>
      <x:c r="P169" s="262"/>
      <x:c r="Q169" s="253" t="str"/>
      <x:c r="R169" s="265" t="n">
        <x:v>0</x:v>
      </x:c>
      <x:c r="S169" s="253" t="str">
        <x:v>Yes</x:v>
      </x:c>
      <x:c r="T169" s="265" t="n">
        <x:v>130</x:v>
      </x:c>
      <x:c r="U169" s="253" t="str">
        <x:f>IF(AND(S169="Yes",T169=0),"Yes","No")</x:f>
        <x:v>No</x:v>
      </x:c>
      <x:c r="V169" s="259"/>
      <x:c r="W169" s="265" t="n">
        <x:v>0</x:v>
      </x:c>
      <x:c r="X169" s="265" t="n">
        <x:v>0</x:v>
      </x:c>
      <x:c r="Y169" s="265" t="n">
        <x:v>0</x:v>
      </x:c>
      <x:c r="Z169" s="253" t="str">
        <x:f>IF(AND(U169="Yes",X169&gt;0),"Yes","No")</x:f>
        <x:v>No</x:v>
      </x:c>
      <x:c r="AA169" s="253" t="str">
        <x:f>IF(AND(U169="Yes",Y169&gt;0),"Yes","No")</x:f>
        <x:v>No</x:v>
      </x:c>
      <x:c r="AB169" s="265" t="n">
        <x:v>0</x:v>
      </x:c>
      <x:c r="AC169" s="265" t="n">
        <x:v>7.105427357601002e-15</x:v>
      </x:c>
      <x:c r="AD169" s="271" t="str"/>
      <x:c r="AE169" s="274" t="str">
        <x:v>Not validated - no control/holdout</x:v>
      </x:c>
      <x:c r="AF169" s="277" t="str">
        <x:v>No exact promo-code claim found within 14 days</x:v>
      </x:c>
    </x:row>
    <x:row r="170">
      <x:c r="A170" s="252" t="str">
        <x:v>WS1-20260309-0165</x:v>
      </x:c>
      <x:c r="B170" s="253" t="str">
        <x:v>WS1</x:v>
      </x:c>
      <x:c r="C170" s="253" t="str">
        <x:v>MB8</x:v>
      </x:c>
      <x:c r="D170" s="259" t="n">
        <x:v>46090.166666666664</x:v>
      </x:c>
      <x:c r="E170" s="253" t="str">
        <x:v>82259</x:v>
      </x:c>
      <x:c r="F170" s="253" t="str">
        <x:v>Arsad</x:v>
      </x:c>
      <x:c r="G170" s="253" t="str">
        <x:v>Yes</x:v>
      </x:c>
      <x:c r="H170" s="253" t="str">
        <x:v>Claire</x:v>
      </x:c>
      <x:c r="I170" s="268" t="str">
        <x:f>IFERROR(VLOOKUP(H170,'Handler-Team Map'!$A$7:$C$17,2,FALSE),"")</x:f>
      </x:c>
      <x:c r="J170" s="268" t="str">
        <x:f>IFERROR(VLOOKUP(H170,'Handler-Team Map'!$A$7:$C$17,3,FALSE),"")</x:f>
      </x:c>
      <x:c r="K170" s="274" t="str">
        <x:v>FT_VM_FC_VARIABLE_5X - MYR 588</x:v>
      </x:c>
      <x:c r="L170" s="274" t="str">
        <x:v>FT_VM_FC_VARIABLE_5X</x:v>
      </x:c>
      <x:c r="M170" s="274" t="str">
        <x:v>VM Bns - Free Credit - 5x TO</x:v>
      </x:c>
      <x:c r="N170" s="253" t="str">
        <x:v>Yes</x:v>
      </x:c>
      <x:c r="O170" s="253" t="str">
        <x:v>No</x:v>
      </x:c>
      <x:c r="P170" s="262"/>
      <x:c r="Q170" s="253" t="str"/>
      <x:c r="R170" s="265" t="n">
        <x:v>0</x:v>
      </x:c>
      <x:c r="S170" s="253" t="str">
        <x:v>Yes</x:v>
      </x:c>
      <x:c r="T170" s="265" t="n">
        <x:v>30</x:v>
      </x:c>
      <x:c r="U170" s="253" t="str">
        <x:f>IF(AND(S170="Yes",T170=0),"Yes","No")</x:f>
        <x:v>No</x:v>
      </x:c>
      <x:c r="V170" s="259"/>
      <x:c r="W170" s="265" t="n">
        <x:v>0</x:v>
      </x:c>
      <x:c r="X170" s="265" t="n">
        <x:v>0</x:v>
      </x:c>
      <x:c r="Y170" s="265" t="n">
        <x:v>0</x:v>
      </x:c>
      <x:c r="Z170" s="253" t="str">
        <x:f>IF(AND(U170="Yes",X170&gt;0),"Yes","No")</x:f>
        <x:v>No</x:v>
      </x:c>
      <x:c r="AA170" s="253" t="str">
        <x:f>IF(AND(U170="Yes",Y170&gt;0),"Yes","No")</x:f>
        <x:v>No</x:v>
      </x:c>
      <x:c r="AB170" s="265" t="n">
        <x:v>0</x:v>
      </x:c>
      <x:c r="AC170" s="265" t="n">
        <x:v>0</x:v>
      </x:c>
      <x:c r="AD170" s="271" t="str"/>
      <x:c r="AE170" s="274" t="str">
        <x:v>Not validated - no control/holdout</x:v>
      </x:c>
      <x:c r="AF170" s="277" t="str">
        <x:v>No exact promo-code claim found within 14 days</x:v>
      </x:c>
    </x:row>
    <x:row r="171">
      <x:c r="A171" s="252" t="str">
        <x:v>WS1-20260309-0166</x:v>
      </x:c>
      <x:c r="B171" s="253" t="str">
        <x:v>WS1</x:v>
      </x:c>
      <x:c r="C171" s="253" t="str">
        <x:v>MB8</x:v>
      </x:c>
      <x:c r="D171" s="259" t="n">
        <x:v>46090.166666666664</x:v>
      </x:c>
      <x:c r="E171" s="253" t="str">
        <x:v>438623</x:v>
      </x:c>
      <x:c r="F171" s="253" t="str">
        <x:v>Allaxe88</x:v>
      </x:c>
      <x:c r="G171" s="253" t="str">
        <x:v>Yes</x:v>
      </x:c>
      <x:c r="H171" s="253" t="str">
        <x:v>Claire</x:v>
      </x:c>
      <x:c r="I171" s="268" t="str">
        <x:f>IFERROR(VLOOKUP(H171,'Handler-Team Map'!$A$7:$C$17,2,FALSE),"")</x:f>
      </x:c>
      <x:c r="J171" s="268" t="str">
        <x:f>IFERROR(VLOOKUP(H171,'Handler-Team Map'!$A$7:$C$17,3,FALSE),"")</x:f>
      </x:c>
      <x:c r="K171" s="274" t="str">
        <x:v>FT_VM_DEP1000_GET500_2X</x:v>
      </x:c>
      <x:c r="L171" s="274" t="str">
        <x:v>FT_VM_DEP1000_GET500_2X</x:v>
      </x:c>
      <x:c r="M171" s="274" t="str">
        <x:v>VM Bns - Dep1000 Get500 - 2x TO</x:v>
      </x:c>
      <x:c r="N171" s="253" t="str">
        <x:v>Yes</x:v>
      </x:c>
      <x:c r="O171" s="253" t="str">
        <x:v>No</x:v>
      </x:c>
      <x:c r="P171" s="262"/>
      <x:c r="Q171" s="253" t="str"/>
      <x:c r="R171" s="265" t="n">
        <x:v>0</x:v>
      </x:c>
      <x:c r="S171" s="253" t="str">
        <x:v>Yes</x:v>
      </x:c>
      <x:c r="T171" s="265" t="n">
        <x:v>6000</x:v>
      </x:c>
      <x:c r="U171" s="253" t="str">
        <x:f>IF(AND(S171="Yes",T171=0),"Yes","No")</x:f>
        <x:v>No</x:v>
      </x:c>
      <x:c r="V171" s="259"/>
      <x:c r="W171" s="265" t="n">
        <x:v>0</x:v>
      </x:c>
      <x:c r="X171" s="265" t="n">
        <x:v>0</x:v>
      </x:c>
      <x:c r="Y171" s="265" t="n">
        <x:v>0</x:v>
      </x:c>
      <x:c r="Z171" s="253" t="str">
        <x:f>IF(AND(U171="Yes",X171&gt;0),"Yes","No")</x:f>
        <x:v>No</x:v>
      </x:c>
      <x:c r="AA171" s="253" t="str">
        <x:f>IF(AND(U171="Yes",Y171&gt;0),"Yes","No")</x:f>
        <x:v>No</x:v>
      </x:c>
      <x:c r="AB171" s="265" t="n">
        <x:v>843.1400000000001</x:v>
      </x:c>
      <x:c r="AC171" s="265" t="n">
        <x:v>843.1400000000001</x:v>
      </x:c>
      <x:c r="AD171" s="271" t="str"/>
      <x:c r="AE171" s="274" t="str">
        <x:v>Not validated - no control/holdout</x:v>
      </x:c>
      <x:c r="AF171" s="277" t="str">
        <x:v>No exact promo-code claim found within 14 days</x:v>
      </x:c>
    </x:row>
    <x:row r="172">
      <x:c r="A172" s="252" t="str">
        <x:v>WS1-20260309-0167</x:v>
      </x:c>
      <x:c r="B172" s="253" t="str">
        <x:v>WS1</x:v>
      </x:c>
      <x:c r="C172" s="253" t="str">
        <x:v>MB8</x:v>
      </x:c>
      <x:c r="D172" s="259" t="n">
        <x:v>46090.166666666664</x:v>
      </x:c>
      <x:c r="E172" s="253" t="str">
        <x:v>687540</x:v>
      </x:c>
      <x:c r="F172" s="253" t="str">
        <x:v>Rick5841</x:v>
      </x:c>
      <x:c r="G172" s="253" t="str">
        <x:v>Yes</x:v>
      </x:c>
      <x:c r="H172" s="253" t="str">
        <x:v>Claire</x:v>
      </x:c>
      <x:c r="I172" s="268" t="str">
        <x:f>IFERROR(VLOOKUP(H172,'Handler-Team Map'!$A$7:$C$17,2,FALSE),"")</x:f>
      </x:c>
      <x:c r="J172" s="268" t="str">
        <x:f>IFERROR(VLOOKUP(H172,'Handler-Team Map'!$A$7:$C$17,3,FALSE),"")</x:f>
      </x:c>
      <x:c r="K172" s="274" t="str">
        <x:v>FT_VM_DEP1000_GET800_1X</x:v>
      </x:c>
      <x:c r="L172" s="274" t="str">
        <x:v>FT_VM_DEP1000_GET800_1X</x:v>
      </x:c>
      <x:c r="M172" s="274" t="str">
        <x:v>VM Bns - Dep1000 Get800 - 1x TO</x:v>
      </x:c>
      <x:c r="N172" s="253" t="str">
        <x:v>Yes</x:v>
      </x:c>
      <x:c r="O172" s="253" t="str">
        <x:v>No</x:v>
      </x:c>
      <x:c r="P172" s="262"/>
      <x:c r="Q172" s="253" t="str"/>
      <x:c r="R172" s="265" t="n">
        <x:v>0</x:v>
      </x:c>
      <x:c r="S172" s="253" t="str">
        <x:v>Yes</x:v>
      </x:c>
      <x:c r="T172" s="265" t="n">
        <x:v>11700</x:v>
      </x:c>
      <x:c r="U172" s="253" t="str">
        <x:f>IF(AND(S172="Yes",T172=0),"Yes","No")</x:f>
        <x:v>No</x:v>
      </x:c>
      <x:c r="V172" s="259"/>
      <x:c r="W172" s="265" t="n">
        <x:v>0</x:v>
      </x:c>
      <x:c r="X172" s="265" t="n">
        <x:v>0</x:v>
      </x:c>
      <x:c r="Y172" s="265" t="n">
        <x:v>0</x:v>
      </x:c>
      <x:c r="Z172" s="253" t="str">
        <x:f>IF(AND(U172="Yes",X172&gt;0),"Yes","No")</x:f>
        <x:v>No</x:v>
      </x:c>
      <x:c r="AA172" s="253" t="str">
        <x:f>IF(AND(U172="Yes",Y172&gt;0),"Yes","No")</x:f>
        <x:v>No</x:v>
      </x:c>
      <x:c r="AB172" s="265" t="n">
        <x:v>0</x:v>
      </x:c>
      <x:c r="AC172" s="265" t="n">
        <x:v>0</x:v>
      </x:c>
      <x:c r="AD172" s="271" t="str"/>
      <x:c r="AE172" s="274" t="str">
        <x:v>Not validated - no control/holdout</x:v>
      </x:c>
      <x:c r="AF172" s="277" t="str">
        <x:v>No exact promo-code claim found within 14 days</x:v>
      </x:c>
    </x:row>
    <x:row r="173">
      <x:c r="A173" s="252" t="str">
        <x:v>WS1-20260309-0168</x:v>
      </x:c>
      <x:c r="B173" s="253" t="str">
        <x:v>WS1</x:v>
      </x:c>
      <x:c r="C173" s="253" t="str">
        <x:v>MB8</x:v>
      </x:c>
      <x:c r="D173" s="259" t="n">
        <x:v>46090.166666666664</x:v>
      </x:c>
      <x:c r="E173" s="253" t="str">
        <x:v>814154</x:v>
      </x:c>
      <x:c r="F173" s="253" t="str">
        <x:v>Sherry277</x:v>
      </x:c>
      <x:c r="G173" s="253" t="str">
        <x:v>Yes</x:v>
      </x:c>
      <x:c r="H173" s="253" t="str">
        <x:v>Claire</x:v>
      </x:c>
      <x:c r="I173" s="268" t="str">
        <x:f>IFERROR(VLOOKUP(H173,'Handler-Team Map'!$A$7:$C$17,2,FALSE),"")</x:f>
      </x:c>
      <x:c r="J173" s="268" t="str">
        <x:f>IFERROR(VLOOKUP(H173,'Handler-Team Map'!$A$7:$C$17,3,FALSE),"")</x:f>
      </x:c>
      <x:c r="K173" s="274" t="str">
        <x:v>FT_VM_DEP1000_GET700_1X</x:v>
      </x:c>
      <x:c r="L173" s="274" t="str">
        <x:v>FT_VM_DEP1000_GET700_1X</x:v>
      </x:c>
      <x:c r="M173" s="274" t="str">
        <x:v>VM Bns - Dep1000 Get700 - 1x TO</x:v>
      </x:c>
      <x:c r="N173" s="253" t="str">
        <x:v>Yes</x:v>
      </x:c>
      <x:c r="O173" s="253" t="str">
        <x:v>No</x:v>
      </x:c>
      <x:c r="P173" s="262"/>
      <x:c r="Q173" s="253" t="str"/>
      <x:c r="R173" s="265" t="n">
        <x:v>0</x:v>
      </x:c>
      <x:c r="S173" s="253" t="str">
        <x:v>Yes</x:v>
      </x:c>
      <x:c r="T173" s="265" t="n">
        <x:v>2300</x:v>
      </x:c>
      <x:c r="U173" s="253" t="str">
        <x:f>IF(AND(S173="Yes",T173=0),"Yes","No")</x:f>
        <x:v>No</x:v>
      </x:c>
      <x:c r="V173" s="259"/>
      <x:c r="W173" s="265" t="n">
        <x:v>0</x:v>
      </x:c>
      <x:c r="X173" s="265" t="n">
        <x:v>0</x:v>
      </x:c>
      <x:c r="Y173" s="265" t="n">
        <x:v>0</x:v>
      </x:c>
      <x:c r="Z173" s="253" t="str">
        <x:f>IF(AND(U173="Yes",X173&gt;0),"Yes","No")</x:f>
        <x:v>No</x:v>
      </x:c>
      <x:c r="AA173" s="253" t="str">
        <x:f>IF(AND(U173="Yes",Y173&gt;0),"Yes","No")</x:f>
        <x:v>No</x:v>
      </x:c>
      <x:c r="AB173" s="265" t="n">
        <x:v>0</x:v>
      </x:c>
      <x:c r="AC173" s="265" t="n">
        <x:v>0</x:v>
      </x:c>
      <x:c r="AD173" s="271" t="str"/>
      <x:c r="AE173" s="274" t="str">
        <x:v>Not validated - no control/holdout</x:v>
      </x:c>
      <x:c r="AF173" s="277" t="str">
        <x:v>No exact promo-code claim found within 14 days</x:v>
      </x:c>
    </x:row>
    <x:row r="174">
      <x:c r="A174" s="252" t="str">
        <x:v>WS1-20260309-0169</x:v>
      </x:c>
      <x:c r="B174" s="253" t="str">
        <x:v>WS1</x:v>
      </x:c>
      <x:c r="C174" s="253" t="str">
        <x:v>MB8</x:v>
      </x:c>
      <x:c r="D174" s="259" t="n">
        <x:v>46090.166666666664</x:v>
      </x:c>
      <x:c r="E174" s="253" t="str">
        <x:v>109939</x:v>
      </x:c>
      <x:c r="F174" s="253" t="str">
        <x:v>Redlvf82</x:v>
      </x:c>
      <x:c r="G174" s="253" t="str">
        <x:v>Yes</x:v>
      </x:c>
      <x:c r="H174" s="253" t="str">
        <x:v>Christy</x:v>
      </x:c>
      <x:c r="I174" s="268" t="str">
        <x:f>IFERROR(VLOOKUP(H174,'Handler-Team Map'!$A$7:$C$17,2,FALSE),"")</x:f>
      </x:c>
      <x:c r="J174" s="268" t="str">
        <x:f>IFERROR(VLOOKUP(H174,'Handler-Team Map'!$A$7:$C$17,3,FALSE),"")</x:f>
      </x:c>
      <x:c r="K174" s="274" t="str">
        <x:v>FT_VM_DEP1000_GET500_5X</x:v>
      </x:c>
      <x:c r="L174" s="274" t="str">
        <x:v>FT_VM_DEP1000_GET500_5X</x:v>
      </x:c>
      <x:c r="M174" s="274" t="str">
        <x:v>VM Bns - Dep1000 Get500 - 5x TO</x:v>
      </x:c>
      <x:c r="N174" s="253" t="str">
        <x:v>Yes</x:v>
      </x:c>
      <x:c r="O174" s="253" t="str">
        <x:v>No</x:v>
      </x:c>
      <x:c r="P174" s="262"/>
      <x:c r="Q174" s="253" t="str"/>
      <x:c r="R174" s="265" t="n">
        <x:v>0</x:v>
      </x:c>
      <x:c r="S174" s="253" t="str">
        <x:v>Yes</x:v>
      </x:c>
      <x:c r="T174" s="265" t="n">
        <x:v>0</x:v>
      </x:c>
      <x:c r="U174" s="253" t="str">
        <x:f>IF(AND(S174="Yes",T174=0),"Yes","No")</x:f>
        <x:v>Yes</x:v>
      </x:c>
      <x:c r="V174" s="259" t="n">
        <x:v>46098.166666666664</x:v>
      </x:c>
      <x:c r="W174" s="265" t="n">
        <x:v>100</x:v>
      </x:c>
      <x:c r="X174" s="265" t="n">
        <x:v>0</x:v>
      </x:c>
      <x:c r="Y174" s="265" t="n">
        <x:v>100</x:v>
      </x:c>
      <x:c r="Z174" s="253" t="str">
        <x:f>IF(AND(U174="Yes",X174&gt;0),"Yes","No")</x:f>
        <x:v>No</x:v>
      </x:c>
      <x:c r="AA174" s="253" t="str">
        <x:f>IF(AND(U174="Yes",Y174&gt;0),"Yes","No")</x:f>
        <x:v>Yes</x:v>
      </x:c>
      <x:c r="AB174" s="265" t="n">
        <x:v>0.1</x:v>
      </x:c>
      <x:c r="AC174" s="265" t="n">
        <x:v>98.77</x:v>
      </x:c>
      <x:c r="AD174" s="271" t="str"/>
      <x:c r="AE174" s="274" t="str">
        <x:v>Not validated - no control/holdout</x:v>
      </x:c>
      <x:c r="AF174" s="277" t="str">
        <x:v>No exact promo-code claim found within 14 days</x:v>
      </x:c>
    </x:row>
    <x:row r="175">
      <x:c r="A175" s="252" t="str">
        <x:v>WS1-20260309-0170</x:v>
      </x:c>
      <x:c r="B175" s="253" t="str">
        <x:v>WS1</x:v>
      </x:c>
      <x:c r="C175" s="253" t="str">
        <x:v>MB8</x:v>
      </x:c>
      <x:c r="D175" s="259" t="n">
        <x:v>46090.166666666664</x:v>
      </x:c>
      <x:c r="E175" s="253" t="str">
        <x:v>72878</x:v>
      </x:c>
      <x:c r="F175" s="253" t="str">
        <x:v>Dheeya1204</x:v>
      </x:c>
      <x:c r="G175" s="253" t="str">
        <x:v>Yes</x:v>
      </x:c>
      <x:c r="H175" s="253" t="str">
        <x:v>Christy</x:v>
      </x:c>
      <x:c r="I175" s="268" t="str">
        <x:f>IFERROR(VLOOKUP(H175,'Handler-Team Map'!$A$7:$C$17,2,FALSE),"")</x:f>
      </x:c>
      <x:c r="J175" s="268" t="str">
        <x:f>IFERROR(VLOOKUP(H175,'Handler-Team Map'!$A$7:$C$17,3,FALSE),"")</x:f>
      </x:c>
      <x:c r="K175" s="274" t="str">
        <x:v>FT_VM_DEP1000_GET500_5X</x:v>
      </x:c>
      <x:c r="L175" s="274" t="str">
        <x:v>FT_VM_DEP1000_GET500_5X</x:v>
      </x:c>
      <x:c r="M175" s="274" t="str">
        <x:v>VM Bns - Dep1000 Get500 - 5x TO</x:v>
      </x:c>
      <x:c r="N175" s="253" t="str">
        <x:v>Yes</x:v>
      </x:c>
      <x:c r="O175" s="253" t="str">
        <x:v>No</x:v>
      </x:c>
      <x:c r="P175" s="262"/>
      <x:c r="Q175" s="253" t="str"/>
      <x:c r="R175" s="265" t="n">
        <x:v>0</x:v>
      </x:c>
      <x:c r="S175" s="253" t="str">
        <x:v>Yes</x:v>
      </x:c>
      <x:c r="T175" s="265" t="n">
        <x:v>1800</x:v>
      </x:c>
      <x:c r="U175" s="253" t="str">
        <x:f>IF(AND(S175="Yes",T175=0),"Yes","No")</x:f>
        <x:v>No</x:v>
      </x:c>
      <x:c r="V175" s="259" t="n">
        <x:v>46090.166666666664</x:v>
      </x:c>
      <x:c r="W175" s="265" t="n">
        <x:v>100</x:v>
      </x:c>
      <x:c r="X175" s="265" t="n">
        <x:v>2300</x:v>
      </x:c>
      <x:c r="Y175" s="265" t="n">
        <x:v>3600</x:v>
      </x:c>
      <x:c r="Z175" s="253" t="str">
        <x:f>IF(AND(U175="Yes",X175&gt;0),"Yes","No")</x:f>
        <x:v>No</x:v>
      </x:c>
      <x:c r="AA175" s="253" t="str">
        <x:f>IF(AND(U175="Yes",Y175&gt;0),"Yes","No")</x:f>
        <x:v>No</x:v>
      </x:c>
      <x:c r="AB175" s="265" t="n">
        <x:v>302.79999999999995</x:v>
      </x:c>
      <x:c r="AC175" s="265" t="n">
        <x:v>1001.6600000000001</x:v>
      </x:c>
      <x:c r="AD175" s="271" t="str"/>
      <x:c r="AE175" s="274" t="str">
        <x:v>Not validated - no control/holdout</x:v>
      </x:c>
      <x:c r="AF175" s="277" t="str">
        <x:v>No exact promo-code claim found within 14 days</x:v>
      </x:c>
    </x:row>
    <x:row r="176">
      <x:c r="A176" s="252" t="str">
        <x:v>WS1-20260309-0171</x:v>
      </x:c>
      <x:c r="B176" s="253" t="str">
        <x:v>WS1</x:v>
      </x:c>
      <x:c r="C176" s="253" t="str">
        <x:v>MB8</x:v>
      </x:c>
      <x:c r="D176" s="259" t="n">
        <x:v>46090.166666666664</x:v>
      </x:c>
      <x:c r="E176" s="253" t="str">
        <x:v>538310</x:v>
      </x:c>
      <x:c r="F176" s="253" t="str">
        <x:v>Yet1503</x:v>
      </x:c>
      <x:c r="G176" s="253" t="str">
        <x:v>Yes</x:v>
      </x:c>
      <x:c r="H176" s="253" t="str">
        <x:v>Christy</x:v>
      </x:c>
      <x:c r="I176" s="268" t="str">
        <x:f>IFERROR(VLOOKUP(H176,'Handler-Team Map'!$A$7:$C$17,2,FALSE),"")</x:f>
      </x:c>
      <x:c r="J176" s="268" t="str">
        <x:f>IFERROR(VLOOKUP(H176,'Handler-Team Map'!$A$7:$C$17,3,FALSE),"")</x:f>
      </x:c>
      <x:c r="K176" s="274" t="str">
        <x:v>FT_VM_DEP600_GET200_5X</x:v>
      </x:c>
      <x:c r="L176" s="274" t="str">
        <x:v>FT_VM_DEP600_GET200_5X</x:v>
      </x:c>
      <x:c r="M176" s="274" t="str">
        <x:v>VM Bns - Dep600 Get200 - 5x TO</x:v>
      </x:c>
      <x:c r="N176" s="253" t="str">
        <x:v>Yes</x:v>
      </x:c>
      <x:c r="O176" s="253" t="str">
        <x:v>No</x:v>
      </x:c>
      <x:c r="P176" s="262"/>
      <x:c r="Q176" s="253" t="str"/>
      <x:c r="R176" s="265" t="n">
        <x:v>0</x:v>
      </x:c>
      <x:c r="S176" s="253" t="str">
        <x:v>Yes</x:v>
      </x:c>
      <x:c r="T176" s="265" t="n">
        <x:v>0</x:v>
      </x:c>
      <x:c r="U176" s="253" t="str">
        <x:f>IF(AND(S176="Yes",T176=0),"Yes","No")</x:f>
        <x:v>Yes</x:v>
      </x:c>
      <x:c r="V176" s="259" t="n">
        <x:v>46100.166666666664</x:v>
      </x:c>
      <x:c r="W176" s="265" t="n">
        <x:v>3000</x:v>
      </x:c>
      <x:c r="X176" s="265" t="n">
        <x:v>0</x:v>
      </x:c>
      <x:c r="Y176" s="265" t="n">
        <x:v>3000</x:v>
      </x:c>
      <x:c r="Z176" s="253" t="str">
        <x:f>IF(AND(U176="Yes",X176&gt;0),"Yes","No")</x:f>
        <x:v>No</x:v>
      </x:c>
      <x:c r="AA176" s="253" t="str">
        <x:f>IF(AND(U176="Yes",Y176&gt;0),"Yes","No")</x:f>
        <x:v>Yes</x:v>
      </x:c>
      <x:c r="AB176" s="265" t="n">
        <x:v>0</x:v>
      </x:c>
      <x:c r="AC176" s="265" t="n">
        <x:v>3000.11</x:v>
      </x:c>
      <x:c r="AD176" s="271" t="str"/>
      <x:c r="AE176" s="274" t="str">
        <x:v>Not validated - no control/holdout</x:v>
      </x:c>
      <x:c r="AF176" s="277" t="str">
        <x:v>No exact promo-code claim found within 14 days</x:v>
      </x:c>
    </x:row>
    <x:row r="177">
      <x:c r="A177" s="252" t="str">
        <x:v>WS1-20260312-0172</x:v>
      </x:c>
      <x:c r="B177" s="253" t="str">
        <x:v>WS1</x:v>
      </x:c>
      <x:c r="C177" s="253" t="str">
        <x:v>MB8</x:v>
      </x:c>
      <x:c r="D177" s="259" t="n">
        <x:v>46093.166666666664</x:v>
      </x:c>
      <x:c r="E177" s="253" t="str">
        <x:v>51499</x:v>
      </x:c>
      <x:c r="F177" s="253" t="str">
        <x:v>AUSTIN3</x:v>
      </x:c>
      <x:c r="G177" s="253" t="str">
        <x:v>Yes</x:v>
      </x:c>
      <x:c r="H177" s="253" t="str">
        <x:v>Sheena</x:v>
      </x:c>
      <x:c r="I177" s="268" t="str">
        <x:f>IFERROR(VLOOKUP(H177,'Handler-Team Map'!$A$7:$C$17,2,FALSE),"")</x:f>
      </x:c>
      <x:c r="J177" s="268" t="str">
        <x:f>IFERROR(VLOOKUP(H177,'Handler-Team Map'!$A$7:$C$17,3,FALSE),"")</x:f>
      </x:c>
      <x:c r="K177" s="274" t="str">
        <x:v>FT_VM_DEP600_GET200_5X</x:v>
      </x:c>
      <x:c r="L177" s="274" t="str">
        <x:v>FT_VM_DEP600_GET200_5X</x:v>
      </x:c>
      <x:c r="M177" s="274" t="str">
        <x:v>VM Bns - Dep600 Get200 - 5x TO</x:v>
      </x:c>
      <x:c r="N177" s="253" t="str">
        <x:v>Yes</x:v>
      </x:c>
      <x:c r="O177" s="253" t="str">
        <x:v>No</x:v>
      </x:c>
      <x:c r="P177" s="262"/>
      <x:c r="Q177" s="253" t="str"/>
      <x:c r="R177" s="265" t="n">
        <x:v>0</x:v>
      </x:c>
      <x:c r="S177" s="253" t="str">
        <x:v>Yes</x:v>
      </x:c>
      <x:c r="T177" s="265" t="n">
        <x:v>0</x:v>
      </x:c>
      <x:c r="U177" s="253" t="str">
        <x:f>IF(AND(S177="Yes",T177=0),"Yes","No")</x:f>
        <x:v>Yes</x:v>
      </x:c>
      <x:c r="V177" s="259" t="n">
        <x:v>46093.166666666664</x:v>
      </x:c>
      <x:c r="W177" s="265" t="n">
        <x:v>30</x:v>
      </x:c>
      <x:c r="X177" s="265" t="n">
        <x:v>30</x:v>
      </x:c>
      <x:c r="Y177" s="265" t="n">
        <x:v>30</x:v>
      </x:c>
      <x:c r="Z177" s="253" t="str">
        <x:f>IF(AND(U177="Yes",X177&gt;0),"Yes","No")</x:f>
        <x:v>Yes</x:v>
      </x:c>
      <x:c r="AA177" s="253" t="str">
        <x:f>IF(AND(U177="Yes",Y177&gt;0),"Yes","No")</x:f>
        <x:v>Yes</x:v>
      </x:c>
      <x:c r="AB177" s="265" t="n">
        <x:v>-147.83</x:v>
      </x:c>
      <x:c r="AC177" s="265" t="n">
        <x:v>-199.8</x:v>
      </x:c>
      <x:c r="AD177" s="271" t="str"/>
      <x:c r="AE177" s="274" t="str">
        <x:v>Not validated - no control/holdout</x:v>
      </x:c>
      <x:c r="AF177" s="277" t="str">
        <x:v>No exact promo-code claim found within 14 days</x:v>
      </x:c>
    </x:row>
    <x:row r="178">
      <x:c r="A178" s="252" t="str">
        <x:v>WS1-20260324-0173</x:v>
      </x:c>
      <x:c r="B178" s="253" t="str">
        <x:v>WS1</x:v>
      </x:c>
      <x:c r="C178" s="253" t="str">
        <x:v>MB8</x:v>
      </x:c>
      <x:c r="D178" s="259" t="n">
        <x:v>46105.166666666664</x:v>
      </x:c>
      <x:c r="E178" s="253" t="str">
        <x:v>222565</x:v>
      </x:c>
      <x:c r="F178" s="253" t="str">
        <x:v>60105663452</x:v>
      </x:c>
      <x:c r="G178" s="253" t="str">
        <x:v>Yes</x:v>
      </x:c>
      <x:c r="H178" s="253" t="str">
        <x:v>Sheena</x:v>
      </x:c>
      <x:c r="I178" s="268" t="str">
        <x:f>IFERROR(VLOOKUP(H178,'Handler-Team Map'!$A$7:$C$17,2,FALSE),"")</x:f>
      </x:c>
      <x:c r="J178" s="268" t="str">
        <x:f>IFERROR(VLOOKUP(H178,'Handler-Team Map'!$A$7:$C$17,3,FALSE),"")</x:f>
      </x:c>
      <x:c r="K178" s="274" t="str">
        <x:v>FT_VM_DEP1000_GET500_5X</x:v>
      </x:c>
      <x:c r="L178" s="274" t="str">
        <x:v>FT_VM_DEP1000_GET500_5X</x:v>
      </x:c>
      <x:c r="M178" s="274" t="str">
        <x:v>VM Bns - Dep1000 Get500 - 5x TO</x:v>
      </x:c>
      <x:c r="N178" s="253" t="str">
        <x:v>Yes</x:v>
      </x:c>
      <x:c r="O178" s="253" t="str">
        <x:v>No</x:v>
      </x:c>
      <x:c r="P178" s="262"/>
      <x:c r="Q178" s="253" t="str"/>
      <x:c r="R178" s="265" t="n">
        <x:v>0</x:v>
      </x:c>
      <x:c r="S178" s="253" t="str">
        <x:v>Yes</x:v>
      </x:c>
      <x:c r="T178" s="265" t="n">
        <x:v>1150</x:v>
      </x:c>
      <x:c r="U178" s="253" t="str">
        <x:f>IF(AND(S178="Yes",T178=0),"Yes","No")</x:f>
        <x:v>No</x:v>
      </x:c>
      <x:c r="V178" s="259"/>
      <x:c r="W178" s="265" t="n">
        <x:v>0</x:v>
      </x:c>
      <x:c r="X178" s="265" t="n">
        <x:v>0</x:v>
      </x:c>
      <x:c r="Y178" s="265" t="n">
        <x:v>0</x:v>
      </x:c>
      <x:c r="Z178" s="253" t="str">
        <x:f>IF(AND(U178="Yes",X178&gt;0),"Yes","No")</x:f>
        <x:v>No</x:v>
      </x:c>
      <x:c r="AA178" s="253" t="str">
        <x:f>IF(AND(U178="Yes",Y178&gt;0),"Yes","No")</x:f>
        <x:v>No</x:v>
      </x:c>
      <x:c r="AB178" s="265" t="n">
        <x:v>0</x:v>
      </x:c>
      <x:c r="AC178" s="265" t="n">
        <x:v>0</x:v>
      </x:c>
      <x:c r="AD178" s="271" t="str"/>
      <x:c r="AE178" s="274" t="str">
        <x:v>Not validated - no control/holdout</x:v>
      </x:c>
      <x:c r="AF178" s="277" t="str">
        <x:v>No exact promo-code claim found within 14 days</x:v>
      </x:c>
    </x:row>
    <x:row r="179">
      <x:c r="A179" s="252" t="str">
        <x:v>WS1-20260324-0174</x:v>
      </x:c>
      <x:c r="B179" s="253" t="str">
        <x:v>WS1</x:v>
      </x:c>
      <x:c r="C179" s="253" t="str">
        <x:v>MB8</x:v>
      </x:c>
      <x:c r="D179" s="259" t="n">
        <x:v>46105.166666666664</x:v>
      </x:c>
      <x:c r="E179" s="253" t="str">
        <x:v>306170</x:v>
      </x:c>
      <x:c r="F179" s="253" t="str">
        <x:v>Williamkwh81</x:v>
      </x:c>
      <x:c r="G179" s="253" t="str">
        <x:v>Yes</x:v>
      </x:c>
      <x:c r="H179" s="253" t="str">
        <x:v>Sheena</x:v>
      </x:c>
      <x:c r="I179" s="268" t="str">
        <x:f>IFERROR(VLOOKUP(H179,'Handler-Team Map'!$A$7:$C$17,2,FALSE),"")</x:f>
      </x:c>
      <x:c r="J179" s="268" t="str">
        <x:f>IFERROR(VLOOKUP(H179,'Handler-Team Map'!$A$7:$C$17,3,FALSE),"")</x:f>
      </x:c>
      <x:c r="K179" s="274" t="str">
        <x:v>FT_VM_DEP1000_GET500_2X</x:v>
      </x:c>
      <x:c r="L179" s="274" t="str">
        <x:v>FT_VM_DEP1000_GET500_2X</x:v>
      </x:c>
      <x:c r="M179" s="274" t="str">
        <x:v>VM Bns - Dep1000 Get500 - 2x TO</x:v>
      </x:c>
      <x:c r="N179" s="253" t="str">
        <x:v>Yes</x:v>
      </x:c>
      <x:c r="O179" s="253" t="str">
        <x:v>No</x:v>
      </x:c>
      <x:c r="P179" s="262"/>
      <x:c r="Q179" s="253" t="str"/>
      <x:c r="R179" s="265" t="n">
        <x:v>0</x:v>
      </x:c>
      <x:c r="S179" s="253" t="str">
        <x:v>Yes</x:v>
      </x:c>
      <x:c r="T179" s="265" t="n">
        <x:v>75</x:v>
      </x:c>
      <x:c r="U179" s="253" t="str">
        <x:f>IF(AND(S179="Yes",T179=0),"Yes","No")</x:f>
        <x:v>No</x:v>
      </x:c>
      <x:c r="V179" s="259"/>
      <x:c r="W179" s="265" t="n">
        <x:v>0</x:v>
      </x:c>
      <x:c r="X179" s="265" t="n">
        <x:v>0</x:v>
      </x:c>
      <x:c r="Y179" s="265" t="n">
        <x:v>0</x:v>
      </x:c>
      <x:c r="Z179" s="253" t="str">
        <x:f>IF(AND(U179="Yes",X179&gt;0),"Yes","No")</x:f>
        <x:v>No</x:v>
      </x:c>
      <x:c r="AA179" s="253" t="str">
        <x:f>IF(AND(U179="Yes",Y179&gt;0),"Yes","No")</x:f>
        <x:v>No</x:v>
      </x:c>
      <x:c r="AB179" s="265" t="n">
        <x:v>0</x:v>
      </x:c>
      <x:c r="AC179" s="265" t="n">
        <x:v>0</x:v>
      </x:c>
      <x:c r="AD179" s="271" t="str"/>
      <x:c r="AE179" s="274" t="str">
        <x:v>Not validated - no control/holdout</x:v>
      </x:c>
      <x:c r="AF179" s="277" t="str">
        <x:v>No exact promo-code claim found within 14 days</x:v>
      </x:c>
    </x:row>
    <x:row r="180">
      <x:c r="A180" s="252" t="str">
        <x:v>WS1-20260324-0175</x:v>
      </x:c>
      <x:c r="B180" s="253" t="str">
        <x:v>WS1</x:v>
      </x:c>
      <x:c r="C180" s="253" t="str">
        <x:v>MB8</x:v>
      </x:c>
      <x:c r="D180" s="259" t="n">
        <x:v>46105.166666666664</x:v>
      </x:c>
      <x:c r="E180" s="253" t="str">
        <x:v>384049</x:v>
      </x:c>
      <x:c r="F180" s="253" t="str">
        <x:v>60137293482</x:v>
      </x:c>
      <x:c r="G180" s="253" t="str">
        <x:v>Yes</x:v>
      </x:c>
      <x:c r="H180" s="253" t="str">
        <x:v>Jiahui</x:v>
      </x:c>
      <x:c r="I180" s="268" t="str">
        <x:f>IFERROR(VLOOKUP(H180,'Handler-Team Map'!$A$7:$C$17,2,FALSE),"")</x:f>
      </x:c>
      <x:c r="J180" s="268" t="str">
        <x:f>IFERROR(VLOOKUP(H180,'Handler-Team Map'!$A$7:$C$17,3,FALSE),"")</x:f>
      </x:c>
      <x:c r="K180" s="274" t="str">
        <x:v>FT_VM_DEP1000_GET500_5X</x:v>
      </x:c>
      <x:c r="L180" s="274" t="str">
        <x:v>FT_VM_DEP1000_GET500_5X</x:v>
      </x:c>
      <x:c r="M180" s="274" t="str">
        <x:v>VM Bns - Dep1000 Get500 - 5x TO</x:v>
      </x:c>
      <x:c r="N180" s="253" t="str">
        <x:v>Yes</x:v>
      </x:c>
      <x:c r="O180" s="253" t="str">
        <x:v>No</x:v>
      </x:c>
      <x:c r="P180" s="262"/>
      <x:c r="Q180" s="253" t="str"/>
      <x:c r="R180" s="265" t="n">
        <x:v>0</x:v>
      </x:c>
      <x:c r="S180" s="253" t="str">
        <x:v>Yes</x:v>
      </x:c>
      <x:c r="T180" s="265" t="n">
        <x:v>3165</x:v>
      </x:c>
      <x:c r="U180" s="253" t="str">
        <x:f>IF(AND(S180="Yes",T180=0),"Yes","No")</x:f>
        <x:v>No</x:v>
      </x:c>
      <x:c r="V180" s="259" t="n">
        <x:v>46106.166666666664</x:v>
      </x:c>
      <x:c r="W180" s="265" t="n">
        <x:v>2150</x:v>
      </x:c>
      <x:c r="X180" s="265" t="n">
        <x:v>2930</x:v>
      </x:c>
      <x:c r="Y180" s="265" t="n">
        <x:v>4110</x:v>
      </x:c>
      <x:c r="Z180" s="253" t="str">
        <x:f>IF(AND(U180="Yes",X180&gt;0),"Yes","No")</x:f>
        <x:v>No</x:v>
      </x:c>
      <x:c r="AA180" s="253" t="str">
        <x:f>IF(AND(U180="Yes",Y180&gt;0),"Yes","No")</x:f>
        <x:v>No</x:v>
      </x:c>
      <x:c r="AB180" s="265" t="n">
        <x:v>2280.0299999999997</x:v>
      </x:c>
      <x:c r="AC180" s="265" t="n">
        <x:v>3459.9100000000008</x:v>
      </x:c>
      <x:c r="AD180" s="271" t="str"/>
      <x:c r="AE180" s="274" t="str">
        <x:v>Not validated - no control/holdout</x:v>
      </x:c>
      <x:c r="AF180" s="277" t="str">
        <x:v>No exact promo-code claim found within 14 days</x:v>
      </x:c>
    </x:row>
    <x:row r="181">
      <x:c r="A181" s="252" t="str">
        <x:v>WS1-20260324-0176</x:v>
      </x:c>
      <x:c r="B181" s="253" t="str">
        <x:v>WS1</x:v>
      </x:c>
      <x:c r="C181" s="253" t="str">
        <x:v>MB8</x:v>
      </x:c>
      <x:c r="D181" s="259" t="n">
        <x:v>46105.166666666664</x:v>
      </x:c>
      <x:c r="E181" s="253" t="str">
        <x:v>567125</x:v>
      </x:c>
      <x:c r="F181" s="253" t="str">
        <x:v>bullah7700</x:v>
      </x:c>
      <x:c r="G181" s="253" t="str">
        <x:v>Yes</x:v>
      </x:c>
      <x:c r="H181" s="253" t="str">
        <x:v>Jiahui</x:v>
      </x:c>
      <x:c r="I181" s="268" t="str">
        <x:f>IFERROR(VLOOKUP(H181,'Handler-Team Map'!$A$7:$C$17,2,FALSE),"")</x:f>
      </x:c>
      <x:c r="J181" s="268" t="str">
        <x:f>IFERROR(VLOOKUP(H181,'Handler-Team Map'!$A$7:$C$17,3,FALSE),"")</x:f>
      </x:c>
      <x:c r="K181" s="274" t="str">
        <x:v>FT_VM_DEP600_GET200_5X</x:v>
      </x:c>
      <x:c r="L181" s="274" t="str">
        <x:v>FT_VM_DEP600_GET200_5X</x:v>
      </x:c>
      <x:c r="M181" s="274" t="str">
        <x:v>VM Bns - Dep600 Get200 - 5x TO</x:v>
      </x:c>
      <x:c r="N181" s="253" t="str">
        <x:v>Yes</x:v>
      </x:c>
      <x:c r="O181" s="253" t="str">
        <x:v>No</x:v>
      </x:c>
      <x:c r="P181" s="262"/>
      <x:c r="Q181" s="253" t="str"/>
      <x:c r="R181" s="265" t="n">
        <x:v>0</x:v>
      </x:c>
      <x:c r="S181" s="253" t="str">
        <x:v>Yes</x:v>
      </x:c>
      <x:c r="T181" s="265" t="n">
        <x:v>3190</x:v>
      </x:c>
      <x:c r="U181" s="253" t="str">
        <x:f>IF(AND(S181="Yes",T181=0),"Yes","No")</x:f>
        <x:v>No</x:v>
      </x:c>
      <x:c r="V181" s="259" t="n">
        <x:v>46105.166666666664</x:v>
      </x:c>
      <x:c r="W181" s="265" t="n">
        <x:v>340</x:v>
      </x:c>
      <x:c r="X181" s="265" t="n">
        <x:v>340</x:v>
      </x:c>
      <x:c r="Y181" s="265" t="n">
        <x:v>340</x:v>
      </x:c>
      <x:c r="Z181" s="253" t="str">
        <x:f>IF(AND(U181="Yes",X181&gt;0),"Yes","No")</x:f>
        <x:v>No</x:v>
      </x:c>
      <x:c r="AA181" s="253" t="str">
        <x:f>IF(AND(U181="Yes",Y181&gt;0),"Yes","No")</x:f>
        <x:v>No</x:v>
      </x:c>
      <x:c r="AB181" s="265" t="n">
        <x:v>-110.1000000000002</x:v>
      </x:c>
      <x:c r="AC181" s="265" t="n">
        <x:v>-110.1000000000002</x:v>
      </x:c>
      <x:c r="AD181" s="271" t="str"/>
      <x:c r="AE181" s="274" t="str">
        <x:v>Not validated - no control/holdout</x:v>
      </x:c>
      <x:c r="AF181" s="277" t="str">
        <x:v>No exact promo-code claim found within 14 days</x:v>
      </x:c>
    </x:row>
    <x:row r="182">
      <x:c r="A182" s="252" t="str">
        <x:v>WS1-20260324-0177</x:v>
      </x:c>
      <x:c r="B182" s="253" t="str">
        <x:v>WS1</x:v>
      </x:c>
      <x:c r="C182" s="253" t="str">
        <x:v>MB8</x:v>
      </x:c>
      <x:c r="D182" s="259" t="n">
        <x:v>46105.166666666664</x:v>
      </x:c>
      <x:c r="E182" s="253" t="str">
        <x:v>441335</x:v>
      </x:c>
      <x:c r="F182" s="253" t="str">
        <x:v>60123847155</x:v>
      </x:c>
      <x:c r="G182" s="253" t="str">
        <x:v>Yes</x:v>
      </x:c>
      <x:c r="H182" s="253" t="str">
        <x:v>Serene</x:v>
      </x:c>
      <x:c r="I182" s="268" t="str">
        <x:f>IFERROR(VLOOKUP(H182,'Handler-Team Map'!$A$7:$C$17,2,FALSE),"")</x:f>
      </x:c>
      <x:c r="J182" s="268" t="str">
        <x:f>IFERROR(VLOOKUP(H182,'Handler-Team Map'!$A$7:$C$17,3,FALSE),"")</x:f>
      </x:c>
      <x:c r="K182" s="274" t="str">
        <x:v>FT_VM_DEP1000_GET500_5X</x:v>
      </x:c>
      <x:c r="L182" s="274" t="str">
        <x:v>FT_VM_DEP1000_GET500_5X</x:v>
      </x:c>
      <x:c r="M182" s="274" t="str">
        <x:v>VM Bns - Dep1000 Get500 - 5x TO</x:v>
      </x:c>
      <x:c r="N182" s="253" t="str">
        <x:v>Yes</x:v>
      </x:c>
      <x:c r="O182" s="253" t="str">
        <x:v>No</x:v>
      </x:c>
      <x:c r="P182" s="262"/>
      <x:c r="Q182" s="253" t="str"/>
      <x:c r="R182" s="265" t="n">
        <x:v>0</x:v>
      </x:c>
      <x:c r="S182" s="253" t="str">
        <x:v>Yes</x:v>
      </x:c>
      <x:c r="T182" s="265" t="n">
        <x:v>11890</x:v>
      </x:c>
      <x:c r="U182" s="253" t="str">
        <x:f>IF(AND(S182="Yes",T182=0),"Yes","No")</x:f>
        <x:v>No</x:v>
      </x:c>
      <x:c r="V182" s="259" t="n">
        <x:v>46106.166666666664</x:v>
      </x:c>
      <x:c r="W182" s="265" t="n">
        <x:v>40</x:v>
      </x:c>
      <x:c r="X182" s="265" t="n">
        <x:v>40</x:v>
      </x:c>
      <x:c r="Y182" s="265" t="n">
        <x:v>70</x:v>
      </x:c>
      <x:c r="Z182" s="253" t="str">
        <x:f>IF(AND(U182="Yes",X182&gt;0),"Yes","No")</x:f>
        <x:v>No</x:v>
      </x:c>
      <x:c r="AA182" s="253" t="str">
        <x:f>IF(AND(U182="Yes",Y182&gt;0),"Yes","No")</x:f>
        <x:v>No</x:v>
      </x:c>
      <x:c r="AB182" s="265" t="n">
        <x:v>40.28</x:v>
      </x:c>
      <x:c r="AC182" s="265" t="n">
        <x:v>70.14</x:v>
      </x:c>
      <x:c r="AD182" s="271" t="str"/>
      <x:c r="AE182" s="274" t="str">
        <x:v>Not validated - no control/holdout</x:v>
      </x:c>
      <x:c r="AF182" s="277" t="str">
        <x:v>No exact promo-code claim found within 14 days</x:v>
      </x:c>
    </x:row>
    <x:row r="183">
      <x:c r="A183" s="252" t="str">
        <x:v>WS1-20260324-0178</x:v>
      </x:c>
      <x:c r="B183" s="253" t="str">
        <x:v>WS1</x:v>
      </x:c>
      <x:c r="C183" s="253" t="str">
        <x:v>MB8</x:v>
      </x:c>
      <x:c r="D183" s="259" t="n">
        <x:v>46105.166666666664</x:v>
      </x:c>
      <x:c r="E183" s="253" t="str">
        <x:v>464067</x:v>
      </x:c>
      <x:c r="F183" s="253" t="str">
        <x:v>Johnrambo</x:v>
      </x:c>
      <x:c r="G183" s="253" t="str">
        <x:v>Yes</x:v>
      </x:c>
      <x:c r="H183" s="253" t="str">
        <x:v>Serene</x:v>
      </x:c>
      <x:c r="I183" s="268" t="str">
        <x:f>IFERROR(VLOOKUP(H183,'Handler-Team Map'!$A$7:$C$17,2,FALSE),"")</x:f>
      </x:c>
      <x:c r="J183" s="268" t="str">
        <x:f>IFERROR(VLOOKUP(H183,'Handler-Team Map'!$A$7:$C$17,3,FALSE),"")</x:f>
      </x:c>
      <x:c r="K183" s="274" t="str">
        <x:v>FT_VM_DEP1000_GET500_2X</x:v>
      </x:c>
      <x:c r="L183" s="274" t="str">
        <x:v>FT_VM_DEP1000_GET500_2X</x:v>
      </x:c>
      <x:c r="M183" s="274" t="str">
        <x:v>VM Bns - Dep1000 Get500 - 2x TO</x:v>
      </x:c>
      <x:c r="N183" s="253" t="str">
        <x:v>Yes</x:v>
      </x:c>
      <x:c r="O183" s="253" t="str">
        <x:v>Yes</x:v>
      </x:c>
      <x:c r="P183" s="262" t="n">
        <x:v>46111.39380787037</x:v>
      </x:c>
      <x:c r="Q183" s="253" t="str">
        <x:v>Exact code</x:v>
      </x:c>
      <x:c r="R183" s="265" t="n">
        <x:v>500</x:v>
      </x:c>
      <x:c r="S183" s="253" t="str">
        <x:v>Yes</x:v>
      </x:c>
      <x:c r="T183" s="265" t="n">
        <x:v>2525.8</x:v>
      </x:c>
      <x:c r="U183" s="253" t="str">
        <x:f>IF(AND(S183="Yes",T183=0),"Yes","No")</x:f>
        <x:v>No</x:v>
      </x:c>
      <x:c r="V183" s="259" t="n">
        <x:v>46107.166666666664</x:v>
      </x:c>
      <x:c r="W183" s="265" t="n">
        <x:v>60</x:v>
      </x:c>
      <x:c r="X183" s="265" t="n">
        <x:v>1060</x:v>
      </x:c>
      <x:c r="Y183" s="265" t="n">
        <x:v>4300</x:v>
      </x:c>
      <x:c r="Z183" s="253" t="str">
        <x:f>IF(AND(U183="Yes",X183&gt;0),"Yes","No")</x:f>
        <x:v>No</x:v>
      </x:c>
      <x:c r="AA183" s="253" t="str">
        <x:f>IF(AND(U183="Yes",Y183&gt;0),"Yes","No")</x:f>
        <x:v>No</x:v>
      </x:c>
      <x:c r="AB183" s="265" t="n">
        <x:v>-969.8700000000001</x:v>
      </x:c>
      <x:c r="AC183" s="265" t="n">
        <x:v>669.8999999999996</x:v>
      </x:c>
      <x:c r="AD183" s="271" t="str"/>
      <x:c r="AE183" s="274" t="str">
        <x:v>Not validated - no control/holdout</x:v>
      </x:c>
      <x:c r="AF183" s="277" t="str">
        <x:v>Member and exact promo code matched</x:v>
      </x:c>
    </x:row>
    <x:row r="184">
      <x:c r="A184" s="255" t="str">
        <x:v>WS1-20260324-0179</x:v>
      </x:c>
      <x:c r="B184" s="256" t="str">
        <x:v>WS1</x:v>
      </x:c>
      <x:c r="C184" s="256" t="str">
        <x:v>MB8</x:v>
      </x:c>
      <x:c r="D184" s="260" t="n">
        <x:v>46105.166666666664</x:v>
      </x:c>
      <x:c r="E184" s="256" t="str">
        <x:v>9160</x:v>
      </x:c>
      <x:c r="F184" s="256" t="str">
        <x:v>rmahen24</x:v>
      </x:c>
      <x:c r="G184" s="256" t="str">
        <x:v>Yes</x:v>
      </x:c>
      <x:c r="H184" s="256" t="str">
        <x:v>Serene</x:v>
      </x:c>
      <x:c r="I184" s="269" t="str">
        <x:f>IFERROR(VLOOKUP(H184,'Handler-Team Map'!$A$7:$C$17,2,FALSE),"")</x:f>
      </x:c>
      <x:c r="J184" s="269" t="str">
        <x:f>IFERROR(VLOOKUP(H184,'Handler-Team Map'!$A$7:$C$17,3,FALSE),"")</x:f>
      </x:c>
      <x:c r="K184" s="275" t="str">
        <x:v>FT_VM_DEP600_GET200_5X</x:v>
      </x:c>
      <x:c r="L184" s="275" t="str">
        <x:v>FT_VM_DEP600_GET200_5X</x:v>
      </x:c>
      <x:c r="M184" s="275" t="str">
        <x:v>VM Bns - Dep600 Get200 - 5x TO</x:v>
      </x:c>
      <x:c r="N184" s="256" t="str">
        <x:v>Yes</x:v>
      </x:c>
      <x:c r="O184" s="256" t="str">
        <x:v>No</x:v>
      </x:c>
      <x:c r="P184" s="263"/>
      <x:c r="Q184" s="256" t="str"/>
      <x:c r="R184" s="266" t="n">
        <x:v>0</x:v>
      </x:c>
      <x:c r="S184" s="256" t="str">
        <x:v>Yes</x:v>
      </x:c>
      <x:c r="T184" s="266" t="n">
        <x:v>7911</x:v>
      </x:c>
      <x:c r="U184" s="256" t="str">
        <x:f>IF(AND(S184="Yes",T184=0),"Yes","No")</x:f>
        <x:v>No</x:v>
      </x:c>
      <x:c r="V184" s="260" t="n">
        <x:v>46109.166666666664</x:v>
      </x:c>
      <x:c r="W184" s="266" t="n">
        <x:v>150</x:v>
      </x:c>
      <x:c r="X184" s="266" t="n">
        <x:v>1350</x:v>
      </x:c>
      <x:c r="Y184" s="266" t="n">
        <x:v>11200</x:v>
      </x:c>
      <x:c r="Z184" s="256" t="str">
        <x:f>IF(AND(U184="Yes",X184&gt;0),"Yes","No")</x:f>
        <x:v>No</x:v>
      </x:c>
      <x:c r="AA184" s="256" t="str">
        <x:f>IF(AND(U184="Yes",Y184&gt;0),"Yes","No")</x:f>
        <x:v>No</x:v>
      </x:c>
      <x:c r="AB184" s="266" t="n">
        <x:v>-819.9299999999984</x:v>
      </x:c>
      <x:c r="AC184" s="266" t="n">
        <x:v>-407.1700000000003</x:v>
      </x:c>
      <x:c r="AD184" s="272" t="str"/>
      <x:c r="AE184" s="275" t="str">
        <x:v>Not validated - no control/holdout</x:v>
      </x:c>
      <x:c r="AF184" s="278" t="str">
        <x:v>No exact promo-code claim found within 14 days</x:v>
      </x:c>
    </x:row>
  </x:sheetData>
  <x:mergeCells>
    <x:mergeCell ref="A1:AF2"/>
    <x:mergeCell ref="A3:AF3"/>
  </x:mergeCells>
  <x:conditionalFormatting sqref="G6:G184">
    <x:cfRule type="containsText" dxfId="0" priority="1" operator="containsText" text="Yes"/>
    <x:cfRule type="containsText" dxfId="1" priority="2" operator="containsText" text="No"/>
    <x:cfRule type="containsText" dxfId="8" priority="9" operator="containsText" text="No"/>
  </x:conditionalFormatting>
  <x:conditionalFormatting sqref="O6:O184">
    <x:cfRule type="containsText" dxfId="2" priority="3" operator="containsText" text="Yes"/>
    <x:cfRule type="containsText" dxfId="3" priority="4" operator="containsText" text="No"/>
  </x:conditionalFormatting>
  <x:conditionalFormatting sqref="U6:U184">
    <x:cfRule type="containsText" dxfId="4" priority="5" operator="containsText" text="Yes"/>
    <x:cfRule type="containsText" dxfId="5" priority="6" operator="containsText" text="No"/>
  </x:conditionalFormatting>
  <x:conditionalFormatting sqref="Z6:AA184">
    <x:cfRule type="containsText" dxfId="6" priority="7" operator="containsText" text="Yes"/>
    <x:cfRule type="containsText" dxfId="7" priority="8" operator="containsText" text="No"/>
  </x:conditionalFormatting>
  <x:pageMargins left="0.7" right="0.7" top="0.75" bottom="0.75" header="0.3" footer="0.3"/>
  <x:tableParts count="1">
    <x:tablePart xmlns:r="http://schemas.openxmlformats.org/officeDocument/2006/relationships" r:id="R6717d7666c6b454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 hidden="0" customWidth="1"/>
    <x:col min="3" max="3" width="11" hidden="0" customWidth="1"/>
    <x:col min="4" max="4" width="19" hidden="0" customWidth="1"/>
    <x:col min="5" max="5" width="14" hidden="0" customWidth="1"/>
    <x:col min="6" max="6" width="13" hidden="0" customWidth="1"/>
    <x:col min="7" max="7" width="18" hidden="0" customWidth="1"/>
    <x:col min="8" max="8" width="13" hidden="0" customWidth="1"/>
    <x:col min="9" max="9" width="25" hidden="0" customWidth="1"/>
    <x:col min="10" max="10" width="19" hidden="0" customWidth="1"/>
    <x:col min="11" max="11" width="16" hidden="0" customWidth="1"/>
    <x:col min="12" max="12" width="15" hidden="0" customWidth="1"/>
    <x:col min="13" max="13" width="15" hidden="0" customWidth="1"/>
    <x:col min="14" max="14" width="29" hidden="0" customWidth="1"/>
    <x:col min="15" max="15" width="43" hidden="0" customWidth="1"/>
    <x:col min="16" max="16" width="16" hidden="0" customWidth="1"/>
    <x:col min="17" max="17" width="16" hidden="0" customWidth="1"/>
    <x:col min="18" max="18" width="16" hidden="0" customWidth="1"/>
    <x:col min="19" max="19" width="15" hidden="0" customWidth="1"/>
    <x:col min="20" max="20" width="20" hidden="0" customWidth="1"/>
    <x:col min="21" max="21" width="18" hidden="0" customWidth="1"/>
    <x:col min="22" max="22" width="17" hidden="0" customWidth="1"/>
    <x:col min="23" max="23" width="18" hidden="0" customWidth="1"/>
    <x:col min="24" max="24" width="21" hidden="0" customWidth="1"/>
    <x:col min="25" max="25" width="17" hidden="0" customWidth="1"/>
    <x:col min="26" max="26" width="17" hidden="0" customWidth="1"/>
    <x:col min="27" max="27" width="17" hidden="0" customWidth="1"/>
    <x:col min="28" max="28" width="17" hidden="0" customWidth="1"/>
    <x:col min="29" max="29" width="24" hidden="0" customWidth="1"/>
    <x:col min="30" max="30" width="25" hidden="0" customWidth="1"/>
    <x:col min="31" max="31" width="19" hidden="0" customWidth="1"/>
    <x:col min="32" max="32" width="30" hidden="0" customWidth="1"/>
    <x:col min="33" max="33" width="46" hidden="0" customWidth="1"/>
  </x:cols>
  <x:sheetData>
    <x:row r="1">
      <x:c r="A1" s="3" t="str">
        <x:v>Recovered Executions - April to July approved/redeemed bonus transactions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row>
    <x:row r="2">
      <x:c r="A2" s="3"/>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row>
    <x:row r="3">
      <x:c r="A3" s="248" t="str">
        <x:v>Recovered from ClickHouse using exact Bonus Menu codes. These rows prove bonus execution and cost, but they do not contain the original offer-assignment date or members who were offered but did not claim. Handler fields are snapshots, not historical execution ownership.</x:v>
      </x:c>
      <x:c r="B3" s="248"/>
      <x:c r="C3" s="248"/>
      <x:c r="D3" s="248"/>
      <x:c r="E3" s="248"/>
      <x:c r="F3" s="248"/>
      <x:c r="G3" s="248"/>
      <x:c r="H3" s="248"/>
      <x:c r="I3" s="248"/>
      <x:c r="J3" s="248"/>
      <x:c r="K3" s="248"/>
      <x:c r="L3" s="248"/>
      <x:c r="M3" s="248"/>
      <x:c r="N3" s="248"/>
      <x:c r="O3" s="248"/>
      <x:c r="P3" s="248"/>
      <x:c r="Q3" s="248"/>
      <x:c r="R3" s="248"/>
      <x:c r="S3" s="248"/>
      <x:c r="T3" s="248"/>
      <x:c r="U3" s="248"/>
      <x:c r="V3" s="248"/>
      <x:c r="W3" s="248"/>
      <x:c r="X3" s="248"/>
      <x:c r="Y3" s="248"/>
      <x:c r="Z3" s="248"/>
      <x:c r="AA3" s="248"/>
      <x:c r="AB3" s="248"/>
      <x:c r="AC3" s="248"/>
      <x:c r="AD3" s="248"/>
      <x:c r="AE3" s="248"/>
      <x:c r="AF3" s="248"/>
      <x:c r="AG3" s="248"/>
    </x:row>
    <x:row r="5">
      <x:c r="A5" s="133" t="str">
        <x:v>Execution ID</x:v>
      </x:c>
      <x:c r="B5" s="133" t="str">
        <x:v>Site</x:v>
      </x:c>
      <x:c r="C5" s="133" t="str">
        <x:v>Brand</x:v>
      </x:c>
      <x:c r="D5" s="133" t="str">
        <x:v>Execution Time</x:v>
      </x:c>
      <x:c r="E5" s="133" t="str">
        <x:v>Execution Date</x:v>
      </x:c>
      <x:c r="F5" s="133" t="str">
        <x:v>Member ID</x:v>
      </x:c>
      <x:c r="G5" s="133" t="str">
        <x:v>Username</x:v>
      </x:c>
      <x:c r="H5" s="133" t="str">
        <x:v>Member Match</x:v>
      </x:c>
      <x:c r="I5" s="133" t="str">
        <x:v>Handler Snapshot (2026-05-04)</x:v>
      </x:c>
      <x:c r="J5" s="133" t="str">
        <x:v>Last Logged Handler</x:v>
      </x:c>
      <x:c r="K5" s="133" t="str">
        <x:v>Last Logged Date</x:v>
      </x:c>
      <x:c r="L5" s="133" t="str">
        <x:v>Team</x:v>
      </x:c>
      <x:c r="M5" s="133" t="str">
        <x:v>TL</x:v>
      </x:c>
      <x:c r="N5" s="133" t="str">
        <x:v>Promo Code</x:v>
      </x:c>
      <x:c r="O5" s="133" t="str">
        <x:v>Reward Name</x:v>
      </x:c>
      <x:c r="P5" s="133" t="str">
        <x:v>Bonus Type</x:v>
      </x:c>
      <x:c r="Q5" s="133" t="str">
        <x:v>Bonus Status</x:v>
      </x:c>
      <x:c r="R5" s="133" t="str">
        <x:v>Bonus Cost (MYR)</x:v>
      </x:c>
      <x:c r="S5" s="133" t="str">
        <x:v>Prior Depositor</x:v>
      </x:c>
      <x:c r="T5" s="133" t="str">
        <x:v>Deposit Prior 30d (MYR)</x:v>
      </x:c>
      <x:c r="U5" s="133" t="str">
        <x:v>Reactivation Eligible</x:v>
      </x:c>
      <x:c r="V5" s="133" t="str">
        <x:v>7d Window Complete</x:v>
      </x:c>
      <x:c r="W5" s="133" t="str">
        <x:v>14d Window Complete</x:v>
      </x:c>
      <x:c r="X5" s="133" t="str">
        <x:v>First Deposit On/After Execution</x:v>
      </x:c>
      <x:c r="Y5" s="133" t="str">
        <x:v>Deposit 7d (MYR)</x:v>
      </x:c>
      <x:c r="Z5" s="133" t="str">
        <x:v>Deposit 14d (MYR)</x:v>
      </x:c>
      <x:c r="AA5" s="133" t="str">
        <x:v>Reactivated 7d</x:v>
      </x:c>
      <x:c r="AB5" s="133" t="str">
        <x:v>Reactivated 14d</x:v>
      </x:c>
      <x:c r="AC5" s="133" t="str">
        <x:v>Post-Execution NGR 7d (MYR)</x:v>
      </x:c>
      <x:c r="AD5" s="133" t="str">
        <x:v>Post-Execution NGR 14d (MYR)</x:v>
      </x:c>
      <x:c r="AE5" s="133" t="str">
        <x:v>Attributed NGR (MYR)</x:v>
      </x:c>
      <x:c r="AF5" s="133" t="str">
        <x:v>Attribution Status</x:v>
      </x:c>
      <x:c r="AG5" s="133" t="str">
        <x:v>Source / Quality Note</x:v>
      </x:c>
    </x:row>
    <x:row r="6">
      <x:c r="A6" s="249" t="str">
        <x:v>33728664</x:v>
      </x:c>
      <x:c r="B6" s="250" t="str">
        <x:v>WS1</x:v>
      </x:c>
      <x:c r="C6" s="250" t="str">
        <x:v>MB8</x:v>
      </x:c>
      <x:c r="D6" s="261" t="n">
        <x:v>46113.00314814815</x:v>
      </x:c>
      <x:c r="E6" s="258" t="n">
        <x:v>46113.166666666664</x:v>
      </x:c>
      <x:c r="F6" s="250" t="str">
        <x:v>703632</x:v>
      </x:c>
      <x:c r="G6" s="250" t="str">
        <x:v>Keyingyeon</x:v>
      </x:c>
      <x:c r="H6" s="250" t="str">
        <x:v>Yes</x:v>
      </x:c>
      <x:c r="I6" s="250" t="str">
        <x:v>Tammy</x:v>
      </x:c>
      <x:c r="J6" s="250" t="str">
        <x:v>Tammy</x:v>
      </x:c>
      <x:c r="K6" s="258" t="n">
        <x:v>45951.166666666664</x:v>
      </x:c>
      <x:c r="L6" s="267" t="str">
        <x:f>IFERROR(VLOOKUP(I6,'Handler-Team Map'!$A$7:$C$17,2,FALSE),"")</x:f>
      </x:c>
      <x:c r="M6" s="267" t="str">
        <x:f>IFERROR(VLOOKUP(I6,'Handler-Team Map'!$A$7:$C$17,3,FALSE),"")</x:f>
      </x:c>
      <x:c r="N6" s="273" t="str">
        <x:v>FT_VM_DEP1000_GET800_2X</x:v>
      </x:c>
      <x:c r="O6" s="273" t="str">
        <x:v>VIP BONUS - Deposit 1000 Get 800 - 2x TO</x:v>
      </x:c>
      <x:c r="P6" s="273" t="str">
        <x:v>DepositBonus</x:v>
      </x:c>
      <x:c r="Q6" s="273" t="str">
        <x:v>Approved</x:v>
      </x:c>
      <x:c r="R6" s="264" t="n">
        <x:v>800</x:v>
      </x:c>
      <x:c r="S6" s="250" t="str">
        <x:v>Yes</x:v>
      </x:c>
      <x:c r="T6" s="264" t="n">
        <x:v>453300</x:v>
      </x:c>
      <x:c r="U6" s="250" t="str">
        <x:f>IF(AND(S6="Yes",T6=0),"Yes","No")</x:f>
        <x:v>No</x:v>
      </x:c>
      <x:c r="V6" s="250" t="str">
        <x:v>Yes</x:v>
      </x:c>
      <x:c r="W6" s="250" t="str">
        <x:v>Yes</x:v>
      </x:c>
      <x:c r="X6" s="258" t="n">
        <x:v>46113.166666666664</x:v>
      </x:c>
      <x:c r="Y6" s="264" t="n">
        <x:v>122800</x:v>
      </x:c>
      <x:c r="Z6" s="264" t="n">
        <x:v>269500</x:v>
      </x:c>
      <x:c r="AA6" s="250" t="str">
        <x:f>IF(V6="No","Maturing",IF(AND(U6="Yes",Y6&gt;0),"Yes","No"))</x:f>
        <x:v>No</x:v>
      </x:c>
      <x:c r="AB6" s="250" t="str">
        <x:f>IF(W6="No","Maturing",IF(AND(U6="Yes",Z6&gt;0),"Yes","No"))</x:f>
        <x:v>No</x:v>
      </x:c>
      <x:c r="AC6" s="264" t="n">
        <x:v>17400.13</x:v>
      </x:c>
      <x:c r="AD6" s="264" t="n">
        <x:v>58981.91</x:v>
      </x:c>
      <x:c r="AE6" s="270" t="str"/>
      <x:c r="AF6" s="273" t="str">
        <x:v>Not validated - no control/holdout</x:v>
      </x:c>
      <x:c r="AG6" s="276" t="str">
        <x:v>Recovered execution only; assignment date and unclaimed-offer denominator unavailable</x:v>
      </x:c>
    </x:row>
    <x:row r="7">
      <x:c r="A7" s="252" t="str">
        <x:v>33728933</x:v>
      </x:c>
      <x:c r="B7" s="253" t="str">
        <x:v>WS1</x:v>
      </x:c>
      <x:c r="C7" s="253" t="str">
        <x:v>MB8</x:v>
      </x:c>
      <x:c r="D7" s="262" t="n">
        <x:v>46113.01528935185</x:v>
      </x:c>
      <x:c r="E7" s="259" t="n">
        <x:v>46113.166666666664</x:v>
      </x:c>
      <x:c r="F7" s="253" t="str">
        <x:v>461077</x:v>
      </x:c>
      <x:c r="G7" s="253" t="str">
        <x:v>Chenghe</x:v>
      </x:c>
      <x:c r="H7" s="253" t="str">
        <x:v>Yes</x:v>
      </x:c>
      <x:c r="I7" s="253" t="str">
        <x:v>Claire</x:v>
      </x:c>
      <x:c r="J7" s="253" t="str">
        <x:v>Claire</x:v>
      </x:c>
      <x:c r="K7" s="259" t="n">
        <x:v>45659.166666666664</x:v>
      </x:c>
      <x:c r="L7" s="268" t="str">
        <x:f>IFERROR(VLOOKUP(I7,'Handler-Team Map'!$A$7:$C$17,2,FALSE),"")</x:f>
      </x:c>
      <x:c r="M7" s="268" t="str">
        <x:f>IFERROR(VLOOKUP(I7,'Handler-Team Map'!$A$7:$C$17,3,FALSE),"")</x:f>
      </x:c>
      <x:c r="N7" s="274" t="str">
        <x:v>FT_VM_DEP800_GET400_2X</x:v>
      </x:c>
      <x:c r="O7" s="274" t="str">
        <x:v>VIP BONUS - Deposit 800 Get 400 - 2x TO</x:v>
      </x:c>
      <x:c r="P7" s="274" t="str">
        <x:v>DepositBonus</x:v>
      </x:c>
      <x:c r="Q7" s="274" t="str">
        <x:v>Approved</x:v>
      </x:c>
      <x:c r="R7" s="265" t="n">
        <x:v>400</x:v>
      </x:c>
      <x:c r="S7" s="253" t="str">
        <x:v>Yes</x:v>
      </x:c>
      <x:c r="T7" s="265" t="n">
        <x:v>137400</x:v>
      </x:c>
      <x:c r="U7" s="253" t="str">
        <x:f>IF(AND(S7="Yes",T7=0),"Yes","No")</x:f>
        <x:v>No</x:v>
      </x:c>
      <x:c r="V7" s="253" t="str">
        <x:v>Yes</x:v>
      </x:c>
      <x:c r="W7" s="253" t="str">
        <x:v>Yes</x:v>
      </x:c>
      <x:c r="X7" s="259" t="n">
        <x:v>46113.166666666664</x:v>
      </x:c>
      <x:c r="Y7" s="265" t="n">
        <x:v>9170</x:v>
      </x:c>
      <x:c r="Z7" s="265" t="n">
        <x:v>33020</x:v>
      </x:c>
      <x:c r="AA7" s="253" t="str">
        <x:f>IF(V7="No","Maturing",IF(AND(U7="Yes",Y7&gt;0),"Yes","No"))</x:f>
        <x:v>No</x:v>
      </x:c>
      <x:c r="AB7" s="253" t="str">
        <x:f>IF(W7="No","Maturing",IF(AND(U7="Yes",Z7&gt;0),"Yes","No"))</x:f>
        <x:v>No</x:v>
      </x:c>
      <x:c r="AC7" s="265" t="n">
        <x:v>9167.1</x:v>
      </x:c>
      <x:c r="AD7" s="265" t="n">
        <x:v>18022.48</x:v>
      </x:c>
      <x:c r="AE7" s="271" t="str"/>
      <x:c r="AF7" s="274" t="str">
        <x:v>Not validated - no control/holdout</x:v>
      </x:c>
      <x:c r="AG7" s="277" t="str">
        <x:v>Recovered execution only; assignment date and unclaimed-offer denominator unavailable</x:v>
      </x:c>
    </x:row>
    <x:row r="8">
      <x:c r="A8" s="252" t="str">
        <x:v>33729338</x:v>
      </x:c>
      <x:c r="B8" s="253" t="str">
        <x:v>WS1</x:v>
      </x:c>
      <x:c r="C8" s="253" t="str">
        <x:v>MB8</x:v>
      </x:c>
      <x:c r="D8" s="262" t="n">
        <x:v>46113.03501157407</x:v>
      </x:c>
      <x:c r="E8" s="259" t="n">
        <x:v>46113.166666666664</x:v>
      </x:c>
      <x:c r="F8" s="253" t="str">
        <x:v>535906</x:v>
      </x:c>
      <x:c r="G8" s="253" t="str">
        <x:v>Ahtee337</x:v>
      </x:c>
      <x:c r="H8" s="253" t="str">
        <x:v>Yes</x:v>
      </x:c>
      <x:c r="I8" s="253" t="str">
        <x:v>zhen</x:v>
      </x:c>
      <x:c r="J8" s="253" t="str">
        <x:v>zhen</x:v>
      </x:c>
      <x:c r="K8" s="259" t="n">
        <x:v>46090.166666666664</x:v>
      </x:c>
      <x:c r="L8" s="268" t="str">
        <x:f>IFERROR(VLOOKUP(I8,'Handler-Team Map'!$A$7:$C$17,2,FALSE),"")</x:f>
      </x:c>
      <x:c r="M8" s="268" t="str">
        <x:f>IFERROR(VLOOKUP(I8,'Handler-Team Map'!$A$7:$C$17,3,FALSE),"")</x:f>
      </x:c>
      <x:c r="N8" s="274" t="str">
        <x:v>FT_VM_DEP1000_GET500_5X</x:v>
      </x:c>
      <x:c r="O8" s="274" t="str">
        <x:v>VIP BONUS - Deposit 1000 Get 500 - 5x TO</x:v>
      </x:c>
      <x:c r="P8" s="274" t="str">
        <x:v>DepositBonus</x:v>
      </x:c>
      <x:c r="Q8" s="274" t="str">
        <x:v>Approved</x:v>
      </x:c>
      <x:c r="R8" s="265" t="n">
        <x:v>500</x:v>
      </x:c>
      <x:c r="S8" s="253" t="str">
        <x:v>Yes</x:v>
      </x:c>
      <x:c r="T8" s="265" t="n">
        <x:v>5700</x:v>
      </x:c>
      <x:c r="U8" s="253" t="str">
        <x:f>IF(AND(S8="Yes",T8=0),"Yes","No")</x:f>
        <x:v>No</x:v>
      </x:c>
      <x:c r="V8" s="253" t="str">
        <x:v>Yes</x:v>
      </x:c>
      <x:c r="W8" s="253" t="str">
        <x:v>Yes</x:v>
      </x:c>
      <x:c r="X8" s="259" t="n">
        <x:v>46113.166666666664</x:v>
      </x:c>
      <x:c r="Y8" s="265" t="n">
        <x:v>14960</x:v>
      </x:c>
      <x:c r="Z8" s="265" t="n">
        <x:v>16860</x:v>
      </x:c>
      <x:c r="AA8" s="253" t="str">
        <x:f>IF(V8="No","Maturing",IF(AND(U8="Yes",Y8&gt;0),"Yes","No"))</x:f>
        <x:v>No</x:v>
      </x:c>
      <x:c r="AB8" s="253" t="str">
        <x:f>IF(W8="No","Maturing",IF(AND(U8="Yes",Z8&gt;0),"Yes","No"))</x:f>
        <x:v>No</x:v>
      </x:c>
      <x:c r="AC8" s="265" t="n">
        <x:v>-9530.03</x:v>
      </x:c>
      <x:c r="AD8" s="265" t="n">
        <x:v>-7500</x:v>
      </x:c>
      <x:c r="AE8" s="271" t="str"/>
      <x:c r="AF8" s="274" t="str">
        <x:v>Not validated - no control/holdout</x:v>
      </x:c>
      <x:c r="AG8" s="277" t="str">
        <x:v>Recovered execution only; assignment date and unclaimed-offer denominator unavailable</x:v>
      </x:c>
    </x:row>
    <x:row r="9">
      <x:c r="A9" s="252" t="str">
        <x:v>33729520</x:v>
      </x:c>
      <x:c r="B9" s="253" t="str">
        <x:v>WS1</x:v>
      </x:c>
      <x:c r="C9" s="253" t="str">
        <x:v>MB8</x:v>
      </x:c>
      <x:c r="D9" s="262" t="n">
        <x:v>46113.043229166666</x:v>
      </x:c>
      <x:c r="E9" s="259" t="n">
        <x:v>46113.166666666664</x:v>
      </x:c>
      <x:c r="F9" s="253" t="str">
        <x:v>703993</x:v>
      </x:c>
      <x:c r="G9" s="253" t="str">
        <x:v>Themin99</x:v>
      </x:c>
      <x:c r="H9" s="253" t="str">
        <x:v>Yes</x:v>
      </x:c>
      <x:c r="I9" s="253" t="str"/>
      <x:c r="J9" s="253" t="str"/>
      <x:c r="K9" s="259"/>
      <x:c r="L9" s="268" t="str">
        <x:f>IFERROR(VLOOKUP(I9,'Handler-Team Map'!$A$7:$C$17,2,FALSE),"")</x:f>
      </x:c>
      <x:c r="M9" s="268" t="str">
        <x:f>IFERROR(VLOOKUP(I9,'Handler-Team Map'!$A$7:$C$17,3,FALSE),"")</x:f>
      </x:c>
      <x:c r="N9" s="274" t="str">
        <x:v>FT_VM_DEP800_GET400_1X</x:v>
      </x:c>
      <x:c r="O9" s="274" t="str">
        <x:v>VIP BONUS - Deposit 800 Get 400 - 1x TO</x:v>
      </x:c>
      <x:c r="P9" s="274" t="str">
        <x:v>DepositBonus</x:v>
      </x:c>
      <x:c r="Q9" s="274" t="str">
        <x:v>Approved</x:v>
      </x:c>
      <x:c r="R9" s="265" t="n">
        <x:v>400</x:v>
      </x:c>
      <x:c r="S9" s="253" t="str">
        <x:v>Yes</x:v>
      </x:c>
      <x:c r="T9" s="265" t="n">
        <x:v>0</x:v>
      </x:c>
      <x:c r="U9" s="253" t="str">
        <x:f>IF(AND(S9="Yes",T9=0),"Yes","No")</x:f>
        <x:v>Yes</x:v>
      </x:c>
      <x:c r="V9" s="253" t="str">
        <x:v>Yes</x:v>
      </x:c>
      <x:c r="W9" s="253" t="str">
        <x:v>Yes</x:v>
      </x:c>
      <x:c r="X9" s="259" t="n">
        <x:v>46113.166666666664</x:v>
      </x:c>
      <x:c r="Y9" s="265" t="n">
        <x:v>1750</x:v>
      </x:c>
      <x:c r="Z9" s="265" t="n">
        <x:v>1750</x:v>
      </x:c>
      <x:c r="AA9" s="253" t="str">
        <x:f>IF(V9="No","Maturing",IF(AND(U9="Yes",Y9&gt;0),"Yes","No"))</x:f>
        <x:v>Yes</x:v>
      </x:c>
      <x:c r="AB9" s="253" t="str">
        <x:f>IF(W9="No","Maturing",IF(AND(U9="Yes",Z9&gt;0),"Yes","No"))</x:f>
        <x:v>Yes</x:v>
      </x:c>
      <x:c r="AC9" s="265" t="n">
        <x:v>1751.89</x:v>
      </x:c>
      <x:c r="AD9" s="265" t="n">
        <x:v>1753.63</x:v>
      </x:c>
      <x:c r="AE9" s="271" t="str"/>
      <x:c r="AF9" s="274" t="str">
        <x:v>Not validated - no control/holdout</x:v>
      </x:c>
      <x:c r="AG9" s="277" t="str">
        <x:v>Recovered execution only; assignment date and unclaimed-offer denominator unavailable</x:v>
      </x:c>
    </x:row>
    <x:row r="10">
      <x:c r="A10" s="252" t="str">
        <x:v>33730049</x:v>
      </x:c>
      <x:c r="B10" s="253" t="str">
        <x:v>WS1</x:v>
      </x:c>
      <x:c r="C10" s="253" t="str">
        <x:v>MB8</x:v>
      </x:c>
      <x:c r="D10" s="262" t="n">
        <x:v>46113.06947916667</x:v>
      </x:c>
      <x:c r="E10" s="259" t="n">
        <x:v>46113.166666666664</x:v>
      </x:c>
      <x:c r="F10" s="253" t="str">
        <x:v>422328</x:v>
      </x:c>
      <x:c r="G10" s="253" t="str">
        <x:v>yap5643</x:v>
      </x:c>
      <x:c r="H10" s="253" t="str">
        <x:v>Yes</x:v>
      </x:c>
      <x:c r="I10" s="253" t="str">
        <x:v>Claire</x:v>
      </x:c>
      <x:c r="J10" s="253" t="str">
        <x:v>Claire</x:v>
      </x:c>
      <x:c r="K10" s="259" t="n">
        <x:v>45659.166666666664</x:v>
      </x:c>
      <x:c r="L10" s="268" t="str">
        <x:f>IFERROR(VLOOKUP(I10,'Handler-Team Map'!$A$7:$C$17,2,FALSE),"")</x:f>
      </x:c>
      <x:c r="M10" s="268" t="str">
        <x:f>IFERROR(VLOOKUP(I10,'Handler-Team Map'!$A$7:$C$17,3,FALSE),"")</x:f>
      </x:c>
      <x:c r="N10" s="274" t="str">
        <x:v>FT_VM_DEP1000_GET1000_2X</x:v>
      </x:c>
      <x:c r="O10" s="274" t="str">
        <x:v>VIP BONUS - Deposit 1000 Get 1000 - 2x TO</x:v>
      </x:c>
      <x:c r="P10" s="274" t="str">
        <x:v>DepositBonus</x:v>
      </x:c>
      <x:c r="Q10" s="274" t="str">
        <x:v>Approved</x:v>
      </x:c>
      <x:c r="R10" s="265" t="n">
        <x:v>1000</x:v>
      </x:c>
      <x:c r="S10" s="253" t="str">
        <x:v>Yes</x:v>
      </x:c>
      <x:c r="T10" s="265" t="n">
        <x:v>289750</x:v>
      </x:c>
      <x:c r="U10" s="253" t="str">
        <x:f>IF(AND(S10="Yes",T10=0),"Yes","No")</x:f>
        <x:v>No</x:v>
      </x:c>
      <x:c r="V10" s="253" t="str">
        <x:v>Yes</x:v>
      </x:c>
      <x:c r="W10" s="253" t="str">
        <x:v>Yes</x:v>
      </x:c>
      <x:c r="X10" s="259" t="n">
        <x:v>46113.166666666664</x:v>
      </x:c>
      <x:c r="Y10" s="265" t="n">
        <x:v>116000</x:v>
      </x:c>
      <x:c r="Z10" s="265" t="n">
        <x:v>250300</x:v>
      </x:c>
      <x:c r="AA10" s="253" t="str">
        <x:f>IF(V10="No","Maturing",IF(AND(U10="Yes",Y10&gt;0),"Yes","No"))</x:f>
        <x:v>No</x:v>
      </x:c>
      <x:c r="AB10" s="253" t="str">
        <x:f>IF(W10="No","Maturing",IF(AND(U10="Yes",Z10&gt;0),"Yes","No"))</x:f>
        <x:v>No</x:v>
      </x:c>
      <x:c r="AC10" s="265" t="n">
        <x:v>114349.95</x:v>
      </x:c>
      <x:c r="AD10" s="265" t="n">
        <x:v>33069.78</x:v>
      </x:c>
      <x:c r="AE10" s="271" t="str"/>
      <x:c r="AF10" s="274" t="str">
        <x:v>Not validated - no control/holdout</x:v>
      </x:c>
      <x:c r="AG10" s="277" t="str">
        <x:v>Recovered execution only; assignment date and unclaimed-offer denominator unavailable</x:v>
      </x:c>
    </x:row>
    <x:row r="11">
      <x:c r="A11" s="252" t="str">
        <x:v>33732042</x:v>
      </x:c>
      <x:c r="B11" s="253" t="str">
        <x:v>WS1</x:v>
      </x:c>
      <x:c r="C11" s="253" t="str">
        <x:v>MB8</x:v>
      </x:c>
      <x:c r="D11" s="262" t="n">
        <x:v>46113.31255787037</x:v>
      </x:c>
      <x:c r="E11" s="259" t="n">
        <x:v>46113.166666666664</x:v>
      </x:c>
      <x:c r="F11" s="253" t="str">
        <x:v>532295</x:v>
      </x:c>
      <x:c r="G11" s="253" t="str">
        <x:v>tonyass</x:v>
      </x:c>
      <x:c r="H11" s="253" t="str">
        <x:v>Yes</x:v>
      </x:c>
      <x:c r="I11" s="253" t="str">
        <x:v>Elda</x:v>
      </x:c>
      <x:c r="J11" s="253" t="str">
        <x:v>Elda</x:v>
      </x:c>
      <x:c r="K11" s="259" t="n">
        <x:v>45659.166666666664</x:v>
      </x:c>
      <x:c r="L11" s="268" t="str">
        <x:f>IFERROR(VLOOKUP(I11,'Handler-Team Map'!$A$7:$C$17,2,FALSE),"")</x:f>
      </x:c>
      <x:c r="M11" s="268" t="str">
        <x:f>IFERROR(VLOOKUP(I11,'Handler-Team Map'!$A$7:$C$17,3,FALSE),"")</x:f>
      </x:c>
      <x:c r="N11" s="274" t="str">
        <x:v>FT_VM_DEP1000_GET500_5X</x:v>
      </x:c>
      <x:c r="O11" s="274" t="str">
        <x:v>VIP BONUS - Deposit 1000 Get 500 - 5x TO</x:v>
      </x:c>
      <x:c r="P11" s="274" t="str">
        <x:v>DepositBonus</x:v>
      </x:c>
      <x:c r="Q11" s="274" t="str">
        <x:v>Approved</x:v>
      </x:c>
      <x:c r="R11" s="265" t="n">
        <x:v>500</x:v>
      </x:c>
      <x:c r="S11" s="253" t="str">
        <x:v>Yes</x:v>
      </x:c>
      <x:c r="T11" s="265" t="n">
        <x:v>13700</x:v>
      </x:c>
      <x:c r="U11" s="253" t="str">
        <x:f>IF(AND(S11="Yes",T11=0),"Yes","No")</x:f>
        <x:v>No</x:v>
      </x:c>
      <x:c r="V11" s="253" t="str">
        <x:v>Yes</x:v>
      </x:c>
      <x:c r="W11" s="253" t="str">
        <x:v>Yes</x:v>
      </x:c>
      <x:c r="X11" s="259" t="n">
        <x:v>46113.166666666664</x:v>
      </x:c>
      <x:c r="Y11" s="265" t="n">
        <x:v>5200</x:v>
      </x:c>
      <x:c r="Z11" s="265" t="n">
        <x:v>8450</x:v>
      </x:c>
      <x:c r="AA11" s="253" t="str">
        <x:f>IF(V11="No","Maturing",IF(AND(U11="Yes",Y11&gt;0),"Yes","No"))</x:f>
        <x:v>No</x:v>
      </x:c>
      <x:c r="AB11" s="253" t="str">
        <x:f>IF(W11="No","Maturing",IF(AND(U11="Yes",Z11&gt;0),"Yes","No"))</x:f>
        <x:v>No</x:v>
      </x:c>
      <x:c r="AC11" s="265" t="n">
        <x:v>3402.69</x:v>
      </x:c>
      <x:c r="AD11" s="265" t="n">
        <x:v>8100.09</x:v>
      </x:c>
      <x:c r="AE11" s="271" t="str"/>
      <x:c r="AF11" s="274" t="str">
        <x:v>Not validated - no control/holdout</x:v>
      </x:c>
      <x:c r="AG11" s="277" t="str">
        <x:v>Recovered execution only; assignment date and unclaimed-offer denominator unavailable</x:v>
      </x:c>
    </x:row>
    <x:row r="12">
      <x:c r="A12" s="252" t="str">
        <x:v>33733631</x:v>
      </x:c>
      <x:c r="B12" s="253" t="str">
        <x:v>WS1</x:v>
      </x:c>
      <x:c r="C12" s="253" t="str">
        <x:v>MB8</x:v>
      </x:c>
      <x:c r="D12" s="262" t="n">
        <x:v>46113.514918981484</x:v>
      </x:c>
      <x:c r="E12" s="259" t="n">
        <x:v>46113.166666666664</x:v>
      </x:c>
      <x:c r="F12" s="253" t="str">
        <x:v>827371</x:v>
      </x:c>
      <x:c r="G12" s="253" t="str">
        <x:v>marc187</x:v>
      </x:c>
      <x:c r="H12" s="253" t="str">
        <x:v>Yes</x:v>
      </x:c>
      <x:c r="I12" s="253" t="str">
        <x:v>Claire</x:v>
      </x:c>
      <x:c r="J12" s="253" t="str">
        <x:v>Claire</x:v>
      </x:c>
      <x:c r="K12" s="259" t="n">
        <x:v>45755.166666666664</x:v>
      </x:c>
      <x:c r="L12" s="268" t="str">
        <x:f>IFERROR(VLOOKUP(I12,'Handler-Team Map'!$A$7:$C$17,2,FALSE),"")</x:f>
      </x:c>
      <x:c r="M12" s="268" t="str">
        <x:f>IFERROR(VLOOKUP(I12,'Handler-Team Map'!$A$7:$C$17,3,FALSE),"")</x:f>
      </x:c>
      <x:c r="N12" s="274" t="str">
        <x:v>FT_VM_DEP1000_GET1000_2X</x:v>
      </x:c>
      <x:c r="O12" s="274" t="str">
        <x:v>VIP BONUS - Deposit 1000 Get 1000 - 2x TO</x:v>
      </x:c>
      <x:c r="P12" s="274" t="str">
        <x:v>DepositBonus</x:v>
      </x:c>
      <x:c r="Q12" s="274" t="str">
        <x:v>Approved</x:v>
      </x:c>
      <x:c r="R12" s="265" t="n">
        <x:v>1000</x:v>
      </x:c>
      <x:c r="S12" s="253" t="str">
        <x:v>Yes</x:v>
      </x:c>
      <x:c r="T12" s="265" t="n">
        <x:v>1131021.4</x:v>
      </x:c>
      <x:c r="U12" s="253" t="str">
        <x:f>IF(AND(S12="Yes",T12=0),"Yes","No")</x:f>
        <x:v>No</x:v>
      </x:c>
      <x:c r="V12" s="253" t="str">
        <x:v>Yes</x:v>
      </x:c>
      <x:c r="W12" s="253" t="str">
        <x:v>Yes</x:v>
      </x:c>
      <x:c r="X12" s="259" t="n">
        <x:v>46113.166666666664</x:v>
      </x:c>
      <x:c r="Y12" s="265" t="n">
        <x:v>281668</x:v>
      </x:c>
      <x:c r="Z12" s="265" t="n">
        <x:v>798358.32</x:v>
      </x:c>
      <x:c r="AA12" s="253" t="str">
        <x:f>IF(V12="No","Maturing",IF(AND(U12="Yes",Y12&gt;0),"Yes","No"))</x:f>
        <x:v>No</x:v>
      </x:c>
      <x:c r="AB12" s="253" t="str">
        <x:f>IF(W12="No","Maturing",IF(AND(U12="Yes",Z12&gt;0),"Yes","No"))</x:f>
        <x:v>No</x:v>
      </x:c>
      <x:c r="AC12" s="265" t="n">
        <x:v>70751.93</x:v>
      </x:c>
      <x:c r="AD12" s="265" t="n">
        <x:v>216591.37</x:v>
      </x:c>
      <x:c r="AE12" s="271" t="str"/>
      <x:c r="AF12" s="274" t="str">
        <x:v>Not validated - no control/holdout</x:v>
      </x:c>
      <x:c r="AG12" s="277" t="str">
        <x:v>Recovered execution only; assignment date and unclaimed-offer denominator unavailable</x:v>
      </x:c>
    </x:row>
    <x:row r="13">
      <x:c r="A13" s="252" t="str">
        <x:v>33733980</x:v>
      </x:c>
      <x:c r="B13" s="253" t="str">
        <x:v>WS1</x:v>
      </x:c>
      <x:c r="C13" s="253" t="str">
        <x:v>MB8</x:v>
      </x:c>
      <x:c r="D13" s="262" t="n">
        <x:v>46113.54392361111</x:v>
      </x:c>
      <x:c r="E13" s="259" t="n">
        <x:v>46113.166666666664</x:v>
      </x:c>
      <x:c r="F13" s="253" t="str">
        <x:v>250164</x:v>
      </x:c>
      <x:c r="G13" s="253" t="str">
        <x:v>nazkrin267</x:v>
      </x:c>
      <x:c r="H13" s="253" t="str">
        <x:v>Yes</x:v>
      </x:c>
      <x:c r="I13" s="253" t="str">
        <x:v>Serene</x:v>
      </x:c>
      <x:c r="J13" s="253" t="str">
        <x:v>Serene</x:v>
      </x:c>
      <x:c r="K13" s="259" t="n">
        <x:v>45859.166666666664</x:v>
      </x:c>
      <x:c r="L13" s="268" t="str">
        <x:f>IFERROR(VLOOKUP(I13,'Handler-Team Map'!$A$7:$C$17,2,FALSE),"")</x:f>
      </x:c>
      <x:c r="M13" s="268" t="str">
        <x:f>IFERROR(VLOOKUP(I13,'Handler-Team Map'!$A$7:$C$17,3,FALSE),"")</x:f>
      </x:c>
      <x:c r="N13" s="274" t="str">
        <x:v>FT_VM_DEP1000_GET500_5X</x:v>
      </x:c>
      <x:c r="O13" s="274" t="str">
        <x:v>VIP BONUS - Deposit 1000 Get 500 - 5x TO</x:v>
      </x:c>
      <x:c r="P13" s="274" t="str">
        <x:v>DepositBonus</x:v>
      </x:c>
      <x:c r="Q13" s="274" t="str">
        <x:v>Approved</x:v>
      </x:c>
      <x:c r="R13" s="265" t="n">
        <x:v>500</x:v>
      </x:c>
      <x:c r="S13" s="253" t="str">
        <x:v>Yes</x:v>
      </x:c>
      <x:c r="T13" s="265" t="n">
        <x:v>88</x:v>
      </x:c>
      <x:c r="U13" s="253" t="str">
        <x:f>IF(AND(S13="Yes",T13=0),"Yes","No")</x:f>
        <x:v>No</x:v>
      </x:c>
      <x:c r="V13" s="253" t="str">
        <x:v>Yes</x:v>
      </x:c>
      <x:c r="W13" s="253" t="str">
        <x:v>Yes</x:v>
      </x:c>
      <x:c r="X13" s="259" t="n">
        <x:v>46113.166666666664</x:v>
      </x:c>
      <x:c r="Y13" s="265" t="n">
        <x:v>1750</x:v>
      </x:c>
      <x:c r="Z13" s="265" t="n">
        <x:v>2050</x:v>
      </x:c>
      <x:c r="AA13" s="253" t="str">
        <x:f>IF(V13="No","Maturing",IF(AND(U13="Yes",Y13&gt;0),"Yes","No"))</x:f>
        <x:v>No</x:v>
      </x:c>
      <x:c r="AB13" s="253" t="str">
        <x:f>IF(W13="No","Maturing",IF(AND(U13="Yes",Z13&gt;0),"Yes","No"))</x:f>
        <x:v>No</x:v>
      </x:c>
      <x:c r="AC13" s="265" t="n">
        <x:v>1552.01</x:v>
      </x:c>
      <x:c r="AD13" s="265" t="n">
        <x:v>1849.93</x:v>
      </x:c>
      <x:c r="AE13" s="271" t="str"/>
      <x:c r="AF13" s="274" t="str">
        <x:v>Not validated - no control/holdout</x:v>
      </x:c>
      <x:c r="AG13" s="277" t="str">
        <x:v>Recovered execution only; assignment date and unclaimed-offer denominator unavailable</x:v>
      </x:c>
    </x:row>
    <x:row r="14">
      <x:c r="A14" s="252" t="str">
        <x:v>33734171</x:v>
      </x:c>
      <x:c r="B14" s="253" t="str">
        <x:v>WS1</x:v>
      </x:c>
      <x:c r="C14" s="253" t="str">
        <x:v>MB8</x:v>
      </x:c>
      <x:c r="D14" s="262" t="n">
        <x:v>46113.55594907407</x:v>
      </x:c>
      <x:c r="E14" s="259" t="n">
        <x:v>46113.166666666664</x:v>
      </x:c>
      <x:c r="F14" s="253" t="str">
        <x:v>127399</x:v>
      </x:c>
      <x:c r="G14" s="253" t="str">
        <x:v>WTM852GK</x:v>
      </x:c>
      <x:c r="H14" s="253" t="str">
        <x:v>Yes</x:v>
      </x:c>
      <x:c r="I14" s="253" t="str">
        <x:v>Serene</x:v>
      </x:c>
      <x:c r="J14" s="253" t="str">
        <x:v>Serene</x:v>
      </x:c>
      <x:c r="K14" s="259" t="n">
        <x:v>45831.166666666664</x:v>
      </x:c>
      <x:c r="L14" s="268" t="str">
        <x:f>IFERROR(VLOOKUP(I14,'Handler-Team Map'!$A$7:$C$17,2,FALSE),"")</x:f>
      </x:c>
      <x:c r="M14" s="268" t="str">
        <x:f>IFERROR(VLOOKUP(I14,'Handler-Team Map'!$A$7:$C$17,3,FALSE),"")</x:f>
      </x:c>
      <x:c r="N14" s="274" t="str">
        <x:v>FT_VM_DEP1000_GET500_5X</x:v>
      </x:c>
      <x:c r="O14" s="274" t="str">
        <x:v>VIP BONUS - Deposit 1000 Get 500 - 5x TO</x:v>
      </x:c>
      <x:c r="P14" s="274" t="str">
        <x:v>DepositBonus</x:v>
      </x:c>
      <x:c r="Q14" s="274" t="str">
        <x:v>Approved</x:v>
      </x:c>
      <x:c r="R14" s="265" t="n">
        <x:v>500</x:v>
      </x:c>
      <x:c r="S14" s="253" t="str">
        <x:v>Yes</x:v>
      </x:c>
      <x:c r="T14" s="265" t="n">
        <x:v>9845</x:v>
      </x:c>
      <x:c r="U14" s="253" t="str">
        <x:f>IF(AND(S14="Yes",T14=0),"Yes","No")</x:f>
        <x:v>No</x:v>
      </x:c>
      <x:c r="V14" s="253" t="str">
        <x:v>Yes</x:v>
      </x:c>
      <x:c r="W14" s="253" t="str">
        <x:v>Yes</x:v>
      </x:c>
      <x:c r="X14" s="259" t="n">
        <x:v>46113.166666666664</x:v>
      </x:c>
      <x:c r="Y14" s="265" t="n">
        <x:v>1640</x:v>
      </x:c>
      <x:c r="Z14" s="265" t="n">
        <x:v>3759</x:v>
      </x:c>
      <x:c r="AA14" s="253" t="str">
        <x:f>IF(V14="No","Maturing",IF(AND(U14="Yes",Y14&gt;0),"Yes","No"))</x:f>
        <x:v>No</x:v>
      </x:c>
      <x:c r="AB14" s="253" t="str">
        <x:f>IF(W14="No","Maturing",IF(AND(U14="Yes",Z14&gt;0),"Yes","No"))</x:f>
        <x:v>No</x:v>
      </x:c>
      <x:c r="AC14" s="265" t="n">
        <x:v>1240.23</x:v>
      </x:c>
      <x:c r="AD14" s="265" t="n">
        <x:v>-1122.1</x:v>
      </x:c>
      <x:c r="AE14" s="271" t="str"/>
      <x:c r="AF14" s="274" t="str">
        <x:v>Not validated - no control/holdout</x:v>
      </x:c>
      <x:c r="AG14" s="277" t="str">
        <x:v>Recovered execution only; assignment date and unclaimed-offer denominator unavailable</x:v>
      </x:c>
    </x:row>
    <x:row r="15">
      <x:c r="A15" s="252" t="str">
        <x:v>33734324</x:v>
      </x:c>
      <x:c r="B15" s="253" t="str">
        <x:v>WS1</x:v>
      </x:c>
      <x:c r="C15" s="253" t="str">
        <x:v>MB8</x:v>
      </x:c>
      <x:c r="D15" s="262" t="n">
        <x:v>46113.56637731481</x:v>
      </x:c>
      <x:c r="E15" s="259" t="n">
        <x:v>46113.166666666664</x:v>
      </x:c>
      <x:c r="F15" s="253" t="str">
        <x:v>218256</x:v>
      </x:c>
      <x:c r="G15" s="253" t="str">
        <x:v>Bobby2626</x:v>
      </x:c>
      <x:c r="H15" s="253" t="str">
        <x:v>Yes</x:v>
      </x:c>
      <x:c r="I15" s="253" t="str">
        <x:v>Elda</x:v>
      </x:c>
      <x:c r="J15" s="253" t="str">
        <x:v>Elda</x:v>
      </x:c>
      <x:c r="K15" s="259" t="n">
        <x:v>45659.166666666664</x:v>
      </x:c>
      <x:c r="L15" s="268" t="str">
        <x:f>IFERROR(VLOOKUP(I15,'Handler-Team Map'!$A$7:$C$17,2,FALSE),"")</x:f>
      </x:c>
      <x:c r="M15" s="268" t="str">
        <x:f>IFERROR(VLOOKUP(I15,'Handler-Team Map'!$A$7:$C$17,3,FALSE),"")</x:f>
      </x:c>
      <x:c r="N15" s="274" t="str">
        <x:v>FT_VM_DEP1000_GET500_5X</x:v>
      </x:c>
      <x:c r="O15" s="274" t="str">
        <x:v>VIP BONUS - Deposit 1000 Get 500 - 5x TO</x:v>
      </x:c>
      <x:c r="P15" s="274" t="str">
        <x:v>DepositBonus</x:v>
      </x:c>
      <x:c r="Q15" s="274" t="str">
        <x:v>Approved</x:v>
      </x:c>
      <x:c r="R15" s="265" t="n">
        <x:v>500</x:v>
      </x:c>
      <x:c r="S15" s="253" t="str">
        <x:v>Yes</x:v>
      </x:c>
      <x:c r="T15" s="265" t="n">
        <x:v>4400</x:v>
      </x:c>
      <x:c r="U15" s="253" t="str">
        <x:f>IF(AND(S15="Yes",T15=0),"Yes","No")</x:f>
        <x:v>No</x:v>
      </x:c>
      <x:c r="V15" s="253" t="str">
        <x:v>Yes</x:v>
      </x:c>
      <x:c r="W15" s="253" t="str">
        <x:v>Yes</x:v>
      </x:c>
      <x:c r="X15" s="259" t="n">
        <x:v>46113.166666666664</x:v>
      </x:c>
      <x:c r="Y15" s="265" t="n">
        <x:v>7000</x:v>
      </x:c>
      <x:c r="Z15" s="265" t="n">
        <x:v>7000</x:v>
      </x:c>
      <x:c r="AA15" s="253" t="str">
        <x:f>IF(V15="No","Maturing",IF(AND(U15="Yes",Y15&gt;0),"Yes","No"))</x:f>
        <x:v>No</x:v>
      </x:c>
      <x:c r="AB15" s="253" t="str">
        <x:f>IF(W15="No","Maturing",IF(AND(U15="Yes",Z15&gt;0),"Yes","No"))</x:f>
        <x:v>No</x:v>
      </x:c>
      <x:c r="AC15" s="265" t="n">
        <x:v>6425.15</x:v>
      </x:c>
      <x:c r="AD15" s="265" t="n">
        <x:v>6261.76</x:v>
      </x:c>
      <x:c r="AE15" s="271" t="str"/>
      <x:c r="AF15" s="274" t="str">
        <x:v>Not validated - no control/holdout</x:v>
      </x:c>
      <x:c r="AG15" s="277" t="str">
        <x:v>Recovered execution only; assignment date and unclaimed-offer denominator unavailable</x:v>
      </x:c>
    </x:row>
    <x:row r="16">
      <x:c r="A16" s="252" t="str">
        <x:v>33734741</x:v>
      </x:c>
      <x:c r="B16" s="253" t="str">
        <x:v>WS1</x:v>
      </x:c>
      <x:c r="C16" s="253" t="str">
        <x:v>MB8</x:v>
      </x:c>
      <x:c r="D16" s="262" t="n">
        <x:v>46113.5968287037</x:v>
      </x:c>
      <x:c r="E16" s="259" t="n">
        <x:v>46113.166666666664</x:v>
      </x:c>
      <x:c r="F16" s="253" t="str">
        <x:v>660411</x:v>
      </x:c>
      <x:c r="G16" s="253" t="str">
        <x:v>babyshark888</x:v>
      </x:c>
      <x:c r="H16" s="253" t="str">
        <x:v>Yes</x:v>
      </x:c>
      <x:c r="I16" s="253" t="str">
        <x:v>Serene</x:v>
      </x:c>
      <x:c r="J16" s="253" t="str">
        <x:v>Serene</x:v>
      </x:c>
      <x:c r="K16" s="259" t="n">
        <x:v>45859.166666666664</x:v>
      </x:c>
      <x:c r="L16" s="268" t="str">
        <x:f>IFERROR(VLOOKUP(I16,'Handler-Team Map'!$A$7:$C$17,2,FALSE),"")</x:f>
      </x:c>
      <x:c r="M16" s="268" t="str">
        <x:f>IFERROR(VLOOKUP(I16,'Handler-Team Map'!$A$7:$C$17,3,FALSE),"")</x:f>
      </x:c>
      <x:c r="N16" s="274" t="str">
        <x:v>FT_VM_DEP1000_GET500_5X</x:v>
      </x:c>
      <x:c r="O16" s="274" t="str">
        <x:v>VIP BONUS - Deposit 1000 Get 500 - 5x TO</x:v>
      </x:c>
      <x:c r="P16" s="274" t="str">
        <x:v>DepositBonus</x:v>
      </x:c>
      <x:c r="Q16" s="274" t="str">
        <x:v>Approved</x:v>
      </x:c>
      <x:c r="R16" s="265" t="n">
        <x:v>500</x:v>
      </x:c>
      <x:c r="S16" s="253" t="str">
        <x:v>Yes</x:v>
      </x:c>
      <x:c r="T16" s="265" t="n">
        <x:v>7560</x:v>
      </x:c>
      <x:c r="U16" s="253" t="str">
        <x:f>IF(AND(S16="Yes",T16=0),"Yes","No")</x:f>
        <x:v>No</x:v>
      </x:c>
      <x:c r="V16" s="253" t="str">
        <x:v>Yes</x:v>
      </x:c>
      <x:c r="W16" s="253" t="str">
        <x:v>Yes</x:v>
      </x:c>
      <x:c r="X16" s="259" t="n">
        <x:v>46113.166666666664</x:v>
      </x:c>
      <x:c r="Y16" s="265" t="n">
        <x:v>3750</x:v>
      </x:c>
      <x:c r="Z16" s="265" t="n">
        <x:v>3750</x:v>
      </x:c>
      <x:c r="AA16" s="253" t="str">
        <x:f>IF(V16="No","Maturing",IF(AND(U16="Yes",Y16&gt;0),"Yes","No"))</x:f>
        <x:v>No</x:v>
      </x:c>
      <x:c r="AB16" s="253" t="str">
        <x:f>IF(W16="No","Maturing",IF(AND(U16="Yes",Z16&gt;0),"Yes","No"))</x:f>
        <x:v>No</x:v>
      </x:c>
      <x:c r="AC16" s="265" t="n">
        <x:v>3748.75</x:v>
      </x:c>
      <x:c r="AD16" s="265" t="n">
        <x:v>3748.75</x:v>
      </x:c>
      <x:c r="AE16" s="271" t="str"/>
      <x:c r="AF16" s="274" t="str">
        <x:v>Not validated - no control/holdout</x:v>
      </x:c>
      <x:c r="AG16" s="277" t="str">
        <x:v>Recovered execution only; assignment date and unclaimed-offer denominator unavailable</x:v>
      </x:c>
    </x:row>
    <x:row r="17">
      <x:c r="A17" s="252" t="str">
        <x:v>33736561</x:v>
      </x:c>
      <x:c r="B17" s="253" t="str">
        <x:v>WS1</x:v>
      </x:c>
      <x:c r="C17" s="253" t="str">
        <x:v>MB8</x:v>
      </x:c>
      <x:c r="D17" s="262" t="n">
        <x:v>46113.71420138889</x:v>
      </x:c>
      <x:c r="E17" s="259" t="n">
        <x:v>46113.166666666664</x:v>
      </x:c>
      <x:c r="F17" s="253" t="str">
        <x:v>405339</x:v>
      </x:c>
      <x:c r="G17" s="253" t="str">
        <x:v>Azuarniss96</x:v>
      </x:c>
      <x:c r="H17" s="253" t="str">
        <x:v>Yes</x:v>
      </x:c>
      <x:c r="I17" s="253" t="str">
        <x:v>Elda</x:v>
      </x:c>
      <x:c r="J17" s="253" t="str">
        <x:v>Elda</x:v>
      </x:c>
      <x:c r="K17" s="259" t="n">
        <x:v>45659.166666666664</x:v>
      </x:c>
      <x:c r="L17" s="268" t="str">
        <x:f>IFERROR(VLOOKUP(I17,'Handler-Team Map'!$A$7:$C$17,2,FALSE),"")</x:f>
      </x:c>
      <x:c r="M17" s="268" t="str">
        <x:f>IFERROR(VLOOKUP(I17,'Handler-Team Map'!$A$7:$C$17,3,FALSE),"")</x:f>
      </x:c>
      <x:c r="N17" s="274" t="str">
        <x:v>FT_VM_DEP1000_GET1000_1X</x:v>
      </x:c>
      <x:c r="O17" s="274" t="str">
        <x:v>VIP BONUS - Deposit 1000 Get 1000 - 1x TO</x:v>
      </x:c>
      <x:c r="P17" s="274" t="str">
        <x:v>DepositBonus</x:v>
      </x:c>
      <x:c r="Q17" s="274" t="str">
        <x:v>Approved</x:v>
      </x:c>
      <x:c r="R17" s="265" t="n">
        <x:v>1000</x:v>
      </x:c>
      <x:c r="S17" s="253" t="str">
        <x:v>Yes</x:v>
      </x:c>
      <x:c r="T17" s="265" t="n">
        <x:v>85016</x:v>
      </x:c>
      <x:c r="U17" s="253" t="str">
        <x:f>IF(AND(S17="Yes",T17=0),"Yes","No")</x:f>
        <x:v>No</x:v>
      </x:c>
      <x:c r="V17" s="253" t="str">
        <x:v>Yes</x:v>
      </x:c>
      <x:c r="W17" s="253" t="str">
        <x:v>Yes</x:v>
      </x:c>
      <x:c r="X17" s="259" t="n">
        <x:v>46113.166666666664</x:v>
      </x:c>
      <x:c r="Y17" s="265" t="n">
        <x:v>87460</x:v>
      </x:c>
      <x:c r="Z17" s="265" t="n">
        <x:v>122315</x:v>
      </x:c>
      <x:c r="AA17" s="253" t="str">
        <x:f>IF(V17="No","Maturing",IF(AND(U17="Yes",Y17&gt;0),"Yes","No"))</x:f>
        <x:v>No</x:v>
      </x:c>
      <x:c r="AB17" s="253" t="str">
        <x:f>IF(W17="No","Maturing",IF(AND(U17="Yes",Z17&gt;0),"Yes","No"))</x:f>
        <x:v>No</x:v>
      </x:c>
      <x:c r="AC17" s="265" t="n">
        <x:v>43317.22</x:v>
      </x:c>
      <x:c r="AD17" s="265" t="n">
        <x:v>65891.69</x:v>
      </x:c>
      <x:c r="AE17" s="271" t="str"/>
      <x:c r="AF17" s="274" t="str">
        <x:v>Not validated - no control/holdout</x:v>
      </x:c>
      <x:c r="AG17" s="277" t="str">
        <x:v>Recovered execution only; assignment date and unclaimed-offer denominator unavailable</x:v>
      </x:c>
    </x:row>
    <x:row r="18">
      <x:c r="A18" s="252" t="str">
        <x:v>33736782</x:v>
      </x:c>
      <x:c r="B18" s="253" t="str">
        <x:v>WS1</x:v>
      </x:c>
      <x:c r="C18" s="253" t="str">
        <x:v>MB8</x:v>
      </x:c>
      <x:c r="D18" s="262" t="n">
        <x:v>46113.72605324074</x:v>
      </x:c>
      <x:c r="E18" s="259" t="n">
        <x:v>46113.166666666664</x:v>
      </x:c>
      <x:c r="F18" s="253" t="str">
        <x:v>483139</x:v>
      </x:c>
      <x:c r="G18" s="253" t="str">
        <x:v>attieu</x:v>
      </x:c>
      <x:c r="H18" s="253" t="str">
        <x:v>Yes</x:v>
      </x:c>
      <x:c r="I18" s="253" t="str">
        <x:v>Serene</x:v>
      </x:c>
      <x:c r="J18" s="253" t="str">
        <x:v>Serene</x:v>
      </x:c>
      <x:c r="K18" s="259" t="n">
        <x:v>45859.166666666664</x:v>
      </x:c>
      <x:c r="L18" s="268" t="str">
        <x:f>IFERROR(VLOOKUP(I18,'Handler-Team Map'!$A$7:$C$17,2,FALSE),"")</x:f>
      </x:c>
      <x:c r="M18" s="268" t="str">
        <x:f>IFERROR(VLOOKUP(I18,'Handler-Team Map'!$A$7:$C$17,3,FALSE),"")</x:f>
      </x:c>
      <x:c r="N18" s="274" t="str">
        <x:v>FT_VM_DEP300_GET100_5X</x:v>
      </x:c>
      <x:c r="O18" s="274" t="str">
        <x:v>VIP BONUS - Deposit 300 Get 100 - 5x TO</x:v>
      </x:c>
      <x:c r="P18" s="274" t="str">
        <x:v>DepositBonus</x:v>
      </x:c>
      <x:c r="Q18" s="274" t="str">
        <x:v>Approved</x:v>
      </x:c>
      <x:c r="R18" s="265" t="n">
        <x:v>100</x:v>
      </x:c>
      <x:c r="S18" s="253" t="str">
        <x:v>Yes</x:v>
      </x:c>
      <x:c r="T18" s="265" t="n">
        <x:v>48580</x:v>
      </x:c>
      <x:c r="U18" s="253" t="str">
        <x:f>IF(AND(S18="Yes",T18=0),"Yes","No")</x:f>
        <x:v>No</x:v>
      </x:c>
      <x:c r="V18" s="253" t="str">
        <x:v>Yes</x:v>
      </x:c>
      <x:c r="W18" s="253" t="str">
        <x:v>Yes</x:v>
      </x:c>
      <x:c r="X18" s="259" t="n">
        <x:v>46113.166666666664</x:v>
      </x:c>
      <x:c r="Y18" s="265" t="n">
        <x:v>16400</x:v>
      </x:c>
      <x:c r="Z18" s="265" t="n">
        <x:v>27200</x:v>
      </x:c>
      <x:c r="AA18" s="253" t="str">
        <x:f>IF(V18="No","Maturing",IF(AND(U18="Yes",Y18&gt;0),"Yes","No"))</x:f>
        <x:v>No</x:v>
      </x:c>
      <x:c r="AB18" s="253" t="str">
        <x:f>IF(W18="No","Maturing",IF(AND(U18="Yes",Z18&gt;0),"Yes","No"))</x:f>
        <x:v>No</x:v>
      </x:c>
      <x:c r="AC18" s="265" t="n">
        <x:v>9167.71</x:v>
      </x:c>
      <x:c r="AD18" s="265" t="n">
        <x:v>10744.47</x:v>
      </x:c>
      <x:c r="AE18" s="271" t="str"/>
      <x:c r="AF18" s="274" t="str">
        <x:v>Not validated - no control/holdout</x:v>
      </x:c>
      <x:c r="AG18" s="277" t="str">
        <x:v>Recovered execution only; assignment date and unclaimed-offer denominator unavailable</x:v>
      </x:c>
    </x:row>
    <x:row r="19">
      <x:c r="A19" s="252" t="str">
        <x:v>33737012</x:v>
      </x:c>
      <x:c r="B19" s="253" t="str">
        <x:v>WS1</x:v>
      </x:c>
      <x:c r="C19" s="253" t="str">
        <x:v>MB8</x:v>
      </x:c>
      <x:c r="D19" s="262" t="n">
        <x:v>46113.74061342593</x:v>
      </x:c>
      <x:c r="E19" s="259" t="n">
        <x:v>46113.166666666664</x:v>
      </x:c>
      <x:c r="F19" s="253" t="str">
        <x:v>648954</x:v>
      </x:c>
      <x:c r="G19" s="253" t="str">
        <x:v>Jesh16</x:v>
      </x:c>
      <x:c r="H19" s="253" t="str">
        <x:v>Yes</x:v>
      </x:c>
      <x:c r="I19" s="253" t="str">
        <x:v>Claire</x:v>
      </x:c>
      <x:c r="J19" s="253" t="str">
        <x:v>Claire</x:v>
      </x:c>
      <x:c r="K19" s="259" t="n">
        <x:v>45659.166666666664</x:v>
      </x:c>
      <x:c r="L19" s="268" t="str">
        <x:f>IFERROR(VLOOKUP(I19,'Handler-Team Map'!$A$7:$C$17,2,FALSE),"")</x:f>
      </x:c>
      <x:c r="M19" s="268" t="str">
        <x:f>IFERROR(VLOOKUP(I19,'Handler-Team Map'!$A$7:$C$17,3,FALSE),"")</x:f>
      </x:c>
      <x:c r="N19" s="274" t="str">
        <x:v>FT_VM_DEP1000_GET900_1X</x:v>
      </x:c>
      <x:c r="O19" s="274" t="str">
        <x:v>VIP BONUS - Deposit 1000 Get 900 - 1x TO</x:v>
      </x:c>
      <x:c r="P19" s="274" t="str">
        <x:v>DepositBonus</x:v>
      </x:c>
      <x:c r="Q19" s="274" t="str">
        <x:v>Approved</x:v>
      </x:c>
      <x:c r="R19" s="265" t="n">
        <x:v>900</x:v>
      </x:c>
      <x:c r="S19" s="253" t="str">
        <x:v>Yes</x:v>
      </x:c>
      <x:c r="T19" s="265" t="n">
        <x:v>74990</x:v>
      </x:c>
      <x:c r="U19" s="253" t="str">
        <x:f>IF(AND(S19="Yes",T19=0),"Yes","No")</x:f>
        <x:v>No</x:v>
      </x:c>
      <x:c r="V19" s="253" t="str">
        <x:v>Yes</x:v>
      </x:c>
      <x:c r="W19" s="253" t="str">
        <x:v>Yes</x:v>
      </x:c>
      <x:c r="X19" s="259" t="n">
        <x:v>46113.166666666664</x:v>
      </x:c>
      <x:c r="Y19" s="265" t="n">
        <x:v>35720</x:v>
      </x:c>
      <x:c r="Z19" s="265" t="n">
        <x:v>72920</x:v>
      </x:c>
      <x:c r="AA19" s="253" t="str">
        <x:f>IF(V19="No","Maturing",IF(AND(U19="Yes",Y19&gt;0),"Yes","No"))</x:f>
        <x:v>No</x:v>
      </x:c>
      <x:c r="AB19" s="253" t="str">
        <x:f>IF(W19="No","Maturing",IF(AND(U19="Yes",Z19&gt;0),"Yes","No"))</x:f>
        <x:v>No</x:v>
      </x:c>
      <x:c r="AC19" s="265" t="n">
        <x:v>17871.31</x:v>
      </x:c>
      <x:c r="AD19" s="265" t="n">
        <x:v>23319.75</x:v>
      </x:c>
      <x:c r="AE19" s="271" t="str"/>
      <x:c r="AF19" s="274" t="str">
        <x:v>Not validated - no control/holdout</x:v>
      </x:c>
      <x:c r="AG19" s="277" t="str">
        <x:v>Recovered execution only; assignment date and unclaimed-offer denominator unavailable</x:v>
      </x:c>
    </x:row>
    <x:row r="20">
      <x:c r="A20" s="252" t="str">
        <x:v>33737037</x:v>
      </x:c>
      <x:c r="B20" s="253" t="str">
        <x:v>WS1</x:v>
      </x:c>
      <x:c r="C20" s="253" t="str">
        <x:v>MB8</x:v>
      </x:c>
      <x:c r="D20" s="262" t="n">
        <x:v>46113.741481481484</x:v>
      </x:c>
      <x:c r="E20" s="259" t="n">
        <x:v>46113.166666666664</x:v>
      </x:c>
      <x:c r="F20" s="253" t="str">
        <x:v>788115</x:v>
      </x:c>
      <x:c r="G20" s="253" t="str">
        <x:v>Wee5558</x:v>
      </x:c>
      <x:c r="H20" s="253" t="str">
        <x:v>Yes</x:v>
      </x:c>
      <x:c r="I20" s="253" t="str">
        <x:v>Tammy</x:v>
      </x:c>
      <x:c r="J20" s="253" t="str">
        <x:v>Tammy</x:v>
      </x:c>
      <x:c r="K20" s="259" t="n">
        <x:v>45951.166666666664</x:v>
      </x:c>
      <x:c r="L20" s="268" t="str">
        <x:f>IFERROR(VLOOKUP(I20,'Handler-Team Map'!$A$7:$C$17,2,FALSE),"")</x:f>
      </x:c>
      <x:c r="M20" s="268" t="str">
        <x:f>IFERROR(VLOOKUP(I20,'Handler-Team Map'!$A$7:$C$17,3,FALSE),"")</x:f>
      </x:c>
      <x:c r="N20" s="274" t="str">
        <x:v>FT_VM_DEP1000_GET500_5X</x:v>
      </x:c>
      <x:c r="O20" s="274" t="str">
        <x:v>VIP BONUS - Deposit 1000 Get 500 - 5x TO</x:v>
      </x:c>
      <x:c r="P20" s="274" t="str">
        <x:v>DepositBonus</x:v>
      </x:c>
      <x:c r="Q20" s="274" t="str">
        <x:v>Approved</x:v>
      </x:c>
      <x:c r="R20" s="265" t="n">
        <x:v>500</x:v>
      </x:c>
      <x:c r="S20" s="253" t="str">
        <x:v>Yes</x:v>
      </x:c>
      <x:c r="T20" s="265" t="n">
        <x:v>6510</x:v>
      </x:c>
      <x:c r="U20" s="253" t="str">
        <x:f>IF(AND(S20="Yes",T20=0),"Yes","No")</x:f>
        <x:v>No</x:v>
      </x:c>
      <x:c r="V20" s="253" t="str">
        <x:v>Yes</x:v>
      </x:c>
      <x:c r="W20" s="253" t="str">
        <x:v>Yes</x:v>
      </x:c>
      <x:c r="X20" s="259" t="n">
        <x:v>46113.166666666664</x:v>
      </x:c>
      <x:c r="Y20" s="265" t="n">
        <x:v>3300</x:v>
      </x:c>
      <x:c r="Z20" s="265" t="n">
        <x:v>3800</x:v>
      </x:c>
      <x:c r="AA20" s="253" t="str">
        <x:f>IF(V20="No","Maturing",IF(AND(U20="Yes",Y20&gt;0),"Yes","No"))</x:f>
        <x:v>No</x:v>
      </x:c>
      <x:c r="AB20" s="253" t="str">
        <x:f>IF(W20="No","Maturing",IF(AND(U20="Yes",Z20&gt;0),"Yes","No"))</x:f>
        <x:v>No</x:v>
      </x:c>
      <x:c r="AC20" s="265" t="n">
        <x:v>3287.14</x:v>
      </x:c>
      <x:c r="AD20" s="265" t="n">
        <x:v>3799.91</x:v>
      </x:c>
      <x:c r="AE20" s="271" t="str"/>
      <x:c r="AF20" s="274" t="str">
        <x:v>Not validated - no control/holdout</x:v>
      </x:c>
      <x:c r="AG20" s="277" t="str">
        <x:v>Recovered execution only; assignment date and unclaimed-offer denominator unavailable</x:v>
      </x:c>
    </x:row>
    <x:row r="21">
      <x:c r="A21" s="252" t="str">
        <x:v>33737256</x:v>
      </x:c>
      <x:c r="B21" s="253" t="str">
        <x:v>WS1</x:v>
      </x:c>
      <x:c r="C21" s="253" t="str">
        <x:v>MB8</x:v>
      </x:c>
      <x:c r="D21" s="262" t="n">
        <x:v>46113.75181712963</x:v>
      </x:c>
      <x:c r="E21" s="259" t="n">
        <x:v>46113.166666666664</x:v>
      </x:c>
      <x:c r="F21" s="253" t="str">
        <x:v>28287</x:v>
      </x:c>
      <x:c r="G21" s="253" t="str">
        <x:v>Haze88</x:v>
      </x:c>
      <x:c r="H21" s="253" t="str">
        <x:v>Yes</x:v>
      </x:c>
      <x:c r="I21" s="253" t="str">
        <x:v>Claire</x:v>
      </x:c>
      <x:c r="J21" s="253" t="str">
        <x:v>Claire</x:v>
      </x:c>
      <x:c r="K21" s="259" t="n">
        <x:v>46090.166666666664</x:v>
      </x:c>
      <x:c r="L21" s="268" t="str">
        <x:f>IFERROR(VLOOKUP(I21,'Handler-Team Map'!$A$7:$C$17,2,FALSE),"")</x:f>
      </x:c>
      <x:c r="M21" s="268" t="str">
        <x:f>IFERROR(VLOOKUP(I21,'Handler-Team Map'!$A$7:$C$17,3,FALSE),"")</x:f>
      </x:c>
      <x:c r="N21" s="274" t="str">
        <x:v>FT_VM_DEP1000_GET500_5X</x:v>
      </x:c>
      <x:c r="O21" s="274" t="str">
        <x:v>VIP BONUS - Deposit 1000 Get 500 - 5x TO</x:v>
      </x:c>
      <x:c r="P21" s="274" t="str">
        <x:v>DepositBonus</x:v>
      </x:c>
      <x:c r="Q21" s="274" t="str">
        <x:v>Approved</x:v>
      </x:c>
      <x:c r="R21" s="265" t="n">
        <x:v>500</x:v>
      </x:c>
      <x:c r="S21" s="253" t="str">
        <x:v>Yes</x:v>
      </x:c>
      <x:c r="T21" s="265" t="n">
        <x:v>3000</x:v>
      </x:c>
      <x:c r="U21" s="253" t="str">
        <x:f>IF(AND(S21="Yes",T21=0),"Yes","No")</x:f>
        <x:v>No</x:v>
      </x:c>
      <x:c r="V21" s="253" t="str">
        <x:v>Yes</x:v>
      </x:c>
      <x:c r="W21" s="253" t="str">
        <x:v>Yes</x:v>
      </x:c>
      <x:c r="X21" s="259" t="n">
        <x:v>46113.166666666664</x:v>
      </x:c>
      <x:c r="Y21" s="265" t="n">
        <x:v>1000</x:v>
      </x:c>
      <x:c r="Z21" s="265" t="n">
        <x:v>1000</x:v>
      </x:c>
      <x:c r="AA21" s="253" t="str">
        <x:f>IF(V21="No","Maturing",IF(AND(U21="Yes",Y21&gt;0),"Yes","No"))</x:f>
        <x:v>No</x:v>
      </x:c>
      <x:c r="AB21" s="253" t="str">
        <x:f>IF(W21="No","Maturing",IF(AND(U21="Yes",Z21&gt;0),"Yes","No"))</x:f>
        <x:v>No</x:v>
      </x:c>
      <x:c r="AC21" s="265" t="n">
        <x:v>-1161.29</x:v>
      </x:c>
      <x:c r="AD21" s="265" t="n">
        <x:v>-1161.29</x:v>
      </x:c>
      <x:c r="AE21" s="271" t="str"/>
      <x:c r="AF21" s="274" t="str">
        <x:v>Not validated - no control/holdout</x:v>
      </x:c>
      <x:c r="AG21" s="277" t="str">
        <x:v>Recovered execution only; assignment date and unclaimed-offer denominator unavailable</x:v>
      </x:c>
    </x:row>
    <x:row r="22">
      <x:c r="A22" s="252" t="str">
        <x:v>33738295</x:v>
      </x:c>
      <x:c r="B22" s="253" t="str">
        <x:v>WS1</x:v>
      </x:c>
      <x:c r="C22" s="253" t="str">
        <x:v>MB8</x:v>
      </x:c>
      <x:c r="D22" s="262" t="n">
        <x:v>46113.81790509259</x:v>
      </x:c>
      <x:c r="E22" s="259" t="n">
        <x:v>46113.166666666664</x:v>
      </x:c>
      <x:c r="F22" s="253" t="str">
        <x:v>489812</x:v>
      </x:c>
      <x:c r="G22" s="253" t="str">
        <x:v>C0132475770</x:v>
      </x:c>
      <x:c r="H22" s="253" t="str">
        <x:v>Yes</x:v>
      </x:c>
      <x:c r="I22" s="253" t="str">
        <x:v>Elda</x:v>
      </x:c>
      <x:c r="J22" s="253" t="str">
        <x:v>Elda</x:v>
      </x:c>
      <x:c r="K22" s="259" t="n">
        <x:v>45659.166666666664</x:v>
      </x:c>
      <x:c r="L22" s="268" t="str">
        <x:f>IFERROR(VLOOKUP(I22,'Handler-Team Map'!$A$7:$C$17,2,FALSE),"")</x:f>
      </x:c>
      <x:c r="M22" s="268" t="str">
        <x:f>IFERROR(VLOOKUP(I22,'Handler-Team Map'!$A$7:$C$17,3,FALSE),"")</x:f>
      </x:c>
      <x:c r="N22" s="274" t="str">
        <x:v>FT_VM_DEP1000_GET500_5X</x:v>
      </x:c>
      <x:c r="O22" s="274" t="str">
        <x:v>VIP BONUS - Deposit 1000 Get 500 - 5x TO</x:v>
      </x:c>
      <x:c r="P22" s="274" t="str">
        <x:v>DepositBonus</x:v>
      </x:c>
      <x:c r="Q22" s="274" t="str">
        <x:v>Approved</x:v>
      </x:c>
      <x:c r="R22" s="265" t="n">
        <x:v>500</x:v>
      </x:c>
      <x:c r="S22" s="253" t="str">
        <x:v>Yes</x:v>
      </x:c>
      <x:c r="T22" s="265" t="n">
        <x:v>9100</x:v>
      </x:c>
      <x:c r="U22" s="253" t="str">
        <x:f>IF(AND(S22="Yes",T22=0),"Yes","No")</x:f>
        <x:v>No</x:v>
      </x:c>
      <x:c r="V22" s="253" t="str">
        <x:v>Yes</x:v>
      </x:c>
      <x:c r="W22" s="253" t="str">
        <x:v>Yes</x:v>
      </x:c>
      <x:c r="X22" s="259" t="n">
        <x:v>46113.166666666664</x:v>
      </x:c>
      <x:c r="Y22" s="265" t="n">
        <x:v>3000</x:v>
      </x:c>
      <x:c r="Z22" s="265" t="n">
        <x:v>4000</x:v>
      </x:c>
      <x:c r="AA22" s="253" t="str">
        <x:f>IF(V22="No","Maturing",IF(AND(U22="Yes",Y22&gt;0),"Yes","No"))</x:f>
        <x:v>No</x:v>
      </x:c>
      <x:c r="AB22" s="253" t="str">
        <x:f>IF(W22="No","Maturing",IF(AND(U22="Yes",Z22&gt;0),"Yes","No"))</x:f>
        <x:v>No</x:v>
      </x:c>
      <x:c r="AC22" s="265" t="n">
        <x:v>2450.65</x:v>
      </x:c>
      <x:c r="AD22" s="265" t="n">
        <x:v>3006.9</x:v>
      </x:c>
      <x:c r="AE22" s="271" t="str"/>
      <x:c r="AF22" s="274" t="str">
        <x:v>Not validated - no control/holdout</x:v>
      </x:c>
      <x:c r="AG22" s="277" t="str">
        <x:v>Recovered execution only; assignment date and unclaimed-offer denominator unavailable</x:v>
      </x:c>
    </x:row>
    <x:row r="23">
      <x:c r="A23" s="252" t="str">
        <x:v>33738893</x:v>
      </x:c>
      <x:c r="B23" s="253" t="str">
        <x:v>WS1</x:v>
      </x:c>
      <x:c r="C23" s="253" t="str">
        <x:v>MB8</x:v>
      </x:c>
      <x:c r="D23" s="262" t="n">
        <x:v>46113.85832175926</x:v>
      </x:c>
      <x:c r="E23" s="259" t="n">
        <x:v>46113.166666666664</x:v>
      </x:c>
      <x:c r="F23" s="253" t="str">
        <x:v>552656</x:v>
      </x:c>
      <x:c r="G23" s="253" t="str">
        <x:v>Kfnissan</x:v>
      </x:c>
      <x:c r="H23" s="253" t="str">
        <x:v>Yes</x:v>
      </x:c>
      <x:c r="I23" s="253" t="str">
        <x:v>Mikki</x:v>
      </x:c>
      <x:c r="J23" s="253" t="str">
        <x:v>Mikki</x:v>
      </x:c>
      <x:c r="K23" s="259" t="n">
        <x:v>45993.166666666664</x:v>
      </x:c>
      <x:c r="L23" s="268" t="str">
        <x:f>IFERROR(VLOOKUP(I23,'Handler-Team Map'!$A$7:$C$17,2,FALSE),"")</x:f>
      </x:c>
      <x:c r="M23" s="268" t="str">
        <x:f>IFERROR(VLOOKUP(I23,'Handler-Team Map'!$A$7:$C$17,3,FALSE),"")</x:f>
      </x:c>
      <x:c r="N23" s="274" t="str">
        <x:v>FT_VM_DEP1000_GET500_5X</x:v>
      </x:c>
      <x:c r="O23" s="274" t="str">
        <x:v>VIP BONUS - Deposit 1000 Get 500 - 5x TO</x:v>
      </x:c>
      <x:c r="P23" s="274" t="str">
        <x:v>DepositBonus</x:v>
      </x:c>
      <x:c r="Q23" s="274" t="str">
        <x:v>Approved</x:v>
      </x:c>
      <x:c r="R23" s="265" t="n">
        <x:v>500</x:v>
      </x:c>
      <x:c r="S23" s="253" t="str">
        <x:v>Yes</x:v>
      </x:c>
      <x:c r="T23" s="265" t="n">
        <x:v>2055</x:v>
      </x:c>
      <x:c r="U23" s="253" t="str">
        <x:f>IF(AND(S23="Yes",T23=0),"Yes","No")</x:f>
        <x:v>No</x:v>
      </x:c>
      <x:c r="V23" s="253" t="str">
        <x:v>Yes</x:v>
      </x:c>
      <x:c r="W23" s="253" t="str">
        <x:v>Yes</x:v>
      </x:c>
      <x:c r="X23" s="259" t="n">
        <x:v>46113.166666666664</x:v>
      </x:c>
      <x:c r="Y23" s="265" t="n">
        <x:v>1171</x:v>
      </x:c>
      <x:c r="Z23" s="265" t="n">
        <x:v>1231</x:v>
      </x:c>
      <x:c r="AA23" s="253" t="str">
        <x:f>IF(V23="No","Maturing",IF(AND(U23="Yes",Y23&gt;0),"Yes","No"))</x:f>
        <x:v>No</x:v>
      </x:c>
      <x:c r="AB23" s="253" t="str">
        <x:f>IF(W23="No","Maturing",IF(AND(U23="Yes",Z23&gt;0),"Yes","No"))</x:f>
        <x:v>No</x:v>
      </x:c>
      <x:c r="AC23" s="265" t="n">
        <x:v>1152.29</x:v>
      </x:c>
      <x:c r="AD23" s="265" t="n">
        <x:v>1230.29</x:v>
      </x:c>
      <x:c r="AE23" s="271" t="str"/>
      <x:c r="AF23" s="274" t="str">
        <x:v>Not validated - no control/holdout</x:v>
      </x:c>
      <x:c r="AG23" s="277" t="str">
        <x:v>Recovered execution only; assignment date and unclaimed-offer denominator unavailable</x:v>
      </x:c>
    </x:row>
    <x:row r="24">
      <x:c r="A24" s="252" t="str">
        <x:v>33740468</x:v>
      </x:c>
      <x:c r="B24" s="253" t="str">
        <x:v>WS1</x:v>
      </x:c>
      <x:c r="C24" s="253" t="str">
        <x:v>MB8</x:v>
      </x:c>
      <x:c r="D24" s="262" t="n">
        <x:v>46113.94986111111</x:v>
      </x:c>
      <x:c r="E24" s="259" t="n">
        <x:v>46113.166666666664</x:v>
      </x:c>
      <x:c r="F24" s="253" t="str">
        <x:v>422991</x:v>
      </x:c>
      <x:c r="G24" s="253" t="str">
        <x:v>Ellie13</x:v>
      </x:c>
      <x:c r="H24" s="253" t="str">
        <x:v>Yes</x:v>
      </x:c>
      <x:c r="I24" s="253" t="str">
        <x:v>Sheena</x:v>
      </x:c>
      <x:c r="J24" s="253" t="str">
        <x:v>Sheena</x:v>
      </x:c>
      <x:c r="K24" s="259" t="n">
        <x:v>45852.166666666664</x:v>
      </x:c>
      <x:c r="L24" s="268" t="str">
        <x:f>IFERROR(VLOOKUP(I24,'Handler-Team Map'!$A$7:$C$17,2,FALSE),"")</x:f>
      </x:c>
      <x:c r="M24" s="268" t="str">
        <x:f>IFERROR(VLOOKUP(I24,'Handler-Team Map'!$A$7:$C$17,3,FALSE),"")</x:f>
      </x:c>
      <x:c r="N24" s="274" t="str">
        <x:v>FT_VM_DEP1000_GET500_1X</x:v>
      </x:c>
      <x:c r="O24" s="274" t="str">
        <x:v>VIP BONUS - Deposit 1000 Get 500 - 1x TO</x:v>
      </x:c>
      <x:c r="P24" s="274" t="str">
        <x:v>DepositBonus</x:v>
      </x:c>
      <x:c r="Q24" s="274" t="str">
        <x:v>Approved</x:v>
      </x:c>
      <x:c r="R24" s="265" t="n">
        <x:v>500</x:v>
      </x:c>
      <x:c r="S24" s="253" t="str">
        <x:v>Yes</x:v>
      </x:c>
      <x:c r="T24" s="265" t="n">
        <x:v>0</x:v>
      </x:c>
      <x:c r="U24" s="253" t="str">
        <x:f>IF(AND(S24="Yes",T24=0),"Yes","No")</x:f>
        <x:v>Yes</x:v>
      </x:c>
      <x:c r="V24" s="253" t="str">
        <x:v>Yes</x:v>
      </x:c>
      <x:c r="W24" s="253" t="str">
        <x:v>Yes</x:v>
      </x:c>
      <x:c r="X24" s="259" t="n">
        <x:v>46113.166666666664</x:v>
      </x:c>
      <x:c r="Y24" s="265" t="n">
        <x:v>1000</x:v>
      </x:c>
      <x:c r="Z24" s="265" t="n">
        <x:v>1080</x:v>
      </x:c>
      <x:c r="AA24" s="253" t="str">
        <x:f>IF(V24="No","Maturing",IF(AND(U24="Yes",Y24&gt;0),"Yes","No"))</x:f>
        <x:v>Yes</x:v>
      </x:c>
      <x:c r="AB24" s="253" t="str">
        <x:f>IF(W24="No","Maturing",IF(AND(U24="Yes",Z24&gt;0),"Yes","No"))</x:f>
        <x:v>Yes</x:v>
      </x:c>
      <x:c r="AC24" s="265" t="n">
        <x:v>-1380.36</x:v>
      </x:c>
      <x:c r="AD24" s="265" t="n">
        <x:v>-1301.29</x:v>
      </x:c>
      <x:c r="AE24" s="271" t="str"/>
      <x:c r="AF24" s="274" t="str">
        <x:v>Not validated - no control/holdout</x:v>
      </x:c>
      <x:c r="AG24" s="277" t="str">
        <x:v>Recovered execution only; assignment date and unclaimed-offer denominator unavailable</x:v>
      </x:c>
    </x:row>
    <x:row r="25">
      <x:c r="A25" s="252" t="str">
        <x:v>33740529</x:v>
      </x:c>
      <x:c r="B25" s="253" t="str">
        <x:v>WS1</x:v>
      </x:c>
      <x:c r="C25" s="253" t="str">
        <x:v>MB8</x:v>
      </x:c>
      <x:c r="D25" s="262" t="n">
        <x:v>46113.95077546296</x:v>
      </x:c>
      <x:c r="E25" s="259" t="n">
        <x:v>46113.166666666664</x:v>
      </x:c>
      <x:c r="F25" s="253" t="str">
        <x:v>37007</x:v>
      </x:c>
      <x:c r="G25" s="253" t="str">
        <x:v>KuLelaki</x:v>
      </x:c>
      <x:c r="H25" s="253" t="str">
        <x:v>Yes</x:v>
      </x:c>
      <x:c r="I25" s="253" t="str">
        <x:v>Elda</x:v>
      </x:c>
      <x:c r="J25" s="253" t="str">
        <x:v>Elda</x:v>
      </x:c>
      <x:c r="K25" s="259" t="n">
        <x:v>45659.166666666664</x:v>
      </x:c>
      <x:c r="L25" s="268" t="str">
        <x:f>IFERROR(VLOOKUP(I25,'Handler-Team Map'!$A$7:$C$17,2,FALSE),"")</x:f>
      </x:c>
      <x:c r="M25" s="268" t="str">
        <x:f>IFERROR(VLOOKUP(I25,'Handler-Team Map'!$A$7:$C$17,3,FALSE),"")</x:f>
      </x:c>
      <x:c r="N25" s="274" t="str">
        <x:v>FT_VM_DEP1000_GET900_1X</x:v>
      </x:c>
      <x:c r="O25" s="274" t="str">
        <x:v>VIP BONUS - Deposit 1000 Get 900 - 1x TO</x:v>
      </x:c>
      <x:c r="P25" s="274" t="str">
        <x:v>DepositBonus</x:v>
      </x:c>
      <x:c r="Q25" s="274" t="str">
        <x:v>Approved</x:v>
      </x:c>
      <x:c r="R25" s="265" t="n">
        <x:v>900</x:v>
      </x:c>
      <x:c r="S25" s="253" t="str">
        <x:v>Yes</x:v>
      </x:c>
      <x:c r="T25" s="265" t="n">
        <x:v>0</x:v>
      </x:c>
      <x:c r="U25" s="253" t="str">
        <x:f>IF(AND(S25="Yes",T25=0),"Yes","No")</x:f>
        <x:v>Yes</x:v>
      </x:c>
      <x:c r="V25" s="253" t="str">
        <x:v>Yes</x:v>
      </x:c>
      <x:c r="W25" s="253" t="str">
        <x:v>Yes</x:v>
      </x:c>
      <x:c r="X25" s="259" t="n">
        <x:v>46113.166666666664</x:v>
      </x:c>
      <x:c r="Y25" s="265" t="n">
        <x:v>1000</x:v>
      </x:c>
      <x:c r="Z25" s="265" t="n">
        <x:v>1000</x:v>
      </x:c>
      <x:c r="AA25" s="253" t="str">
        <x:f>IF(V25="No","Maturing",IF(AND(U25="Yes",Y25&gt;0),"Yes","No"))</x:f>
        <x:v>Yes</x:v>
      </x:c>
      <x:c r="AB25" s="253" t="str">
        <x:f>IF(W25="No","Maturing",IF(AND(U25="Yes",Z25&gt;0),"Yes","No"))</x:f>
        <x:v>Yes</x:v>
      </x:c>
      <x:c r="AC25" s="265" t="n">
        <x:v>-7255.44</x:v>
      </x:c>
      <x:c r="AD25" s="265" t="n">
        <x:v>-7255.36</x:v>
      </x:c>
      <x:c r="AE25" s="271" t="str"/>
      <x:c r="AF25" s="274" t="str">
        <x:v>Not validated - no control/holdout</x:v>
      </x:c>
      <x:c r="AG25" s="277" t="str">
        <x:v>Recovered execution only; assignment date and unclaimed-offer denominator unavailable</x:v>
      </x:c>
    </x:row>
    <x:row r="26">
      <x:c r="A26" s="252" t="str">
        <x:v>33741520</x:v>
      </x:c>
      <x:c r="B26" s="253" t="str">
        <x:v>WS1</x:v>
      </x:c>
      <x:c r="C26" s="253" t="str">
        <x:v>MB8</x:v>
      </x:c>
      <x:c r="D26" s="262" t="n">
        <x:v>46113.99476851852</x:v>
      </x:c>
      <x:c r="E26" s="259" t="n">
        <x:v>46113.166666666664</x:v>
      </x:c>
      <x:c r="F26" s="253" t="str">
        <x:v>997788</x:v>
      </x:c>
      <x:c r="G26" s="253" t="str">
        <x:v>hbk960309</x:v>
      </x:c>
      <x:c r="H26" s="253" t="str">
        <x:v>Yes</x:v>
      </x:c>
      <x:c r="I26" s="253" t="str">
        <x:v>Serene</x:v>
      </x:c>
      <x:c r="J26" s="253" t="str">
        <x:v>Serene</x:v>
      </x:c>
      <x:c r="K26" s="259" t="n">
        <x:v>46090.166666666664</x:v>
      </x:c>
      <x:c r="L26" s="268" t="str">
        <x:f>IFERROR(VLOOKUP(I26,'Handler-Team Map'!$A$7:$C$17,2,FALSE),"")</x:f>
      </x:c>
      <x:c r="M26" s="268" t="str">
        <x:f>IFERROR(VLOOKUP(I26,'Handler-Team Map'!$A$7:$C$17,3,FALSE),"")</x:f>
      </x:c>
      <x:c r="N26" s="274" t="str">
        <x:v>FT_VM_DEP600_GET200_5X</x:v>
      </x:c>
      <x:c r="O26" s="274" t="str">
        <x:v>VIP BONUS - Deposit 600 Get 200 - 5x TO</x:v>
      </x:c>
      <x:c r="P26" s="274" t="str">
        <x:v>DepositBonus</x:v>
      </x:c>
      <x:c r="Q26" s="274" t="str">
        <x:v>Approved</x:v>
      </x:c>
      <x:c r="R26" s="265" t="n">
        <x:v>200</x:v>
      </x:c>
      <x:c r="S26" s="253" t="str">
        <x:v>Yes</x:v>
      </x:c>
      <x:c r="T26" s="265" t="n">
        <x:v>35805</x:v>
      </x:c>
      <x:c r="U26" s="253" t="str">
        <x:f>IF(AND(S26="Yes",T26=0),"Yes","No")</x:f>
        <x:v>No</x:v>
      </x:c>
      <x:c r="V26" s="253" t="str">
        <x:v>Yes</x:v>
      </x:c>
      <x:c r="W26" s="253" t="str">
        <x:v>Yes</x:v>
      </x:c>
      <x:c r="X26" s="259" t="n">
        <x:v>46113.166666666664</x:v>
      </x:c>
      <x:c r="Y26" s="265" t="n">
        <x:v>5900</x:v>
      </x:c>
      <x:c r="Z26" s="265" t="n">
        <x:v>5900</x:v>
      </x:c>
      <x:c r="AA26" s="253" t="str">
        <x:f>IF(V26="No","Maturing",IF(AND(U26="Yes",Y26&gt;0),"Yes","No"))</x:f>
        <x:v>No</x:v>
      </x:c>
      <x:c r="AB26" s="253" t="str">
        <x:f>IF(W26="No","Maturing",IF(AND(U26="Yes",Z26&gt;0),"Yes","No"))</x:f>
        <x:v>No</x:v>
      </x:c>
      <x:c r="AC26" s="265" t="n">
        <x:v>141.16</x:v>
      </x:c>
      <x:c r="AD26" s="265" t="n">
        <x:v>141.16</x:v>
      </x:c>
      <x:c r="AE26" s="271" t="str"/>
      <x:c r="AF26" s="274" t="str">
        <x:v>Not validated - no control/holdout</x:v>
      </x:c>
      <x:c r="AG26" s="277" t="str">
        <x:v>Recovered execution only; assignment date and unclaimed-offer denominator unavailable</x:v>
      </x:c>
    </x:row>
    <x:row r="27">
      <x:c r="A27" s="252" t="str">
        <x:v>33746437</x:v>
      </x:c>
      <x:c r="B27" s="253" t="str">
        <x:v>WS1</x:v>
      </x:c>
      <x:c r="C27" s="253" t="str">
        <x:v>MB8</x:v>
      </x:c>
      <x:c r="D27" s="262" t="n">
        <x:v>46114.53091435185</x:v>
      </x:c>
      <x:c r="E27" s="259" t="n">
        <x:v>46114.166666666664</x:v>
      </x:c>
      <x:c r="F27" s="253" t="str">
        <x:v>174216</x:v>
      </x:c>
      <x:c r="G27" s="253" t="str">
        <x:v>lst89</x:v>
      </x:c>
      <x:c r="H27" s="253" t="str">
        <x:v>Yes</x:v>
      </x:c>
      <x:c r="I27" s="253" t="str">
        <x:v>Christy</x:v>
      </x:c>
      <x:c r="J27" s="253" t="str">
        <x:v>Christy</x:v>
      </x:c>
      <x:c r="K27" s="259" t="n">
        <x:v>45831.166666666664</x:v>
      </x:c>
      <x:c r="L27" s="268" t="str">
        <x:f>IFERROR(VLOOKUP(I27,'Handler-Team Map'!$A$7:$C$17,2,FALSE),"")</x:f>
      </x:c>
      <x:c r="M27" s="268" t="str">
        <x:f>IFERROR(VLOOKUP(I27,'Handler-Team Map'!$A$7:$C$17,3,FALSE),"")</x:f>
      </x:c>
      <x:c r="N27" s="274" t="str">
        <x:v>FT_VM_DEP800_GET400_1X</x:v>
      </x:c>
      <x:c r="O27" s="274" t="str">
        <x:v>VIP BONUS - Deposit 800 Get 400 - 1x TO</x:v>
      </x:c>
      <x:c r="P27" s="274" t="str">
        <x:v>DepositBonus</x:v>
      </x:c>
      <x:c r="Q27" s="274" t="str">
        <x:v>Approved</x:v>
      </x:c>
      <x:c r="R27" s="265" t="n">
        <x:v>400</x:v>
      </x:c>
      <x:c r="S27" s="253" t="str">
        <x:v>Yes</x:v>
      </x:c>
      <x:c r="T27" s="265" t="n">
        <x:v>536.5</x:v>
      </x:c>
      <x:c r="U27" s="253" t="str">
        <x:f>IF(AND(S27="Yes",T27=0),"Yes","No")</x:f>
        <x:v>No</x:v>
      </x:c>
      <x:c r="V27" s="253" t="str">
        <x:v>Yes</x:v>
      </x:c>
      <x:c r="W27" s="253" t="str">
        <x:v>Yes</x:v>
      </x:c>
      <x:c r="X27" s="259" t="n">
        <x:v>46114.166666666664</x:v>
      </x:c>
      <x:c r="Y27" s="265" t="n">
        <x:v>800</x:v>
      </x:c>
      <x:c r="Z27" s="265" t="n">
        <x:v>800</x:v>
      </x:c>
      <x:c r="AA27" s="253" t="str">
        <x:f>IF(V27="No","Maturing",IF(AND(U27="Yes",Y27&gt;0),"Yes","No"))</x:f>
        <x:v>No</x:v>
      </x:c>
      <x:c r="AB27" s="253" t="str">
        <x:f>IF(W27="No","Maturing",IF(AND(U27="Yes",Z27&gt;0),"Yes","No"))</x:f>
        <x:v>No</x:v>
      </x:c>
      <x:c r="AC27" s="265" t="n">
        <x:v>-1048.37</x:v>
      </x:c>
      <x:c r="AD27" s="265" t="n">
        <x:v>-1048.37</x:v>
      </x:c>
      <x:c r="AE27" s="271" t="str"/>
      <x:c r="AF27" s="274" t="str">
        <x:v>Not validated - no control/holdout</x:v>
      </x:c>
      <x:c r="AG27" s="277" t="str">
        <x:v>Recovered execution only; assignment date and unclaimed-offer denominator unavailable</x:v>
      </x:c>
    </x:row>
    <x:row r="28">
      <x:c r="A28" s="252" t="str">
        <x:v>33746823</x:v>
      </x:c>
      <x:c r="B28" s="253" t="str">
        <x:v>WS1</x:v>
      </x:c>
      <x:c r="C28" s="253" t="str">
        <x:v>MB8</x:v>
      </x:c>
      <x:c r="D28" s="262" t="n">
        <x:v>46114.57146990741</x:v>
      </x:c>
      <x:c r="E28" s="259" t="n">
        <x:v>46114.166666666664</x:v>
      </x:c>
      <x:c r="F28" s="253" t="str">
        <x:v>62416</x:v>
      </x:c>
      <x:c r="G28" s="253" t="str">
        <x:v>Pegasus2818</x:v>
      </x:c>
      <x:c r="H28" s="253" t="str">
        <x:v>Yes</x:v>
      </x:c>
      <x:c r="I28" s="253" t="str">
        <x:v>Serene</x:v>
      </x:c>
      <x:c r="J28" s="253" t="str">
        <x:v>Serene</x:v>
      </x:c>
      <x:c r="K28" s="259" t="n">
        <x:v>45859.166666666664</x:v>
      </x:c>
      <x:c r="L28" s="268" t="str">
        <x:f>IFERROR(VLOOKUP(I28,'Handler-Team Map'!$A$7:$C$17,2,FALSE),"")</x:f>
      </x:c>
      <x:c r="M28" s="268" t="str">
        <x:f>IFERROR(VLOOKUP(I28,'Handler-Team Map'!$A$7:$C$17,3,FALSE),"")</x:f>
      </x:c>
      <x:c r="N28" s="274" t="str">
        <x:v>FT_VM_DEP150_GET50_5X</x:v>
      </x:c>
      <x:c r="O28" s="274" t="str">
        <x:v>VIP BONUS - Deposit 150 Get 50 - 5x TO</x:v>
      </x:c>
      <x:c r="P28" s="274" t="str">
        <x:v>DepositBonus</x:v>
      </x:c>
      <x:c r="Q28" s="274" t="str">
        <x:v>Approved</x:v>
      </x:c>
      <x:c r="R28" s="265" t="n">
        <x:v>50</x:v>
      </x:c>
      <x:c r="S28" s="253" t="str">
        <x:v>Yes</x:v>
      </x:c>
      <x:c r="T28" s="265" t="n">
        <x:v>41057</x:v>
      </x:c>
      <x:c r="U28" s="253" t="str">
        <x:f>IF(AND(S28="Yes",T28=0),"Yes","No")</x:f>
        <x:v>No</x:v>
      </x:c>
      <x:c r="V28" s="253" t="str">
        <x:v>Yes</x:v>
      </x:c>
      <x:c r="W28" s="253" t="str">
        <x:v>Yes</x:v>
      </x:c>
      <x:c r="X28" s="259" t="n">
        <x:v>46114.166666666664</x:v>
      </x:c>
      <x:c r="Y28" s="265" t="n">
        <x:v>2976</x:v>
      </x:c>
      <x:c r="Z28" s="265" t="n">
        <x:v>5771</x:v>
      </x:c>
      <x:c r="AA28" s="253" t="str">
        <x:f>IF(V28="No","Maturing",IF(AND(U28="Yes",Y28&gt;0),"Yes","No"))</x:f>
        <x:v>No</x:v>
      </x:c>
      <x:c r="AB28" s="253" t="str">
        <x:f>IF(W28="No","Maturing",IF(AND(U28="Yes",Z28&gt;0),"Yes","No"))</x:f>
        <x:v>No</x:v>
      </x:c>
      <x:c r="AC28" s="265" t="n">
        <x:v>1713.22</x:v>
      </x:c>
      <x:c r="AD28" s="265" t="n">
        <x:v>2462.06</x:v>
      </x:c>
      <x:c r="AE28" s="271" t="str"/>
      <x:c r="AF28" s="274" t="str">
        <x:v>Not validated - no control/holdout</x:v>
      </x:c>
      <x:c r="AG28" s="277" t="str">
        <x:v>Recovered execution only; assignment date and unclaimed-offer denominator unavailable</x:v>
      </x:c>
    </x:row>
    <x:row r="29">
      <x:c r="A29" s="252" t="str">
        <x:v>33747645</x:v>
      </x:c>
      <x:c r="B29" s="253" t="str">
        <x:v>WS1</x:v>
      </x:c>
      <x:c r="C29" s="253" t="str">
        <x:v>MB8</x:v>
      </x:c>
      <x:c r="D29" s="262" t="n">
        <x:v>46114.651412037034</x:v>
      </x:c>
      <x:c r="E29" s="259" t="n">
        <x:v>46114.166666666664</x:v>
      </x:c>
      <x:c r="F29" s="253" t="str">
        <x:v>279079</x:v>
      </x:c>
      <x:c r="G29" s="253" t="str">
        <x:v>Cricket8</x:v>
      </x:c>
      <x:c r="H29" s="253" t="str">
        <x:v>Yes</x:v>
      </x:c>
      <x:c r="I29" s="253" t="str">
        <x:v>Claire</x:v>
      </x:c>
      <x:c r="J29" s="253" t="str">
        <x:v>Claire</x:v>
      </x:c>
      <x:c r="K29" s="259" t="n">
        <x:v>45659.166666666664</x:v>
      </x:c>
      <x:c r="L29" s="268" t="str">
        <x:f>IFERROR(VLOOKUP(I29,'Handler-Team Map'!$A$7:$C$17,2,FALSE),"")</x:f>
      </x:c>
      <x:c r="M29" s="268" t="str">
        <x:f>IFERROR(VLOOKUP(I29,'Handler-Team Map'!$A$7:$C$17,3,FALSE),"")</x:f>
      </x:c>
      <x:c r="N29" s="274" t="str">
        <x:v>FT_VM_DEP300_GET100_5X</x:v>
      </x:c>
      <x:c r="O29" s="274" t="str">
        <x:v>VIP BONUS - Deposit 300 Get 100 - 5x TO</x:v>
      </x:c>
      <x:c r="P29" s="274" t="str">
        <x:v>DepositBonus</x:v>
      </x:c>
      <x:c r="Q29" s="274" t="str">
        <x:v>Approved</x:v>
      </x:c>
      <x:c r="R29" s="265" t="n">
        <x:v>100</x:v>
      </x:c>
      <x:c r="S29" s="253" t="str">
        <x:v>Yes</x:v>
      </x:c>
      <x:c r="T29" s="265" t="n">
        <x:v>74248.5</x:v>
      </x:c>
      <x:c r="U29" s="253" t="str">
        <x:f>IF(AND(S29="Yes",T29=0),"Yes","No")</x:f>
        <x:v>No</x:v>
      </x:c>
      <x:c r="V29" s="253" t="str">
        <x:v>Yes</x:v>
      </x:c>
      <x:c r="W29" s="253" t="str">
        <x:v>Yes</x:v>
      </x:c>
      <x:c r="X29" s="259" t="n">
        <x:v>46114.166666666664</x:v>
      </x:c>
      <x:c r="Y29" s="265" t="n">
        <x:v>17317</x:v>
      </x:c>
      <x:c r="Z29" s="265" t="n">
        <x:v>20822</x:v>
      </x:c>
      <x:c r="AA29" s="253" t="str">
        <x:f>IF(V29="No","Maturing",IF(AND(U29="Yes",Y29&gt;0),"Yes","No"))</x:f>
        <x:v>No</x:v>
      </x:c>
      <x:c r="AB29" s="253" t="str">
        <x:f>IF(W29="No","Maturing",IF(AND(U29="Yes",Z29&gt;0),"Yes","No"))</x:f>
        <x:v>No</x:v>
      </x:c>
      <x:c r="AC29" s="265" t="n">
        <x:v>-12801.7</x:v>
      </x:c>
      <x:c r="AD29" s="265" t="n">
        <x:v>-17249</x:v>
      </x:c>
      <x:c r="AE29" s="271" t="str"/>
      <x:c r="AF29" s="274" t="str">
        <x:v>Not validated - no control/holdout</x:v>
      </x:c>
      <x:c r="AG29" s="277" t="str">
        <x:v>Recovered execution only; assignment date and unclaimed-offer denominator unavailable</x:v>
      </x:c>
    </x:row>
    <x:row r="30">
      <x:c r="A30" s="252" t="str">
        <x:v>33748815</x:v>
      </x:c>
      <x:c r="B30" s="253" t="str">
        <x:v>WS1</x:v>
      </x:c>
      <x:c r="C30" s="253" t="str">
        <x:v>MB8</x:v>
      </x:c>
      <x:c r="D30" s="262" t="n">
        <x:v>46114.73825231481</x:v>
      </x:c>
      <x:c r="E30" s="259" t="n">
        <x:v>46114.166666666664</x:v>
      </x:c>
      <x:c r="F30" s="253" t="str">
        <x:v>193837</x:v>
      </x:c>
      <x:c r="G30" s="253" t="str">
        <x:v>Nick13</x:v>
      </x:c>
      <x:c r="H30" s="253" t="str">
        <x:v>Yes</x:v>
      </x:c>
      <x:c r="I30" s="253" t="str">
        <x:v>Mikki</x:v>
      </x:c>
      <x:c r="J30" s="253" t="str">
        <x:v>Mikki</x:v>
      </x:c>
      <x:c r="K30" s="259" t="n">
        <x:v>45993.166666666664</x:v>
      </x:c>
      <x:c r="L30" s="268" t="str">
        <x:f>IFERROR(VLOOKUP(I30,'Handler-Team Map'!$A$7:$C$17,2,FALSE),"")</x:f>
      </x:c>
      <x:c r="M30" s="268" t="str">
        <x:f>IFERROR(VLOOKUP(I30,'Handler-Team Map'!$A$7:$C$17,3,FALSE),"")</x:f>
      </x:c>
      <x:c r="N30" s="274" t="str">
        <x:v>FT_VM_DEP800_GET400_1X</x:v>
      </x:c>
      <x:c r="O30" s="274" t="str">
        <x:v>VIP BONUS - Deposit 800 Get 400 - 1x TO</x:v>
      </x:c>
      <x:c r="P30" s="274" t="str">
        <x:v>DepositBonus</x:v>
      </x:c>
      <x:c r="Q30" s="274" t="str">
        <x:v>Approved</x:v>
      </x:c>
      <x:c r="R30" s="265" t="n">
        <x:v>400</x:v>
      </x:c>
      <x:c r="S30" s="253" t="str">
        <x:v>Yes</x:v>
      </x:c>
      <x:c r="T30" s="265" t="n">
        <x:v>600</x:v>
      </x:c>
      <x:c r="U30" s="253" t="str">
        <x:f>IF(AND(S30="Yes",T30=0),"Yes","No")</x:f>
        <x:v>No</x:v>
      </x:c>
      <x:c r="V30" s="253" t="str">
        <x:v>Yes</x:v>
      </x:c>
      <x:c r="W30" s="253" t="str">
        <x:v>Yes</x:v>
      </x:c>
      <x:c r="X30" s="259" t="n">
        <x:v>46114.166666666664</x:v>
      </x:c>
      <x:c r="Y30" s="265" t="n">
        <x:v>830</x:v>
      </x:c>
      <x:c r="Z30" s="265" t="n">
        <x:v>1830</x:v>
      </x:c>
      <x:c r="AA30" s="253" t="str">
        <x:f>IF(V30="No","Maturing",IF(AND(U30="Yes",Y30&gt;0),"Yes","No"))</x:f>
        <x:v>No</x:v>
      </x:c>
      <x:c r="AB30" s="253" t="str">
        <x:f>IF(W30="No","Maturing",IF(AND(U30="Yes",Z30&gt;0),"Yes","No"))</x:f>
        <x:v>No</x:v>
      </x:c>
      <x:c r="AC30" s="265" t="n">
        <x:v>-1170.34</x:v>
      </x:c>
      <x:c r="AD30" s="265" t="n">
        <x:v>-9170.34</x:v>
      </x:c>
      <x:c r="AE30" s="271" t="str"/>
      <x:c r="AF30" s="274" t="str">
        <x:v>Not validated - no control/holdout</x:v>
      </x:c>
      <x:c r="AG30" s="277" t="str">
        <x:v>Recovered execution only; assignment date and unclaimed-offer denominator unavailable</x:v>
      </x:c>
    </x:row>
    <x:row r="31">
      <x:c r="A31" s="252" t="str">
        <x:v>33749254</x:v>
      </x:c>
      <x:c r="B31" s="253" t="str">
        <x:v>WS1</x:v>
      </x:c>
      <x:c r="C31" s="253" t="str">
        <x:v>MB8</x:v>
      </x:c>
      <x:c r="D31" s="262" t="n">
        <x:v>46114.77065972222</x:v>
      </x:c>
      <x:c r="E31" s="259" t="n">
        <x:v>46114.166666666664</x:v>
      </x:c>
      <x:c r="F31" s="253" t="str">
        <x:v>794407</x:v>
      </x:c>
      <x:c r="G31" s="253" t="str">
        <x:v>Tiew2567</x:v>
      </x:c>
      <x:c r="H31" s="253" t="str">
        <x:v>Yes</x:v>
      </x:c>
      <x:c r="I31" s="253" t="str">
        <x:v>zhen</x:v>
      </x:c>
      <x:c r="J31" s="253" t="str">
        <x:v>zhen</x:v>
      </x:c>
      <x:c r="K31" s="259" t="n">
        <x:v>45922.166666666664</x:v>
      </x:c>
      <x:c r="L31" s="268" t="str">
        <x:f>IFERROR(VLOOKUP(I31,'Handler-Team Map'!$A$7:$C$17,2,FALSE),"")</x:f>
      </x:c>
      <x:c r="M31" s="268" t="str">
        <x:f>IFERROR(VLOOKUP(I31,'Handler-Team Map'!$A$7:$C$17,3,FALSE),"")</x:f>
      </x:c>
      <x:c r="N31" s="274" t="str">
        <x:v>FT_VM_DEP1000_GET500_5X</x:v>
      </x:c>
      <x:c r="O31" s="274" t="str">
        <x:v>VIP BONUS - Deposit 1000 Get 500 - 5x TO</x:v>
      </x:c>
      <x:c r="P31" s="274" t="str">
        <x:v>DepositBonus</x:v>
      </x:c>
      <x:c r="Q31" s="274" t="str">
        <x:v>Approved</x:v>
      </x:c>
      <x:c r="R31" s="265" t="n">
        <x:v>500</x:v>
      </x:c>
      <x:c r="S31" s="253" t="str">
        <x:v>Yes</x:v>
      </x:c>
      <x:c r="T31" s="265" t="n">
        <x:v>7050</x:v>
      </x:c>
      <x:c r="U31" s="253" t="str">
        <x:f>IF(AND(S31="Yes",T31=0),"Yes","No")</x:f>
        <x:v>No</x:v>
      </x:c>
      <x:c r="V31" s="253" t="str">
        <x:v>Yes</x:v>
      </x:c>
      <x:c r="W31" s="253" t="str">
        <x:v>Yes</x:v>
      </x:c>
      <x:c r="X31" s="259" t="n">
        <x:v>46114.166666666664</x:v>
      </x:c>
      <x:c r="Y31" s="265" t="n">
        <x:v>2100</x:v>
      </x:c>
      <x:c r="Z31" s="265" t="n">
        <x:v>8750</x:v>
      </x:c>
      <x:c r="AA31" s="253" t="str">
        <x:f>IF(V31="No","Maturing",IF(AND(U31="Yes",Y31&gt;0),"Yes","No"))</x:f>
        <x:v>No</x:v>
      </x:c>
      <x:c r="AB31" s="253" t="str">
        <x:f>IF(W31="No","Maturing",IF(AND(U31="Yes",Z31&gt;0),"Yes","No"))</x:f>
        <x:v>No</x:v>
      </x:c>
      <x:c r="AC31" s="265" t="n">
        <x:v>-41.73</x:v>
      </x:c>
      <x:c r="AD31" s="265" t="n">
        <x:v>3440.5</x:v>
      </x:c>
      <x:c r="AE31" s="271" t="str"/>
      <x:c r="AF31" s="274" t="str">
        <x:v>Not validated - no control/holdout</x:v>
      </x:c>
      <x:c r="AG31" s="277" t="str">
        <x:v>Recovered execution only; assignment date and unclaimed-offer denominator unavailable</x:v>
      </x:c>
    </x:row>
    <x:row r="32">
      <x:c r="A32" s="252" t="str">
        <x:v>33749258</x:v>
      </x:c>
      <x:c r="B32" s="253" t="str">
        <x:v>WS1</x:v>
      </x:c>
      <x:c r="C32" s="253" t="str">
        <x:v>MB8</x:v>
      </x:c>
      <x:c r="D32" s="262" t="n">
        <x:v>46114.77112268518</x:v>
      </x:c>
      <x:c r="E32" s="259" t="n">
        <x:v>46114.166666666664</x:v>
      </x:c>
      <x:c r="F32" s="253" t="str">
        <x:v>779246</x:v>
      </x:c>
      <x:c r="G32" s="253" t="str">
        <x:v>hhhooi</x:v>
      </x:c>
      <x:c r="H32" s="253" t="str">
        <x:v>Yes</x:v>
      </x:c>
      <x:c r="I32" s="253" t="str">
        <x:v>Tammy</x:v>
      </x:c>
      <x:c r="J32" s="253" t="str">
        <x:v>Tammy</x:v>
      </x:c>
      <x:c r="K32" s="259" t="n">
        <x:v>46028.166666666664</x:v>
      </x:c>
      <x:c r="L32" s="268" t="str">
        <x:f>IFERROR(VLOOKUP(I32,'Handler-Team Map'!$A$7:$C$17,2,FALSE),"")</x:f>
      </x:c>
      <x:c r="M32" s="268" t="str">
        <x:f>IFERROR(VLOOKUP(I32,'Handler-Team Map'!$A$7:$C$17,3,FALSE),"")</x:f>
      </x:c>
      <x:c r="N32" s="274" t="str">
        <x:v>FT_VM_DEP1000_GET500_1X</x:v>
      </x:c>
      <x:c r="O32" s="274" t="str">
        <x:v>VIP BONUS - Deposit 1000 Get 500 - 1x TO</x:v>
      </x:c>
      <x:c r="P32" s="274" t="str">
        <x:v>DepositBonus</x:v>
      </x:c>
      <x:c r="Q32" s="274" t="str">
        <x:v>Approved</x:v>
      </x:c>
      <x:c r="R32" s="265" t="n">
        <x:v>500</x:v>
      </x:c>
      <x:c r="S32" s="253" t="str">
        <x:v>Yes</x:v>
      </x:c>
      <x:c r="T32" s="265" t="n">
        <x:v>0</x:v>
      </x:c>
      <x:c r="U32" s="253" t="str">
        <x:f>IF(AND(S32="Yes",T32=0),"Yes","No")</x:f>
        <x:v>Yes</x:v>
      </x:c>
      <x:c r="V32" s="253" t="str">
        <x:v>Yes</x:v>
      </x:c>
      <x:c r="W32" s="253" t="str">
        <x:v>Yes</x:v>
      </x:c>
      <x:c r="X32" s="259" t="n">
        <x:v>46114.166666666664</x:v>
      </x:c>
      <x:c r="Y32" s="265" t="n">
        <x:v>1000</x:v>
      </x:c>
      <x:c r="Z32" s="265" t="n">
        <x:v>1000</x:v>
      </x:c>
      <x:c r="AA32" s="253" t="str">
        <x:f>IF(V32="No","Maturing",IF(AND(U32="Yes",Y32&gt;0),"Yes","No"))</x:f>
        <x:v>Yes</x:v>
      </x:c>
      <x:c r="AB32" s="253" t="str">
        <x:f>IF(W32="No","Maturing",IF(AND(U32="Yes",Z32&gt;0),"Yes","No"))</x:f>
        <x:v>Yes</x:v>
      </x:c>
      <x:c r="AC32" s="265" t="n">
        <x:v>-974.85</x:v>
      </x:c>
      <x:c r="AD32" s="265" t="n">
        <x:v>-974.85</x:v>
      </x:c>
      <x:c r="AE32" s="271" t="str"/>
      <x:c r="AF32" s="274" t="str">
        <x:v>Not validated - no control/holdout</x:v>
      </x:c>
      <x:c r="AG32" s="277" t="str">
        <x:v>Recovered execution only; assignment date and unclaimed-offer denominator unavailable</x:v>
      </x:c>
    </x:row>
    <x:row r="33">
      <x:c r="A33" s="252" t="str">
        <x:v>33749420</x:v>
      </x:c>
      <x:c r="B33" s="253" t="str">
        <x:v>WS1</x:v>
      </x:c>
      <x:c r="C33" s="253" t="str">
        <x:v>MB8</x:v>
      </x:c>
      <x:c r="D33" s="262" t="n">
        <x:v>46114.7859375</x:v>
      </x:c>
      <x:c r="E33" s="259" t="n">
        <x:v>46114.166666666664</x:v>
      </x:c>
      <x:c r="F33" s="253" t="str">
        <x:v>858071</x:v>
      </x:c>
      <x:c r="G33" s="253" t="str">
        <x:v>Joey789</x:v>
      </x:c>
      <x:c r="H33" s="253" t="str">
        <x:v>Yes</x:v>
      </x:c>
      <x:c r="I33" s="253" t="str">
        <x:v>zhen</x:v>
      </x:c>
      <x:c r="J33" s="253" t="str">
        <x:v>zhen</x:v>
      </x:c>
      <x:c r="K33" s="259" t="n">
        <x:v>45880.166666666664</x:v>
      </x:c>
      <x:c r="L33" s="268" t="str">
        <x:f>IFERROR(VLOOKUP(I33,'Handler-Team Map'!$A$7:$C$17,2,FALSE),"")</x:f>
      </x:c>
      <x:c r="M33" s="268" t="str">
        <x:f>IFERROR(VLOOKUP(I33,'Handler-Team Map'!$A$7:$C$17,3,FALSE),"")</x:f>
      </x:c>
      <x:c r="N33" s="274" t="str">
        <x:v>FT_VM_DEP1000_GET500_1X</x:v>
      </x:c>
      <x:c r="O33" s="274" t="str">
        <x:v>VIP BONUS - Deposit 1000 Get 500 - 1x TO</x:v>
      </x:c>
      <x:c r="P33" s="274" t="str">
        <x:v>DepositBonus</x:v>
      </x:c>
      <x:c r="Q33" s="274" t="str">
        <x:v>Approved</x:v>
      </x:c>
      <x:c r="R33" s="265" t="n">
        <x:v>500</x:v>
      </x:c>
      <x:c r="S33" s="253" t="str">
        <x:v>Yes</x:v>
      </x:c>
      <x:c r="T33" s="265" t="n">
        <x:v>12500</x:v>
      </x:c>
      <x:c r="U33" s="253" t="str">
        <x:f>IF(AND(S33="Yes",T33=0),"Yes","No")</x:f>
        <x:v>No</x:v>
      </x:c>
      <x:c r="V33" s="253" t="str">
        <x:v>Yes</x:v>
      </x:c>
      <x:c r="W33" s="253" t="str">
        <x:v>Yes</x:v>
      </x:c>
      <x:c r="X33" s="259" t="n">
        <x:v>46114.166666666664</x:v>
      </x:c>
      <x:c r="Y33" s="265" t="n">
        <x:v>6300</x:v>
      </x:c>
      <x:c r="Z33" s="265" t="n">
        <x:v>6300</x:v>
      </x:c>
      <x:c r="AA33" s="253" t="str">
        <x:f>IF(V33="No","Maturing",IF(AND(U33="Yes",Y33&gt;0),"Yes","No"))</x:f>
        <x:v>No</x:v>
      </x:c>
      <x:c r="AB33" s="253" t="str">
        <x:f>IF(W33="No","Maturing",IF(AND(U33="Yes",Z33&gt;0),"Yes","No"))</x:f>
        <x:v>No</x:v>
      </x:c>
      <x:c r="AC33" s="265" t="n">
        <x:v>-1477.96</x:v>
      </x:c>
      <x:c r="AD33" s="265" t="n">
        <x:v>-1451.23</x:v>
      </x:c>
      <x:c r="AE33" s="271" t="str"/>
      <x:c r="AF33" s="274" t="str">
        <x:v>Not validated - no control/holdout</x:v>
      </x:c>
      <x:c r="AG33" s="277" t="str">
        <x:v>Recovered execution only; assignment date and unclaimed-offer denominator unavailable</x:v>
      </x:c>
    </x:row>
    <x:row r="34">
      <x:c r="A34" s="252" t="str">
        <x:v>33749689</x:v>
      </x:c>
      <x:c r="B34" s="253" t="str">
        <x:v>WS1</x:v>
      </x:c>
      <x:c r="C34" s="253" t="str">
        <x:v>MB8</x:v>
      </x:c>
      <x:c r="D34" s="262" t="n">
        <x:v>46114.80509259259</x:v>
      </x:c>
      <x:c r="E34" s="259" t="n">
        <x:v>46114.166666666664</x:v>
      </x:c>
      <x:c r="F34" s="253" t="str">
        <x:v>700774</x:v>
      </x:c>
      <x:c r="G34" s="253" t="str">
        <x:v>Arifbillah</x:v>
      </x:c>
      <x:c r="H34" s="253" t="str">
        <x:v>Yes</x:v>
      </x:c>
      <x:c r="I34" s="253" t="str">
        <x:v>Elda</x:v>
      </x:c>
      <x:c r="J34" s="253" t="str">
        <x:v>Elda</x:v>
      </x:c>
      <x:c r="K34" s="259" t="n">
        <x:v>46090.166666666664</x:v>
      </x:c>
      <x:c r="L34" s="268" t="str">
        <x:f>IFERROR(VLOOKUP(I34,'Handler-Team Map'!$A$7:$C$17,2,FALSE),"")</x:f>
      </x:c>
      <x:c r="M34" s="268" t="str">
        <x:f>IFERROR(VLOOKUP(I34,'Handler-Team Map'!$A$7:$C$17,3,FALSE),"")</x:f>
      </x:c>
      <x:c r="N34" s="274" t="str">
        <x:v>FT_VM_DEP1000_GET500_5X</x:v>
      </x:c>
      <x:c r="O34" s="274" t="str">
        <x:v>VIP BONUS - Deposit 1000 Get 500 - 5x TO</x:v>
      </x:c>
      <x:c r="P34" s="274" t="str">
        <x:v>DepositBonus</x:v>
      </x:c>
      <x:c r="Q34" s="274" t="str">
        <x:v>Approved</x:v>
      </x:c>
      <x:c r="R34" s="265" t="n">
        <x:v>500</x:v>
      </x:c>
      <x:c r="S34" s="253" t="str">
        <x:v>Yes</x:v>
      </x:c>
      <x:c r="T34" s="265" t="n">
        <x:v>2700</x:v>
      </x:c>
      <x:c r="U34" s="253" t="str">
        <x:f>IF(AND(S34="Yes",T34=0),"Yes","No")</x:f>
        <x:v>No</x:v>
      </x:c>
      <x:c r="V34" s="253" t="str">
        <x:v>Yes</x:v>
      </x:c>
      <x:c r="W34" s="253" t="str">
        <x:v>Yes</x:v>
      </x:c>
      <x:c r="X34" s="259" t="n">
        <x:v>46114.166666666664</x:v>
      </x:c>
      <x:c r="Y34" s="265" t="n">
        <x:v>1000</x:v>
      </x:c>
      <x:c r="Z34" s="265" t="n">
        <x:v>1000</x:v>
      </x:c>
      <x:c r="AA34" s="253" t="str">
        <x:f>IF(V34="No","Maturing",IF(AND(U34="Yes",Y34&gt;0),"Yes","No"))</x:f>
        <x:v>No</x:v>
      </x:c>
      <x:c r="AB34" s="253" t="str">
        <x:f>IF(W34="No","Maturing",IF(AND(U34="Yes",Z34&gt;0),"Yes","No"))</x:f>
        <x:v>No</x:v>
      </x:c>
      <x:c r="AC34" s="265" t="n">
        <x:v>1000.4</x:v>
      </x:c>
      <x:c r="AD34" s="265" t="n">
        <x:v>1001.2</x:v>
      </x:c>
      <x:c r="AE34" s="271" t="str"/>
      <x:c r="AF34" s="274" t="str">
        <x:v>Not validated - no control/holdout</x:v>
      </x:c>
      <x:c r="AG34" s="277" t="str">
        <x:v>Recovered execution only; assignment date and unclaimed-offer denominator unavailable</x:v>
      </x:c>
    </x:row>
    <x:row r="35">
      <x:c r="A35" s="252" t="str">
        <x:v>33750807</x:v>
      </x:c>
      <x:c r="B35" s="253" t="str">
        <x:v>WS1</x:v>
      </x:c>
      <x:c r="C35" s="253" t="str">
        <x:v>MB8</x:v>
      </x:c>
      <x:c r="D35" s="262" t="n">
        <x:v>46114.88900462963</x:v>
      </x:c>
      <x:c r="E35" s="259" t="n">
        <x:v>46114.166666666664</x:v>
      </x:c>
      <x:c r="F35" s="253" t="str">
        <x:v>669459</x:v>
      </x:c>
      <x:c r="G35" s="253" t="str">
        <x:v>Chan8573</x:v>
      </x:c>
      <x:c r="H35" s="253" t="str">
        <x:v>Yes</x:v>
      </x:c>
      <x:c r="I35" s="253" t="str">
        <x:v>Sheena</x:v>
      </x:c>
      <x:c r="J35" s="253" t="str">
        <x:v>Sheena</x:v>
      </x:c>
      <x:c r="K35" s="259" t="n">
        <x:v>45852.166666666664</x:v>
      </x:c>
      <x:c r="L35" s="268" t="str">
        <x:f>IFERROR(VLOOKUP(I35,'Handler-Team Map'!$A$7:$C$17,2,FALSE),"")</x:f>
      </x:c>
      <x:c r="M35" s="268" t="str">
        <x:f>IFERROR(VLOOKUP(I35,'Handler-Team Map'!$A$7:$C$17,3,FALSE),"")</x:f>
      </x:c>
      <x:c r="N35" s="274" t="str">
        <x:v>FT_VM_DEP800_GET400_1X</x:v>
      </x:c>
      <x:c r="O35" s="274" t="str">
        <x:v>VIP BONUS - Deposit 800 Get 400 - 1x TO</x:v>
      </x:c>
      <x:c r="P35" s="274" t="str">
        <x:v>DepositBonus</x:v>
      </x:c>
      <x:c r="Q35" s="274" t="str">
        <x:v>Approved</x:v>
      </x:c>
      <x:c r="R35" s="265" t="n">
        <x:v>400</x:v>
      </x:c>
      <x:c r="S35" s="253" t="str">
        <x:v>Yes</x:v>
      </x:c>
      <x:c r="T35" s="265" t="n">
        <x:v>188</x:v>
      </x:c>
      <x:c r="U35" s="253" t="str">
        <x:f>IF(AND(S35="Yes",T35=0),"Yes","No")</x:f>
        <x:v>No</x:v>
      </x:c>
      <x:c r="V35" s="253" t="str">
        <x:v>Yes</x:v>
      </x:c>
      <x:c r="W35" s="253" t="str">
        <x:v>Yes</x:v>
      </x:c>
      <x:c r="X35" s="259" t="n">
        <x:v>46114.166666666664</x:v>
      </x:c>
      <x:c r="Y35" s="265" t="n">
        <x:v>800</x:v>
      </x:c>
      <x:c r="Z35" s="265" t="n">
        <x:v>800</x:v>
      </x:c>
      <x:c r="AA35" s="253" t="str">
        <x:f>IF(V35="No","Maturing",IF(AND(U35="Yes",Y35&gt;0),"Yes","No"))</x:f>
        <x:v>No</x:v>
      </x:c>
      <x:c r="AB35" s="253" t="str">
        <x:f>IF(W35="No","Maturing",IF(AND(U35="Yes",Z35&gt;0),"Yes","No"))</x:f>
        <x:v>No</x:v>
      </x:c>
      <x:c r="AC35" s="265" t="n">
        <x:v>-900.66</x:v>
      </x:c>
      <x:c r="AD35" s="265" t="n">
        <x:v>-900.66</x:v>
      </x:c>
      <x:c r="AE35" s="271" t="str"/>
      <x:c r="AF35" s="274" t="str">
        <x:v>Not validated - no control/holdout</x:v>
      </x:c>
      <x:c r="AG35" s="277" t="str">
        <x:v>Recovered execution only; assignment date and unclaimed-offer denominator unavailable</x:v>
      </x:c>
    </x:row>
    <x:row r="36">
      <x:c r="A36" s="252" t="str">
        <x:v>33752300</x:v>
      </x:c>
      <x:c r="B36" s="253" t="str">
        <x:v>WS1</x:v>
      </x:c>
      <x:c r="C36" s="253" t="str">
        <x:v>MB8</x:v>
      </x:c>
      <x:c r="D36" s="262" t="n">
        <x:v>46114.97620370371</x:v>
      </x:c>
      <x:c r="E36" s="259" t="n">
        <x:v>46114.166666666664</x:v>
      </x:c>
      <x:c r="F36" s="253" t="str">
        <x:v>1047324</x:v>
      </x:c>
      <x:c r="G36" s="253" t="str">
        <x:v>Tarnish</x:v>
      </x:c>
      <x:c r="H36" s="253" t="str">
        <x:v>Yes</x:v>
      </x:c>
      <x:c r="I36" s="253" t="str">
        <x:v>zhen</x:v>
      </x:c>
      <x:c r="J36" s="253" t="str">
        <x:v>zhen</x:v>
      </x:c>
      <x:c r="K36" s="259" t="n">
        <x:v>45922.166666666664</x:v>
      </x:c>
      <x:c r="L36" s="268" t="str">
        <x:f>IFERROR(VLOOKUP(I36,'Handler-Team Map'!$A$7:$C$17,2,FALSE),"")</x:f>
      </x:c>
      <x:c r="M36" s="268" t="str">
        <x:f>IFERROR(VLOOKUP(I36,'Handler-Team Map'!$A$7:$C$17,3,FALSE),"")</x:f>
      </x:c>
      <x:c r="N36" s="274" t="str">
        <x:v>FT_VM_DEP600_GET200_5X</x:v>
      </x:c>
      <x:c r="O36" s="274" t="str">
        <x:v>VIP BONUS - Deposit 600 Get 200 - 5x TO</x:v>
      </x:c>
      <x:c r="P36" s="274" t="str">
        <x:v>DepositBonus</x:v>
      </x:c>
      <x:c r="Q36" s="274" t="str">
        <x:v>Approved</x:v>
      </x:c>
      <x:c r="R36" s="265" t="n">
        <x:v>200</x:v>
      </x:c>
      <x:c r="S36" s="253" t="str">
        <x:v>Yes</x:v>
      </x:c>
      <x:c r="T36" s="265" t="n">
        <x:v>496445</x:v>
      </x:c>
      <x:c r="U36" s="253" t="str">
        <x:f>IF(AND(S36="Yes",T36=0),"Yes","No")</x:f>
        <x:v>No</x:v>
      </x:c>
      <x:c r="V36" s="253" t="str">
        <x:v>Yes</x:v>
      </x:c>
      <x:c r="W36" s="253" t="str">
        <x:v>Yes</x:v>
      </x:c>
      <x:c r="X36" s="259" t="n">
        <x:v>46114.166666666664</x:v>
      </x:c>
      <x:c r="Y36" s="265" t="n">
        <x:v>147795</x:v>
      </x:c>
      <x:c r="Z36" s="265" t="n">
        <x:v>294145</x:v>
      </x:c>
      <x:c r="AA36" s="253" t="str">
        <x:f>IF(V36="No","Maturing",IF(AND(U36="Yes",Y36&gt;0),"Yes","No"))</x:f>
        <x:v>No</x:v>
      </x:c>
      <x:c r="AB36" s="253" t="str">
        <x:f>IF(W36="No","Maturing",IF(AND(U36="Yes",Z36&gt;0),"Yes","No"))</x:f>
        <x:v>No</x:v>
      </x:c>
      <x:c r="AC36" s="265" t="n">
        <x:v>7272.35</x:v>
      </x:c>
      <x:c r="AD36" s="265" t="n">
        <x:v>-34575.58</x:v>
      </x:c>
      <x:c r="AE36" s="271" t="str"/>
      <x:c r="AF36" s="274" t="str">
        <x:v>Not validated - no control/holdout</x:v>
      </x:c>
      <x:c r="AG36" s="277" t="str">
        <x:v>Recovered execution only; assignment date and unclaimed-offer denominator unavailable</x:v>
      </x:c>
    </x:row>
    <x:row r="37">
      <x:c r="A37" s="252" t="str">
        <x:v>33752520</x:v>
      </x:c>
      <x:c r="B37" s="253" t="str">
        <x:v>WS1</x:v>
      </x:c>
      <x:c r="C37" s="253" t="str">
        <x:v>MB8</x:v>
      </x:c>
      <x:c r="D37" s="262" t="n">
        <x:v>46114.98626157407</x:v>
      </x:c>
      <x:c r="E37" s="259" t="n">
        <x:v>46114.166666666664</x:v>
      </x:c>
      <x:c r="F37" s="253" t="str">
        <x:v>1075090</x:v>
      </x:c>
      <x:c r="G37" s="253" t="str">
        <x:v>Gerald180119</x:v>
      </x:c>
      <x:c r="H37" s="253" t="str">
        <x:v>Yes</x:v>
      </x:c>
      <x:c r="I37" s="253" t="str">
        <x:v>Jiahui</x:v>
      </x:c>
      <x:c r="J37" s="253" t="str">
        <x:v>Jiahui</x:v>
      </x:c>
      <x:c r="K37" s="259" t="n">
        <x:v>45797.166666666664</x:v>
      </x:c>
      <x:c r="L37" s="268" t="str">
        <x:f>IFERROR(VLOOKUP(I37,'Handler-Team Map'!$A$7:$C$17,2,FALSE),"")</x:f>
      </x:c>
      <x:c r="M37" s="268" t="str">
        <x:f>IFERROR(VLOOKUP(I37,'Handler-Team Map'!$A$7:$C$17,3,FALSE),"")</x:f>
      </x:c>
      <x:c r="N37" s="274" t="str">
        <x:v>FT_VM_DEP800_GET400_1X</x:v>
      </x:c>
      <x:c r="O37" s="274" t="str">
        <x:v>VIP BONUS - Deposit 800 Get 400 - 1x TO</x:v>
      </x:c>
      <x:c r="P37" s="274" t="str">
        <x:v>DepositBonus</x:v>
      </x:c>
      <x:c r="Q37" s="274" t="str">
        <x:v>Approved</x:v>
      </x:c>
      <x:c r="R37" s="265" t="n">
        <x:v>400</x:v>
      </x:c>
      <x:c r="S37" s="253" t="str">
        <x:v>Yes</x:v>
      </x:c>
      <x:c r="T37" s="265" t="n">
        <x:v>900</x:v>
      </x:c>
      <x:c r="U37" s="253" t="str">
        <x:f>IF(AND(S37="Yes",T37=0),"Yes","No")</x:f>
        <x:v>No</x:v>
      </x:c>
      <x:c r="V37" s="253" t="str">
        <x:v>Yes</x:v>
      </x:c>
      <x:c r="W37" s="253" t="str">
        <x:v>Yes</x:v>
      </x:c>
      <x:c r="X37" s="259" t="n">
        <x:v>46114.166666666664</x:v>
      </x:c>
      <x:c r="Y37" s="265" t="n">
        <x:v>2300</x:v>
      </x:c>
      <x:c r="Z37" s="265" t="n">
        <x:v>2600</x:v>
      </x:c>
      <x:c r="AA37" s="253" t="str">
        <x:f>IF(V37="No","Maturing",IF(AND(U37="Yes",Y37&gt;0),"Yes","No"))</x:f>
        <x:v>No</x:v>
      </x:c>
      <x:c r="AB37" s="253" t="str">
        <x:f>IF(W37="No","Maturing",IF(AND(U37="Yes",Z37&gt;0),"Yes","No"))</x:f>
        <x:v>No</x:v>
      </x:c>
      <x:c r="AC37" s="265" t="n">
        <x:v>1069</x:v>
      </x:c>
      <x:c r="AD37" s="265" t="n">
        <x:v>1369.21</x:v>
      </x:c>
      <x:c r="AE37" s="271" t="str"/>
      <x:c r="AF37" s="274" t="str">
        <x:v>Not validated - no control/holdout</x:v>
      </x:c>
      <x:c r="AG37" s="277" t="str">
        <x:v>Recovered execution only; assignment date and unclaimed-offer denominator unavailable</x:v>
      </x:c>
    </x:row>
    <x:row r="38">
      <x:c r="A38" s="252" t="str">
        <x:v>33756846</x:v>
      </x:c>
      <x:c r="B38" s="253" t="str">
        <x:v>WS1</x:v>
      </x:c>
      <x:c r="C38" s="253" t="str">
        <x:v>MB8</x:v>
      </x:c>
      <x:c r="D38" s="262" t="n">
        <x:v>46115.406875</x:v>
      </x:c>
      <x:c r="E38" s="259" t="n">
        <x:v>46115.166666666664</x:v>
      </x:c>
      <x:c r="F38" s="253" t="str">
        <x:v>113180</x:v>
      </x:c>
      <x:c r="G38" s="253" t="str">
        <x:v>Hazel</x:v>
      </x:c>
      <x:c r="H38" s="253" t="str">
        <x:v>Yes</x:v>
      </x:c>
      <x:c r="I38" s="253" t="str">
        <x:v>Serene</x:v>
      </x:c>
      <x:c r="J38" s="253" t="str">
        <x:v>Serene</x:v>
      </x:c>
      <x:c r="K38" s="259" t="n">
        <x:v>45831.166666666664</x:v>
      </x:c>
      <x:c r="L38" s="268" t="str">
        <x:f>IFERROR(VLOOKUP(I38,'Handler-Team Map'!$A$7:$C$17,2,FALSE),"")</x:f>
      </x:c>
      <x:c r="M38" s="268" t="str">
        <x:f>IFERROR(VLOOKUP(I38,'Handler-Team Map'!$A$7:$C$17,3,FALSE),"")</x:f>
      </x:c>
      <x:c r="N38" s="274" t="str">
        <x:v>FT_VM_DEP1000_GET500_5X</x:v>
      </x:c>
      <x:c r="O38" s="274" t="str">
        <x:v>VIP BONUS - Deposit 1000 Get 500 - 5x TO</x:v>
      </x:c>
      <x:c r="P38" s="274" t="str">
        <x:v>DepositBonus</x:v>
      </x:c>
      <x:c r="Q38" s="274" t="str">
        <x:v>Approved</x:v>
      </x:c>
      <x:c r="R38" s="265" t="n">
        <x:v>500</x:v>
      </x:c>
      <x:c r="S38" s="253" t="str">
        <x:v>Yes</x:v>
      </x:c>
      <x:c r="T38" s="265" t="n">
        <x:v>3000</x:v>
      </x:c>
      <x:c r="U38" s="253" t="str">
        <x:f>IF(AND(S38="Yes",T38=0),"Yes","No")</x:f>
        <x:v>No</x:v>
      </x:c>
      <x:c r="V38" s="253" t="str">
        <x:v>Yes</x:v>
      </x:c>
      <x:c r="W38" s="253" t="str">
        <x:v>Yes</x:v>
      </x:c>
      <x:c r="X38" s="259" t="n">
        <x:v>46115.166666666664</x:v>
      </x:c>
      <x:c r="Y38" s="265" t="n">
        <x:v>2000</x:v>
      </x:c>
      <x:c r="Z38" s="265" t="n">
        <x:v>2000</x:v>
      </x:c>
      <x:c r="AA38" s="253" t="str">
        <x:f>IF(V38="No","Maturing",IF(AND(U38="Yes",Y38&gt;0),"Yes","No"))</x:f>
        <x:v>No</x:v>
      </x:c>
      <x:c r="AB38" s="253" t="str">
        <x:f>IF(W38="No","Maturing",IF(AND(U38="Yes",Z38&gt;0),"Yes","No"))</x:f>
        <x:v>No</x:v>
      </x:c>
      <x:c r="AC38" s="265" t="n">
        <x:v>1986.67</x:v>
      </x:c>
      <x:c r="AD38" s="265" t="n">
        <x:v>1608.62</x:v>
      </x:c>
      <x:c r="AE38" s="271" t="str"/>
      <x:c r="AF38" s="274" t="str">
        <x:v>Not validated - no control/holdout</x:v>
      </x:c>
      <x:c r="AG38" s="277" t="str">
        <x:v>Recovered execution only; assignment date and unclaimed-offer denominator unavailable</x:v>
      </x:c>
    </x:row>
    <x:row r="39">
      <x:c r="A39" s="252" t="str">
        <x:v>33758768</x:v>
      </x:c>
      <x:c r="B39" s="253" t="str">
        <x:v>WS1</x:v>
      </x:c>
      <x:c r="C39" s="253" t="str">
        <x:v>MB8</x:v>
      </x:c>
      <x:c r="D39" s="262" t="n">
        <x:v>46115.60900462963</x:v>
      </x:c>
      <x:c r="E39" s="259" t="n">
        <x:v>46115.166666666664</x:v>
      </x:c>
      <x:c r="F39" s="253" t="str">
        <x:v>923480</x:v>
      </x:c>
      <x:c r="G39" s="253" t="str">
        <x:v>jared081199</x:v>
      </x:c>
      <x:c r="H39" s="253" t="str">
        <x:v>Yes</x:v>
      </x:c>
      <x:c r="I39" s="253" t="str">
        <x:v>Tammy</x:v>
      </x:c>
      <x:c r="J39" s="253" t="str">
        <x:v>Tammy</x:v>
      </x:c>
      <x:c r="K39" s="259" t="n">
        <x:v>45951.166666666664</x:v>
      </x:c>
      <x:c r="L39" s="268" t="str">
        <x:f>IFERROR(VLOOKUP(I39,'Handler-Team Map'!$A$7:$C$17,2,FALSE),"")</x:f>
      </x:c>
      <x:c r="M39" s="268" t="str">
        <x:f>IFERROR(VLOOKUP(I39,'Handler-Team Map'!$A$7:$C$17,3,FALSE),"")</x:f>
      </x:c>
      <x:c r="N39" s="274" t="str">
        <x:v>FT_VM_DEP800_GET400_2X</x:v>
      </x:c>
      <x:c r="O39" s="274" t="str">
        <x:v>VIP BONUS - Deposit 800 Get 400 - 2x TO</x:v>
      </x:c>
      <x:c r="P39" s="274" t="str">
        <x:v>DepositBonus</x:v>
      </x:c>
      <x:c r="Q39" s="274" t="str">
        <x:v>Approved</x:v>
      </x:c>
      <x:c r="R39" s="265" t="n">
        <x:v>400</x:v>
      </x:c>
      <x:c r="S39" s="253" t="str">
        <x:v>Yes</x:v>
      </x:c>
      <x:c r="T39" s="265" t="n">
        <x:v>4513</x:v>
      </x:c>
      <x:c r="U39" s="253" t="str">
        <x:f>IF(AND(S39="Yes",T39=0),"Yes","No")</x:f>
        <x:v>No</x:v>
      </x:c>
      <x:c r="V39" s="253" t="str">
        <x:v>Yes</x:v>
      </x:c>
      <x:c r="W39" s="253" t="str">
        <x:v>Yes</x:v>
      </x:c>
      <x:c r="X39" s="259" t="n">
        <x:v>46115.166666666664</x:v>
      </x:c>
      <x:c r="Y39" s="265" t="n">
        <x:v>5790</x:v>
      </x:c>
      <x:c r="Z39" s="265" t="n">
        <x:v>6290</x:v>
      </x:c>
      <x:c r="AA39" s="253" t="str">
        <x:f>IF(V39="No","Maturing",IF(AND(U39="Yes",Y39&gt;0),"Yes","No"))</x:f>
        <x:v>No</x:v>
      </x:c>
      <x:c r="AB39" s="253" t="str">
        <x:f>IF(W39="No","Maturing",IF(AND(U39="Yes",Z39&gt;0),"Yes","No"))</x:f>
        <x:v>No</x:v>
      </x:c>
      <x:c r="AC39" s="265" t="n">
        <x:v>-801.43</x:v>
      </x:c>
      <x:c r="AD39" s="265" t="n">
        <x:v>-1034.91</x:v>
      </x:c>
      <x:c r="AE39" s="271" t="str"/>
      <x:c r="AF39" s="274" t="str">
        <x:v>Not validated - no control/holdout</x:v>
      </x:c>
      <x:c r="AG39" s="277" t="str">
        <x:v>Recovered execution only; assignment date and unclaimed-offer denominator unavailable</x:v>
      </x:c>
    </x:row>
    <x:row r="40">
      <x:c r="A40" s="252" t="str">
        <x:v>33760133</x:v>
      </x:c>
      <x:c r="B40" s="253" t="str">
        <x:v>WS1</x:v>
      </x:c>
      <x:c r="C40" s="253" t="str">
        <x:v>MB8</x:v>
      </x:c>
      <x:c r="D40" s="262" t="n">
        <x:v>46115.700162037036</x:v>
      </x:c>
      <x:c r="E40" s="259" t="n">
        <x:v>46115.166666666664</x:v>
      </x:c>
      <x:c r="F40" s="253" t="str">
        <x:v>478584</x:v>
      </x:c>
      <x:c r="G40" s="253" t="str">
        <x:v>Rick101</x:v>
      </x:c>
      <x:c r="H40" s="253" t="str">
        <x:v>Yes</x:v>
      </x:c>
      <x:c r="I40" s="253" t="str">
        <x:v>Claire</x:v>
      </x:c>
      <x:c r="J40" s="253" t="str">
        <x:v>Claire</x:v>
      </x:c>
      <x:c r="K40" s="259" t="n">
        <x:v>45790.166666666664</x:v>
      </x:c>
      <x:c r="L40" s="268" t="str">
        <x:f>IFERROR(VLOOKUP(I40,'Handler-Team Map'!$A$7:$C$17,2,FALSE),"")</x:f>
      </x:c>
      <x:c r="M40" s="268" t="str">
        <x:f>IFERROR(VLOOKUP(I40,'Handler-Team Map'!$A$7:$C$17,3,FALSE),"")</x:f>
      </x:c>
      <x:c r="N40" s="274" t="str">
        <x:v>FT_VM_DEP1000_GET500_1X</x:v>
      </x:c>
      <x:c r="O40" s="274" t="str">
        <x:v>VIP BONUS - Deposit 1000 Get 500 - 1x TO</x:v>
      </x:c>
      <x:c r="P40" s="274" t="str">
        <x:v>DepositBonus</x:v>
      </x:c>
      <x:c r="Q40" s="274" t="str">
        <x:v>Approved</x:v>
      </x:c>
      <x:c r="R40" s="265" t="n">
        <x:v>500</x:v>
      </x:c>
      <x:c r="S40" s="253" t="str">
        <x:v>Yes</x:v>
      </x:c>
      <x:c r="T40" s="265" t="n">
        <x:v>4000</x:v>
      </x:c>
      <x:c r="U40" s="253" t="str">
        <x:f>IF(AND(S40="Yes",T40=0),"Yes","No")</x:f>
        <x:v>No</x:v>
      </x:c>
      <x:c r="V40" s="253" t="str">
        <x:v>Yes</x:v>
      </x:c>
      <x:c r="W40" s="253" t="str">
        <x:v>Yes</x:v>
      </x:c>
      <x:c r="X40" s="259" t="n">
        <x:v>46115.166666666664</x:v>
      </x:c>
      <x:c r="Y40" s="265" t="n">
        <x:v>3700</x:v>
      </x:c>
      <x:c r="Z40" s="265" t="n">
        <x:v>4600</x:v>
      </x:c>
      <x:c r="AA40" s="253" t="str">
        <x:f>IF(V40="No","Maturing",IF(AND(U40="Yes",Y40&gt;0),"Yes","No"))</x:f>
        <x:v>No</x:v>
      </x:c>
      <x:c r="AB40" s="253" t="str">
        <x:f>IF(W40="No","Maturing",IF(AND(U40="Yes",Z40&gt;0),"Yes","No"))</x:f>
        <x:v>No</x:v>
      </x:c>
      <x:c r="AC40" s="265" t="n">
        <x:v>-1995.63</x:v>
      </x:c>
      <x:c r="AD40" s="265" t="n">
        <x:v>-2577.41</x:v>
      </x:c>
      <x:c r="AE40" s="271" t="str"/>
      <x:c r="AF40" s="274" t="str">
        <x:v>Not validated - no control/holdout</x:v>
      </x:c>
      <x:c r="AG40" s="277" t="str">
        <x:v>Recovered execution only; assignment date and unclaimed-offer denominator unavailable</x:v>
      </x:c>
    </x:row>
    <x:row r="41">
      <x:c r="A41" s="252" t="str">
        <x:v>33760364</x:v>
      </x:c>
      <x:c r="B41" s="253" t="str">
        <x:v>WS1</x:v>
      </x:c>
      <x:c r="C41" s="253" t="str">
        <x:v>MB8</x:v>
      </x:c>
      <x:c r="D41" s="262" t="n">
        <x:v>46115.71824074074</x:v>
      </x:c>
      <x:c r="E41" s="259" t="n">
        <x:v>46115.166666666664</x:v>
      </x:c>
      <x:c r="F41" s="253" t="str">
        <x:v>521114</x:v>
      </x:c>
      <x:c r="G41" s="253" t="str">
        <x:v>Nzboss8181</x:v>
      </x:c>
      <x:c r="H41" s="253" t="str">
        <x:v>Yes</x:v>
      </x:c>
      <x:c r="I41" s="253" t="str">
        <x:v>Claire</x:v>
      </x:c>
      <x:c r="J41" s="253" t="str">
        <x:v>Claire</x:v>
      </x:c>
      <x:c r="K41" s="259" t="n">
        <x:v>45659.166666666664</x:v>
      </x:c>
      <x:c r="L41" s="268" t="str">
        <x:f>IFERROR(VLOOKUP(I41,'Handler-Team Map'!$A$7:$C$17,2,FALSE),"")</x:f>
      </x:c>
      <x:c r="M41" s="268" t="str">
        <x:f>IFERROR(VLOOKUP(I41,'Handler-Team Map'!$A$7:$C$17,3,FALSE),"")</x:f>
      </x:c>
      <x:c r="N41" s="274" t="str">
        <x:v>FT_VM_DEP1000_GET500_5X</x:v>
      </x:c>
      <x:c r="O41" s="274" t="str">
        <x:v>VIP BONUS - Deposit 1000 Get 500 - 5x TO</x:v>
      </x:c>
      <x:c r="P41" s="274" t="str">
        <x:v>DepositBonus</x:v>
      </x:c>
      <x:c r="Q41" s="274" t="str">
        <x:v>Approved</x:v>
      </x:c>
      <x:c r="R41" s="265" t="n">
        <x:v>500</x:v>
      </x:c>
      <x:c r="S41" s="253" t="str">
        <x:v>Yes</x:v>
      </x:c>
      <x:c r="T41" s="265" t="n">
        <x:v>424250</x:v>
      </x:c>
      <x:c r="U41" s="253" t="str">
        <x:f>IF(AND(S41="Yes",T41=0),"Yes","No")</x:f>
        <x:v>No</x:v>
      </x:c>
      <x:c r="V41" s="253" t="str">
        <x:v>Yes</x:v>
      </x:c>
      <x:c r="W41" s="253" t="str">
        <x:v>Yes</x:v>
      </x:c>
      <x:c r="X41" s="259" t="n">
        <x:v>46115.166666666664</x:v>
      </x:c>
      <x:c r="Y41" s="265" t="n">
        <x:v>73600</x:v>
      </x:c>
      <x:c r="Z41" s="265" t="n">
        <x:v>108600</x:v>
      </x:c>
      <x:c r="AA41" s="253" t="str">
        <x:f>IF(V41="No","Maturing",IF(AND(U41="Yes",Y41&gt;0),"Yes","No"))</x:f>
        <x:v>No</x:v>
      </x:c>
      <x:c r="AB41" s="253" t="str">
        <x:f>IF(W41="No","Maturing",IF(AND(U41="Yes",Z41&gt;0),"Yes","No"))</x:f>
        <x:v>No</x:v>
      </x:c>
      <x:c r="AC41" s="265" t="n">
        <x:v>51600.26</x:v>
      </x:c>
      <x:c r="AD41" s="265" t="n">
        <x:v>-64099.66</x:v>
      </x:c>
      <x:c r="AE41" s="271" t="str"/>
      <x:c r="AF41" s="274" t="str">
        <x:v>Not validated - no control/holdout</x:v>
      </x:c>
      <x:c r="AG41" s="277" t="str">
        <x:v>Recovered execution only; assignment date and unclaimed-offer denominator unavailable</x:v>
      </x:c>
    </x:row>
    <x:row r="42">
      <x:c r="A42" s="252" t="str">
        <x:v>33760447</x:v>
      </x:c>
      <x:c r="B42" s="253" t="str">
        <x:v>WS1</x:v>
      </x:c>
      <x:c r="C42" s="253" t="str">
        <x:v>MB8</x:v>
      </x:c>
      <x:c r="D42" s="262" t="n">
        <x:v>46115.718981481485</x:v>
      </x:c>
      <x:c r="E42" s="259" t="n">
        <x:v>46115.166666666664</x:v>
      </x:c>
      <x:c r="F42" s="253" t="str">
        <x:v>520781</x:v>
      </x:c>
      <x:c r="G42" s="253" t="str">
        <x:v>jokerz69</x:v>
      </x:c>
      <x:c r="H42" s="253" t="str">
        <x:v>Yes</x:v>
      </x:c>
      <x:c r="I42" s="253" t="str">
        <x:v>zhen</x:v>
      </x:c>
      <x:c r="J42" s="253" t="str">
        <x:v>zhen</x:v>
      </x:c>
      <x:c r="K42" s="259" t="n">
        <x:v>45922.166666666664</x:v>
      </x:c>
      <x:c r="L42" s="268" t="str">
        <x:f>IFERROR(VLOOKUP(I42,'Handler-Team Map'!$A$7:$C$17,2,FALSE),"")</x:f>
      </x:c>
      <x:c r="M42" s="268" t="str">
        <x:f>IFERROR(VLOOKUP(I42,'Handler-Team Map'!$A$7:$C$17,3,FALSE),"")</x:f>
      </x:c>
      <x:c r="N42" s="274" t="str">
        <x:v>FT_VM_DEP1000_GET700_2X</x:v>
      </x:c>
      <x:c r="O42" s="274" t="str">
        <x:v>VIP BONUS - Deposit 1000 Get 700 - 2x TO</x:v>
      </x:c>
      <x:c r="P42" s="274" t="str">
        <x:v>DepositBonus</x:v>
      </x:c>
      <x:c r="Q42" s="274" t="str">
        <x:v>Approved</x:v>
      </x:c>
      <x:c r="R42" s="265" t="n">
        <x:v>700</x:v>
      </x:c>
      <x:c r="S42" s="253" t="str">
        <x:v>Yes</x:v>
      </x:c>
      <x:c r="T42" s="265" t="n">
        <x:v>3857</x:v>
      </x:c>
      <x:c r="U42" s="253" t="str">
        <x:f>IF(AND(S42="Yes",T42=0),"Yes","No")</x:f>
        <x:v>No</x:v>
      </x:c>
      <x:c r="V42" s="253" t="str">
        <x:v>Yes</x:v>
      </x:c>
      <x:c r="W42" s="253" t="str">
        <x:v>Yes</x:v>
      </x:c>
      <x:c r="X42" s="259" t="n">
        <x:v>46115.166666666664</x:v>
      </x:c>
      <x:c r="Y42" s="265" t="n">
        <x:v>7063</x:v>
      </x:c>
      <x:c r="Z42" s="265" t="n">
        <x:v>7063</x:v>
      </x:c>
      <x:c r="AA42" s="253" t="str">
        <x:f>IF(V42="No","Maturing",IF(AND(U42="Yes",Y42&gt;0),"Yes","No"))</x:f>
        <x:v>No</x:v>
      </x:c>
      <x:c r="AB42" s="253" t="str">
        <x:f>IF(W42="No","Maturing",IF(AND(U42="Yes",Z42&gt;0),"Yes","No"))</x:f>
        <x:v>No</x:v>
      </x:c>
      <x:c r="AC42" s="265" t="n">
        <x:v>5112.49</x:v>
      </x:c>
      <x:c r="AD42" s="265" t="n">
        <x:v>5112.04</x:v>
      </x:c>
      <x:c r="AE42" s="271" t="str"/>
      <x:c r="AF42" s="274" t="str">
        <x:v>Not validated - no control/holdout</x:v>
      </x:c>
      <x:c r="AG42" s="277" t="str">
        <x:v>Recovered execution only; assignment date and unclaimed-offer denominator unavailable</x:v>
      </x:c>
    </x:row>
    <x:row r="43">
      <x:c r="A43" s="252" t="str">
        <x:v>33760782</x:v>
      </x:c>
      <x:c r="B43" s="253" t="str">
        <x:v>WS1</x:v>
      </x:c>
      <x:c r="C43" s="253" t="str">
        <x:v>MB8</x:v>
      </x:c>
      <x:c r="D43" s="262" t="n">
        <x:v>46115.74116898148</x:v>
      </x:c>
      <x:c r="E43" s="259" t="n">
        <x:v>46115.166666666664</x:v>
      </x:c>
      <x:c r="F43" s="253" t="str">
        <x:v>539</x:v>
      </x:c>
      <x:c r="G43" s="253" t="str">
        <x:v>sslssl</x:v>
      </x:c>
      <x:c r="H43" s="253" t="str">
        <x:v>Yes</x:v>
      </x:c>
      <x:c r="I43" s="253" t="str">
        <x:v>Elda</x:v>
      </x:c>
      <x:c r="J43" s="253" t="str">
        <x:v>Elda</x:v>
      </x:c>
      <x:c r="K43" s="259" t="n">
        <x:v>45659.166666666664</x:v>
      </x:c>
      <x:c r="L43" s="268" t="str">
        <x:f>IFERROR(VLOOKUP(I43,'Handler-Team Map'!$A$7:$C$17,2,FALSE),"")</x:f>
      </x:c>
      <x:c r="M43" s="268" t="str">
        <x:f>IFERROR(VLOOKUP(I43,'Handler-Team Map'!$A$7:$C$17,3,FALSE),"")</x:f>
      </x:c>
      <x:c r="N43" s="274" t="str">
        <x:v>FT_VM_DEP600_GET200_2X</x:v>
      </x:c>
      <x:c r="O43" s="274" t="str">
        <x:v>VIP BONUS - Deposit 600 Get 200 - 2x TO</x:v>
      </x:c>
      <x:c r="P43" s="274" t="str">
        <x:v>DepositBonus</x:v>
      </x:c>
      <x:c r="Q43" s="274" t="str">
        <x:v>Approved</x:v>
      </x:c>
      <x:c r="R43" s="265" t="n">
        <x:v>200</x:v>
      </x:c>
      <x:c r="S43" s="253" t="str">
        <x:v>Yes</x:v>
      </x:c>
      <x:c r="T43" s="265" t="n">
        <x:v>37163</x:v>
      </x:c>
      <x:c r="U43" s="253" t="str">
        <x:f>IF(AND(S43="Yes",T43=0),"Yes","No")</x:f>
        <x:v>No</x:v>
      </x:c>
      <x:c r="V43" s="253" t="str">
        <x:v>Yes</x:v>
      </x:c>
      <x:c r="W43" s="253" t="str">
        <x:v>Yes</x:v>
      </x:c>
      <x:c r="X43" s="259" t="n">
        <x:v>46115.166666666664</x:v>
      </x:c>
      <x:c r="Y43" s="265" t="n">
        <x:v>20963</x:v>
      </x:c>
      <x:c r="Z43" s="265" t="n">
        <x:v>24232</x:v>
      </x:c>
      <x:c r="AA43" s="253" t="str">
        <x:f>IF(V43="No","Maturing",IF(AND(U43="Yes",Y43&gt;0),"Yes","No"))</x:f>
        <x:v>No</x:v>
      </x:c>
      <x:c r="AB43" s="253" t="str">
        <x:f>IF(W43="No","Maturing",IF(AND(U43="Yes",Z43&gt;0),"Yes","No"))</x:f>
        <x:v>No</x:v>
      </x:c>
      <x:c r="AC43" s="265" t="n">
        <x:v>-1838.56</x:v>
      </x:c>
      <x:c r="AD43" s="265" t="n">
        <x:v>1423.22</x:v>
      </x:c>
      <x:c r="AE43" s="271" t="str"/>
      <x:c r="AF43" s="274" t="str">
        <x:v>Not validated - no control/holdout</x:v>
      </x:c>
      <x:c r="AG43" s="277" t="str">
        <x:v>Recovered execution only; assignment date and unclaimed-offer denominator unavailable</x:v>
      </x:c>
    </x:row>
    <x:row r="44">
      <x:c r="A44" s="252" t="str">
        <x:v>33762351</x:v>
      </x:c>
      <x:c r="B44" s="253" t="str">
        <x:v>WS1</x:v>
      </x:c>
      <x:c r="C44" s="253" t="str">
        <x:v>MB8</x:v>
      </x:c>
      <x:c r="D44" s="262" t="n">
        <x:v>46115.8468287037</x:v>
      </x:c>
      <x:c r="E44" s="259" t="n">
        <x:v>46115.166666666664</x:v>
      </x:c>
      <x:c r="F44" s="253" t="str">
        <x:v>771769</x:v>
      </x:c>
      <x:c r="G44" s="253" t="str">
        <x:v>bladegeneration</x:v>
      </x:c>
      <x:c r="H44" s="253" t="str">
        <x:v>Yes</x:v>
      </x:c>
      <x:c r="I44" s="253" t="str">
        <x:v>Elda</x:v>
      </x:c>
      <x:c r="J44" s="253" t="str">
        <x:v>Elda</x:v>
      </x:c>
      <x:c r="K44" s="259" t="n">
        <x:v>45659.166666666664</x:v>
      </x:c>
      <x:c r="L44" s="268" t="str">
        <x:f>IFERROR(VLOOKUP(I44,'Handler-Team Map'!$A$7:$C$17,2,FALSE),"")</x:f>
      </x:c>
      <x:c r="M44" s="268" t="str">
        <x:f>IFERROR(VLOOKUP(I44,'Handler-Team Map'!$A$7:$C$17,3,FALSE),"")</x:f>
      </x:c>
      <x:c r="N44" s="274" t="str">
        <x:v>FT_VM_DEP1000_GET500_5X</x:v>
      </x:c>
      <x:c r="O44" s="274" t="str">
        <x:v>VIP BONUS - Deposit 1000 Get 500 - 5x TO</x:v>
      </x:c>
      <x:c r="P44" s="274" t="str">
        <x:v>DepositBonus</x:v>
      </x:c>
      <x:c r="Q44" s="274" t="str">
        <x:v>Approved</x:v>
      </x:c>
      <x:c r="R44" s="265" t="n">
        <x:v>500</x:v>
      </x:c>
      <x:c r="S44" s="253" t="str">
        <x:v>Yes</x:v>
      </x:c>
      <x:c r="T44" s="265" t="n">
        <x:v>262480</x:v>
      </x:c>
      <x:c r="U44" s="253" t="str">
        <x:f>IF(AND(S44="Yes",T44=0),"Yes","No")</x:f>
        <x:v>No</x:v>
      </x:c>
      <x:c r="V44" s="253" t="str">
        <x:v>Yes</x:v>
      </x:c>
      <x:c r="W44" s="253" t="str">
        <x:v>Yes</x:v>
      </x:c>
      <x:c r="X44" s="259" t="n">
        <x:v>46115.166666666664</x:v>
      </x:c>
      <x:c r="Y44" s="265" t="n">
        <x:v>222750</x:v>
      </x:c>
      <x:c r="Z44" s="265" t="n">
        <x:v>562850</x:v>
      </x:c>
      <x:c r="AA44" s="253" t="str">
        <x:f>IF(V44="No","Maturing",IF(AND(U44="Yes",Y44&gt;0),"Yes","No"))</x:f>
        <x:v>No</x:v>
      </x:c>
      <x:c r="AB44" s="253" t="str">
        <x:f>IF(W44="No","Maturing",IF(AND(U44="Yes",Z44&gt;0),"Yes","No"))</x:f>
        <x:v>No</x:v>
      </x:c>
      <x:c r="AC44" s="265" t="n">
        <x:v>-183465.33</x:v>
      </x:c>
      <x:c r="AD44" s="265" t="n">
        <x:v>-8564.53</x:v>
      </x:c>
      <x:c r="AE44" s="271" t="str"/>
      <x:c r="AF44" s="274" t="str">
        <x:v>Not validated - no control/holdout</x:v>
      </x:c>
      <x:c r="AG44" s="277" t="str">
        <x:v>Recovered execution only; assignment date and unclaimed-offer denominator unavailable</x:v>
      </x:c>
    </x:row>
    <x:row r="45">
      <x:c r="A45" s="252" t="str">
        <x:v>33763250</x:v>
      </x:c>
      <x:c r="B45" s="253" t="str">
        <x:v>WS1</x:v>
      </x:c>
      <x:c r="C45" s="253" t="str">
        <x:v>MB8</x:v>
      </x:c>
      <x:c r="D45" s="262" t="n">
        <x:v>46115.91002314815</x:v>
      </x:c>
      <x:c r="E45" s="259" t="n">
        <x:v>46115.166666666664</x:v>
      </x:c>
      <x:c r="F45" s="253" t="str">
        <x:v>564867</x:v>
      </x:c>
      <x:c r="G45" s="253" t="str">
        <x:v>Nageen</x:v>
      </x:c>
      <x:c r="H45" s="253" t="str">
        <x:v>Yes</x:v>
      </x:c>
      <x:c r="I45" s="253" t="str">
        <x:v>Claire</x:v>
      </x:c>
      <x:c r="J45" s="253" t="str">
        <x:v>Claire</x:v>
      </x:c>
      <x:c r="K45" s="259" t="n">
        <x:v>45659.166666666664</x:v>
      </x:c>
      <x:c r="L45" s="268" t="str">
        <x:f>IFERROR(VLOOKUP(I45,'Handler-Team Map'!$A$7:$C$17,2,FALSE),"")</x:f>
      </x:c>
      <x:c r="M45" s="268" t="str">
        <x:f>IFERROR(VLOOKUP(I45,'Handler-Team Map'!$A$7:$C$17,3,FALSE),"")</x:f>
      </x:c>
      <x:c r="N45" s="274" t="str">
        <x:v>FT_VM_DEP600_GET200_2X</x:v>
      </x:c>
      <x:c r="O45" s="274" t="str">
        <x:v>VIP BONUS - Deposit 600 Get 200 - 2x TO</x:v>
      </x:c>
      <x:c r="P45" s="274" t="str">
        <x:v>DepositBonus</x:v>
      </x:c>
      <x:c r="Q45" s="274" t="str">
        <x:v>Approved</x:v>
      </x:c>
      <x:c r="R45" s="265" t="n">
        <x:v>200</x:v>
      </x:c>
      <x:c r="S45" s="253" t="str">
        <x:v>Yes</x:v>
      </x:c>
      <x:c r="T45" s="265" t="n">
        <x:v>126272.07</x:v>
      </x:c>
      <x:c r="U45" s="253" t="str">
        <x:f>IF(AND(S45="Yes",T45=0),"Yes","No")</x:f>
        <x:v>No</x:v>
      </x:c>
      <x:c r="V45" s="253" t="str">
        <x:v>Yes</x:v>
      </x:c>
      <x:c r="W45" s="253" t="str">
        <x:v>Yes</x:v>
      </x:c>
      <x:c r="X45" s="259" t="n">
        <x:v>46115.166666666664</x:v>
      </x:c>
      <x:c r="Y45" s="265" t="n">
        <x:v>14600</x:v>
      </x:c>
      <x:c r="Z45" s="265" t="n">
        <x:v>43189.8</x:v>
      </x:c>
      <x:c r="AA45" s="253" t="str">
        <x:f>IF(V45="No","Maturing",IF(AND(U45="Yes",Y45&gt;0),"Yes","No"))</x:f>
        <x:v>No</x:v>
      </x:c>
      <x:c r="AB45" s="253" t="str">
        <x:f>IF(W45="No","Maturing",IF(AND(U45="Yes",Z45&gt;0),"Yes","No"))</x:f>
        <x:v>No</x:v>
      </x:c>
      <x:c r="AC45" s="265" t="n">
        <x:v>10146.42</x:v>
      </x:c>
      <x:c r="AD45" s="265" t="n">
        <x:v>30950.57</x:v>
      </x:c>
      <x:c r="AE45" s="271" t="str"/>
      <x:c r="AF45" s="274" t="str">
        <x:v>Not validated - no control/holdout</x:v>
      </x:c>
      <x:c r="AG45" s="277" t="str">
        <x:v>Recovered execution only; assignment date and unclaimed-offer denominator unavailable</x:v>
      </x:c>
    </x:row>
    <x:row r="46">
      <x:c r="A46" s="252" t="str">
        <x:v>33763491</x:v>
      </x:c>
      <x:c r="B46" s="253" t="str">
        <x:v>WS1</x:v>
      </x:c>
      <x:c r="C46" s="253" t="str">
        <x:v>MB8</x:v>
      </x:c>
      <x:c r="D46" s="262" t="n">
        <x:v>46115.92252314815</x:v>
      </x:c>
      <x:c r="E46" s="259" t="n">
        <x:v>46115.166666666664</x:v>
      </x:c>
      <x:c r="F46" s="253" t="str">
        <x:v>520781</x:v>
      </x:c>
      <x:c r="G46" s="253" t="str">
        <x:v>jokerz69</x:v>
      </x:c>
      <x:c r="H46" s="253" t="str">
        <x:v>Yes</x:v>
      </x:c>
      <x:c r="I46" s="253" t="str">
        <x:v>zhen</x:v>
      </x:c>
      <x:c r="J46" s="253" t="str">
        <x:v>zhen</x:v>
      </x:c>
      <x:c r="K46" s="259" t="n">
        <x:v>45922.166666666664</x:v>
      </x:c>
      <x:c r="L46" s="268" t="str">
        <x:f>IFERROR(VLOOKUP(I46,'Handler-Team Map'!$A$7:$C$17,2,FALSE),"")</x:f>
      </x:c>
      <x:c r="M46" s="268" t="str">
        <x:f>IFERROR(VLOOKUP(I46,'Handler-Team Map'!$A$7:$C$17,3,FALSE),"")</x:f>
      </x:c>
      <x:c r="N46" s="274" t="str">
        <x:v>FT_VM_DEP1000_GET500_5X</x:v>
      </x:c>
      <x:c r="O46" s="274" t="str">
        <x:v>VIP BONUS - Deposit 1000 Get 500 - 5x TO</x:v>
      </x:c>
      <x:c r="P46" s="274" t="str">
        <x:v>DepositBonus</x:v>
      </x:c>
      <x:c r="Q46" s="274" t="str">
        <x:v>Approved</x:v>
      </x:c>
      <x:c r="R46" s="265" t="n">
        <x:v>500</x:v>
      </x:c>
      <x:c r="S46" s="253" t="str">
        <x:v>Yes</x:v>
      </x:c>
      <x:c r="T46" s="265" t="n">
        <x:v>3857</x:v>
      </x:c>
      <x:c r="U46" s="253" t="str">
        <x:f>IF(AND(S46="Yes",T46=0),"Yes","No")</x:f>
        <x:v>No</x:v>
      </x:c>
      <x:c r="V46" s="253" t="str">
        <x:v>Yes</x:v>
      </x:c>
      <x:c r="W46" s="253" t="str">
        <x:v>Yes</x:v>
      </x:c>
      <x:c r="X46" s="259" t="n">
        <x:v>46115.166666666664</x:v>
      </x:c>
      <x:c r="Y46" s="265" t="n">
        <x:v>7063</x:v>
      </x:c>
      <x:c r="Z46" s="265" t="n">
        <x:v>7063</x:v>
      </x:c>
      <x:c r="AA46" s="253" t="str">
        <x:f>IF(V46="No","Maturing",IF(AND(U46="Yes",Y46&gt;0),"Yes","No"))</x:f>
        <x:v>No</x:v>
      </x:c>
      <x:c r="AB46" s="253" t="str">
        <x:f>IF(W46="No","Maturing",IF(AND(U46="Yes",Z46&gt;0),"Yes","No"))</x:f>
        <x:v>No</x:v>
      </x:c>
      <x:c r="AC46" s="265" t="n">
        <x:v>5112.49</x:v>
      </x:c>
      <x:c r="AD46" s="265" t="n">
        <x:v>5112.04</x:v>
      </x:c>
      <x:c r="AE46" s="271" t="str"/>
      <x:c r="AF46" s="274" t="str">
        <x:v>Not validated - no control/holdout</x:v>
      </x:c>
      <x:c r="AG46" s="277" t="str">
        <x:v>Recovered execution only; assignment date and unclaimed-offer denominator unavailable</x:v>
      </x:c>
    </x:row>
    <x:row r="47">
      <x:c r="A47" s="252" t="str">
        <x:v>33768255</x:v>
      </x:c>
      <x:c r="B47" s="253" t="str">
        <x:v>WS1</x:v>
      </x:c>
      <x:c r="C47" s="253" t="str">
        <x:v>MB8</x:v>
      </x:c>
      <x:c r="D47" s="262" t="n">
        <x:v>46116.23579861111</x:v>
      </x:c>
      <x:c r="E47" s="259" t="n">
        <x:v>46116.166666666664</x:v>
      </x:c>
      <x:c r="F47" s="253" t="str">
        <x:v>288472</x:v>
      </x:c>
      <x:c r="G47" s="253" t="str">
        <x:v>ANGIENG5</x:v>
      </x:c>
      <x:c r="H47" s="253" t="str">
        <x:v>Yes</x:v>
      </x:c>
      <x:c r="I47" s="253" t="str">
        <x:v>Claire</x:v>
      </x:c>
      <x:c r="J47" s="253" t="str">
        <x:v>Claire</x:v>
      </x:c>
      <x:c r="K47" s="259" t="n">
        <x:v>45659.166666666664</x:v>
      </x:c>
      <x:c r="L47" s="268" t="str">
        <x:f>IFERROR(VLOOKUP(I47,'Handler-Team Map'!$A$7:$C$17,2,FALSE),"")</x:f>
      </x:c>
      <x:c r="M47" s="268" t="str">
        <x:f>IFERROR(VLOOKUP(I47,'Handler-Team Map'!$A$7:$C$17,3,FALSE),"")</x:f>
      </x:c>
      <x:c r="N47" s="274" t="str">
        <x:v>FT_VM_DEP1000_GET500_5X</x:v>
      </x:c>
      <x:c r="O47" s="274" t="str">
        <x:v>VIP BONUS - Deposit 1000 Get 500 - 5x TO</x:v>
      </x:c>
      <x:c r="P47" s="274" t="str">
        <x:v>DepositBonus</x:v>
      </x:c>
      <x:c r="Q47" s="274" t="str">
        <x:v>Approved</x:v>
      </x:c>
      <x:c r="R47" s="265" t="n">
        <x:v>500</x:v>
      </x:c>
      <x:c r="S47" s="253" t="str">
        <x:v>Yes</x:v>
      </x:c>
      <x:c r="T47" s="265" t="n">
        <x:v>323539</x:v>
      </x:c>
      <x:c r="U47" s="253" t="str">
        <x:f>IF(AND(S47="Yes",T47=0),"Yes","No")</x:f>
        <x:v>No</x:v>
      </x:c>
      <x:c r="V47" s="253" t="str">
        <x:v>Yes</x:v>
      </x:c>
      <x:c r="W47" s="253" t="str">
        <x:v>Yes</x:v>
      </x:c>
      <x:c r="X47" s="259" t="n">
        <x:v>46116.166666666664</x:v>
      </x:c>
      <x:c r="Y47" s="265" t="n">
        <x:v>186109</x:v>
      </x:c>
      <x:c r="Z47" s="265" t="n">
        <x:v>204349</x:v>
      </x:c>
      <x:c r="AA47" s="253" t="str">
        <x:f>IF(V47="No","Maturing",IF(AND(U47="Yes",Y47&gt;0),"Yes","No"))</x:f>
        <x:v>No</x:v>
      </x:c>
      <x:c r="AB47" s="253" t="str">
        <x:f>IF(W47="No","Maturing",IF(AND(U47="Yes",Z47&gt;0),"Yes","No"))</x:f>
        <x:v>No</x:v>
      </x:c>
      <x:c r="AC47" s="265" t="n">
        <x:v>58438.94</x:v>
      </x:c>
      <x:c r="AD47" s="265" t="n">
        <x:v>53876.67</x:v>
      </x:c>
      <x:c r="AE47" s="271" t="str"/>
      <x:c r="AF47" s="274" t="str">
        <x:v>Not validated - no control/holdout</x:v>
      </x:c>
      <x:c r="AG47" s="277" t="str">
        <x:v>Recovered execution only; assignment date and unclaimed-offer denominator unavailable</x:v>
      </x:c>
    </x:row>
    <x:row r="48">
      <x:c r="A48" s="252" t="str">
        <x:v>33769016</x:v>
      </x:c>
      <x:c r="B48" s="253" t="str">
        <x:v>WS1</x:v>
      </x:c>
      <x:c r="C48" s="253" t="str">
        <x:v>MB8</x:v>
      </x:c>
      <x:c r="D48" s="262" t="n">
        <x:v>46116.39402777778</x:v>
      </x:c>
      <x:c r="E48" s="259" t="n">
        <x:v>46116.166666666664</x:v>
      </x:c>
      <x:c r="F48" s="253" t="str">
        <x:v>834759</x:v>
      </x:c>
      <x:c r="G48" s="253" t="str">
        <x:v>chenyeow</x:v>
      </x:c>
      <x:c r="H48" s="253" t="str">
        <x:v>Yes</x:v>
      </x:c>
      <x:c r="I48" s="253" t="str">
        <x:v>zhen</x:v>
      </x:c>
      <x:c r="J48" s="253" t="str">
        <x:v>zhen</x:v>
      </x:c>
      <x:c r="K48" s="259" t="n">
        <x:v>45922.166666666664</x:v>
      </x:c>
      <x:c r="L48" s="268" t="str">
        <x:f>IFERROR(VLOOKUP(I48,'Handler-Team Map'!$A$7:$C$17,2,FALSE),"")</x:f>
      </x:c>
      <x:c r="M48" s="268" t="str">
        <x:f>IFERROR(VLOOKUP(I48,'Handler-Team Map'!$A$7:$C$17,3,FALSE),"")</x:f>
      </x:c>
      <x:c r="N48" s="274" t="str">
        <x:v>FT_VM_DEP1000_GET500_5X</x:v>
      </x:c>
      <x:c r="O48" s="274" t="str">
        <x:v>VIP BONUS - Deposit 1000 Get 500 - 5x TO</x:v>
      </x:c>
      <x:c r="P48" s="274" t="str">
        <x:v>DepositBonus</x:v>
      </x:c>
      <x:c r="Q48" s="274" t="str">
        <x:v>Approved</x:v>
      </x:c>
      <x:c r="R48" s="265" t="n">
        <x:v>500</x:v>
      </x:c>
      <x:c r="S48" s="253" t="str">
        <x:v>Yes</x:v>
      </x:c>
      <x:c r="T48" s="265" t="n">
        <x:v>6500</x:v>
      </x:c>
      <x:c r="U48" s="253" t="str">
        <x:f>IF(AND(S48="Yes",T48=0),"Yes","No")</x:f>
        <x:v>No</x:v>
      </x:c>
      <x:c r="V48" s="253" t="str">
        <x:v>Yes</x:v>
      </x:c>
      <x:c r="W48" s="253" t="str">
        <x:v>Yes</x:v>
      </x:c>
      <x:c r="X48" s="259" t="n">
        <x:v>46116.166666666664</x:v>
      </x:c>
      <x:c r="Y48" s="265" t="n">
        <x:v>1000</x:v>
      </x:c>
      <x:c r="Z48" s="265" t="n">
        <x:v>2000</x:v>
      </x:c>
      <x:c r="AA48" s="253" t="str">
        <x:f>IF(V48="No","Maturing",IF(AND(U48="Yes",Y48&gt;0),"Yes","No"))</x:f>
        <x:v>No</x:v>
      </x:c>
      <x:c r="AB48" s="253" t="str">
        <x:f>IF(W48="No","Maturing",IF(AND(U48="Yes",Z48&gt;0),"Yes","No"))</x:f>
        <x:v>No</x:v>
      </x:c>
      <x:c r="AC48" s="265" t="n">
        <x:v>-1504.86</x:v>
      </x:c>
      <x:c r="AD48" s="265" t="n">
        <x:v>-508.86</x:v>
      </x:c>
      <x:c r="AE48" s="271" t="str"/>
      <x:c r="AF48" s="274" t="str">
        <x:v>Not validated - no control/holdout</x:v>
      </x:c>
      <x:c r="AG48" s="277" t="str">
        <x:v>Recovered execution only; assignment date and unclaimed-offer denominator unavailable</x:v>
      </x:c>
    </x:row>
    <x:row r="49">
      <x:c r="A49" s="252" t="str">
        <x:v>33772766</x:v>
      </x:c>
      <x:c r="B49" s="253" t="str">
        <x:v>WS1</x:v>
      </x:c>
      <x:c r="C49" s="253" t="str">
        <x:v>MB8</x:v>
      </x:c>
      <x:c r="D49" s="262" t="n">
        <x:v>46116.73609953704</x:v>
      </x:c>
      <x:c r="E49" s="259" t="n">
        <x:v>46116.166666666664</x:v>
      </x:c>
      <x:c r="F49" s="253" t="str">
        <x:v>78785</x:v>
      </x:c>
      <x:c r="G49" s="253" t="str">
        <x:v>Rainchoong</x:v>
      </x:c>
      <x:c r="H49" s="253" t="str">
        <x:v>Yes</x:v>
      </x:c>
      <x:c r="I49" s="253" t="str">
        <x:v>Jiahui</x:v>
      </x:c>
      <x:c r="J49" s="253" t="str">
        <x:v>Jiahui</x:v>
      </x:c>
      <x:c r="K49" s="259" t="n">
        <x:v>45811.166666666664</x:v>
      </x:c>
      <x:c r="L49" s="268" t="str">
        <x:f>IFERROR(VLOOKUP(I49,'Handler-Team Map'!$A$7:$C$17,2,FALSE),"")</x:f>
      </x:c>
      <x:c r="M49" s="268" t="str">
        <x:f>IFERROR(VLOOKUP(I49,'Handler-Team Map'!$A$7:$C$17,3,FALSE),"")</x:f>
      </x:c>
      <x:c r="N49" s="274" t="str">
        <x:v>FT_VM_DEP300_GET100_5X</x:v>
      </x:c>
      <x:c r="O49" s="274" t="str">
        <x:v>VIP BONUS - Deposit 300 Get 100 - 5x TO</x:v>
      </x:c>
      <x:c r="P49" s="274" t="str">
        <x:v>DepositBonus</x:v>
      </x:c>
      <x:c r="Q49" s="274" t="str">
        <x:v>Approved</x:v>
      </x:c>
      <x:c r="R49" s="265" t="n">
        <x:v>100</x:v>
      </x:c>
      <x:c r="S49" s="253" t="str">
        <x:v>Yes</x:v>
      </x:c>
      <x:c r="T49" s="265" t="n">
        <x:v>30850</x:v>
      </x:c>
      <x:c r="U49" s="253" t="str">
        <x:f>IF(AND(S49="Yes",T49=0),"Yes","No")</x:f>
        <x:v>No</x:v>
      </x:c>
      <x:c r="V49" s="253" t="str">
        <x:v>Yes</x:v>
      </x:c>
      <x:c r="W49" s="253" t="str">
        <x:v>Yes</x:v>
      </x:c>
      <x:c r="X49" s="259" t="n">
        <x:v>46116.166666666664</x:v>
      </x:c>
      <x:c r="Y49" s="265" t="n">
        <x:v>5300</x:v>
      </x:c>
      <x:c r="Z49" s="265" t="n">
        <x:v>17700</x:v>
      </x:c>
      <x:c r="AA49" s="253" t="str">
        <x:f>IF(V49="No","Maturing",IF(AND(U49="Yes",Y49&gt;0),"Yes","No"))</x:f>
        <x:v>No</x:v>
      </x:c>
      <x:c r="AB49" s="253" t="str">
        <x:f>IF(W49="No","Maturing",IF(AND(U49="Yes",Z49&gt;0),"Yes","No"))</x:f>
        <x:v>No</x:v>
      </x:c>
      <x:c r="AC49" s="265" t="n">
        <x:v>790.53</x:v>
      </x:c>
      <x:c r="AD49" s="265" t="n">
        <x:v>7210.99</x:v>
      </x:c>
      <x:c r="AE49" s="271" t="str"/>
      <x:c r="AF49" s="274" t="str">
        <x:v>Not validated - no control/holdout</x:v>
      </x:c>
      <x:c r="AG49" s="277" t="str">
        <x:v>Recovered execution only; assignment date and unclaimed-offer denominator unavailable</x:v>
      </x:c>
    </x:row>
    <x:row r="50">
      <x:c r="A50" s="252" t="str">
        <x:v>33789346</x:v>
      </x:c>
      <x:c r="B50" s="253" t="str">
        <x:v>WS1</x:v>
      </x:c>
      <x:c r="C50" s="253" t="str">
        <x:v>MB8</x:v>
      </x:c>
      <x:c r="D50" s="262" t="n">
        <x:v>46118.052037037036</x:v>
      </x:c>
      <x:c r="E50" s="259" t="n">
        <x:v>46118.166666666664</x:v>
      </x:c>
      <x:c r="F50" s="253" t="str">
        <x:v>134534</x:v>
      </x:c>
      <x:c r="G50" s="253" t="str">
        <x:v>Deedee2102</x:v>
      </x:c>
      <x:c r="H50" s="253" t="str">
        <x:v>Yes</x:v>
      </x:c>
      <x:c r="I50" s="253" t="str">
        <x:v>zhen</x:v>
      </x:c>
      <x:c r="J50" s="253" t="str">
        <x:v>zhen</x:v>
      </x:c>
      <x:c r="K50" s="259" t="n">
        <x:v>45880.166666666664</x:v>
      </x:c>
      <x:c r="L50" s="268" t="str">
        <x:f>IFERROR(VLOOKUP(I50,'Handler-Team Map'!$A$7:$C$17,2,FALSE),"")</x:f>
      </x:c>
      <x:c r="M50" s="268" t="str">
        <x:f>IFERROR(VLOOKUP(I50,'Handler-Team Map'!$A$7:$C$17,3,FALSE),"")</x:f>
      </x:c>
      <x:c r="N50" s="274" t="str">
        <x:v>FT_VM_DEP1000_GET900_1X</x:v>
      </x:c>
      <x:c r="O50" s="274" t="str">
        <x:v>VIP BONUS - Deposit 1000 Get 900 - 1x TO</x:v>
      </x:c>
      <x:c r="P50" s="274" t="str">
        <x:v>DepositBonus</x:v>
      </x:c>
      <x:c r="Q50" s="274" t="str">
        <x:v>Approved</x:v>
      </x:c>
      <x:c r="R50" s="265" t="n">
        <x:v>900</x:v>
      </x:c>
      <x:c r="S50" s="253" t="str">
        <x:v>Yes</x:v>
      </x:c>
      <x:c r="T50" s="265" t="n">
        <x:v>0</x:v>
      </x:c>
      <x:c r="U50" s="253" t="str">
        <x:f>IF(AND(S50="Yes",T50=0),"Yes","No")</x:f>
        <x:v>Yes</x:v>
      </x:c>
      <x:c r="V50" s="253" t="str">
        <x:v>Yes</x:v>
      </x:c>
      <x:c r="W50" s="253" t="str">
        <x:v>Yes</x:v>
      </x:c>
      <x:c r="X50" s="259" t="n">
        <x:v>46118.166666666664</x:v>
      </x:c>
      <x:c r="Y50" s="265" t="n">
        <x:v>1000</x:v>
      </x:c>
      <x:c r="Z50" s="265" t="n">
        <x:v>1150</x:v>
      </x:c>
      <x:c r="AA50" s="253" t="str">
        <x:f>IF(V50="No","Maturing",IF(AND(U50="Yes",Y50&gt;0),"Yes","No"))</x:f>
        <x:v>Yes</x:v>
      </x:c>
      <x:c r="AB50" s="253" t="str">
        <x:f>IF(W50="No","Maturing",IF(AND(U50="Yes",Z50&gt;0),"Yes","No"))</x:f>
        <x:v>Yes</x:v>
      </x:c>
      <x:c r="AC50" s="265" t="n">
        <x:v>-800.96</x:v>
      </x:c>
      <x:c r="AD50" s="265" t="n">
        <x:v>-654.57</x:v>
      </x:c>
      <x:c r="AE50" s="271" t="str"/>
      <x:c r="AF50" s="274" t="str">
        <x:v>Not validated - no control/holdout</x:v>
      </x:c>
      <x:c r="AG50" s="277" t="str">
        <x:v>Recovered execution only; assignment date and unclaimed-offer denominator unavailable</x:v>
      </x:c>
    </x:row>
    <x:row r="51">
      <x:c r="A51" s="252" t="str">
        <x:v>33790025</x:v>
      </x:c>
      <x:c r="B51" s="253" t="str">
        <x:v>WS1</x:v>
      </x:c>
      <x:c r="C51" s="253" t="str">
        <x:v>MB8</x:v>
      </x:c>
      <x:c r="D51" s="262" t="n">
        <x:v>46118.091631944444</x:v>
      </x:c>
      <x:c r="E51" s="259" t="n">
        <x:v>46118.166666666664</x:v>
      </x:c>
      <x:c r="F51" s="253" t="str">
        <x:v>565191</x:v>
      </x:c>
      <x:c r="G51" s="253" t="str">
        <x:v>Sasitaren</x:v>
      </x:c>
      <x:c r="H51" s="253" t="str">
        <x:v>Yes</x:v>
      </x:c>
      <x:c r="I51" s="253" t="str">
        <x:v>Kam</x:v>
      </x:c>
      <x:c r="J51" s="253" t="str">
        <x:v>Kam</x:v>
      </x:c>
      <x:c r="K51" s="259" t="n">
        <x:v>45951.166666666664</x:v>
      </x:c>
      <x:c r="L51" s="268" t="str">
        <x:f>IFERROR(VLOOKUP(I51,'Handler-Team Map'!$A$7:$C$17,2,FALSE),"")</x:f>
      </x:c>
      <x:c r="M51" s="268" t="str">
        <x:f>IFERROR(VLOOKUP(I51,'Handler-Team Map'!$A$7:$C$17,3,FALSE),"")</x:f>
      </x:c>
      <x:c r="N51" s="274" t="str">
        <x:v>FT_VM_DEP1000_GET500_5X</x:v>
      </x:c>
      <x:c r="O51" s="274" t="str">
        <x:v>VIP BONUS - Deposit 1000 Get 500 - 5x TO</x:v>
      </x:c>
      <x:c r="P51" s="274" t="str">
        <x:v>DepositBonus</x:v>
      </x:c>
      <x:c r="Q51" s="274" t="str">
        <x:v>Approved</x:v>
      </x:c>
      <x:c r="R51" s="265" t="n">
        <x:v>500</x:v>
      </x:c>
      <x:c r="S51" s="253" t="str">
        <x:v>Yes</x:v>
      </x:c>
      <x:c r="T51" s="265" t="n">
        <x:v>76951</x:v>
      </x:c>
      <x:c r="U51" s="253" t="str">
        <x:f>IF(AND(S51="Yes",T51=0),"Yes","No")</x:f>
        <x:v>No</x:v>
      </x:c>
      <x:c r="V51" s="253" t="str">
        <x:v>Yes</x:v>
      </x:c>
      <x:c r="W51" s="253" t="str">
        <x:v>Yes</x:v>
      </x:c>
      <x:c r="X51" s="259" t="n">
        <x:v>46118.166666666664</x:v>
      </x:c>
      <x:c r="Y51" s="265" t="n">
        <x:v>10147</x:v>
      </x:c>
      <x:c r="Z51" s="265" t="n">
        <x:v>28237</x:v>
      </x:c>
      <x:c r="AA51" s="253" t="str">
        <x:f>IF(V51="No","Maturing",IF(AND(U51="Yes",Y51&gt;0),"Yes","No"))</x:f>
        <x:v>No</x:v>
      </x:c>
      <x:c r="AB51" s="253" t="str">
        <x:f>IF(W51="No","Maturing",IF(AND(U51="Yes",Z51&gt;0),"Yes","No"))</x:f>
        <x:v>No</x:v>
      </x:c>
      <x:c r="AC51" s="265" t="n">
        <x:v>4256.05</x:v>
      </x:c>
      <x:c r="AD51" s="265" t="n">
        <x:v>4418.67</x:v>
      </x:c>
      <x:c r="AE51" s="271" t="str"/>
      <x:c r="AF51" s="274" t="str">
        <x:v>Not validated - no control/holdout</x:v>
      </x:c>
      <x:c r="AG51" s="277" t="str">
        <x:v>Recovered execution only; assignment date and unclaimed-offer denominator unavailable</x:v>
      </x:c>
    </x:row>
    <x:row r="52">
      <x:c r="A52" s="252" t="str">
        <x:v>33793536</x:v>
      </x:c>
      <x:c r="B52" s="253" t="str">
        <x:v>WS1</x:v>
      </x:c>
      <x:c r="C52" s="253" t="str">
        <x:v>MB8</x:v>
      </x:c>
      <x:c r="D52" s="262" t="n">
        <x:v>46118.57869212963</x:v>
      </x:c>
      <x:c r="E52" s="259" t="n">
        <x:v>46118.166666666664</x:v>
      </x:c>
      <x:c r="F52" s="253" t="str">
        <x:v>827371</x:v>
      </x:c>
      <x:c r="G52" s="253" t="str">
        <x:v>marc187</x:v>
      </x:c>
      <x:c r="H52" s="253" t="str">
        <x:v>Yes</x:v>
      </x:c>
      <x:c r="I52" s="253" t="str">
        <x:v>Claire</x:v>
      </x:c>
      <x:c r="J52" s="253" t="str">
        <x:v>Claire</x:v>
      </x:c>
      <x:c r="K52" s="259" t="n">
        <x:v>45755.166666666664</x:v>
      </x:c>
      <x:c r="L52" s="268" t="str">
        <x:f>IFERROR(VLOOKUP(I52,'Handler-Team Map'!$A$7:$C$17,2,FALSE),"")</x:f>
      </x:c>
      <x:c r="M52" s="268" t="str">
        <x:f>IFERROR(VLOOKUP(I52,'Handler-Team Map'!$A$7:$C$17,3,FALSE),"")</x:f>
      </x:c>
      <x:c r="N52" s="274" t="str">
        <x:v>FT_VM_DEP1000_GET500_2X</x:v>
      </x:c>
      <x:c r="O52" s="274" t="str">
        <x:v>VIP BONUS - Deposit 1000 Get 500 - 2x TO</x:v>
      </x:c>
      <x:c r="P52" s="274" t="str">
        <x:v>DepositBonus</x:v>
      </x:c>
      <x:c r="Q52" s="274" t="str">
        <x:v>Approved</x:v>
      </x:c>
      <x:c r="R52" s="265" t="n">
        <x:v>500</x:v>
      </x:c>
      <x:c r="S52" s="253" t="str">
        <x:v>Yes</x:v>
      </x:c>
      <x:c r="T52" s="265" t="n">
        <x:v>1161978.4</x:v>
      </x:c>
      <x:c r="U52" s="253" t="str">
        <x:f>IF(AND(S52="Yes",T52=0),"Yes","No")</x:f>
        <x:v>No</x:v>
      </x:c>
      <x:c r="V52" s="253" t="str">
        <x:v>Yes</x:v>
      </x:c>
      <x:c r="W52" s="253" t="str">
        <x:v>Yes</x:v>
      </x:c>
      <x:c r="X52" s="259" t="n">
        <x:v>46118.166666666664</x:v>
      </x:c>
      <x:c r="Y52" s="265" t="n">
        <x:v>361888.32</x:v>
      </x:c>
      <x:c r="Z52" s="265" t="n">
        <x:v>921874.32</x:v>
      </x:c>
      <x:c r="AA52" s="253" t="str">
        <x:f>IF(V52="No","Maturing",IF(AND(U52="Yes",Y52&gt;0),"Yes","No"))</x:f>
        <x:v>No</x:v>
      </x:c>
      <x:c r="AB52" s="253" t="str">
        <x:f>IF(W52="No","Maturing",IF(AND(U52="Yes",Z52&gt;0),"Yes","No"))</x:f>
        <x:v>No</x:v>
      </x:c>
      <x:c r="AC52" s="265" t="n">
        <x:v>41927.19</x:v>
      </x:c>
      <x:c r="AD52" s="265" t="n">
        <x:v>317870.34</x:v>
      </x:c>
      <x:c r="AE52" s="271" t="str"/>
      <x:c r="AF52" s="274" t="str">
        <x:v>Not validated - no control/holdout</x:v>
      </x:c>
      <x:c r="AG52" s="277" t="str">
        <x:v>Recovered execution only; assignment date and unclaimed-offer denominator unavailable</x:v>
      </x:c>
    </x:row>
    <x:row r="53">
      <x:c r="A53" s="252" t="str">
        <x:v>33793621</x:v>
      </x:c>
      <x:c r="B53" s="253" t="str">
        <x:v>WS1</x:v>
      </x:c>
      <x:c r="C53" s="253" t="str">
        <x:v>MB8</x:v>
      </x:c>
      <x:c r="D53" s="262" t="n">
        <x:v>46118.585011574076</x:v>
      </x:c>
      <x:c r="E53" s="259" t="n">
        <x:v>46118.166666666664</x:v>
      </x:c>
      <x:c r="F53" s="253" t="str">
        <x:v>288472</x:v>
      </x:c>
      <x:c r="G53" s="253" t="str">
        <x:v>ANGIENG5</x:v>
      </x:c>
      <x:c r="H53" s="253" t="str">
        <x:v>Yes</x:v>
      </x:c>
      <x:c r="I53" s="253" t="str">
        <x:v>Claire</x:v>
      </x:c>
      <x:c r="J53" s="253" t="str">
        <x:v>Claire</x:v>
      </x:c>
      <x:c r="K53" s="259" t="n">
        <x:v>45659.166666666664</x:v>
      </x:c>
      <x:c r="L53" s="268" t="str">
        <x:f>IFERROR(VLOOKUP(I53,'Handler-Team Map'!$A$7:$C$17,2,FALSE),"")</x:f>
      </x:c>
      <x:c r="M53" s="268" t="str">
        <x:f>IFERROR(VLOOKUP(I53,'Handler-Team Map'!$A$7:$C$17,3,FALSE),"")</x:f>
      </x:c>
      <x:c r="N53" s="274" t="str">
        <x:v>FT_VM_DEP800_GET400_2X</x:v>
      </x:c>
      <x:c r="O53" s="274" t="str">
        <x:v>VIP BONUS - Deposit 800 Get 400 - 2x TO</x:v>
      </x:c>
      <x:c r="P53" s="274" t="str">
        <x:v>DepositBonus</x:v>
      </x:c>
      <x:c r="Q53" s="274" t="str">
        <x:v>Approved</x:v>
      </x:c>
      <x:c r="R53" s="265" t="n">
        <x:v>400</x:v>
      </x:c>
      <x:c r="S53" s="253" t="str">
        <x:v>Yes</x:v>
      </x:c>
      <x:c r="T53" s="265" t="n">
        <x:v>311929</x:v>
      </x:c>
      <x:c r="U53" s="253" t="str">
        <x:f>IF(AND(S53="Yes",T53=0),"Yes","No")</x:f>
        <x:v>No</x:v>
      </x:c>
      <x:c r="V53" s="253" t="str">
        <x:v>Yes</x:v>
      </x:c>
      <x:c r="W53" s="253" t="str">
        <x:v>Yes</x:v>
      </x:c>
      <x:c r="X53" s="259" t="n">
        <x:v>46118.166666666664</x:v>
      </x:c>
      <x:c r="Y53" s="265" t="n">
        <x:v>187829</x:v>
      </x:c>
      <x:c r="Z53" s="265" t="n">
        <x:v>208009</x:v>
      </x:c>
      <x:c r="AA53" s="253" t="str">
        <x:f>IF(V53="No","Maturing",IF(AND(U53="Yes",Y53&gt;0),"Yes","No"))</x:f>
        <x:v>No</x:v>
      </x:c>
      <x:c r="AB53" s="253" t="str">
        <x:f>IF(W53="No","Maturing",IF(AND(U53="Yes",Z53&gt;0),"Yes","No"))</x:f>
        <x:v>No</x:v>
      </x:c>
      <x:c r="AC53" s="265" t="n">
        <x:v>57982.61</x:v>
      </x:c>
      <x:c r="AD53" s="265" t="n">
        <x:v>51786.43</x:v>
      </x:c>
      <x:c r="AE53" s="271" t="str"/>
      <x:c r="AF53" s="274" t="str">
        <x:v>Not validated - no control/holdout</x:v>
      </x:c>
      <x:c r="AG53" s="277" t="str">
        <x:v>Recovered execution only; assignment date and unclaimed-offer denominator unavailable</x:v>
      </x:c>
    </x:row>
    <x:row r="54">
      <x:c r="A54" s="252" t="str">
        <x:v>33793966</x:v>
      </x:c>
      <x:c r="B54" s="253" t="str">
        <x:v>WS1</x:v>
      </x:c>
      <x:c r="C54" s="253" t="str">
        <x:v>MB8</x:v>
      </x:c>
      <x:c r="D54" s="262" t="n">
        <x:v>46118.61517361111</x:v>
      </x:c>
      <x:c r="E54" s="259" t="n">
        <x:v>46118.166666666664</x:v>
      </x:c>
      <x:c r="F54" s="253" t="str">
        <x:v>195813</x:v>
      </x:c>
      <x:c r="G54" s="253" t="str">
        <x:v>Veq5774</x:v>
      </x:c>
      <x:c r="H54" s="253" t="str">
        <x:v>Yes</x:v>
      </x:c>
      <x:c r="I54" s="253" t="str">
        <x:v>Elda</x:v>
      </x:c>
      <x:c r="J54" s="253" t="str">
        <x:v>Elda</x:v>
      </x:c>
      <x:c r="K54" s="259" t="n">
        <x:v>45659.166666666664</x:v>
      </x:c>
      <x:c r="L54" s="268" t="str">
        <x:f>IFERROR(VLOOKUP(I54,'Handler-Team Map'!$A$7:$C$17,2,FALSE),"")</x:f>
      </x:c>
      <x:c r="M54" s="268" t="str">
        <x:f>IFERROR(VLOOKUP(I54,'Handler-Team Map'!$A$7:$C$17,3,FALSE),"")</x:f>
      </x:c>
      <x:c r="N54" s="274" t="str">
        <x:v>FT_VM_DEP1000_GET1000_2X</x:v>
      </x:c>
      <x:c r="O54" s="274" t="str">
        <x:v>VIP BONUS - Deposit 1000 Get 1000 - 2x TO</x:v>
      </x:c>
      <x:c r="P54" s="274" t="str">
        <x:v>DepositBonus</x:v>
      </x:c>
      <x:c r="Q54" s="274" t="str">
        <x:v>Approved</x:v>
      </x:c>
      <x:c r="R54" s="265" t="n">
        <x:v>1000</x:v>
      </x:c>
      <x:c r="S54" s="253" t="str">
        <x:v>Yes</x:v>
      </x:c>
      <x:c r="T54" s="265" t="n">
        <x:v>295888</x:v>
      </x:c>
      <x:c r="U54" s="253" t="str">
        <x:f>IF(AND(S54="Yes",T54=0),"Yes","No")</x:f>
        <x:v>No</x:v>
      </x:c>
      <x:c r="V54" s="253" t="str">
        <x:v>Yes</x:v>
      </x:c>
      <x:c r="W54" s="253" t="str">
        <x:v>Yes</x:v>
      </x:c>
      <x:c r="X54" s="259" t="n">
        <x:v>46118.166666666664</x:v>
      </x:c>
      <x:c r="Y54" s="265" t="n">
        <x:v>83242</x:v>
      </x:c>
      <x:c r="Z54" s="265" t="n">
        <x:v>132798</x:v>
      </x:c>
      <x:c r="AA54" s="253" t="str">
        <x:f>IF(V54="No","Maturing",IF(AND(U54="Yes",Y54&gt;0),"Yes","No"))</x:f>
        <x:v>No</x:v>
      </x:c>
      <x:c r="AB54" s="253" t="str">
        <x:f>IF(W54="No","Maturing",IF(AND(U54="Yes",Z54&gt;0),"Yes","No"))</x:f>
        <x:v>No</x:v>
      </x:c>
      <x:c r="AC54" s="265" t="n">
        <x:v>84566.34</x:v>
      </x:c>
      <x:c r="AD54" s="265" t="n">
        <x:v>134061.34</x:v>
      </x:c>
      <x:c r="AE54" s="271" t="str"/>
      <x:c r="AF54" s="274" t="str">
        <x:v>Not validated - no control/holdout</x:v>
      </x:c>
      <x:c r="AG54" s="277" t="str">
        <x:v>Recovered execution only; assignment date and unclaimed-offer denominator unavailable</x:v>
      </x:c>
    </x:row>
    <x:row r="55">
      <x:c r="A55" s="252" t="str">
        <x:v>33794187</x:v>
      </x:c>
      <x:c r="B55" s="253" t="str">
        <x:v>WS1</x:v>
      </x:c>
      <x:c r="C55" s="253" t="str">
        <x:v>MB8</x:v>
      </x:c>
      <x:c r="D55" s="262" t="n">
        <x:v>46118.63337962963</x:v>
      </x:c>
      <x:c r="E55" s="259" t="n">
        <x:v>46118.166666666664</x:v>
      </x:c>
      <x:c r="F55" s="253" t="str">
        <x:v>605081</x:v>
      </x:c>
      <x:c r="G55" s="253" t="str">
        <x:v>xxdra</x:v>
      </x:c>
      <x:c r="H55" s="253" t="str">
        <x:v>Yes</x:v>
      </x:c>
      <x:c r="I55" s="253" t="str">
        <x:v>Mikki</x:v>
      </x:c>
      <x:c r="J55" s="253" t="str">
        <x:v>Mikki</x:v>
      </x:c>
      <x:c r="K55" s="259" t="n">
        <x:v>45993.166666666664</x:v>
      </x:c>
      <x:c r="L55" s="268" t="str">
        <x:f>IFERROR(VLOOKUP(I55,'Handler-Team Map'!$A$7:$C$17,2,FALSE),"")</x:f>
      </x:c>
      <x:c r="M55" s="268" t="str">
        <x:f>IFERROR(VLOOKUP(I55,'Handler-Team Map'!$A$7:$C$17,3,FALSE),"")</x:f>
      </x:c>
      <x:c r="N55" s="274" t="str">
        <x:v>FT_VM_DEP1000_GET500_5X</x:v>
      </x:c>
      <x:c r="O55" s="274" t="str">
        <x:v>VIP BONUS - Deposit 1000 Get 500 - 5x TO</x:v>
      </x:c>
      <x:c r="P55" s="274" t="str">
        <x:v>DepositBonus</x:v>
      </x:c>
      <x:c r="Q55" s="274" t="str">
        <x:v>Approved</x:v>
      </x:c>
      <x:c r="R55" s="265" t="n">
        <x:v>500</x:v>
      </x:c>
      <x:c r="S55" s="253" t="str">
        <x:v>Yes</x:v>
      </x:c>
      <x:c r="T55" s="265" t="n">
        <x:v>15790</x:v>
      </x:c>
      <x:c r="U55" s="253" t="str">
        <x:f>IF(AND(S55="Yes",T55=0),"Yes","No")</x:f>
        <x:v>No</x:v>
      </x:c>
      <x:c r="V55" s="253" t="str">
        <x:v>Yes</x:v>
      </x:c>
      <x:c r="W55" s="253" t="str">
        <x:v>Yes</x:v>
      </x:c>
      <x:c r="X55" s="259" t="n">
        <x:v>46118.166666666664</x:v>
      </x:c>
      <x:c r="Y55" s="265" t="n">
        <x:v>1764</x:v>
      </x:c>
      <x:c r="Z55" s="265" t="n">
        <x:v>5204</x:v>
      </x:c>
      <x:c r="AA55" s="253" t="str">
        <x:f>IF(V55="No","Maturing",IF(AND(U55="Yes",Y55&gt;0),"Yes","No"))</x:f>
        <x:v>No</x:v>
      </x:c>
      <x:c r="AB55" s="253" t="str">
        <x:f>IF(W55="No","Maturing",IF(AND(U55="Yes",Z55&gt;0),"Yes","No"))</x:f>
        <x:v>No</x:v>
      </x:c>
      <x:c r="AC55" s="265" t="n">
        <x:v>1663.65</x:v>
      </x:c>
      <x:c r="AD55" s="265" t="n">
        <x:v>1002.83</x:v>
      </x:c>
      <x:c r="AE55" s="271" t="str"/>
      <x:c r="AF55" s="274" t="str">
        <x:v>Not validated - no control/holdout</x:v>
      </x:c>
      <x:c r="AG55" s="277" t="str">
        <x:v>Recovered execution only; assignment date and unclaimed-offer denominator unavailable</x:v>
      </x:c>
    </x:row>
    <x:row r="56">
      <x:c r="A56" s="252" t="str">
        <x:v>33794333</x:v>
      </x:c>
      <x:c r="B56" s="253" t="str">
        <x:v>WS1</x:v>
      </x:c>
      <x:c r="C56" s="253" t="str">
        <x:v>MB8</x:v>
      </x:c>
      <x:c r="D56" s="262" t="n">
        <x:v>46118.644421296296</x:v>
      </x:c>
      <x:c r="E56" s="259" t="n">
        <x:v>46118.166666666664</x:v>
      </x:c>
      <x:c r="F56" s="253" t="str">
        <x:v>453816</x:v>
      </x:c>
      <x:c r="G56" s="253" t="str">
        <x:v>Dannyang1013</x:v>
      </x:c>
      <x:c r="H56" s="253" t="str">
        <x:v>Yes</x:v>
      </x:c>
      <x:c r="I56" s="253" t="str">
        <x:v>Elda</x:v>
      </x:c>
      <x:c r="J56" s="253" t="str">
        <x:v>Elda</x:v>
      </x:c>
      <x:c r="K56" s="259" t="n">
        <x:v>45659.166666666664</x:v>
      </x:c>
      <x:c r="L56" s="268" t="str">
        <x:f>IFERROR(VLOOKUP(I56,'Handler-Team Map'!$A$7:$C$17,2,FALSE),"")</x:f>
      </x:c>
      <x:c r="M56" s="268" t="str">
        <x:f>IFERROR(VLOOKUP(I56,'Handler-Team Map'!$A$7:$C$17,3,FALSE),"")</x:f>
      </x:c>
      <x:c r="N56" s="274" t="str">
        <x:v>FT_VM_DEP300_GET100_5X</x:v>
      </x:c>
      <x:c r="O56" s="274" t="str">
        <x:v>VIP BONUS - Deposit 300 Get 100 - 5x TO</x:v>
      </x:c>
      <x:c r="P56" s="274" t="str">
        <x:v>DepositBonus</x:v>
      </x:c>
      <x:c r="Q56" s="274" t="str">
        <x:v>Approved</x:v>
      </x:c>
      <x:c r="R56" s="265" t="n">
        <x:v>100</x:v>
      </x:c>
      <x:c r="S56" s="253" t="str">
        <x:v>Yes</x:v>
      </x:c>
      <x:c r="T56" s="265" t="n">
        <x:v>40698.8</x:v>
      </x:c>
      <x:c r="U56" s="253" t="str">
        <x:f>IF(AND(S56="Yes",T56=0),"Yes","No")</x:f>
        <x:v>No</x:v>
      </x:c>
      <x:c r="V56" s="253" t="str">
        <x:v>Yes</x:v>
      </x:c>
      <x:c r="W56" s="253" t="str">
        <x:v>Yes</x:v>
      </x:c>
      <x:c r="X56" s="259" t="n">
        <x:v>46118.166666666664</x:v>
      </x:c>
      <x:c r="Y56" s="265" t="n">
        <x:v>1724.74</x:v>
      </x:c>
      <x:c r="Z56" s="265" t="n">
        <x:v>4831.46</x:v>
      </x:c>
      <x:c r="AA56" s="253" t="str">
        <x:f>IF(V56="No","Maturing",IF(AND(U56="Yes",Y56&gt;0),"Yes","No"))</x:f>
        <x:v>No</x:v>
      </x:c>
      <x:c r="AB56" s="253" t="str">
        <x:f>IF(W56="No","Maturing",IF(AND(U56="Yes",Z56&gt;0),"Yes","No"))</x:f>
        <x:v>No</x:v>
      </x:c>
      <x:c r="AC56" s="265" t="n">
        <x:v>759.74</x:v>
      </x:c>
      <x:c r="AD56" s="265" t="n">
        <x:v>1291.14</x:v>
      </x:c>
      <x:c r="AE56" s="271" t="str"/>
      <x:c r="AF56" s="274" t="str">
        <x:v>Not validated - no control/holdout</x:v>
      </x:c>
      <x:c r="AG56" s="277" t="str">
        <x:v>Recovered execution only; assignment date and unclaimed-offer denominator unavailable</x:v>
      </x:c>
    </x:row>
    <x:row r="57">
      <x:c r="A57" s="252" t="str">
        <x:v>33794919</x:v>
      </x:c>
      <x:c r="B57" s="253" t="str">
        <x:v>WS1</x:v>
      </x:c>
      <x:c r="C57" s="253" t="str">
        <x:v>MB8</x:v>
      </x:c>
      <x:c r="D57" s="262" t="n">
        <x:v>46118.688113425924</x:v>
      </x:c>
      <x:c r="E57" s="259" t="n">
        <x:v>46118.166666666664</x:v>
      </x:c>
      <x:c r="F57" s="253" t="str">
        <x:v>405339</x:v>
      </x:c>
      <x:c r="G57" s="253" t="str">
        <x:v>Azuarniss96</x:v>
      </x:c>
      <x:c r="H57" s="253" t="str">
        <x:v>Yes</x:v>
      </x:c>
      <x:c r="I57" s="253" t="str">
        <x:v>Elda</x:v>
      </x:c>
      <x:c r="J57" s="253" t="str">
        <x:v>Elda</x:v>
      </x:c>
      <x:c r="K57" s="259" t="n">
        <x:v>45659.166666666664</x:v>
      </x:c>
      <x:c r="L57" s="268" t="str">
        <x:f>IFERROR(VLOOKUP(I57,'Handler-Team Map'!$A$7:$C$17,2,FALSE),"")</x:f>
      </x:c>
      <x:c r="M57" s="268" t="str">
        <x:f>IFERROR(VLOOKUP(I57,'Handler-Team Map'!$A$7:$C$17,3,FALSE),"")</x:f>
      </x:c>
      <x:c r="N57" s="274" t="str">
        <x:v>FT_VM_DEP600_GET200_5X</x:v>
      </x:c>
      <x:c r="O57" s="274" t="str">
        <x:v>VIP BONUS - Deposit 600 Get 200 - 5x TO</x:v>
      </x:c>
      <x:c r="P57" s="274" t="str">
        <x:v>DepositBonus</x:v>
      </x:c>
      <x:c r="Q57" s="274" t="str">
        <x:v>Approved</x:v>
      </x:c>
      <x:c r="R57" s="265" t="n">
        <x:v>200</x:v>
      </x:c>
      <x:c r="S57" s="253" t="str">
        <x:v>Yes</x:v>
      </x:c>
      <x:c r="T57" s="265" t="n">
        <x:v>145017</x:v>
      </x:c>
      <x:c r="U57" s="253" t="str">
        <x:f>IF(AND(S57="Yes",T57=0),"Yes","No")</x:f>
        <x:v>No</x:v>
      </x:c>
      <x:c r="V57" s="253" t="str">
        <x:v>Yes</x:v>
      </x:c>
      <x:c r="W57" s="253" t="str">
        <x:v>Yes</x:v>
      </x:c>
      <x:c r="X57" s="259" t="n">
        <x:v>46118.166666666664</x:v>
      </x:c>
      <x:c r="Y57" s="265" t="n">
        <x:v>45380</x:v>
      </x:c>
      <x:c r="Z57" s="265" t="n">
        <x:v>80077</x:v>
      </x:c>
      <x:c r="AA57" s="253" t="str">
        <x:f>IF(V57="No","Maturing",IF(AND(U57="Yes",Y57&gt;0),"Yes","No"))</x:f>
        <x:v>No</x:v>
      </x:c>
      <x:c r="AB57" s="253" t="str">
        <x:f>IF(W57="No","Maturing",IF(AND(U57="Yes",Z57&gt;0),"Yes","No"))</x:f>
        <x:v>No</x:v>
      </x:c>
      <x:c r="AC57" s="265" t="n">
        <x:v>33051.08</x:v>
      </x:c>
      <x:c r="AD57" s="265" t="n">
        <x:v>44283.71</x:v>
      </x:c>
      <x:c r="AE57" s="271" t="str"/>
      <x:c r="AF57" s="274" t="str">
        <x:v>Not validated - no control/holdout</x:v>
      </x:c>
      <x:c r="AG57" s="277" t="str">
        <x:v>Recovered execution only; assignment date and unclaimed-offer denominator unavailable</x:v>
      </x:c>
    </x:row>
    <x:row r="58">
      <x:c r="A58" s="252" t="str">
        <x:v>33795118</x:v>
      </x:c>
      <x:c r="B58" s="253" t="str">
        <x:v>WS1</x:v>
      </x:c>
      <x:c r="C58" s="253" t="str">
        <x:v>MB8</x:v>
      </x:c>
      <x:c r="D58" s="262" t="n">
        <x:v>46118.702997685185</x:v>
      </x:c>
      <x:c r="E58" s="259" t="n">
        <x:v>46118.166666666664</x:v>
      </x:c>
      <x:c r="F58" s="253" t="str">
        <x:v>302345</x:v>
      </x:c>
      <x:c r="G58" s="253" t="str">
        <x:v>bujiangfatt</x:v>
      </x:c>
      <x:c r="H58" s="253" t="str">
        <x:v>Yes</x:v>
      </x:c>
      <x:c r="I58" s="253" t="str">
        <x:v>Elda</x:v>
      </x:c>
      <x:c r="J58" s="253" t="str">
        <x:v>Elda</x:v>
      </x:c>
      <x:c r="K58" s="259" t="n">
        <x:v>45659.166666666664</x:v>
      </x:c>
      <x:c r="L58" s="268" t="str">
        <x:f>IFERROR(VLOOKUP(I58,'Handler-Team Map'!$A$7:$C$17,2,FALSE),"")</x:f>
      </x:c>
      <x:c r="M58" s="268" t="str">
        <x:f>IFERROR(VLOOKUP(I58,'Handler-Team Map'!$A$7:$C$17,3,FALSE),"")</x:f>
      </x:c>
      <x:c r="N58" s="274" t="str">
        <x:v>FT_VM_DEP300_GET100_5X</x:v>
      </x:c>
      <x:c r="O58" s="274" t="str">
        <x:v>VIP BONUS - Deposit 300 Get 100 - 5x TO</x:v>
      </x:c>
      <x:c r="P58" s="274" t="str">
        <x:v>DepositBonus</x:v>
      </x:c>
      <x:c r="Q58" s="274" t="str">
        <x:v>Approved</x:v>
      </x:c>
      <x:c r="R58" s="265" t="n">
        <x:v>100</x:v>
      </x:c>
      <x:c r="S58" s="253" t="str">
        <x:v>Yes</x:v>
      </x:c>
      <x:c r="T58" s="265" t="n">
        <x:v>10770</x:v>
      </x:c>
      <x:c r="U58" s="253" t="str">
        <x:f>IF(AND(S58="Yes",T58=0),"Yes","No")</x:f>
        <x:v>No</x:v>
      </x:c>
      <x:c r="V58" s="253" t="str">
        <x:v>Yes</x:v>
      </x:c>
      <x:c r="W58" s="253" t="str">
        <x:v>Yes</x:v>
      </x:c>
      <x:c r="X58" s="259" t="n">
        <x:v>46118.166666666664</x:v>
      </x:c>
      <x:c r="Y58" s="265" t="n">
        <x:v>1100</x:v>
      </x:c>
      <x:c r="Z58" s="265" t="n">
        <x:v>6230</x:v>
      </x:c>
      <x:c r="AA58" s="253" t="str">
        <x:f>IF(V58="No","Maturing",IF(AND(U58="Yes",Y58&gt;0),"Yes","No"))</x:f>
        <x:v>No</x:v>
      </x:c>
      <x:c r="AB58" s="253" t="str">
        <x:f>IF(W58="No","Maturing",IF(AND(U58="Yes",Z58&gt;0),"Yes","No"))</x:f>
        <x:v>No</x:v>
      </x:c>
      <x:c r="AC58" s="265" t="n">
        <x:v>984.92</x:v>
      </x:c>
      <x:c r="AD58" s="265" t="n">
        <x:v>2044.17</x:v>
      </x:c>
      <x:c r="AE58" s="271" t="str"/>
      <x:c r="AF58" s="274" t="str">
        <x:v>Not validated - no control/holdout</x:v>
      </x:c>
      <x:c r="AG58" s="277" t="str">
        <x:v>Recovered execution only; assignment date and unclaimed-offer denominator unavailable</x:v>
      </x:c>
    </x:row>
    <x:row r="59">
      <x:c r="A59" s="252" t="str">
        <x:v>33796893</x:v>
      </x:c>
      <x:c r="B59" s="253" t="str">
        <x:v>WS1</x:v>
      </x:c>
      <x:c r="C59" s="253" t="str">
        <x:v>MB8</x:v>
      </x:c>
      <x:c r="D59" s="262" t="n">
        <x:v>46118.829675925925</x:v>
      </x:c>
      <x:c r="E59" s="259" t="n">
        <x:v>46118.166666666664</x:v>
      </x:c>
      <x:c r="F59" s="253" t="str">
        <x:v>856604</x:v>
      </x:c>
      <x:c r="G59" s="253" t="str">
        <x:v>hwings79</x:v>
      </x:c>
      <x:c r="H59" s="253" t="str">
        <x:v>Yes</x:v>
      </x:c>
      <x:c r="I59" s="253" t="str">
        <x:v>Claire</x:v>
      </x:c>
      <x:c r="J59" s="253" t="str">
        <x:v>Claire</x:v>
      </x:c>
      <x:c r="K59" s="259" t="n">
        <x:v>45887.166666666664</x:v>
      </x:c>
      <x:c r="L59" s="268" t="str">
        <x:f>IFERROR(VLOOKUP(I59,'Handler-Team Map'!$A$7:$C$17,2,FALSE),"")</x:f>
      </x:c>
      <x:c r="M59" s="268" t="str">
        <x:f>IFERROR(VLOOKUP(I59,'Handler-Team Map'!$A$7:$C$17,3,FALSE),"")</x:f>
      </x:c>
      <x:c r="N59" s="274" t="str">
        <x:v>FT_VM_DEP300_GET100_2X</x:v>
      </x:c>
      <x:c r="O59" s="274" t="str">
        <x:v>VIP BONUS - Deposit 300 Get 100 - 2x TO</x:v>
      </x:c>
      <x:c r="P59" s="274" t="str">
        <x:v>DepositBonus</x:v>
      </x:c>
      <x:c r="Q59" s="274" t="str">
        <x:v>Approved</x:v>
      </x:c>
      <x:c r="R59" s="265" t="n">
        <x:v>100</x:v>
      </x:c>
      <x:c r="S59" s="253" t="str">
        <x:v>Yes</x:v>
      </x:c>
      <x:c r="T59" s="265" t="n">
        <x:v>24220</x:v>
      </x:c>
      <x:c r="U59" s="253" t="str">
        <x:f>IF(AND(S59="Yes",T59=0),"Yes","No")</x:f>
        <x:v>No</x:v>
      </x:c>
      <x:c r="V59" s="253" t="str">
        <x:v>Yes</x:v>
      </x:c>
      <x:c r="W59" s="253" t="str">
        <x:v>Yes</x:v>
      </x:c>
      <x:c r="X59" s="259" t="n">
        <x:v>46118.166666666664</x:v>
      </x:c>
      <x:c r="Y59" s="265" t="n">
        <x:v>27550</x:v>
      </x:c>
      <x:c r="Z59" s="265" t="n">
        <x:v>34640</x:v>
      </x:c>
      <x:c r="AA59" s="253" t="str">
        <x:f>IF(V59="No","Maturing",IF(AND(U59="Yes",Y59&gt;0),"Yes","No"))</x:f>
        <x:v>No</x:v>
      </x:c>
      <x:c r="AB59" s="253" t="str">
        <x:f>IF(W59="No","Maturing",IF(AND(U59="Yes",Z59&gt;0),"Yes","No"))</x:f>
        <x:v>No</x:v>
      </x:c>
      <x:c r="AC59" s="265" t="n">
        <x:v>20343.94</x:v>
      </x:c>
      <x:c r="AD59" s="265" t="n">
        <x:v>22243.92</x:v>
      </x:c>
      <x:c r="AE59" s="271" t="str"/>
      <x:c r="AF59" s="274" t="str">
        <x:v>Not validated - no control/holdout</x:v>
      </x:c>
      <x:c r="AG59" s="277" t="str">
        <x:v>Recovered execution only; assignment date and unclaimed-offer denominator unavailable</x:v>
      </x:c>
    </x:row>
    <x:row r="60">
      <x:c r="A60" s="252" t="str">
        <x:v>33797061</x:v>
      </x:c>
      <x:c r="B60" s="253" t="str">
        <x:v>WS1</x:v>
      </x:c>
      <x:c r="C60" s="253" t="str">
        <x:v>MB8</x:v>
      </x:c>
      <x:c r="D60" s="262" t="n">
        <x:v>46118.8403587963</x:v>
      </x:c>
      <x:c r="E60" s="259" t="n">
        <x:v>46118.166666666664</x:v>
      </x:c>
      <x:c r="F60" s="253" t="str">
        <x:v>8822</x:v>
      </x:c>
      <x:c r="G60" s="253" t="str">
        <x:v>bryan1234</x:v>
      </x:c>
      <x:c r="H60" s="253" t="str">
        <x:v>Yes</x:v>
      </x:c>
      <x:c r="I60" s="253" t="str">
        <x:v>Serene</x:v>
      </x:c>
      <x:c r="J60" s="253" t="str">
        <x:v>Serene</x:v>
      </x:c>
      <x:c r="K60" s="259" t="n">
        <x:v>45859.166666666664</x:v>
      </x:c>
      <x:c r="L60" s="268" t="str">
        <x:f>IFERROR(VLOOKUP(I60,'Handler-Team Map'!$A$7:$C$17,2,FALSE),"")</x:f>
      </x:c>
      <x:c r="M60" s="268" t="str">
        <x:f>IFERROR(VLOOKUP(I60,'Handler-Team Map'!$A$7:$C$17,3,FALSE),"")</x:f>
      </x:c>
      <x:c r="N60" s="274" t="str">
        <x:v>FT_VM_DEP1000_GET500_5X</x:v>
      </x:c>
      <x:c r="O60" s="274" t="str">
        <x:v>VIP BONUS - Deposit 1000 Get 500 - 5x TO</x:v>
      </x:c>
      <x:c r="P60" s="274" t="str">
        <x:v>DepositBonus</x:v>
      </x:c>
      <x:c r="Q60" s="274" t="str">
        <x:v>Approved</x:v>
      </x:c>
      <x:c r="R60" s="265" t="n">
        <x:v>500</x:v>
      </x:c>
      <x:c r="S60" s="253" t="str">
        <x:v>Yes</x:v>
      </x:c>
      <x:c r="T60" s="265" t="n">
        <x:v>400</x:v>
      </x:c>
      <x:c r="U60" s="253" t="str">
        <x:f>IF(AND(S60="Yes",T60=0),"Yes","No")</x:f>
        <x:v>No</x:v>
      </x:c>
      <x:c r="V60" s="253" t="str">
        <x:v>Yes</x:v>
      </x:c>
      <x:c r="W60" s="253" t="str">
        <x:v>Yes</x:v>
      </x:c>
      <x:c r="X60" s="259" t="n">
        <x:v>46118.166666666664</x:v>
      </x:c>
      <x:c r="Y60" s="265" t="n">
        <x:v>3150</x:v>
      </x:c>
      <x:c r="Z60" s="265" t="n">
        <x:v>4100</x:v>
      </x:c>
      <x:c r="AA60" s="253" t="str">
        <x:f>IF(V60="No","Maturing",IF(AND(U60="Yes",Y60&gt;0),"Yes","No"))</x:f>
        <x:v>No</x:v>
      </x:c>
      <x:c r="AB60" s="253" t="str">
        <x:f>IF(W60="No","Maturing",IF(AND(U60="Yes",Z60&gt;0),"Yes","No"))</x:f>
        <x:v>No</x:v>
      </x:c>
      <x:c r="AC60" s="265" t="n">
        <x:v>-1555.26</x:v>
      </x:c>
      <x:c r="AD60" s="265" t="n">
        <x:v>-684.89</x:v>
      </x:c>
      <x:c r="AE60" s="271" t="str"/>
      <x:c r="AF60" s="274" t="str">
        <x:v>Not validated - no control/holdout</x:v>
      </x:c>
      <x:c r="AG60" s="277" t="str">
        <x:v>Recovered execution only; assignment date and unclaimed-offer denominator unavailable</x:v>
      </x:c>
    </x:row>
    <x:row r="61">
      <x:c r="A61" s="252" t="str">
        <x:v>33797227</x:v>
      </x:c>
      <x:c r="B61" s="253" t="str">
        <x:v>WS1</x:v>
      </x:c>
      <x:c r="C61" s="253" t="str">
        <x:v>MB8</x:v>
      </x:c>
      <x:c r="D61" s="262" t="n">
        <x:v>46118.852789351855</x:v>
      </x:c>
      <x:c r="E61" s="259" t="n">
        <x:v>46118.166666666664</x:v>
      </x:c>
      <x:c r="F61" s="253" t="str">
        <x:v>268246</x:v>
      </x:c>
      <x:c r="G61" s="253" t="str">
        <x:v>Win124</x:v>
      </x:c>
      <x:c r="H61" s="253" t="str">
        <x:v>Yes</x:v>
      </x:c>
      <x:c r="I61" s="253" t="str">
        <x:v>Claire</x:v>
      </x:c>
      <x:c r="J61" s="253" t="str">
        <x:v>Claire</x:v>
      </x:c>
      <x:c r="K61" s="259" t="n">
        <x:v>45659.166666666664</x:v>
      </x:c>
      <x:c r="L61" s="268" t="str">
        <x:f>IFERROR(VLOOKUP(I61,'Handler-Team Map'!$A$7:$C$17,2,FALSE),"")</x:f>
      </x:c>
      <x:c r="M61" s="268" t="str">
        <x:f>IFERROR(VLOOKUP(I61,'Handler-Team Map'!$A$7:$C$17,3,FALSE),"")</x:f>
      </x:c>
      <x:c r="N61" s="274" t="str">
        <x:v>FT_VM_DEP1000_GET1000_2X</x:v>
      </x:c>
      <x:c r="O61" s="274" t="str">
        <x:v>VIP BONUS - Deposit 1000 Get 1000 - 2x TO</x:v>
      </x:c>
      <x:c r="P61" s="274" t="str">
        <x:v>DepositBonus</x:v>
      </x:c>
      <x:c r="Q61" s="274" t="str">
        <x:v>Approved</x:v>
      </x:c>
      <x:c r="R61" s="265" t="n">
        <x:v>1000</x:v>
      </x:c>
      <x:c r="S61" s="253" t="str">
        <x:v>Yes</x:v>
      </x:c>
      <x:c r="T61" s="265" t="n">
        <x:v>1232060</x:v>
      </x:c>
      <x:c r="U61" s="253" t="str">
        <x:f>IF(AND(S61="Yes",T61=0),"Yes","No")</x:f>
        <x:v>No</x:v>
      </x:c>
      <x:c r="V61" s="253" t="str">
        <x:v>Yes</x:v>
      </x:c>
      <x:c r="W61" s="253" t="str">
        <x:v>Yes</x:v>
      </x:c>
      <x:c r="X61" s="259" t="n">
        <x:v>46118.166666666664</x:v>
      </x:c>
      <x:c r="Y61" s="265" t="n">
        <x:v>383150</x:v>
      </x:c>
      <x:c r="Z61" s="265" t="n">
        <x:v>553780</x:v>
      </x:c>
      <x:c r="AA61" s="253" t="str">
        <x:f>IF(V61="No","Maturing",IF(AND(U61="Yes",Y61&gt;0),"Yes","No"))</x:f>
        <x:v>No</x:v>
      </x:c>
      <x:c r="AB61" s="253" t="str">
        <x:f>IF(W61="No","Maturing",IF(AND(U61="Yes",Z61&gt;0),"Yes","No"))</x:f>
        <x:v>No</x:v>
      </x:c>
      <x:c r="AC61" s="265" t="n">
        <x:v>245227.48</x:v>
      </x:c>
      <x:c r="AD61" s="265" t="n">
        <x:v>185540.19</x:v>
      </x:c>
      <x:c r="AE61" s="271" t="str"/>
      <x:c r="AF61" s="274" t="str">
        <x:v>Not validated - no control/holdout</x:v>
      </x:c>
      <x:c r="AG61" s="277" t="str">
        <x:v>Recovered execution only; assignment date and unclaimed-offer denominator unavailable</x:v>
      </x:c>
    </x:row>
    <x:row r="62">
      <x:c r="A62" s="252" t="str">
        <x:v>33797278</x:v>
      </x:c>
      <x:c r="B62" s="253" t="str">
        <x:v>WS1</x:v>
      </x:c>
      <x:c r="C62" s="253" t="str">
        <x:v>MB8</x:v>
      </x:c>
      <x:c r="D62" s="262" t="n">
        <x:v>46118.85606481481</x:v>
      </x:c>
      <x:c r="E62" s="259" t="n">
        <x:v>46118.166666666664</x:v>
      </x:c>
      <x:c r="F62" s="253" t="str">
        <x:v>631041</x:v>
      </x:c>
      <x:c r="G62" s="253" t="str">
        <x:v>ThoMas0529</x:v>
      </x:c>
      <x:c r="H62" s="253" t="str">
        <x:v>Yes</x:v>
      </x:c>
      <x:c r="I62" s="253" t="str">
        <x:v>Tammy</x:v>
      </x:c>
      <x:c r="J62" s="253" t="str">
        <x:v>Tammy</x:v>
      </x:c>
      <x:c r="K62" s="259" t="n">
        <x:v>45951.166666666664</x:v>
      </x:c>
      <x:c r="L62" s="268" t="str">
        <x:f>IFERROR(VLOOKUP(I62,'Handler-Team Map'!$A$7:$C$17,2,FALSE),"")</x:f>
      </x:c>
      <x:c r="M62" s="268" t="str">
        <x:f>IFERROR(VLOOKUP(I62,'Handler-Team Map'!$A$7:$C$17,3,FALSE),"")</x:f>
      </x:c>
      <x:c r="N62" s="274" t="str">
        <x:v>FT_VM_DEP300_GET100_5X</x:v>
      </x:c>
      <x:c r="O62" s="274" t="str">
        <x:v>VIP BONUS - Deposit 300 Get 100 - 5x TO</x:v>
      </x:c>
      <x:c r="P62" s="274" t="str">
        <x:v>DepositBonus</x:v>
      </x:c>
      <x:c r="Q62" s="274" t="str">
        <x:v>Approved</x:v>
      </x:c>
      <x:c r="R62" s="265" t="n">
        <x:v>100</x:v>
      </x:c>
      <x:c r="S62" s="253" t="str">
        <x:v>Yes</x:v>
      </x:c>
      <x:c r="T62" s="265" t="n">
        <x:v>10950</x:v>
      </x:c>
      <x:c r="U62" s="253" t="str">
        <x:f>IF(AND(S62="Yes",T62=0),"Yes","No")</x:f>
        <x:v>No</x:v>
      </x:c>
      <x:c r="V62" s="253" t="str">
        <x:v>Yes</x:v>
      </x:c>
      <x:c r="W62" s="253" t="str">
        <x:v>Yes</x:v>
      </x:c>
      <x:c r="X62" s="259" t="n">
        <x:v>46118.166666666664</x:v>
      </x:c>
      <x:c r="Y62" s="265" t="n">
        <x:v>800</x:v>
      </x:c>
      <x:c r="Z62" s="265" t="n">
        <x:v>800</x:v>
      </x:c>
      <x:c r="AA62" s="253" t="str">
        <x:f>IF(V62="No","Maturing",IF(AND(U62="Yes",Y62&gt;0),"Yes","No"))</x:f>
        <x:v>No</x:v>
      </x:c>
      <x:c r="AB62" s="253" t="str">
        <x:f>IF(W62="No","Maturing",IF(AND(U62="Yes",Z62&gt;0),"Yes","No"))</x:f>
        <x:v>No</x:v>
      </x:c>
      <x:c r="AC62" s="265" t="n">
        <x:v>-0.92</x:v>
      </x:c>
      <x:c r="AD62" s="265" t="n">
        <x:v>-0.92</x:v>
      </x:c>
      <x:c r="AE62" s="271" t="str"/>
      <x:c r="AF62" s="274" t="str">
        <x:v>Not validated - no control/holdout</x:v>
      </x:c>
      <x:c r="AG62" s="277" t="str">
        <x:v>Recovered execution only; assignment date and unclaimed-offer denominator unavailable</x:v>
      </x:c>
    </x:row>
    <x:row r="63">
      <x:c r="A63" s="252" t="str">
        <x:v>33797328</x:v>
      </x:c>
      <x:c r="B63" s="253" t="str">
        <x:v>WS1</x:v>
      </x:c>
      <x:c r="C63" s="253" t="str">
        <x:v>MB8</x:v>
      </x:c>
      <x:c r="D63" s="262" t="n">
        <x:v>46118.860081018516</x:v>
      </x:c>
      <x:c r="E63" s="259" t="n">
        <x:v>46118.166666666664</x:v>
      </x:c>
      <x:c r="F63" s="253" t="str">
        <x:v>609181</x:v>
      </x:c>
      <x:c r="G63" s="253" t="str">
        <x:v>Tamyusiong</x:v>
      </x:c>
      <x:c r="H63" s="253" t="str">
        <x:v>Yes</x:v>
      </x:c>
      <x:c r="I63" s="253" t="str">
        <x:v>Christy</x:v>
      </x:c>
      <x:c r="J63" s="253" t="str">
        <x:v>Christy</x:v>
      </x:c>
      <x:c r="K63" s="259" t="n">
        <x:v>45859.166666666664</x:v>
      </x:c>
      <x:c r="L63" s="268" t="str">
        <x:f>IFERROR(VLOOKUP(I63,'Handler-Team Map'!$A$7:$C$17,2,FALSE),"")</x:f>
      </x:c>
      <x:c r="M63" s="268" t="str">
        <x:f>IFERROR(VLOOKUP(I63,'Handler-Team Map'!$A$7:$C$17,3,FALSE),"")</x:f>
      </x:c>
      <x:c r="N63" s="274" t="str">
        <x:v>FT_VM_DEP600_GET200_5X</x:v>
      </x:c>
      <x:c r="O63" s="274" t="str">
        <x:v>VIP BONUS - Deposit 600 Get 200 - 5x TO</x:v>
      </x:c>
      <x:c r="P63" s="274" t="str">
        <x:v>DepositBonus</x:v>
      </x:c>
      <x:c r="Q63" s="274" t="str">
        <x:v>Approved</x:v>
      </x:c>
      <x:c r="R63" s="265" t="n">
        <x:v>200</x:v>
      </x:c>
      <x:c r="S63" s="253" t="str">
        <x:v>Yes</x:v>
      </x:c>
      <x:c r="T63" s="265" t="n">
        <x:v>8740</x:v>
      </x:c>
      <x:c r="U63" s="253" t="str">
        <x:f>IF(AND(S63="Yes",T63=0),"Yes","No")</x:f>
        <x:v>No</x:v>
      </x:c>
      <x:c r="V63" s="253" t="str">
        <x:v>Yes</x:v>
      </x:c>
      <x:c r="W63" s="253" t="str">
        <x:v>Yes</x:v>
      </x:c>
      <x:c r="X63" s="259" t="n">
        <x:v>46118.166666666664</x:v>
      </x:c>
      <x:c r="Y63" s="265" t="n">
        <x:v>1200</x:v>
      </x:c>
      <x:c r="Z63" s="265" t="n">
        <x:v>2400</x:v>
      </x:c>
      <x:c r="AA63" s="253" t="str">
        <x:f>IF(V63="No","Maturing",IF(AND(U63="Yes",Y63&gt;0),"Yes","No"))</x:f>
        <x:v>No</x:v>
      </x:c>
      <x:c r="AB63" s="253" t="str">
        <x:f>IF(W63="No","Maturing",IF(AND(U63="Yes",Z63&gt;0),"Yes","No"))</x:f>
        <x:v>No</x:v>
      </x:c>
      <x:c r="AC63" s="265" t="n">
        <x:v>1199.74</x:v>
      </x:c>
      <x:c r="AD63" s="265" t="n">
        <x:v>2400.03</x:v>
      </x:c>
      <x:c r="AE63" s="271" t="str"/>
      <x:c r="AF63" s="274" t="str">
        <x:v>Not validated - no control/holdout</x:v>
      </x:c>
      <x:c r="AG63" s="277" t="str">
        <x:v>Recovered execution only; assignment date and unclaimed-offer denominator unavailable</x:v>
      </x:c>
    </x:row>
    <x:row r="64">
      <x:c r="A64" s="252" t="str">
        <x:v>33798718</x:v>
      </x:c>
      <x:c r="B64" s="253" t="str">
        <x:v>WS1</x:v>
      </x:c>
      <x:c r="C64" s="253" t="str">
        <x:v>MB8</x:v>
      </x:c>
      <x:c r="D64" s="262" t="n">
        <x:v>46118.93821759259</x:v>
      </x:c>
      <x:c r="E64" s="259" t="n">
        <x:v>46118.166666666664</x:v>
      </x:c>
      <x:c r="F64" s="253" t="str">
        <x:v>596032</x:v>
      </x:c>
      <x:c r="G64" s="253" t="str">
        <x:v>Selvalives</x:v>
      </x:c>
      <x:c r="H64" s="253" t="str">
        <x:v>Yes</x:v>
      </x:c>
      <x:c r="I64" s="253" t="str">
        <x:v>Elda</x:v>
      </x:c>
      <x:c r="J64" s="253" t="str">
        <x:v>Elda</x:v>
      </x:c>
      <x:c r="K64" s="259" t="n">
        <x:v>45659.166666666664</x:v>
      </x:c>
      <x:c r="L64" s="268" t="str">
        <x:f>IFERROR(VLOOKUP(I64,'Handler-Team Map'!$A$7:$C$17,2,FALSE),"")</x:f>
      </x:c>
      <x:c r="M64" s="268" t="str">
        <x:f>IFERROR(VLOOKUP(I64,'Handler-Team Map'!$A$7:$C$17,3,FALSE),"")</x:f>
      </x:c>
      <x:c r="N64" s="274" t="str">
        <x:v>FT_VM_DEP600_GET200_2X</x:v>
      </x:c>
      <x:c r="O64" s="274" t="str">
        <x:v>VIP BONUS - Deposit 600 Get 200 - 2x TO</x:v>
      </x:c>
      <x:c r="P64" s="274" t="str">
        <x:v>DepositBonus</x:v>
      </x:c>
      <x:c r="Q64" s="274" t="str">
        <x:v>Approved</x:v>
      </x:c>
      <x:c r="R64" s="265" t="n">
        <x:v>200</x:v>
      </x:c>
      <x:c r="S64" s="253" t="str">
        <x:v>Yes</x:v>
      </x:c>
      <x:c r="T64" s="265" t="n">
        <x:v>20400</x:v>
      </x:c>
      <x:c r="U64" s="253" t="str">
        <x:f>IF(AND(S64="Yes",T64=0),"Yes","No")</x:f>
        <x:v>No</x:v>
      </x:c>
      <x:c r="V64" s="253" t="str">
        <x:v>Yes</x:v>
      </x:c>
      <x:c r="W64" s="253" t="str">
        <x:v>Yes</x:v>
      </x:c>
      <x:c r="X64" s="259" t="n">
        <x:v>46118.166666666664</x:v>
      </x:c>
      <x:c r="Y64" s="265" t="n">
        <x:v>14100</x:v>
      </x:c>
      <x:c r="Z64" s="265" t="n">
        <x:v>15400</x:v>
      </x:c>
      <x:c r="AA64" s="253" t="str">
        <x:f>IF(V64="No","Maturing",IF(AND(U64="Yes",Y64&gt;0),"Yes","No"))</x:f>
        <x:v>No</x:v>
      </x:c>
      <x:c r="AB64" s="253" t="str">
        <x:f>IF(W64="No","Maturing",IF(AND(U64="Yes",Z64&gt;0),"Yes","No"))</x:f>
        <x:v>No</x:v>
      </x:c>
      <x:c r="AC64" s="265" t="n">
        <x:v>4631.39</x:v>
      </x:c>
      <x:c r="AD64" s="265" t="n">
        <x:v>5917.58</x:v>
      </x:c>
      <x:c r="AE64" s="271" t="str"/>
      <x:c r="AF64" s="274" t="str">
        <x:v>Not validated - no control/holdout</x:v>
      </x:c>
      <x:c r="AG64" s="277" t="str">
        <x:v>Recovered execution only; assignment date and unclaimed-offer denominator unavailable</x:v>
      </x:c>
    </x:row>
    <x:row r="65">
      <x:c r="A65" s="252" t="str">
        <x:v>33799372</x:v>
      </x:c>
      <x:c r="B65" s="253" t="str">
        <x:v>WS1</x:v>
      </x:c>
      <x:c r="C65" s="253" t="str">
        <x:v>MB8</x:v>
      </x:c>
      <x:c r="D65" s="262" t="n">
        <x:v>46118.9705787037</x:v>
      </x:c>
      <x:c r="E65" s="259" t="n">
        <x:v>46118.166666666664</x:v>
      </x:c>
      <x:c r="F65" s="253" t="str">
        <x:v>113180</x:v>
      </x:c>
      <x:c r="G65" s="253" t="str">
        <x:v>Hazel</x:v>
      </x:c>
      <x:c r="H65" s="253" t="str">
        <x:v>Yes</x:v>
      </x:c>
      <x:c r="I65" s="253" t="str">
        <x:v>Serene</x:v>
      </x:c>
      <x:c r="J65" s="253" t="str">
        <x:v>Serene</x:v>
      </x:c>
      <x:c r="K65" s="259" t="n">
        <x:v>45831.166666666664</x:v>
      </x:c>
      <x:c r="L65" s="268" t="str">
        <x:f>IFERROR(VLOOKUP(I65,'Handler-Team Map'!$A$7:$C$17,2,FALSE),"")</x:f>
      </x:c>
      <x:c r="M65" s="268" t="str">
        <x:f>IFERROR(VLOOKUP(I65,'Handler-Team Map'!$A$7:$C$17,3,FALSE),"")</x:f>
      </x:c>
      <x:c r="N65" s="274" t="str">
        <x:v>FT_VM_DEP1000_GET500_5X</x:v>
      </x:c>
      <x:c r="O65" s="274" t="str">
        <x:v>VIP BONUS - Deposit 1000 Get 500 - 5x TO</x:v>
      </x:c>
      <x:c r="P65" s="274" t="str">
        <x:v>DepositBonus</x:v>
      </x:c>
      <x:c r="Q65" s="274" t="str">
        <x:v>Approved</x:v>
      </x:c>
      <x:c r="R65" s="265" t="n">
        <x:v>500</x:v>
      </x:c>
      <x:c r="S65" s="253" t="str">
        <x:v>Yes</x:v>
      </x:c>
      <x:c r="T65" s="265" t="n">
        <x:v>4000</x:v>
      </x:c>
      <x:c r="U65" s="253" t="str">
        <x:f>IF(AND(S65="Yes",T65=0),"Yes","No")</x:f>
        <x:v>No</x:v>
      </x:c>
      <x:c r="V65" s="253" t="str">
        <x:v>Yes</x:v>
      </x:c>
      <x:c r="W65" s="253" t="str">
        <x:v>Yes</x:v>
      </x:c>
      <x:c r="X65" s="259" t="n">
        <x:v>46118.166666666664</x:v>
      </x:c>
      <x:c r="Y65" s="265" t="n">
        <x:v>1000</x:v>
      </x:c>
      <x:c r="Z65" s="265" t="n">
        <x:v>1000</x:v>
      </x:c>
      <x:c r="AA65" s="253" t="str">
        <x:f>IF(V65="No","Maturing",IF(AND(U65="Yes",Y65&gt;0),"Yes","No"))</x:f>
        <x:v>No</x:v>
      </x:c>
      <x:c r="AB65" s="253" t="str">
        <x:f>IF(W65="No","Maturing",IF(AND(U65="Yes",Z65&gt;0),"Yes","No"))</x:f>
        <x:v>No</x:v>
      </x:c>
      <x:c r="AC65" s="265" t="n">
        <x:v>469.33</x:v>
      </x:c>
      <x:c r="AD65" s="265" t="n">
        <x:v>895.26</x:v>
      </x:c>
      <x:c r="AE65" s="271" t="str"/>
      <x:c r="AF65" s="274" t="str">
        <x:v>Not validated - no control/holdout</x:v>
      </x:c>
      <x:c r="AG65" s="277" t="str">
        <x:v>Recovered execution only; assignment date and unclaimed-offer denominator unavailable</x:v>
      </x:c>
    </x:row>
    <x:row r="66">
      <x:c r="A66" s="252" t="str">
        <x:v>33800390</x:v>
      </x:c>
      <x:c r="B66" s="253" t="str">
        <x:v>WS1</x:v>
      </x:c>
      <x:c r="C66" s="253" t="str">
        <x:v>MB8</x:v>
      </x:c>
      <x:c r="D66" s="262" t="n">
        <x:v>46119.01489583333</x:v>
      </x:c>
      <x:c r="E66" s="259" t="n">
        <x:v>46119.166666666664</x:v>
      </x:c>
      <x:c r="F66" s="253" t="str">
        <x:v>521114</x:v>
      </x:c>
      <x:c r="G66" s="253" t="str">
        <x:v>Nzboss8181</x:v>
      </x:c>
      <x:c r="H66" s="253" t="str">
        <x:v>Yes</x:v>
      </x:c>
      <x:c r="I66" s="253" t="str">
        <x:v>Claire</x:v>
      </x:c>
      <x:c r="J66" s="253" t="str">
        <x:v>Claire</x:v>
      </x:c>
      <x:c r="K66" s="259" t="n">
        <x:v>45659.166666666664</x:v>
      </x:c>
      <x:c r="L66" s="268" t="str">
        <x:f>IFERROR(VLOOKUP(I66,'Handler-Team Map'!$A$7:$C$17,2,FALSE),"")</x:f>
      </x:c>
      <x:c r="M66" s="268" t="str">
        <x:f>IFERROR(VLOOKUP(I66,'Handler-Team Map'!$A$7:$C$17,3,FALSE),"")</x:f>
      </x:c>
      <x:c r="N66" s="274" t="str">
        <x:v>FT_VM_DEP1000_GET1000_2X</x:v>
      </x:c>
      <x:c r="O66" s="274" t="str">
        <x:v>VIP BONUS - Deposit 1000 Get 1000 - 2x TO</x:v>
      </x:c>
      <x:c r="P66" s="274" t="str">
        <x:v>DepositBonus</x:v>
      </x:c>
      <x:c r="Q66" s="274" t="str">
        <x:v>Approved</x:v>
      </x:c>
      <x:c r="R66" s="265" t="n">
        <x:v>1000</x:v>
      </x:c>
      <x:c r="S66" s="253" t="str">
        <x:v>Yes</x:v>
      </x:c>
      <x:c r="T66" s="265" t="n">
        <x:v>386950</x:v>
      </x:c>
      <x:c r="U66" s="253" t="str">
        <x:f>IF(AND(S66="Yes",T66=0),"Yes","No")</x:f>
        <x:v>No</x:v>
      </x:c>
      <x:c r="V66" s="253" t="str">
        <x:v>Yes</x:v>
      </x:c>
      <x:c r="W66" s="253" t="str">
        <x:v>Yes</x:v>
      </x:c>
      <x:c r="X66" s="259" t="n">
        <x:v>46119.166666666664</x:v>
      </x:c>
      <x:c r="Y66" s="265" t="n">
        <x:v>64400</x:v>
      </x:c>
      <x:c r="Z66" s="265" t="n">
        <x:v>104500</x:v>
      </x:c>
      <x:c r="AA66" s="253" t="str">
        <x:f>IF(V66="No","Maturing",IF(AND(U66="Yes",Y66&gt;0),"Yes","No"))</x:f>
        <x:v>No</x:v>
      </x:c>
      <x:c r="AB66" s="253" t="str">
        <x:f>IF(W66="No","Maturing",IF(AND(U66="Yes",Z66&gt;0),"Yes","No"))</x:f>
        <x:v>No</x:v>
      </x:c>
      <x:c r="AC66" s="265" t="n">
        <x:v>41417.12</x:v>
      </x:c>
      <x:c r="AD66" s="265" t="n">
        <x:v>-63802.51</x:v>
      </x:c>
      <x:c r="AE66" s="271" t="str"/>
      <x:c r="AF66" s="274" t="str">
        <x:v>Not validated - no control/holdout</x:v>
      </x:c>
      <x:c r="AG66" s="277" t="str">
        <x:v>Recovered execution only; assignment date and unclaimed-offer denominator unavailable</x:v>
      </x:c>
    </x:row>
    <x:row r="67">
      <x:c r="A67" s="252" t="str">
        <x:v>33800976</x:v>
      </x:c>
      <x:c r="B67" s="253" t="str">
        <x:v>WS1</x:v>
      </x:c>
      <x:c r="C67" s="253" t="str">
        <x:v>MB8</x:v>
      </x:c>
      <x:c r="D67" s="262" t="n">
        <x:v>46119.045902777776</x:v>
      </x:c>
      <x:c r="E67" s="259" t="n">
        <x:v>46119.166666666664</x:v>
      </x:c>
      <x:c r="F67" s="253" t="str">
        <x:v>902260</x:v>
      </x:c>
      <x:c r="G67" s="253" t="str">
        <x:v>Eddie3766</x:v>
      </x:c>
      <x:c r="H67" s="253" t="str">
        <x:v>Yes</x:v>
      </x:c>
      <x:c r="I67" s="253" t="str">
        <x:v>Tammy</x:v>
      </x:c>
      <x:c r="J67" s="253" t="str">
        <x:v>Tammy</x:v>
      </x:c>
      <x:c r="K67" s="259" t="n">
        <x:v>45951.166666666664</x:v>
      </x:c>
      <x:c r="L67" s="268" t="str">
        <x:f>IFERROR(VLOOKUP(I67,'Handler-Team Map'!$A$7:$C$17,2,FALSE),"")</x:f>
      </x:c>
      <x:c r="M67" s="268" t="str">
        <x:f>IFERROR(VLOOKUP(I67,'Handler-Team Map'!$A$7:$C$17,3,FALSE),"")</x:f>
      </x:c>
      <x:c r="N67" s="274" t="str">
        <x:v>FT_VM_DEP1000_GET500_1X</x:v>
      </x:c>
      <x:c r="O67" s="274" t="str">
        <x:v>VIP BONUS - Deposit 1000 Get 500 - 1x TO</x:v>
      </x:c>
      <x:c r="P67" s="274" t="str">
        <x:v>DepositBonus</x:v>
      </x:c>
      <x:c r="Q67" s="274" t="str">
        <x:v>Approved</x:v>
      </x:c>
      <x:c r="R67" s="265" t="n">
        <x:v>500</x:v>
      </x:c>
      <x:c r="S67" s="253" t="str">
        <x:v>Yes</x:v>
      </x:c>
      <x:c r="T67" s="265" t="n">
        <x:v>59970</x:v>
      </x:c>
      <x:c r="U67" s="253" t="str">
        <x:f>IF(AND(S67="Yes",T67=0),"Yes","No")</x:f>
        <x:v>No</x:v>
      </x:c>
      <x:c r="V67" s="253" t="str">
        <x:v>Yes</x:v>
      </x:c>
      <x:c r="W67" s="253" t="str">
        <x:v>Yes</x:v>
      </x:c>
      <x:c r="X67" s="259" t="n">
        <x:v>46119.166666666664</x:v>
      </x:c>
      <x:c r="Y67" s="265" t="n">
        <x:v>8420</x:v>
      </x:c>
      <x:c r="Z67" s="265" t="n">
        <x:v>17050</x:v>
      </x:c>
      <x:c r="AA67" s="253" t="str">
        <x:f>IF(V67="No","Maturing",IF(AND(U67="Yes",Y67&gt;0),"Yes","No"))</x:f>
        <x:v>No</x:v>
      </x:c>
      <x:c r="AB67" s="253" t="str">
        <x:f>IF(W67="No","Maturing",IF(AND(U67="Yes",Z67&gt;0),"Yes","No"))</x:f>
        <x:v>No</x:v>
      </x:c>
      <x:c r="AC67" s="265" t="n">
        <x:v>4277.37</x:v>
      </x:c>
      <x:c r="AD67" s="265" t="n">
        <x:v>8754</x:v>
      </x:c>
      <x:c r="AE67" s="271" t="str"/>
      <x:c r="AF67" s="274" t="str">
        <x:v>Not validated - no control/holdout</x:v>
      </x:c>
      <x:c r="AG67" s="277" t="str">
        <x:v>Recovered execution only; assignment date and unclaimed-offer denominator unavailable</x:v>
      </x:c>
    </x:row>
    <x:row r="68">
      <x:c r="A68" s="252" t="str">
        <x:v>33802731</x:v>
      </x:c>
      <x:c r="B68" s="253" t="str">
        <x:v>WS1</x:v>
      </x:c>
      <x:c r="C68" s="253" t="str">
        <x:v>MB8</x:v>
      </x:c>
      <x:c r="D68" s="262" t="n">
        <x:v>46119.15320601852</x:v>
      </x:c>
      <x:c r="E68" s="259" t="n">
        <x:v>46119.166666666664</x:v>
      </x:c>
      <x:c r="F68" s="253" t="str">
        <x:v>564867</x:v>
      </x:c>
      <x:c r="G68" s="253" t="str">
        <x:v>Nageen</x:v>
      </x:c>
      <x:c r="H68" s="253" t="str">
        <x:v>Yes</x:v>
      </x:c>
      <x:c r="I68" s="253" t="str">
        <x:v>Claire</x:v>
      </x:c>
      <x:c r="J68" s="253" t="str">
        <x:v>Claire</x:v>
      </x:c>
      <x:c r="K68" s="259" t="n">
        <x:v>45659.166666666664</x:v>
      </x:c>
      <x:c r="L68" s="268" t="str">
        <x:f>IFERROR(VLOOKUP(I68,'Handler-Team Map'!$A$7:$C$17,2,FALSE),"")</x:f>
      </x:c>
      <x:c r="M68" s="268" t="str">
        <x:f>IFERROR(VLOOKUP(I68,'Handler-Team Map'!$A$7:$C$17,3,FALSE),"")</x:f>
      </x:c>
      <x:c r="N68" s="274" t="str">
        <x:v>FT_VM_DEP1000_GET500_5X</x:v>
      </x:c>
      <x:c r="O68" s="274" t="str">
        <x:v>VIP BONUS - Deposit 1000 Get 500 - 5x TO</x:v>
      </x:c>
      <x:c r="P68" s="274" t="str">
        <x:v>DepositBonus</x:v>
      </x:c>
      <x:c r="Q68" s="274" t="str">
        <x:v>Approved</x:v>
      </x:c>
      <x:c r="R68" s="265" t="n">
        <x:v>500</x:v>
      </x:c>
      <x:c r="S68" s="253" t="str">
        <x:v>Yes</x:v>
      </x:c>
      <x:c r="T68" s="265" t="n">
        <x:v>111056.51</x:v>
      </x:c>
      <x:c r="U68" s="253" t="str">
        <x:f>IF(AND(S68="Yes",T68=0),"Yes","No")</x:f>
        <x:v>No</x:v>
      </x:c>
      <x:c r="V68" s="253" t="str">
        <x:v>Yes</x:v>
      </x:c>
      <x:c r="W68" s="253" t="str">
        <x:v>Yes</x:v>
      </x:c>
      <x:c r="X68" s="259" t="n">
        <x:v>46119.166666666664</x:v>
      </x:c>
      <x:c r="Y68" s="265" t="n">
        <x:v>31413.8</x:v>
      </x:c>
      <x:c r="Z68" s="265" t="n">
        <x:v>46239.8</x:v>
      </x:c>
      <x:c r="AA68" s="253" t="str">
        <x:f>IF(V68="No","Maturing",IF(AND(U68="Yes",Y68&gt;0),"Yes","No"))</x:f>
        <x:v>No</x:v>
      </x:c>
      <x:c r="AB68" s="253" t="str">
        <x:f>IF(W68="No","Maturing",IF(AND(U68="Yes",Z68&gt;0),"Yes","No"))</x:f>
        <x:v>No</x:v>
      </x:c>
      <x:c r="AC68" s="265" t="n">
        <x:v>22090.67</x:v>
      </x:c>
      <x:c r="AD68" s="265" t="n">
        <x:v>20111.15</x:v>
      </x:c>
      <x:c r="AE68" s="271" t="str"/>
      <x:c r="AF68" s="274" t="str">
        <x:v>Not validated - no control/holdout</x:v>
      </x:c>
      <x:c r="AG68" s="277" t="str">
        <x:v>Recovered execution only; assignment date and unclaimed-offer denominator unavailable</x:v>
      </x:c>
    </x:row>
    <x:row r="69">
      <x:c r="A69" s="252" t="str">
        <x:v>33804797</x:v>
      </x:c>
      <x:c r="B69" s="253" t="str">
        <x:v>WS1</x:v>
      </x:c>
      <x:c r="C69" s="253" t="str">
        <x:v>MB8</x:v>
      </x:c>
      <x:c r="D69" s="262" t="n">
        <x:v>46119.4744212963</x:v>
      </x:c>
      <x:c r="E69" s="259" t="n">
        <x:v>46119.166666666664</x:v>
      </x:c>
      <x:c r="F69" s="253" t="str">
        <x:v>644130</x:v>
      </x:c>
      <x:c r="G69" s="253" t="str">
        <x:v>chong7890</x:v>
      </x:c>
      <x:c r="H69" s="253" t="str">
        <x:v>Yes</x:v>
      </x:c>
      <x:c r="I69" s="253" t="str">
        <x:v>Christy</x:v>
      </x:c>
      <x:c r="J69" s="253" t="str">
        <x:v>Christy</x:v>
      </x:c>
      <x:c r="K69" s="259" t="n">
        <x:v>45831.166666666664</x:v>
      </x:c>
      <x:c r="L69" s="268" t="str">
        <x:f>IFERROR(VLOOKUP(I69,'Handler-Team Map'!$A$7:$C$17,2,FALSE),"")</x:f>
      </x:c>
      <x:c r="M69" s="268" t="str">
        <x:f>IFERROR(VLOOKUP(I69,'Handler-Team Map'!$A$7:$C$17,3,FALSE),"")</x:f>
      </x:c>
      <x:c r="N69" s="274" t="str">
        <x:v>FT_VM_DEP1000_GET500_1X</x:v>
      </x:c>
      <x:c r="O69" s="274" t="str">
        <x:v>VIP BONUS - Deposit 1000 Get 500 - 1x TO</x:v>
      </x:c>
      <x:c r="P69" s="274" t="str">
        <x:v>DepositBonus</x:v>
      </x:c>
      <x:c r="Q69" s="274" t="str">
        <x:v>Approved</x:v>
      </x:c>
      <x:c r="R69" s="265" t="n">
        <x:v>500</x:v>
      </x:c>
      <x:c r="S69" s="253" t="str">
        <x:v>Yes</x:v>
      </x:c>
      <x:c r="T69" s="265" t="n">
        <x:v>3500</x:v>
      </x:c>
      <x:c r="U69" s="253" t="str">
        <x:f>IF(AND(S69="Yes",T69=0),"Yes","No")</x:f>
        <x:v>No</x:v>
      </x:c>
      <x:c r="V69" s="253" t="str">
        <x:v>Yes</x:v>
      </x:c>
      <x:c r="W69" s="253" t="str">
        <x:v>Yes</x:v>
      </x:c>
      <x:c r="X69" s="259" t="n">
        <x:v>46119.166666666664</x:v>
      </x:c>
      <x:c r="Y69" s="265" t="n">
        <x:v>1000</x:v>
      </x:c>
      <x:c r="Z69" s="265" t="n">
        <x:v>3150</x:v>
      </x:c>
      <x:c r="AA69" s="253" t="str">
        <x:f>IF(V69="No","Maturing",IF(AND(U69="Yes",Y69&gt;0),"Yes","No"))</x:f>
        <x:v>No</x:v>
      </x:c>
      <x:c r="AB69" s="253" t="str">
        <x:f>IF(W69="No","Maturing",IF(AND(U69="Yes",Z69&gt;0),"Yes","No"))</x:f>
        <x:v>No</x:v>
      </x:c>
      <x:c r="AC69" s="265" t="n">
        <x:v>-848.95</x:v>
      </x:c>
      <x:c r="AD69" s="265" t="n">
        <x:v>-799.37</x:v>
      </x:c>
      <x:c r="AE69" s="271" t="str"/>
      <x:c r="AF69" s="274" t="str">
        <x:v>Not validated - no control/holdout</x:v>
      </x:c>
      <x:c r="AG69" s="277" t="str">
        <x:v>Recovered execution only; assignment date and unclaimed-offer denominator unavailable</x:v>
      </x:c>
    </x:row>
    <x:row r="70">
      <x:c r="A70" s="252" t="str">
        <x:v>33805162</x:v>
      </x:c>
      <x:c r="B70" s="253" t="str">
        <x:v>WS1</x:v>
      </x:c>
      <x:c r="C70" s="253" t="str">
        <x:v>MB8</x:v>
      </x:c>
      <x:c r="D70" s="262" t="n">
        <x:v>46119.51356481481</x:v>
      </x:c>
      <x:c r="E70" s="259" t="n">
        <x:v>46119.166666666664</x:v>
      </x:c>
      <x:c r="F70" s="253" t="str">
        <x:v>809424</x:v>
      </x:c>
      <x:c r="G70" s="253" t="str">
        <x:v>yeamwc</x:v>
      </x:c>
      <x:c r="H70" s="253" t="str">
        <x:v>Yes</x:v>
      </x:c>
      <x:c r="I70" s="253" t="str">
        <x:v>Elda</x:v>
      </x:c>
      <x:c r="J70" s="253" t="str">
        <x:v>Elda</x:v>
      </x:c>
      <x:c r="K70" s="259" t="n">
        <x:v>45659.166666666664</x:v>
      </x:c>
      <x:c r="L70" s="268" t="str">
        <x:f>IFERROR(VLOOKUP(I70,'Handler-Team Map'!$A$7:$C$17,2,FALSE),"")</x:f>
      </x:c>
      <x:c r="M70" s="268" t="str">
        <x:f>IFERROR(VLOOKUP(I70,'Handler-Team Map'!$A$7:$C$17,3,FALSE),"")</x:f>
      </x:c>
      <x:c r="N70" s="274" t="str">
        <x:v>FT_VM_DEP1200_GET600_1X</x:v>
      </x:c>
      <x:c r="O70" s="274" t="str">
        <x:v>VIP BONUS - Deposit 1200 Get 600 - 1x TO</x:v>
      </x:c>
      <x:c r="P70" s="274" t="str">
        <x:v>DepositBonus</x:v>
      </x:c>
      <x:c r="Q70" s="274" t="str">
        <x:v>Approved</x:v>
      </x:c>
      <x:c r="R70" s="265" t="n">
        <x:v>600</x:v>
      </x:c>
      <x:c r="S70" s="253" t="str">
        <x:v>Yes</x:v>
      </x:c>
      <x:c r="T70" s="265" t="n">
        <x:v>154790</x:v>
      </x:c>
      <x:c r="U70" s="253" t="str">
        <x:f>IF(AND(S70="Yes",T70=0),"Yes","No")</x:f>
        <x:v>No</x:v>
      </x:c>
      <x:c r="V70" s="253" t="str">
        <x:v>Yes</x:v>
      </x:c>
      <x:c r="W70" s="253" t="str">
        <x:v>Yes</x:v>
      </x:c>
      <x:c r="X70" s="259" t="n">
        <x:v>46119.166666666664</x:v>
      </x:c>
      <x:c r="Y70" s="265" t="n">
        <x:v>58430</x:v>
      </x:c>
      <x:c r="Z70" s="265" t="n">
        <x:v>132370</x:v>
      </x:c>
      <x:c r="AA70" s="253" t="str">
        <x:f>IF(V70="No","Maturing",IF(AND(U70="Yes",Y70&gt;0),"Yes","No"))</x:f>
        <x:v>No</x:v>
      </x:c>
      <x:c r="AB70" s="253" t="str">
        <x:f>IF(W70="No","Maturing",IF(AND(U70="Yes",Z70&gt;0),"Yes","No"))</x:f>
        <x:v>No</x:v>
      </x:c>
      <x:c r="AC70" s="265" t="n">
        <x:v>4030.26</x:v>
      </x:c>
      <x:c r="AD70" s="265" t="n">
        <x:v>-116877.89</x:v>
      </x:c>
      <x:c r="AE70" s="271" t="str"/>
      <x:c r="AF70" s="274" t="str">
        <x:v>Not validated - no control/holdout</x:v>
      </x:c>
      <x:c r="AG70" s="277" t="str">
        <x:v>Recovered execution only; assignment date and unclaimed-offer denominator unavailable</x:v>
      </x:c>
    </x:row>
    <x:row r="71">
      <x:c r="A71" s="252" t="str">
        <x:v>33805764</x:v>
      </x:c>
      <x:c r="B71" s="253" t="str">
        <x:v>WS1</x:v>
      </x:c>
      <x:c r="C71" s="253" t="str">
        <x:v>MB8</x:v>
      </x:c>
      <x:c r="D71" s="262" t="n">
        <x:v>46119.571226851855</x:v>
      </x:c>
      <x:c r="E71" s="259" t="n">
        <x:v>46119.166666666664</x:v>
      </x:c>
      <x:c r="F71" s="253" t="str">
        <x:v>306733</x:v>
      </x:c>
      <x:c r="G71" s="253" t="str">
        <x:v>HC5140</x:v>
      </x:c>
      <x:c r="H71" s="253" t="str">
        <x:v>Yes</x:v>
      </x:c>
      <x:c r="I71" s="253" t="str">
        <x:v>Claire</x:v>
      </x:c>
      <x:c r="J71" s="253" t="str">
        <x:v>Claire</x:v>
      </x:c>
      <x:c r="K71" s="259" t="n">
        <x:v>45659.166666666664</x:v>
      </x:c>
      <x:c r="L71" s="268" t="str">
        <x:f>IFERROR(VLOOKUP(I71,'Handler-Team Map'!$A$7:$C$17,2,FALSE),"")</x:f>
      </x:c>
      <x:c r="M71" s="268" t="str">
        <x:f>IFERROR(VLOOKUP(I71,'Handler-Team Map'!$A$7:$C$17,3,FALSE),"")</x:f>
      </x:c>
      <x:c r="N71" s="274" t="str">
        <x:v>FT_VM_DEP1000_GET500_5X</x:v>
      </x:c>
      <x:c r="O71" s="274" t="str">
        <x:v>VIP BONUS - Deposit 1000 Get 500 - 5x TO</x:v>
      </x:c>
      <x:c r="P71" s="274" t="str">
        <x:v>DepositBonus</x:v>
      </x:c>
      <x:c r="Q71" s="274" t="str">
        <x:v>Approved</x:v>
      </x:c>
      <x:c r="R71" s="265" t="n">
        <x:v>500</x:v>
      </x:c>
      <x:c r="S71" s="253" t="str">
        <x:v>Yes</x:v>
      </x:c>
      <x:c r="T71" s="265" t="n">
        <x:v>86500</x:v>
      </x:c>
      <x:c r="U71" s="253" t="str">
        <x:f>IF(AND(S71="Yes",T71=0),"Yes","No")</x:f>
        <x:v>No</x:v>
      </x:c>
      <x:c r="V71" s="253" t="str">
        <x:v>Yes</x:v>
      </x:c>
      <x:c r="W71" s="253" t="str">
        <x:v>Yes</x:v>
      </x:c>
      <x:c r="X71" s="259" t="n">
        <x:v>46119.166666666664</x:v>
      </x:c>
      <x:c r="Y71" s="265" t="n">
        <x:v>32389</x:v>
      </x:c>
      <x:c r="Z71" s="265" t="n">
        <x:v>53196</x:v>
      </x:c>
      <x:c r="AA71" s="253" t="str">
        <x:f>IF(V71="No","Maturing",IF(AND(U71="Yes",Y71&gt;0),"Yes","No"))</x:f>
        <x:v>No</x:v>
      </x:c>
      <x:c r="AB71" s="253" t="str">
        <x:f>IF(W71="No","Maturing",IF(AND(U71="Yes",Z71&gt;0),"Yes","No"))</x:f>
        <x:v>No</x:v>
      </x:c>
      <x:c r="AC71" s="265" t="n">
        <x:v>8546.23</x:v>
      </x:c>
      <x:c r="AD71" s="265" t="n">
        <x:v>12521.99</x:v>
      </x:c>
      <x:c r="AE71" s="271" t="str"/>
      <x:c r="AF71" s="274" t="str">
        <x:v>Not validated - no control/holdout</x:v>
      </x:c>
      <x:c r="AG71" s="277" t="str">
        <x:v>Recovered execution only; assignment date and unclaimed-offer denominator unavailable</x:v>
      </x:c>
    </x:row>
    <x:row r="72">
      <x:c r="A72" s="252" t="str">
        <x:v>33806028</x:v>
      </x:c>
      <x:c r="B72" s="253" t="str">
        <x:v>WS1</x:v>
      </x:c>
      <x:c r="C72" s="253" t="str">
        <x:v>MB8</x:v>
      </x:c>
      <x:c r="D72" s="262" t="n">
        <x:v>46119.59645833333</x:v>
      </x:c>
      <x:c r="E72" s="259" t="n">
        <x:v>46119.166666666664</x:v>
      </x:c>
      <x:c r="F72" s="253" t="str">
        <x:v>291167</x:v>
      </x:c>
      <x:c r="G72" s="253" t="str">
        <x:v>CCPP10</x:v>
      </x:c>
      <x:c r="H72" s="253" t="str">
        <x:v>Yes</x:v>
      </x:c>
      <x:c r="I72" s="253" t="str">
        <x:v>zhen</x:v>
      </x:c>
      <x:c r="J72" s="253" t="str">
        <x:v>zhen</x:v>
      </x:c>
      <x:c r="K72" s="259" t="n">
        <x:v>46090.166666666664</x:v>
      </x:c>
      <x:c r="L72" s="268" t="str">
        <x:f>IFERROR(VLOOKUP(I72,'Handler-Team Map'!$A$7:$C$17,2,FALSE),"")</x:f>
      </x:c>
      <x:c r="M72" s="268" t="str">
        <x:f>IFERROR(VLOOKUP(I72,'Handler-Team Map'!$A$7:$C$17,3,FALSE),"")</x:f>
      </x:c>
      <x:c r="N72" s="274" t="str">
        <x:v>FT_VM_DEP300_GET100_5X</x:v>
      </x:c>
      <x:c r="O72" s="274" t="str">
        <x:v>VIP BONUS - Deposit 300 Get 100 - 5x TO</x:v>
      </x:c>
      <x:c r="P72" s="274" t="str">
        <x:v>DepositBonus</x:v>
      </x:c>
      <x:c r="Q72" s="274" t="str">
        <x:v>Approved</x:v>
      </x:c>
      <x:c r="R72" s="265" t="n">
        <x:v>100</x:v>
      </x:c>
      <x:c r="S72" s="253" t="str">
        <x:v>Yes</x:v>
      </x:c>
      <x:c r="T72" s="265" t="n">
        <x:v>135905</x:v>
      </x:c>
      <x:c r="U72" s="253" t="str">
        <x:f>IF(AND(S72="Yes",T72=0),"Yes","No")</x:f>
        <x:v>No</x:v>
      </x:c>
      <x:c r="V72" s="253" t="str">
        <x:v>Yes</x:v>
      </x:c>
      <x:c r="W72" s="253" t="str">
        <x:v>Yes</x:v>
      </x:c>
      <x:c r="X72" s="259" t="n">
        <x:v>46119.166666666664</x:v>
      </x:c>
      <x:c r="Y72" s="265" t="n">
        <x:v>15919</x:v>
      </x:c>
      <x:c r="Z72" s="265" t="n">
        <x:v>16319</x:v>
      </x:c>
      <x:c r="AA72" s="253" t="str">
        <x:f>IF(V72="No","Maturing",IF(AND(U72="Yes",Y72&gt;0),"Yes","No"))</x:f>
        <x:v>No</x:v>
      </x:c>
      <x:c r="AB72" s="253" t="str">
        <x:f>IF(W72="No","Maturing",IF(AND(U72="Yes",Z72&gt;0),"Yes","No"))</x:f>
        <x:v>No</x:v>
      </x:c>
      <x:c r="AC72" s="265" t="n">
        <x:v>5768.06</x:v>
      </x:c>
      <x:c r="AD72" s="265" t="n">
        <x:v>5865.7</x:v>
      </x:c>
      <x:c r="AE72" s="271" t="str"/>
      <x:c r="AF72" s="274" t="str">
        <x:v>Not validated - no control/holdout</x:v>
      </x:c>
      <x:c r="AG72" s="277" t="str">
        <x:v>Recovered execution only; assignment date and unclaimed-offer denominator unavailable</x:v>
      </x:c>
    </x:row>
    <x:row r="73">
      <x:c r="A73" s="252" t="str">
        <x:v>33806297</x:v>
      </x:c>
      <x:c r="B73" s="253" t="str">
        <x:v>WS1</x:v>
      </x:c>
      <x:c r="C73" s="253" t="str">
        <x:v>MB8</x:v>
      </x:c>
      <x:c r="D73" s="262" t="n">
        <x:v>46119.61640046296</x:v>
      </x:c>
      <x:c r="E73" s="259" t="n">
        <x:v>46119.166666666664</x:v>
      </x:c>
      <x:c r="F73" s="253" t="str">
        <x:v>476126</x:v>
      </x:c>
      <x:c r="G73" s="253" t="str">
        <x:v>Mahendraj</x:v>
      </x:c>
      <x:c r="H73" s="253" t="str">
        <x:v>Yes</x:v>
      </x:c>
      <x:c r="I73" s="253" t="str">
        <x:v>Sheena</x:v>
      </x:c>
      <x:c r="J73" s="253" t="str">
        <x:v>Sheena</x:v>
      </x:c>
      <x:c r="K73" s="259" t="n">
        <x:v>46090.166666666664</x:v>
      </x:c>
      <x:c r="L73" s="268" t="str">
        <x:f>IFERROR(VLOOKUP(I73,'Handler-Team Map'!$A$7:$C$17,2,FALSE),"")</x:f>
      </x:c>
      <x:c r="M73" s="268" t="str">
        <x:f>IFERROR(VLOOKUP(I73,'Handler-Team Map'!$A$7:$C$17,3,FALSE),"")</x:f>
      </x:c>
      <x:c r="N73" s="274" t="str">
        <x:v>FT_VM_DEP300_GET100_5X</x:v>
      </x:c>
      <x:c r="O73" s="274" t="str">
        <x:v>VIP BONUS - Deposit 300 Get 100 - 5x TO</x:v>
      </x:c>
      <x:c r="P73" s="274" t="str">
        <x:v>DepositBonus</x:v>
      </x:c>
      <x:c r="Q73" s="274" t="str">
        <x:v>Approved</x:v>
      </x:c>
      <x:c r="R73" s="265" t="n">
        <x:v>100</x:v>
      </x:c>
      <x:c r="S73" s="253" t="str">
        <x:v>Yes</x:v>
      </x:c>
      <x:c r="T73" s="265" t="n">
        <x:v>83390</x:v>
      </x:c>
      <x:c r="U73" s="253" t="str">
        <x:f>IF(AND(S73="Yes",T73=0),"Yes","No")</x:f>
        <x:v>No</x:v>
      </x:c>
      <x:c r="V73" s="253" t="str">
        <x:v>Yes</x:v>
      </x:c>
      <x:c r="W73" s="253" t="str">
        <x:v>Yes</x:v>
      </x:c>
      <x:c r="X73" s="259" t="n">
        <x:v>46119.166666666664</x:v>
      </x:c>
      <x:c r="Y73" s="265" t="n">
        <x:v>5100</x:v>
      </x:c>
      <x:c r="Z73" s="265" t="n">
        <x:v>6200</x:v>
      </x:c>
      <x:c r="AA73" s="253" t="str">
        <x:f>IF(V73="No","Maturing",IF(AND(U73="Yes",Y73&gt;0),"Yes","No"))</x:f>
        <x:v>No</x:v>
      </x:c>
      <x:c r="AB73" s="253" t="str">
        <x:f>IF(W73="No","Maturing",IF(AND(U73="Yes",Z73&gt;0),"Yes","No"))</x:f>
        <x:v>No</x:v>
      </x:c>
      <x:c r="AC73" s="265" t="n">
        <x:v>3599.96</x:v>
      </x:c>
      <x:c r="AD73" s="265" t="n">
        <x:v>4099.64</x:v>
      </x:c>
      <x:c r="AE73" s="271" t="str"/>
      <x:c r="AF73" s="274" t="str">
        <x:v>Not validated - no control/holdout</x:v>
      </x:c>
      <x:c r="AG73" s="277" t="str">
        <x:v>Recovered execution only; assignment date and unclaimed-offer denominator unavailable</x:v>
      </x:c>
    </x:row>
    <x:row r="74">
      <x:c r="A74" s="252" t="str">
        <x:v>33807552</x:v>
      </x:c>
      <x:c r="B74" s="253" t="str">
        <x:v>WS1</x:v>
      </x:c>
      <x:c r="C74" s="253" t="str">
        <x:v>MB8</x:v>
      </x:c>
      <x:c r="D74" s="262" t="n">
        <x:v>46119.70569444444</x:v>
      </x:c>
      <x:c r="E74" s="259" t="n">
        <x:v>46119.166666666664</x:v>
      </x:c>
      <x:c r="F74" s="253" t="str">
        <x:v>532295</x:v>
      </x:c>
      <x:c r="G74" s="253" t="str">
        <x:v>tonyass</x:v>
      </x:c>
      <x:c r="H74" s="253" t="str">
        <x:v>Yes</x:v>
      </x:c>
      <x:c r="I74" s="253" t="str">
        <x:v>Elda</x:v>
      </x:c>
      <x:c r="J74" s="253" t="str">
        <x:v>Elda</x:v>
      </x:c>
      <x:c r="K74" s="259" t="n">
        <x:v>45659.166666666664</x:v>
      </x:c>
      <x:c r="L74" s="268" t="str">
        <x:f>IFERROR(VLOOKUP(I74,'Handler-Team Map'!$A$7:$C$17,2,FALSE),"")</x:f>
      </x:c>
      <x:c r="M74" s="268" t="str">
        <x:f>IFERROR(VLOOKUP(I74,'Handler-Team Map'!$A$7:$C$17,3,FALSE),"")</x:f>
      </x:c>
      <x:c r="N74" s="274" t="str">
        <x:v>FT_VM_DEP1000_GET500_5X</x:v>
      </x:c>
      <x:c r="O74" s="274" t="str">
        <x:v>VIP BONUS - Deposit 1000 Get 500 - 5x TO</x:v>
      </x:c>
      <x:c r="P74" s="274" t="str">
        <x:v>DepositBonus</x:v>
      </x:c>
      <x:c r="Q74" s="274" t="str">
        <x:v>Approved</x:v>
      </x:c>
      <x:c r="R74" s="265" t="n">
        <x:v>500</x:v>
      </x:c>
      <x:c r="S74" s="253" t="str">
        <x:v>Yes</x:v>
      </x:c>
      <x:c r="T74" s="265" t="n">
        <x:v>15900</x:v>
      </x:c>
      <x:c r="U74" s="253" t="str">
        <x:f>IF(AND(S74="Yes",T74=0),"Yes","No")</x:f>
        <x:v>No</x:v>
      </x:c>
      <x:c r="V74" s="253" t="str">
        <x:v>Yes</x:v>
      </x:c>
      <x:c r="W74" s="253" t="str">
        <x:v>Yes</x:v>
      </x:c>
      <x:c r="X74" s="259" t="n">
        <x:v>46119.166666666664</x:v>
      </x:c>
      <x:c r="Y74" s="265" t="n">
        <x:v>3800</x:v>
      </x:c>
      <x:c r="Z74" s="265" t="n">
        <x:v>5650</x:v>
      </x:c>
      <x:c r="AA74" s="253" t="str">
        <x:f>IF(V74="No","Maturing",IF(AND(U74="Yes",Y74&gt;0),"Yes","No"))</x:f>
        <x:v>No</x:v>
      </x:c>
      <x:c r="AB74" s="253" t="str">
        <x:f>IF(W74="No","Maturing",IF(AND(U74="Yes",Z74&gt;0),"Yes","No"))</x:f>
        <x:v>No</x:v>
      </x:c>
      <x:c r="AC74" s="265" t="n">
        <x:v>3802.93</x:v>
      </x:c>
      <x:c r="AD74" s="265" t="n">
        <x:v>4989.48</x:v>
      </x:c>
      <x:c r="AE74" s="271" t="str"/>
      <x:c r="AF74" s="274" t="str">
        <x:v>Not validated - no control/holdout</x:v>
      </x:c>
      <x:c r="AG74" s="277" t="str">
        <x:v>Recovered execution only; assignment date and unclaimed-offer denominator unavailable</x:v>
      </x:c>
    </x:row>
    <x:row r="75">
      <x:c r="A75" s="252" t="str">
        <x:v>33807556</x:v>
      </x:c>
      <x:c r="B75" s="253" t="str">
        <x:v>WS1</x:v>
      </x:c>
      <x:c r="C75" s="253" t="str">
        <x:v>MB8</x:v>
      </x:c>
      <x:c r="D75" s="262" t="n">
        <x:v>46119.70613425926</x:v>
      </x:c>
      <x:c r="E75" s="259" t="n">
        <x:v>46119.166666666664</x:v>
      </x:c>
      <x:c r="F75" s="253" t="str">
        <x:v>15675</x:v>
      </x:c>
      <x:c r="G75" s="253" t="str">
        <x:v>Darrenkky0810</x:v>
      </x:c>
      <x:c r="H75" s="253" t="str">
        <x:v>Yes</x:v>
      </x:c>
      <x:c r="I75" s="253" t="str">
        <x:v>Serene</x:v>
      </x:c>
      <x:c r="J75" s="253" t="str">
        <x:v>Serene</x:v>
      </x:c>
      <x:c r="K75" s="259" t="n">
        <x:v>45859.166666666664</x:v>
      </x:c>
      <x:c r="L75" s="268" t="str">
        <x:f>IFERROR(VLOOKUP(I75,'Handler-Team Map'!$A$7:$C$17,2,FALSE),"")</x:f>
      </x:c>
      <x:c r="M75" s="268" t="str">
        <x:f>IFERROR(VLOOKUP(I75,'Handler-Team Map'!$A$7:$C$17,3,FALSE),"")</x:f>
      </x:c>
      <x:c r="N75" s="274" t="str">
        <x:v>FT_VM_DEP150_GET50_5X</x:v>
      </x:c>
      <x:c r="O75" s="274" t="str">
        <x:v>VIP BONUS - Deposit 150 Get 50 - 5x TO</x:v>
      </x:c>
      <x:c r="P75" s="274" t="str">
        <x:v>DepositBonus</x:v>
      </x:c>
      <x:c r="Q75" s="274" t="str">
        <x:v>Approved</x:v>
      </x:c>
      <x:c r="R75" s="265" t="n">
        <x:v>50</x:v>
      </x:c>
      <x:c r="S75" s="253" t="str">
        <x:v>Yes</x:v>
      </x:c>
      <x:c r="T75" s="265" t="n">
        <x:v>10500</x:v>
      </x:c>
      <x:c r="U75" s="253" t="str">
        <x:f>IF(AND(S75="Yes",T75=0),"Yes","No")</x:f>
        <x:v>No</x:v>
      </x:c>
      <x:c r="V75" s="253" t="str">
        <x:v>Yes</x:v>
      </x:c>
      <x:c r="W75" s="253" t="str">
        <x:v>Yes</x:v>
      </x:c>
      <x:c r="X75" s="259" t="n">
        <x:v>46119.166666666664</x:v>
      </x:c>
      <x:c r="Y75" s="265" t="n">
        <x:v>1905</x:v>
      </x:c>
      <x:c r="Z75" s="265" t="n">
        <x:v>2745</x:v>
      </x:c>
      <x:c r="AA75" s="253" t="str">
        <x:f>IF(V75="No","Maturing",IF(AND(U75="Yes",Y75&gt;0),"Yes","No"))</x:f>
        <x:v>No</x:v>
      </x:c>
      <x:c r="AB75" s="253" t="str">
        <x:f>IF(W75="No","Maturing",IF(AND(U75="Yes",Z75&gt;0),"Yes","No"))</x:f>
        <x:v>No</x:v>
      </x:c>
      <x:c r="AC75" s="265" t="n">
        <x:v>-95.94</x:v>
      </x:c>
      <x:c r="AD75" s="265" t="n">
        <x:v>191.46</x:v>
      </x:c>
      <x:c r="AE75" s="271" t="str"/>
      <x:c r="AF75" s="274" t="str">
        <x:v>Not validated - no control/holdout</x:v>
      </x:c>
      <x:c r="AG75" s="277" t="str">
        <x:v>Recovered execution only; assignment date and unclaimed-offer denominator unavailable</x:v>
      </x:c>
    </x:row>
    <x:row r="76">
      <x:c r="A76" s="252" t="str">
        <x:v>33808745</x:v>
      </x:c>
      <x:c r="B76" s="253" t="str">
        <x:v>WS1</x:v>
      </x:c>
      <x:c r="C76" s="253" t="str">
        <x:v>MB8</x:v>
      </x:c>
      <x:c r="D76" s="262" t="n">
        <x:v>46119.78089120371</x:v>
      </x:c>
      <x:c r="E76" s="259" t="n">
        <x:v>46119.166666666664</x:v>
      </x:c>
      <x:c r="F76" s="253" t="str">
        <x:v>443729</x:v>
      </x:c>
      <x:c r="G76" s="253" t="str">
        <x:v>koon65</x:v>
      </x:c>
      <x:c r="H76" s="253" t="str">
        <x:v>Yes</x:v>
      </x:c>
      <x:c r="I76" s="253" t="str">
        <x:v>zhen</x:v>
      </x:c>
      <x:c r="J76" s="253" t="str">
        <x:v>zhen</x:v>
      </x:c>
      <x:c r="K76" s="259" t="n">
        <x:v>46090.166666666664</x:v>
      </x:c>
      <x:c r="L76" s="268" t="str">
        <x:f>IFERROR(VLOOKUP(I76,'Handler-Team Map'!$A$7:$C$17,2,FALSE),"")</x:f>
      </x:c>
      <x:c r="M76" s="268" t="str">
        <x:f>IFERROR(VLOOKUP(I76,'Handler-Team Map'!$A$7:$C$17,3,FALSE),"")</x:f>
      </x:c>
      <x:c r="N76" s="274" t="str">
        <x:v>FT_VM_DEP150_GET50_5X</x:v>
      </x:c>
      <x:c r="O76" s="274" t="str">
        <x:v>VIP BONUS - Deposit 150 Get 50 - 5x TO</x:v>
      </x:c>
      <x:c r="P76" s="274" t="str">
        <x:v>DepositBonus</x:v>
      </x:c>
      <x:c r="Q76" s="274" t="str">
        <x:v>Approved</x:v>
      </x:c>
      <x:c r="R76" s="265" t="n">
        <x:v>50</x:v>
      </x:c>
      <x:c r="S76" s="253" t="str">
        <x:v>Yes</x:v>
      </x:c>
      <x:c r="T76" s="265" t="n">
        <x:v>62150.08</x:v>
      </x:c>
      <x:c r="U76" s="253" t="str">
        <x:f>IF(AND(S76="Yes",T76=0),"Yes","No")</x:f>
        <x:v>No</x:v>
      </x:c>
      <x:c r="V76" s="253" t="str">
        <x:v>Yes</x:v>
      </x:c>
      <x:c r="W76" s="253" t="str">
        <x:v>Yes</x:v>
      </x:c>
      <x:c r="X76" s="259" t="n">
        <x:v>46119.166666666664</x:v>
      </x:c>
      <x:c r="Y76" s="265" t="n">
        <x:v>15650</x:v>
      </x:c>
      <x:c r="Z76" s="265" t="n">
        <x:v>32250.08</x:v>
      </x:c>
      <x:c r="AA76" s="253" t="str">
        <x:f>IF(V76="No","Maturing",IF(AND(U76="Yes",Y76&gt;0),"Yes","No"))</x:f>
        <x:v>No</x:v>
      </x:c>
      <x:c r="AB76" s="253" t="str">
        <x:f>IF(W76="No","Maturing",IF(AND(U76="Yes",Z76&gt;0),"Yes","No"))</x:f>
        <x:v>No</x:v>
      </x:c>
      <x:c r="AC76" s="265" t="n">
        <x:v>-9113.21</x:v>
      </x:c>
      <x:c r="AD76" s="265" t="n">
        <x:v>5035.36</x:v>
      </x:c>
      <x:c r="AE76" s="271" t="str"/>
      <x:c r="AF76" s="274" t="str">
        <x:v>Not validated - no control/holdout</x:v>
      </x:c>
      <x:c r="AG76" s="277" t="str">
        <x:v>Recovered execution only; assignment date and unclaimed-offer denominator unavailable</x:v>
      </x:c>
    </x:row>
    <x:row r="77">
      <x:c r="A77" s="252" t="str">
        <x:v>33808884</x:v>
      </x:c>
      <x:c r="B77" s="253" t="str">
        <x:v>WS1</x:v>
      </x:c>
      <x:c r="C77" s="253" t="str">
        <x:v>MB8</x:v>
      </x:c>
      <x:c r="D77" s="262" t="n">
        <x:v>46119.792175925926</x:v>
      </x:c>
      <x:c r="E77" s="259" t="n">
        <x:v>46119.166666666664</x:v>
      </x:c>
      <x:c r="F77" s="253" t="str">
        <x:v>533556</x:v>
      </x:c>
      <x:c r="G77" s="253" t="str">
        <x:v>kcchiew</x:v>
      </x:c>
      <x:c r="H77" s="253" t="str">
        <x:v>Yes</x:v>
      </x:c>
      <x:c r="I77" s="253" t="str"/>
      <x:c r="J77" s="253" t="str"/>
      <x:c r="K77" s="259"/>
      <x:c r="L77" s="268" t="str">
        <x:f>IFERROR(VLOOKUP(I77,'Handler-Team Map'!$A$7:$C$17,2,FALSE),"")</x:f>
      </x:c>
      <x:c r="M77" s="268" t="str">
        <x:f>IFERROR(VLOOKUP(I77,'Handler-Team Map'!$A$7:$C$17,3,FALSE),"")</x:f>
      </x:c>
      <x:c r="N77" s="274" t="str">
        <x:v>FT_VM_DEP600_GET200_5X</x:v>
      </x:c>
      <x:c r="O77" s="274" t="str">
        <x:v>VIP BONUS - Deposit 600 Get 200 - 5x TO</x:v>
      </x:c>
      <x:c r="P77" s="274" t="str">
        <x:v>DepositBonus</x:v>
      </x:c>
      <x:c r="Q77" s="274" t="str">
        <x:v>Approved</x:v>
      </x:c>
      <x:c r="R77" s="265" t="n">
        <x:v>200</x:v>
      </x:c>
      <x:c r="S77" s="253" t="str">
        <x:v>Yes</x:v>
      </x:c>
      <x:c r="T77" s="265" t="n">
        <x:v>600</x:v>
      </x:c>
      <x:c r="U77" s="253" t="str">
        <x:f>IF(AND(S77="Yes",T77=0),"Yes","No")</x:f>
        <x:v>No</x:v>
      </x:c>
      <x:c r="V77" s="253" t="str">
        <x:v>Yes</x:v>
      </x:c>
      <x:c r="W77" s="253" t="str">
        <x:v>Yes</x:v>
      </x:c>
      <x:c r="X77" s="259" t="n">
        <x:v>46119.166666666664</x:v>
      </x:c>
      <x:c r="Y77" s="265" t="n">
        <x:v>600</x:v>
      </x:c>
      <x:c r="Z77" s="265" t="n">
        <x:v>950</x:v>
      </x:c>
      <x:c r="AA77" s="253" t="str">
        <x:f>IF(V77="No","Maturing",IF(AND(U77="Yes",Y77&gt;0),"Yes","No"))</x:f>
        <x:v>No</x:v>
      </x:c>
      <x:c r="AB77" s="253" t="str">
        <x:f>IF(W77="No","Maturing",IF(AND(U77="Yes",Z77&gt;0),"Yes","No"))</x:f>
        <x:v>No</x:v>
      </x:c>
      <x:c r="AC77" s="265" t="n">
        <x:v>280.53</x:v>
      </x:c>
      <x:c r="AD77" s="265" t="n">
        <x:v>229.65</x:v>
      </x:c>
      <x:c r="AE77" s="271" t="str"/>
      <x:c r="AF77" s="274" t="str">
        <x:v>Not validated - no control/holdout</x:v>
      </x:c>
      <x:c r="AG77" s="277" t="str">
        <x:v>Recovered execution only; assignment date and unclaimed-offer denominator unavailable</x:v>
      </x:c>
    </x:row>
    <x:row r="78">
      <x:c r="A78" s="252" t="str">
        <x:v>33808928</x:v>
      </x:c>
      <x:c r="B78" s="253" t="str">
        <x:v>WS1</x:v>
      </x:c>
      <x:c r="C78" s="253" t="str">
        <x:v>MB8</x:v>
      </x:c>
      <x:c r="D78" s="262" t="n">
        <x:v>46119.795011574075</x:v>
      </x:c>
      <x:c r="E78" s="259" t="n">
        <x:v>46119.166666666664</x:v>
      </x:c>
      <x:c r="F78" s="253" t="str">
        <x:v>937035</x:v>
      </x:c>
      <x:c r="G78" s="253" t="str">
        <x:v>Ivyweiii</x:v>
      </x:c>
      <x:c r="H78" s="253" t="str">
        <x:v>Yes</x:v>
      </x:c>
      <x:c r="I78" s="253" t="str"/>
      <x:c r="J78" s="253" t="str"/>
      <x:c r="K78" s="259"/>
      <x:c r="L78" s="268" t="str">
        <x:f>IFERROR(VLOOKUP(I78,'Handler-Team Map'!$A$7:$C$17,2,FALSE),"")</x:f>
      </x:c>
      <x:c r="M78" s="268" t="str">
        <x:f>IFERROR(VLOOKUP(I78,'Handler-Team Map'!$A$7:$C$17,3,FALSE),"")</x:f>
      </x:c>
      <x:c r="N78" s="274" t="str">
        <x:v>FT_VM_DEP600_GET200_5X</x:v>
      </x:c>
      <x:c r="O78" s="274" t="str">
        <x:v>VIP BONUS - Deposit 600 Get 200 - 5x TO</x:v>
      </x:c>
      <x:c r="P78" s="274" t="str">
        <x:v>DepositBonus</x:v>
      </x:c>
      <x:c r="Q78" s="274" t="str">
        <x:v>Approved</x:v>
      </x:c>
      <x:c r="R78" s="265" t="n">
        <x:v>200</x:v>
      </x:c>
      <x:c r="S78" s="253" t="str">
        <x:v>Yes</x:v>
      </x:c>
      <x:c r="T78" s="265" t="n">
        <x:v>5300</x:v>
      </x:c>
      <x:c r="U78" s="253" t="str">
        <x:f>IF(AND(S78="Yes",T78=0),"Yes","No")</x:f>
        <x:v>No</x:v>
      </x:c>
      <x:c r="V78" s="253" t="str">
        <x:v>Yes</x:v>
      </x:c>
      <x:c r="W78" s="253" t="str">
        <x:v>Yes</x:v>
      </x:c>
      <x:c r="X78" s="259" t="n">
        <x:v>46119.166666666664</x:v>
      </x:c>
      <x:c r="Y78" s="265" t="n">
        <x:v>1100</x:v>
      </x:c>
      <x:c r="Z78" s="265" t="n">
        <x:v>1200</x:v>
      </x:c>
      <x:c r="AA78" s="253" t="str">
        <x:f>IF(V78="No","Maturing",IF(AND(U78="Yes",Y78&gt;0),"Yes","No"))</x:f>
        <x:v>No</x:v>
      </x:c>
      <x:c r="AB78" s="253" t="str">
        <x:f>IF(W78="No","Maturing",IF(AND(U78="Yes",Z78&gt;0),"Yes","No"))</x:f>
        <x:v>No</x:v>
      </x:c>
      <x:c r="AC78" s="265" t="n">
        <x:v>-402.09</x:v>
      </x:c>
      <x:c r="AD78" s="265" t="n">
        <x:v>-293.62</x:v>
      </x:c>
      <x:c r="AE78" s="271" t="str"/>
      <x:c r="AF78" s="274" t="str">
        <x:v>Not validated - no control/holdout</x:v>
      </x:c>
      <x:c r="AG78" s="277" t="str">
        <x:v>Recovered execution only; assignment date and unclaimed-offer denominator unavailable</x:v>
      </x:c>
    </x:row>
    <x:row r="79">
      <x:c r="A79" s="252" t="str">
        <x:v>33808991</x:v>
      </x:c>
      <x:c r="B79" s="253" t="str">
        <x:v>WS1</x:v>
      </x:c>
      <x:c r="C79" s="253" t="str">
        <x:v>MB8</x:v>
      </x:c>
      <x:c r="D79" s="262" t="n">
        <x:v>46119.800775462965</x:v>
      </x:c>
      <x:c r="E79" s="259" t="n">
        <x:v>46119.166666666664</x:v>
      </x:c>
      <x:c r="F79" s="253" t="str">
        <x:v>973981</x:v>
      </x:c>
      <x:c r="G79" s="253" t="str">
        <x:v>sulugerek</x:v>
      </x:c>
      <x:c r="H79" s="253" t="str">
        <x:v>Yes</x:v>
      </x:c>
      <x:c r="I79" s="253" t="str"/>
      <x:c r="J79" s="253" t="str"/>
      <x:c r="K79" s="259"/>
      <x:c r="L79" s="268" t="str">
        <x:f>IFERROR(VLOOKUP(I79,'Handler-Team Map'!$A$7:$C$17,2,FALSE),"")</x:f>
      </x:c>
      <x:c r="M79" s="268" t="str">
        <x:f>IFERROR(VLOOKUP(I79,'Handler-Team Map'!$A$7:$C$17,3,FALSE),"")</x:f>
      </x:c>
      <x:c r="N79" s="274" t="str">
        <x:v>FT_VM_DEP600_GET200_5X</x:v>
      </x:c>
      <x:c r="O79" s="274" t="str">
        <x:v>VIP BONUS - Deposit 600 Get 200 - 5x TO</x:v>
      </x:c>
      <x:c r="P79" s="274" t="str">
        <x:v>DepositBonus</x:v>
      </x:c>
      <x:c r="Q79" s="274" t="str">
        <x:v>Approved</x:v>
      </x:c>
      <x:c r="R79" s="265" t="n">
        <x:v>200</x:v>
      </x:c>
      <x:c r="S79" s="253" t="str">
        <x:v>Yes</x:v>
      </x:c>
      <x:c r="T79" s="265" t="n">
        <x:v>2550</x:v>
      </x:c>
      <x:c r="U79" s="253" t="str">
        <x:f>IF(AND(S79="Yes",T79=0),"Yes","No")</x:f>
        <x:v>No</x:v>
      </x:c>
      <x:c r="V79" s="253" t="str">
        <x:v>Yes</x:v>
      </x:c>
      <x:c r="W79" s="253" t="str">
        <x:v>Yes</x:v>
      </x:c>
      <x:c r="X79" s="259" t="n">
        <x:v>46119.166666666664</x:v>
      </x:c>
      <x:c r="Y79" s="265" t="n">
        <x:v>1038</x:v>
      </x:c>
      <x:c r="Z79" s="265" t="n">
        <x:v>1958</x:v>
      </x:c>
      <x:c r="AA79" s="253" t="str">
        <x:f>IF(V79="No","Maturing",IF(AND(U79="Yes",Y79&gt;0),"Yes","No"))</x:f>
        <x:v>No</x:v>
      </x:c>
      <x:c r="AB79" s="253" t="str">
        <x:f>IF(W79="No","Maturing",IF(AND(U79="Yes",Z79&gt;0),"Yes","No"))</x:f>
        <x:v>No</x:v>
      </x:c>
      <x:c r="AC79" s="265" t="n">
        <x:v>138.19</x:v>
      </x:c>
      <x:c r="AD79" s="265" t="n">
        <x:v>592.16</x:v>
      </x:c>
      <x:c r="AE79" s="271" t="str"/>
      <x:c r="AF79" s="274" t="str">
        <x:v>Not validated - no control/holdout</x:v>
      </x:c>
      <x:c r="AG79" s="277" t="str">
        <x:v>Recovered execution only; assignment date and unclaimed-offer denominator unavailable</x:v>
      </x:c>
    </x:row>
    <x:row r="80">
      <x:c r="A80" s="252" t="str">
        <x:v>33809081</x:v>
      </x:c>
      <x:c r="B80" s="253" t="str">
        <x:v>WS1</x:v>
      </x:c>
      <x:c r="C80" s="253" t="str">
        <x:v>MB8</x:v>
      </x:c>
      <x:c r="D80" s="262" t="n">
        <x:v>46119.806435185186</x:v>
      </x:c>
      <x:c r="E80" s="259" t="n">
        <x:v>46119.166666666664</x:v>
      </x:c>
      <x:c r="F80" s="253" t="str">
        <x:v>971937</x:v>
      </x:c>
      <x:c r="G80" s="253" t="str">
        <x:v>jason0830</x:v>
      </x:c>
      <x:c r="H80" s="253" t="str">
        <x:v>Yes</x:v>
      </x:c>
      <x:c r="I80" s="253" t="str">
        <x:v>zhen</x:v>
      </x:c>
      <x:c r="J80" s="253" t="str">
        <x:v>zhen</x:v>
      </x:c>
      <x:c r="K80" s="259" t="n">
        <x:v>45880.166666666664</x:v>
      </x:c>
      <x:c r="L80" s="268" t="str">
        <x:f>IFERROR(VLOOKUP(I80,'Handler-Team Map'!$A$7:$C$17,2,FALSE),"")</x:f>
      </x:c>
      <x:c r="M80" s="268" t="str">
        <x:f>IFERROR(VLOOKUP(I80,'Handler-Team Map'!$A$7:$C$17,3,FALSE),"")</x:f>
      </x:c>
      <x:c r="N80" s="274" t="str">
        <x:v>FT_VM_DEP700_GET300_2X</x:v>
      </x:c>
      <x:c r="O80" s="274" t="str">
        <x:v>VIP BONUS - Deposit 700 Get 300 - 2x TO</x:v>
      </x:c>
      <x:c r="P80" s="274" t="str">
        <x:v>DepositBonus</x:v>
      </x:c>
      <x:c r="Q80" s="274" t="str">
        <x:v>Approved</x:v>
      </x:c>
      <x:c r="R80" s="265" t="n">
        <x:v>300</x:v>
      </x:c>
      <x:c r="S80" s="253" t="str">
        <x:v>Yes</x:v>
      </x:c>
      <x:c r="T80" s="265" t="n">
        <x:v>7788</x:v>
      </x:c>
      <x:c r="U80" s="253" t="str">
        <x:f>IF(AND(S80="Yes",T80=0),"Yes","No")</x:f>
        <x:v>No</x:v>
      </x:c>
      <x:c r="V80" s="253" t="str">
        <x:v>Yes</x:v>
      </x:c>
      <x:c r="W80" s="253" t="str">
        <x:v>Yes</x:v>
      </x:c>
      <x:c r="X80" s="259" t="n">
        <x:v>46119.166666666664</x:v>
      </x:c>
      <x:c r="Y80" s="265" t="n">
        <x:v>700</x:v>
      </x:c>
      <x:c r="Z80" s="265" t="n">
        <x:v>700</x:v>
      </x:c>
      <x:c r="AA80" s="253" t="str">
        <x:f>IF(V80="No","Maturing",IF(AND(U80="Yes",Y80&gt;0),"Yes","No"))</x:f>
        <x:v>No</x:v>
      </x:c>
      <x:c r="AB80" s="253" t="str">
        <x:f>IF(W80="No","Maturing",IF(AND(U80="Yes",Z80&gt;0),"Yes","No"))</x:f>
        <x:v>No</x:v>
      </x:c>
      <x:c r="AC80" s="265" t="n">
        <x:v>-21.87</x:v>
      </x:c>
      <x:c r="AD80" s="265" t="n">
        <x:v>-21.87</x:v>
      </x:c>
      <x:c r="AE80" s="271" t="str"/>
      <x:c r="AF80" s="274" t="str">
        <x:v>Not validated - no control/holdout</x:v>
      </x:c>
      <x:c r="AG80" s="277" t="str">
        <x:v>Recovered execution only; assignment date and unclaimed-offer denominator unavailable</x:v>
      </x:c>
    </x:row>
    <x:row r="81">
      <x:c r="A81" s="252" t="str">
        <x:v>33809412</x:v>
      </x:c>
      <x:c r="B81" s="253" t="str">
        <x:v>WS1</x:v>
      </x:c>
      <x:c r="C81" s="253" t="str">
        <x:v>MB8</x:v>
      </x:c>
      <x:c r="D81" s="262" t="n">
        <x:v>46119.83421296296</x:v>
      </x:c>
      <x:c r="E81" s="259" t="n">
        <x:v>46119.166666666664</x:v>
      </x:c>
      <x:c r="F81" s="253" t="str">
        <x:v>182245</x:v>
      </x:c>
      <x:c r="G81" s="253" t="str">
        <x:v>Vala64</x:v>
      </x:c>
      <x:c r="H81" s="253" t="str">
        <x:v>Yes</x:v>
      </x:c>
      <x:c r="I81" s="253" t="str"/>
      <x:c r="J81" s="253" t="str"/>
      <x:c r="K81" s="259"/>
      <x:c r="L81" s="268" t="str">
        <x:f>IFERROR(VLOOKUP(I81,'Handler-Team Map'!$A$7:$C$17,2,FALSE),"")</x:f>
      </x:c>
      <x:c r="M81" s="268" t="str">
        <x:f>IFERROR(VLOOKUP(I81,'Handler-Team Map'!$A$7:$C$17,3,FALSE),"")</x:f>
      </x:c>
      <x:c r="N81" s="274" t="str">
        <x:v>FT_VM_DEP800_GET400_1X</x:v>
      </x:c>
      <x:c r="O81" s="274" t="str">
        <x:v>VIP BONUS - Deposit 800 Get 400 - 1x TO</x:v>
      </x:c>
      <x:c r="P81" s="274" t="str">
        <x:v>DepositBonus</x:v>
      </x:c>
      <x:c r="Q81" s="274" t="str">
        <x:v>Approved</x:v>
      </x:c>
      <x:c r="R81" s="265" t="n">
        <x:v>400</x:v>
      </x:c>
      <x:c r="S81" s="253" t="str">
        <x:v>Yes</x:v>
      </x:c>
      <x:c r="T81" s="265" t="n">
        <x:v>80</x:v>
      </x:c>
      <x:c r="U81" s="253" t="str">
        <x:f>IF(AND(S81="Yes",T81=0),"Yes","No")</x:f>
        <x:v>No</x:v>
      </x:c>
      <x:c r="V81" s="253" t="str">
        <x:v>Yes</x:v>
      </x:c>
      <x:c r="W81" s="253" t="str">
        <x:v>Yes</x:v>
      </x:c>
      <x:c r="X81" s="259" t="n">
        <x:v>46119.166666666664</x:v>
      </x:c>
      <x:c r="Y81" s="265" t="n">
        <x:v>800</x:v>
      </x:c>
      <x:c r="Z81" s="265" t="n">
        <x:v>800</x:v>
      </x:c>
      <x:c r="AA81" s="253" t="str">
        <x:f>IF(V81="No","Maturing",IF(AND(U81="Yes",Y81&gt;0),"Yes","No"))</x:f>
        <x:v>No</x:v>
      </x:c>
      <x:c r="AB81" s="253" t="str">
        <x:f>IF(W81="No","Maturing",IF(AND(U81="Yes",Z81&gt;0),"Yes","No"))</x:f>
        <x:v>No</x:v>
      </x:c>
      <x:c r="AC81" s="265" t="n">
        <x:v>-80.59</x:v>
      </x:c>
      <x:c r="AD81" s="265" t="n">
        <x:v>-76.57</x:v>
      </x:c>
      <x:c r="AE81" s="271" t="str"/>
      <x:c r="AF81" s="274" t="str">
        <x:v>Not validated - no control/holdout</x:v>
      </x:c>
      <x:c r="AG81" s="277" t="str">
        <x:v>Recovered execution only; assignment date and unclaimed-offer denominator unavailable</x:v>
      </x:c>
    </x:row>
    <x:row r="82">
      <x:c r="A82" s="252" t="str">
        <x:v>33810089</x:v>
      </x:c>
      <x:c r="B82" s="253" t="str">
        <x:v>WS1</x:v>
      </x:c>
      <x:c r="C82" s="253" t="str">
        <x:v>MB8</x:v>
      </x:c>
      <x:c r="D82" s="262" t="n">
        <x:v>46119.88082175926</x:v>
      </x:c>
      <x:c r="E82" s="259" t="n">
        <x:v>46119.166666666664</x:v>
      </x:c>
      <x:c r="F82" s="253" t="str">
        <x:v>323438</x:v>
      </x:c>
      <x:c r="G82" s="253" t="str">
        <x:v>me22on</x:v>
      </x:c>
      <x:c r="H82" s="253" t="str">
        <x:v>Yes</x:v>
      </x:c>
      <x:c r="I82" s="253" t="str">
        <x:v>zhen</x:v>
      </x:c>
      <x:c r="J82" s="253" t="str">
        <x:v>zhen</x:v>
      </x:c>
      <x:c r="K82" s="259" t="n">
        <x:v>46090.166666666664</x:v>
      </x:c>
      <x:c r="L82" s="268" t="str">
        <x:f>IFERROR(VLOOKUP(I82,'Handler-Team Map'!$A$7:$C$17,2,FALSE),"")</x:f>
      </x:c>
      <x:c r="M82" s="268" t="str">
        <x:f>IFERROR(VLOOKUP(I82,'Handler-Team Map'!$A$7:$C$17,3,FALSE),"")</x:f>
      </x:c>
      <x:c r="N82" s="274" t="str">
        <x:v>FT_VM_DEP150_GET50_5X</x:v>
      </x:c>
      <x:c r="O82" s="274" t="str">
        <x:v>VIP BONUS - Deposit 150 Get 50 - 5x TO</x:v>
      </x:c>
      <x:c r="P82" s="274" t="str">
        <x:v>DepositBonus</x:v>
      </x:c>
      <x:c r="Q82" s="274" t="str">
        <x:v>Approved</x:v>
      </x:c>
      <x:c r="R82" s="265" t="n">
        <x:v>50</x:v>
      </x:c>
      <x:c r="S82" s="253" t="str">
        <x:v>Yes</x:v>
      </x:c>
      <x:c r="T82" s="265" t="n">
        <x:v>37104</x:v>
      </x:c>
      <x:c r="U82" s="253" t="str">
        <x:f>IF(AND(S82="Yes",T82=0),"Yes","No")</x:f>
        <x:v>No</x:v>
      </x:c>
      <x:c r="V82" s="253" t="str">
        <x:v>Yes</x:v>
      </x:c>
      <x:c r="W82" s="253" t="str">
        <x:v>Yes</x:v>
      </x:c>
      <x:c r="X82" s="259" t="n">
        <x:v>46119.166666666664</x:v>
      </x:c>
      <x:c r="Y82" s="265" t="n">
        <x:v>1755</x:v>
      </x:c>
      <x:c r="Z82" s="265" t="n">
        <x:v>29525</x:v>
      </x:c>
      <x:c r="AA82" s="253" t="str">
        <x:f>IF(V82="No","Maturing",IF(AND(U82="Yes",Y82&gt;0),"Yes","No"))</x:f>
        <x:v>No</x:v>
      </x:c>
      <x:c r="AB82" s="253" t="str">
        <x:f>IF(W82="No","Maturing",IF(AND(U82="Yes",Z82&gt;0),"Yes","No"))</x:f>
        <x:v>No</x:v>
      </x:c>
      <x:c r="AC82" s="265" t="n">
        <x:v>1005.07</x:v>
      </x:c>
      <x:c r="AD82" s="265" t="n">
        <x:v>-425.04</x:v>
      </x:c>
      <x:c r="AE82" s="271" t="str"/>
      <x:c r="AF82" s="274" t="str">
        <x:v>Not validated - no control/holdout</x:v>
      </x:c>
      <x:c r="AG82" s="277" t="str">
        <x:v>Recovered execution only; assignment date and unclaimed-offer denominator unavailable</x:v>
      </x:c>
    </x:row>
    <x:row r="83">
      <x:c r="A83" s="252" t="str">
        <x:v>33811346</x:v>
      </x:c>
      <x:c r="B83" s="253" t="str">
        <x:v>WS1</x:v>
      </x:c>
      <x:c r="C83" s="253" t="str">
        <x:v>MB8</x:v>
      </x:c>
      <x:c r="D83" s="262" t="n">
        <x:v>46119.93876157407</x:v>
      </x:c>
      <x:c r="E83" s="259" t="n">
        <x:v>46119.166666666664</x:v>
      </x:c>
      <x:c r="F83" s="253" t="str">
        <x:v>900452</x:v>
      </x:c>
      <x:c r="G83" s="253" t="str">
        <x:v>att6363</x:v>
      </x:c>
      <x:c r="H83" s="253" t="str">
        <x:v>Yes</x:v>
      </x:c>
      <x:c r="I83" s="253" t="str"/>
      <x:c r="J83" s="253" t="str"/>
      <x:c r="K83" s="259"/>
      <x:c r="L83" s="268" t="str">
        <x:f>IFERROR(VLOOKUP(I83,'Handler-Team Map'!$A$7:$C$17,2,FALSE),"")</x:f>
      </x:c>
      <x:c r="M83" s="268" t="str">
        <x:f>IFERROR(VLOOKUP(I83,'Handler-Team Map'!$A$7:$C$17,3,FALSE),"")</x:f>
      </x:c>
      <x:c r="N83" s="274" t="str">
        <x:v>FT_VM_DEP600_GET200_5X</x:v>
      </x:c>
      <x:c r="O83" s="274" t="str">
        <x:v>VIP BONUS - Deposit 600 Get 200 - 5x TO</x:v>
      </x:c>
      <x:c r="P83" s="274" t="str">
        <x:v>DepositBonus</x:v>
      </x:c>
      <x:c r="Q83" s="274" t="str">
        <x:v>Approved</x:v>
      </x:c>
      <x:c r="R83" s="265" t="n">
        <x:v>200</x:v>
      </x:c>
      <x:c r="S83" s="253" t="str">
        <x:v>Yes</x:v>
      </x:c>
      <x:c r="T83" s="265" t="n">
        <x:v>1300</x:v>
      </x:c>
      <x:c r="U83" s="253" t="str">
        <x:f>IF(AND(S83="Yes",T83=0),"Yes","No")</x:f>
        <x:v>No</x:v>
      </x:c>
      <x:c r="V83" s="253" t="str">
        <x:v>Yes</x:v>
      </x:c>
      <x:c r="W83" s="253" t="str">
        <x:v>Yes</x:v>
      </x:c>
      <x:c r="X83" s="259" t="n">
        <x:v>46119.166666666664</x:v>
      </x:c>
      <x:c r="Y83" s="265" t="n">
        <x:v>600</x:v>
      </x:c>
      <x:c r="Z83" s="265" t="n">
        <x:v>1089</x:v>
      </x:c>
      <x:c r="AA83" s="253" t="str">
        <x:f>IF(V83="No","Maturing",IF(AND(U83="Yes",Y83&gt;0),"Yes","No"))</x:f>
        <x:v>No</x:v>
      </x:c>
      <x:c r="AB83" s="253" t="str">
        <x:f>IF(W83="No","Maturing",IF(AND(U83="Yes",Z83&gt;0),"Yes","No"))</x:f>
        <x:v>No</x:v>
      </x:c>
      <x:c r="AC83" s="265" t="n">
        <x:v>-138.03</x:v>
      </x:c>
      <x:c r="AD83" s="265" t="n">
        <x:v>209.9</x:v>
      </x:c>
      <x:c r="AE83" s="271" t="str"/>
      <x:c r="AF83" s="274" t="str">
        <x:v>Not validated - no control/holdout</x:v>
      </x:c>
      <x:c r="AG83" s="277" t="str">
        <x:v>Recovered execution only; assignment date and unclaimed-offer denominator unavailable</x:v>
      </x:c>
    </x:row>
    <x:row r="84">
      <x:c r="A84" s="252" t="str">
        <x:v>33811356</x:v>
      </x:c>
      <x:c r="B84" s="253" t="str">
        <x:v>WS1</x:v>
      </x:c>
      <x:c r="C84" s="253" t="str">
        <x:v>MB8</x:v>
      </x:c>
      <x:c r="D84" s="262" t="n">
        <x:v>46119.93880787037</x:v>
      </x:c>
      <x:c r="E84" s="259" t="n">
        <x:v>46119.166666666664</x:v>
      </x:c>
      <x:c r="F84" s="253" t="str">
        <x:v>634705</x:v>
      </x:c>
      <x:c r="G84" s="253" t="str">
        <x:v>nach123</x:v>
      </x:c>
      <x:c r="H84" s="253" t="str">
        <x:v>Yes</x:v>
      </x:c>
      <x:c r="I84" s="253" t="str">
        <x:v>zhen</x:v>
      </x:c>
      <x:c r="J84" s="253" t="str">
        <x:v>zhen</x:v>
      </x:c>
      <x:c r="K84" s="259" t="n">
        <x:v>45922.166666666664</x:v>
      </x:c>
      <x:c r="L84" s="268" t="str">
        <x:f>IFERROR(VLOOKUP(I84,'Handler-Team Map'!$A$7:$C$17,2,FALSE),"")</x:f>
      </x:c>
      <x:c r="M84" s="268" t="str">
        <x:f>IFERROR(VLOOKUP(I84,'Handler-Team Map'!$A$7:$C$17,3,FALSE),"")</x:f>
      </x:c>
      <x:c r="N84" s="274" t="str">
        <x:v>FT_VM_DEP1000_GET500_5X</x:v>
      </x:c>
      <x:c r="O84" s="274" t="str">
        <x:v>VIP BONUS - Deposit 1000 Get 500 - 5x TO</x:v>
      </x:c>
      <x:c r="P84" s="274" t="str">
        <x:v>DepositBonus</x:v>
      </x:c>
      <x:c r="Q84" s="274" t="str">
        <x:v>Approved</x:v>
      </x:c>
      <x:c r="R84" s="265" t="n">
        <x:v>500</x:v>
      </x:c>
      <x:c r="S84" s="253" t="str">
        <x:v>Yes</x:v>
      </x:c>
      <x:c r="T84" s="265" t="n">
        <x:v>2000</x:v>
      </x:c>
      <x:c r="U84" s="253" t="str">
        <x:f>IF(AND(S84="Yes",T84=0),"Yes","No")</x:f>
        <x:v>No</x:v>
      </x:c>
      <x:c r="V84" s="253" t="str">
        <x:v>Yes</x:v>
      </x:c>
      <x:c r="W84" s="253" t="str">
        <x:v>Yes</x:v>
      </x:c>
      <x:c r="X84" s="259" t="n">
        <x:v>46119.166666666664</x:v>
      </x:c>
      <x:c r="Y84" s="265" t="n">
        <x:v>1000</x:v>
      </x:c>
      <x:c r="Z84" s="265" t="n">
        <x:v>1680</x:v>
      </x:c>
      <x:c r="AA84" s="253" t="str">
        <x:f>IF(V84="No","Maturing",IF(AND(U84="Yes",Y84&gt;0),"Yes","No"))</x:f>
        <x:v>No</x:v>
      </x:c>
      <x:c r="AB84" s="253" t="str">
        <x:f>IF(W84="No","Maturing",IF(AND(U84="Yes",Z84&gt;0),"Yes","No"))</x:f>
        <x:v>No</x:v>
      </x:c>
      <x:c r="AC84" s="265" t="n">
        <x:v>-3000.11</x:v>
      </x:c>
      <x:c r="AD84" s="265" t="n">
        <x:v>-2320.16</x:v>
      </x:c>
      <x:c r="AE84" s="271" t="str"/>
      <x:c r="AF84" s="274" t="str">
        <x:v>Not validated - no control/holdout</x:v>
      </x:c>
      <x:c r="AG84" s="277" t="str">
        <x:v>Recovered execution only; assignment date and unclaimed-offer denominator unavailable</x:v>
      </x:c>
    </x:row>
    <x:row r="85">
      <x:c r="A85" s="252" t="str">
        <x:v>33811393</x:v>
      </x:c>
      <x:c r="B85" s="253" t="str">
        <x:v>WS1</x:v>
      </x:c>
      <x:c r="C85" s="253" t="str">
        <x:v>MB8</x:v>
      </x:c>
      <x:c r="D85" s="262" t="n">
        <x:v>46119.94105324074</x:v>
      </x:c>
      <x:c r="E85" s="259" t="n">
        <x:v>46119.166666666664</x:v>
      </x:c>
      <x:c r="F85" s="253" t="str">
        <x:v>778261</x:v>
      </x:c>
      <x:c r="G85" s="253" t="str">
        <x:v>sayoon</x:v>
      </x:c>
      <x:c r="H85" s="253" t="str">
        <x:v>Yes</x:v>
      </x:c>
      <x:c r="I85" s="253" t="str"/>
      <x:c r="J85" s="253" t="str"/>
      <x:c r="K85" s="259"/>
      <x:c r="L85" s="268" t="str">
        <x:f>IFERROR(VLOOKUP(I85,'Handler-Team Map'!$A$7:$C$17,2,FALSE),"")</x:f>
      </x:c>
      <x:c r="M85" s="268" t="str">
        <x:f>IFERROR(VLOOKUP(I85,'Handler-Team Map'!$A$7:$C$17,3,FALSE),"")</x:f>
      </x:c>
      <x:c r="N85" s="274" t="str">
        <x:v>FT_VM_DEP600_GET200_5X</x:v>
      </x:c>
      <x:c r="O85" s="274" t="str">
        <x:v>VIP BONUS - Deposit 600 Get 200 - 5x TO</x:v>
      </x:c>
      <x:c r="P85" s="274" t="str">
        <x:v>DepositBonus</x:v>
      </x:c>
      <x:c r="Q85" s="274" t="str">
        <x:v>Approved</x:v>
      </x:c>
      <x:c r="R85" s="265" t="n">
        <x:v>200</x:v>
      </x:c>
      <x:c r="S85" s="253" t="str">
        <x:v>Yes</x:v>
      </x:c>
      <x:c r="T85" s="265" t="n">
        <x:v>2550</x:v>
      </x:c>
      <x:c r="U85" s="253" t="str">
        <x:f>IF(AND(S85="Yes",T85=0),"Yes","No")</x:f>
        <x:v>No</x:v>
      </x:c>
      <x:c r="V85" s="253" t="str">
        <x:v>Yes</x:v>
      </x:c>
      <x:c r="W85" s="253" t="str">
        <x:v>Yes</x:v>
      </x:c>
      <x:c r="X85" s="259" t="n">
        <x:v>46119.166666666664</x:v>
      </x:c>
      <x:c r="Y85" s="265" t="n">
        <x:v>600</x:v>
      </x:c>
      <x:c r="Z85" s="265" t="n">
        <x:v>800</x:v>
      </x:c>
      <x:c r="AA85" s="253" t="str">
        <x:f>IF(V85="No","Maturing",IF(AND(U85="Yes",Y85&gt;0),"Yes","No"))</x:f>
        <x:v>No</x:v>
      </x:c>
      <x:c r="AB85" s="253" t="str">
        <x:f>IF(W85="No","Maturing",IF(AND(U85="Yes",Z85&gt;0),"Yes","No"))</x:f>
        <x:v>No</x:v>
      </x:c>
      <x:c r="AC85" s="265" t="n">
        <x:v>600</x:v>
      </x:c>
      <x:c r="AD85" s="265" t="n">
        <x:v>799.8</x:v>
      </x:c>
      <x:c r="AE85" s="271" t="str"/>
      <x:c r="AF85" s="274" t="str">
        <x:v>Not validated - no control/holdout</x:v>
      </x:c>
      <x:c r="AG85" s="277" t="str">
        <x:v>Recovered execution only; assignment date and unclaimed-offer denominator unavailable</x:v>
      </x:c>
    </x:row>
    <x:row r="86">
      <x:c r="A86" s="252" t="str">
        <x:v>33811397</x:v>
      </x:c>
      <x:c r="B86" s="253" t="str">
        <x:v>WS1</x:v>
      </x:c>
      <x:c r="C86" s="253" t="str">
        <x:v>MB8</x:v>
      </x:c>
      <x:c r="D86" s="262" t="n">
        <x:v>46119.94630787037</x:v>
      </x:c>
      <x:c r="E86" s="259" t="n">
        <x:v>46119.166666666664</x:v>
      </x:c>
      <x:c r="F86" s="253" t="str">
        <x:v>669860</x:v>
      </x:c>
      <x:c r="G86" s="253" t="str">
        <x:v>seelan1011</x:v>
      </x:c>
      <x:c r="H86" s="253" t="str">
        <x:v>Yes</x:v>
      </x:c>
      <x:c r="I86" s="253" t="str">
        <x:v>Elda</x:v>
      </x:c>
      <x:c r="J86" s="253" t="str">
        <x:v>Elda</x:v>
      </x:c>
      <x:c r="K86" s="259" t="n">
        <x:v>45779.166666666664</x:v>
      </x:c>
      <x:c r="L86" s="268" t="str">
        <x:f>IFERROR(VLOOKUP(I86,'Handler-Team Map'!$A$7:$C$17,2,FALSE),"")</x:f>
      </x:c>
      <x:c r="M86" s="268" t="str">
        <x:f>IFERROR(VLOOKUP(I86,'Handler-Team Map'!$A$7:$C$17,3,FALSE),"")</x:f>
      </x:c>
      <x:c r="N86" s="274" t="str">
        <x:v>FT_VM_DEP300_GET100_2X</x:v>
      </x:c>
      <x:c r="O86" s="274" t="str">
        <x:v>VIP BONUS - Deposit 300 Get 100 - 2x TO</x:v>
      </x:c>
      <x:c r="P86" s="274" t="str">
        <x:v>DepositBonus</x:v>
      </x:c>
      <x:c r="Q86" s="274" t="str">
        <x:v>Approved</x:v>
      </x:c>
      <x:c r="R86" s="265" t="n">
        <x:v>100</x:v>
      </x:c>
      <x:c r="S86" s="253" t="str">
        <x:v>Yes</x:v>
      </x:c>
      <x:c r="T86" s="265" t="n">
        <x:v>15665</x:v>
      </x:c>
      <x:c r="U86" s="253" t="str">
        <x:f>IF(AND(S86="Yes",T86=0),"Yes","No")</x:f>
        <x:v>No</x:v>
      </x:c>
      <x:c r="V86" s="253" t="str">
        <x:v>Yes</x:v>
      </x:c>
      <x:c r="W86" s="253" t="str">
        <x:v>Yes</x:v>
      </x:c>
      <x:c r="X86" s="259" t="n">
        <x:v>46119.166666666664</x:v>
      </x:c>
      <x:c r="Y86" s="265" t="n">
        <x:v>7077</x:v>
      </x:c>
      <x:c r="Z86" s="265" t="n">
        <x:v>8390</x:v>
      </x:c>
      <x:c r="AA86" s="253" t="str">
        <x:f>IF(V86="No","Maturing",IF(AND(U86="Yes",Y86&gt;0),"Yes","No"))</x:f>
        <x:v>No</x:v>
      </x:c>
      <x:c r="AB86" s="253" t="str">
        <x:f>IF(W86="No","Maturing",IF(AND(U86="Yes",Z86&gt;0),"Yes","No"))</x:f>
        <x:v>No</x:v>
      </x:c>
      <x:c r="AC86" s="265" t="n">
        <x:v>616.22</x:v>
      </x:c>
      <x:c r="AD86" s="265" t="n">
        <x:v>1766.3</x:v>
      </x:c>
      <x:c r="AE86" s="271" t="str"/>
      <x:c r="AF86" s="274" t="str">
        <x:v>Not validated - no control/holdout</x:v>
      </x:c>
      <x:c r="AG86" s="277" t="str">
        <x:v>Recovered execution only; assignment date and unclaimed-offer denominator unavailable</x:v>
      </x:c>
    </x:row>
    <x:row r="87">
      <x:c r="A87" s="252" t="str">
        <x:v>33811586</x:v>
      </x:c>
      <x:c r="B87" s="253" t="str">
        <x:v>WS1</x:v>
      </x:c>
      <x:c r="C87" s="253" t="str">
        <x:v>MB8</x:v>
      </x:c>
      <x:c r="D87" s="262" t="n">
        <x:v>46119.95006944444</x:v>
      </x:c>
      <x:c r="E87" s="259" t="n">
        <x:v>46119.166666666664</x:v>
      </x:c>
      <x:c r="F87" s="253" t="str">
        <x:v>1041738</x:v>
      </x:c>
      <x:c r="G87" s="253" t="str">
        <x:v>ndzm777</x:v>
      </x:c>
      <x:c r="H87" s="253" t="str">
        <x:v>Yes</x:v>
      </x:c>
      <x:c r="I87" s="253" t="str">
        <x:v>zhen</x:v>
      </x:c>
      <x:c r="J87" s="253" t="str">
        <x:v>zhen</x:v>
      </x:c>
      <x:c r="K87" s="259" t="n">
        <x:v>45880.166666666664</x:v>
      </x:c>
      <x:c r="L87" s="268" t="str">
        <x:f>IFERROR(VLOOKUP(I87,'Handler-Team Map'!$A$7:$C$17,2,FALSE),"")</x:f>
      </x:c>
      <x:c r="M87" s="268" t="str">
        <x:f>IFERROR(VLOOKUP(I87,'Handler-Team Map'!$A$7:$C$17,3,FALSE),"")</x:f>
      </x:c>
      <x:c r="N87" s="274" t="str">
        <x:v>FT_VM_DEP300_GET100_5X</x:v>
      </x:c>
      <x:c r="O87" s="274" t="str">
        <x:v>VIP BONUS - Deposit 300 Get 100 - 5x TO</x:v>
      </x:c>
      <x:c r="P87" s="274" t="str">
        <x:v>DepositBonus</x:v>
      </x:c>
      <x:c r="Q87" s="274" t="str">
        <x:v>Approved</x:v>
      </x:c>
      <x:c r="R87" s="265" t="n">
        <x:v>100</x:v>
      </x:c>
      <x:c r="S87" s="253" t="str">
        <x:v>Yes</x:v>
      </x:c>
      <x:c r="T87" s="265" t="n">
        <x:v>59226</x:v>
      </x:c>
      <x:c r="U87" s="253" t="str">
        <x:f>IF(AND(S87="Yes",T87=0),"Yes","No")</x:f>
        <x:v>No</x:v>
      </x:c>
      <x:c r="V87" s="253" t="str">
        <x:v>Yes</x:v>
      </x:c>
      <x:c r="W87" s="253" t="str">
        <x:v>Yes</x:v>
      </x:c>
      <x:c r="X87" s="259" t="n">
        <x:v>46119.166666666664</x:v>
      </x:c>
      <x:c r="Y87" s="265" t="n">
        <x:v>2830</x:v>
      </x:c>
      <x:c r="Z87" s="265" t="n">
        <x:v>17230</x:v>
      </x:c>
      <x:c r="AA87" s="253" t="str">
        <x:f>IF(V87="No","Maturing",IF(AND(U87="Yes",Y87&gt;0),"Yes","No"))</x:f>
        <x:v>No</x:v>
      </x:c>
      <x:c r="AB87" s="253" t="str">
        <x:f>IF(W87="No","Maturing",IF(AND(U87="Yes",Z87&gt;0),"Yes","No"))</x:f>
        <x:v>No</x:v>
      </x:c>
      <x:c r="AC87" s="265" t="n">
        <x:v>2839.55</x:v>
      </x:c>
      <x:c r="AD87" s="265" t="n">
        <x:v>14459.25</x:v>
      </x:c>
      <x:c r="AE87" s="271" t="str"/>
      <x:c r="AF87" s="274" t="str">
        <x:v>Not validated - no control/holdout</x:v>
      </x:c>
      <x:c r="AG87" s="277" t="str">
        <x:v>Recovered execution only; assignment date and unclaimed-offer denominator unavailable</x:v>
      </x:c>
    </x:row>
    <x:row r="88">
      <x:c r="A88" s="252" t="str">
        <x:v>33811618</x:v>
      </x:c>
      <x:c r="B88" s="253" t="str">
        <x:v>WS1</x:v>
      </x:c>
      <x:c r="C88" s="253" t="str">
        <x:v>MB8</x:v>
      </x:c>
      <x:c r="D88" s="262" t="n">
        <x:v>46119.95172453704</x:v>
      </x:c>
      <x:c r="E88" s="259" t="n">
        <x:v>46119.166666666664</x:v>
      </x:c>
      <x:c r="F88" s="253" t="str">
        <x:v>998311</x:v>
      </x:c>
      <x:c r="G88" s="253" t="str">
        <x:v>mahathir1982</x:v>
      </x:c>
      <x:c r="H88" s="253" t="str">
        <x:v>Yes</x:v>
      </x:c>
      <x:c r="I88" s="253" t="str"/>
      <x:c r="J88" s="253" t="str"/>
      <x:c r="K88" s="259"/>
      <x:c r="L88" s="268" t="str">
        <x:f>IFERROR(VLOOKUP(I88,'Handler-Team Map'!$A$7:$C$17,2,FALSE),"")</x:f>
      </x:c>
      <x:c r="M88" s="268" t="str">
        <x:f>IFERROR(VLOOKUP(I88,'Handler-Team Map'!$A$7:$C$17,3,FALSE),"")</x:f>
      </x:c>
      <x:c r="N88" s="274" t="str">
        <x:v>FT_VM_DEP800_GET400_1X</x:v>
      </x:c>
      <x:c r="O88" s="274" t="str">
        <x:v>VIP BONUS - Deposit 800 Get 400 - 1x TO</x:v>
      </x:c>
      <x:c r="P88" s="274" t="str">
        <x:v>DepositBonus</x:v>
      </x:c>
      <x:c r="Q88" s="274" t="str">
        <x:v>Approved</x:v>
      </x:c>
      <x:c r="R88" s="265" t="n">
        <x:v>400</x:v>
      </x:c>
      <x:c r="S88" s="253" t="str">
        <x:v>Yes</x:v>
      </x:c>
      <x:c r="T88" s="265" t="n">
        <x:v>600</x:v>
      </x:c>
      <x:c r="U88" s="253" t="str">
        <x:f>IF(AND(S88="Yes",T88=0),"Yes","No")</x:f>
        <x:v>No</x:v>
      </x:c>
      <x:c r="V88" s="253" t="str">
        <x:v>Yes</x:v>
      </x:c>
      <x:c r="W88" s="253" t="str">
        <x:v>Yes</x:v>
      </x:c>
      <x:c r="X88" s="259" t="n">
        <x:v>46119.166666666664</x:v>
      </x:c>
      <x:c r="Y88" s="265" t="n">
        <x:v>800</x:v>
      </x:c>
      <x:c r="Z88" s="265" t="n">
        <x:v>800</x:v>
      </x:c>
      <x:c r="AA88" s="253" t="str">
        <x:f>IF(V88="No","Maturing",IF(AND(U88="Yes",Y88&gt;0),"Yes","No"))</x:f>
        <x:v>No</x:v>
      </x:c>
      <x:c r="AB88" s="253" t="str">
        <x:f>IF(W88="No","Maturing",IF(AND(U88="Yes",Z88&gt;0),"Yes","No"))</x:f>
        <x:v>No</x:v>
      </x:c>
      <x:c r="AC88" s="265" t="n">
        <x:v>-208.76</x:v>
      </x:c>
      <x:c r="AD88" s="265" t="n">
        <x:v>-202.14</x:v>
      </x:c>
      <x:c r="AE88" s="271" t="str"/>
      <x:c r="AF88" s="274" t="str">
        <x:v>Not validated - no control/holdout</x:v>
      </x:c>
      <x:c r="AG88" s="277" t="str">
        <x:v>Recovered execution only; assignment date and unclaimed-offer denominator unavailable</x:v>
      </x:c>
    </x:row>
    <x:row r="89">
      <x:c r="A89" s="252" t="str">
        <x:v>33811739</x:v>
      </x:c>
      <x:c r="B89" s="253" t="str">
        <x:v>WS1</x:v>
      </x:c>
      <x:c r="C89" s="253" t="str">
        <x:v>MB8</x:v>
      </x:c>
      <x:c r="D89" s="262" t="n">
        <x:v>46119.957083333335</x:v>
      </x:c>
      <x:c r="E89" s="259" t="n">
        <x:v>46119.166666666664</x:v>
      </x:c>
      <x:c r="F89" s="253" t="str">
        <x:v>1184278</x:v>
      </x:c>
      <x:c r="G89" s="253" t="str">
        <x:v>maisonlailai</x:v>
      </x:c>
      <x:c r="H89" s="253" t="str">
        <x:v>Yes</x:v>
      </x:c>
      <x:c r="I89" s="253" t="str"/>
      <x:c r="J89" s="253" t="str"/>
      <x:c r="K89" s="259"/>
      <x:c r="L89" s="268" t="str">
        <x:f>IFERROR(VLOOKUP(I89,'Handler-Team Map'!$A$7:$C$17,2,FALSE),"")</x:f>
      </x:c>
      <x:c r="M89" s="268" t="str">
        <x:f>IFERROR(VLOOKUP(I89,'Handler-Team Map'!$A$7:$C$17,3,FALSE),"")</x:f>
      </x:c>
      <x:c r="N89" s="274" t="str">
        <x:v>FT_VM_DEP600_GET200_5X</x:v>
      </x:c>
      <x:c r="O89" s="274" t="str">
        <x:v>VIP BONUS - Deposit 600 Get 200 - 5x TO</x:v>
      </x:c>
      <x:c r="P89" s="274" t="str">
        <x:v>DepositBonus</x:v>
      </x:c>
      <x:c r="Q89" s="274" t="str">
        <x:v>Approved</x:v>
      </x:c>
      <x:c r="R89" s="265" t="n">
        <x:v>200</x:v>
      </x:c>
      <x:c r="S89" s="253" t="str">
        <x:v>Yes</x:v>
      </x:c>
      <x:c r="T89" s="265" t="n">
        <x:v>8191.8</x:v>
      </x:c>
      <x:c r="U89" s="253" t="str">
        <x:f>IF(AND(S89="Yes",T89=0),"Yes","No")</x:f>
        <x:v>No</x:v>
      </x:c>
      <x:c r="V89" s="253" t="str">
        <x:v>Yes</x:v>
      </x:c>
      <x:c r="W89" s="253" t="str">
        <x:v>Yes</x:v>
      </x:c>
      <x:c r="X89" s="259" t="n">
        <x:v>46119.166666666664</x:v>
      </x:c>
      <x:c r="Y89" s="265" t="n">
        <x:v>600</x:v>
      </x:c>
      <x:c r="Z89" s="265" t="n">
        <x:v>600</x:v>
      </x:c>
      <x:c r="AA89" s="253" t="str">
        <x:f>IF(V89="No","Maturing",IF(AND(U89="Yes",Y89&gt;0),"Yes","No"))</x:f>
        <x:v>No</x:v>
      </x:c>
      <x:c r="AB89" s="253" t="str">
        <x:f>IF(W89="No","Maturing",IF(AND(U89="Yes",Z89&gt;0),"Yes","No"))</x:f>
        <x:v>No</x:v>
      </x:c>
      <x:c r="AC89" s="265" t="n">
        <x:v>600</x:v>
      </x:c>
      <x:c r="AD89" s="265" t="n">
        <x:v>600</x:v>
      </x:c>
      <x:c r="AE89" s="271" t="str"/>
      <x:c r="AF89" s="274" t="str">
        <x:v>Not validated - no control/holdout</x:v>
      </x:c>
      <x:c r="AG89" s="277" t="str">
        <x:v>Recovered execution only; assignment date and unclaimed-offer denominator unavailable</x:v>
      </x:c>
    </x:row>
    <x:row r="90">
      <x:c r="A90" s="252" t="str">
        <x:v>33812012</x:v>
      </x:c>
      <x:c r="B90" s="253" t="str">
        <x:v>WS1</x:v>
      </x:c>
      <x:c r="C90" s="253" t="str">
        <x:v>MB8</x:v>
      </x:c>
      <x:c r="D90" s="262" t="n">
        <x:v>46119.96983796296</x:v>
      </x:c>
      <x:c r="E90" s="259" t="n">
        <x:v>46119.166666666664</x:v>
      </x:c>
      <x:c r="F90" s="253" t="str">
        <x:v>1044016</x:v>
      </x:c>
      <x:c r="G90" s="253" t="str">
        <x:v>crapssam</x:v>
      </x:c>
      <x:c r="H90" s="253" t="str">
        <x:v>Yes</x:v>
      </x:c>
      <x:c r="I90" s="253" t="str">
        <x:v>Christy</x:v>
      </x:c>
      <x:c r="J90" s="253" t="str">
        <x:v>Christy</x:v>
      </x:c>
      <x:c r="K90" s="259" t="n">
        <x:v>45831.166666666664</x:v>
      </x:c>
      <x:c r="L90" s="268" t="str">
        <x:f>IFERROR(VLOOKUP(I90,'Handler-Team Map'!$A$7:$C$17,2,FALSE),"")</x:f>
      </x:c>
      <x:c r="M90" s="268" t="str">
        <x:f>IFERROR(VLOOKUP(I90,'Handler-Team Map'!$A$7:$C$17,3,FALSE),"")</x:f>
      </x:c>
      <x:c r="N90" s="274" t="str">
        <x:v>FT_VM_DEP1000_GET500_5X</x:v>
      </x:c>
      <x:c r="O90" s="274" t="str">
        <x:v>VIP BONUS - Deposit 1000 Get 500 - 5x TO</x:v>
      </x:c>
      <x:c r="P90" s="274" t="str">
        <x:v>DepositBonus</x:v>
      </x:c>
      <x:c r="Q90" s="274" t="str">
        <x:v>Approved</x:v>
      </x:c>
      <x:c r="R90" s="265" t="n">
        <x:v>500</x:v>
      </x:c>
      <x:c r="S90" s="253" t="str">
        <x:v>Yes</x:v>
      </x:c>
      <x:c r="T90" s="265" t="n">
        <x:v>31400</x:v>
      </x:c>
      <x:c r="U90" s="253" t="str">
        <x:f>IF(AND(S90="Yes",T90=0),"Yes","No")</x:f>
        <x:v>No</x:v>
      </x:c>
      <x:c r="V90" s="253" t="str">
        <x:v>Yes</x:v>
      </x:c>
      <x:c r="W90" s="253" t="str">
        <x:v>Yes</x:v>
      </x:c>
      <x:c r="X90" s="259" t="n">
        <x:v>46119.166666666664</x:v>
      </x:c>
      <x:c r="Y90" s="265" t="n">
        <x:v>6300</x:v>
      </x:c>
      <x:c r="Z90" s="265" t="n">
        <x:v>8100</x:v>
      </x:c>
      <x:c r="AA90" s="253" t="str">
        <x:f>IF(V90="No","Maturing",IF(AND(U90="Yes",Y90&gt;0),"Yes","No"))</x:f>
        <x:v>No</x:v>
      </x:c>
      <x:c r="AB90" s="253" t="str">
        <x:f>IF(W90="No","Maturing",IF(AND(U90="Yes",Z90&gt;0),"Yes","No"))</x:f>
        <x:v>No</x:v>
      </x:c>
      <x:c r="AC90" s="265" t="n">
        <x:v>3675.57</x:v>
      </x:c>
      <x:c r="AD90" s="265" t="n">
        <x:v>5399.88</x:v>
      </x:c>
      <x:c r="AE90" s="271" t="str"/>
      <x:c r="AF90" s="274" t="str">
        <x:v>Not validated - no control/holdout</x:v>
      </x:c>
      <x:c r="AG90" s="277" t="str">
        <x:v>Recovered execution only; assignment date and unclaimed-offer denominator unavailable</x:v>
      </x:c>
    </x:row>
    <x:row r="91">
      <x:c r="A91" s="252" t="str">
        <x:v>33812087</x:v>
      </x:c>
      <x:c r="B91" s="253" t="str">
        <x:v>WS1</x:v>
      </x:c>
      <x:c r="C91" s="253" t="str">
        <x:v>MB8</x:v>
      </x:c>
      <x:c r="D91" s="262" t="n">
        <x:v>46119.97403935185</x:v>
      </x:c>
      <x:c r="E91" s="259" t="n">
        <x:v>46119.166666666664</x:v>
      </x:c>
      <x:c r="F91" s="253" t="str">
        <x:v>565191</x:v>
      </x:c>
      <x:c r="G91" s="253" t="str">
        <x:v>Sasitaren</x:v>
      </x:c>
      <x:c r="H91" s="253" t="str">
        <x:v>Yes</x:v>
      </x:c>
      <x:c r="I91" s="253" t="str">
        <x:v>Kam</x:v>
      </x:c>
      <x:c r="J91" s="253" t="str">
        <x:v>Kam</x:v>
      </x:c>
      <x:c r="K91" s="259" t="n">
        <x:v>45951.166666666664</x:v>
      </x:c>
      <x:c r="L91" s="268" t="str">
        <x:f>IFERROR(VLOOKUP(I91,'Handler-Team Map'!$A$7:$C$17,2,FALSE),"")</x:f>
      </x:c>
      <x:c r="M91" s="268" t="str">
        <x:f>IFERROR(VLOOKUP(I91,'Handler-Team Map'!$A$7:$C$17,3,FALSE),"")</x:f>
      </x:c>
      <x:c r="N91" s="274" t="str">
        <x:v>FT_VM_DEP1000_GET500_5X</x:v>
      </x:c>
      <x:c r="O91" s="274" t="str">
        <x:v>VIP BONUS - Deposit 1000 Get 500 - 5x TO</x:v>
      </x:c>
      <x:c r="P91" s="274" t="str">
        <x:v>DepositBonus</x:v>
      </x:c>
      <x:c r="Q91" s="274" t="str">
        <x:v>Approved</x:v>
      </x:c>
      <x:c r="R91" s="265" t="n">
        <x:v>500</x:v>
      </x:c>
      <x:c r="S91" s="253" t="str">
        <x:v>Yes</x:v>
      </x:c>
      <x:c r="T91" s="265" t="n">
        <x:v>75153</x:v>
      </x:c>
      <x:c r="U91" s="253" t="str">
        <x:f>IF(AND(S91="Yes",T91=0),"Yes","No")</x:f>
        <x:v>No</x:v>
      </x:c>
      <x:c r="V91" s="253" t="str">
        <x:v>Yes</x:v>
      </x:c>
      <x:c r="W91" s="253" t="str">
        <x:v>Yes</x:v>
      </x:c>
      <x:c r="X91" s="259" t="n">
        <x:v>46119.166666666664</x:v>
      </x:c>
      <x:c r="Y91" s="265" t="n">
        <x:v>7556</x:v>
      </x:c>
      <x:c r="Z91" s="265" t="n">
        <x:v>27862</x:v>
      </x:c>
      <x:c r="AA91" s="253" t="str">
        <x:f>IF(V91="No","Maturing",IF(AND(U91="Yes",Y91&gt;0),"Yes","No"))</x:f>
        <x:v>No</x:v>
      </x:c>
      <x:c r="AB91" s="253" t="str">
        <x:f>IF(W91="No","Maturing",IF(AND(U91="Yes",Z91&gt;0),"Yes","No"))</x:f>
        <x:v>No</x:v>
      </x:c>
      <x:c r="AC91" s="265" t="n">
        <x:v>4046.62</x:v>
      </x:c>
      <x:c r="AD91" s="265" t="n">
        <x:v>8675.34</x:v>
      </x:c>
      <x:c r="AE91" s="271" t="str"/>
      <x:c r="AF91" s="274" t="str">
        <x:v>Not validated - no control/holdout</x:v>
      </x:c>
      <x:c r="AG91" s="277" t="str">
        <x:v>Recovered execution only; assignment date and unclaimed-offer denominator unavailable</x:v>
      </x:c>
    </x:row>
    <x:row r="92">
      <x:c r="A92" s="252" t="str">
        <x:v>33812441</x:v>
      </x:c>
      <x:c r="B92" s="253" t="str">
        <x:v>WS1</x:v>
      </x:c>
      <x:c r="C92" s="253" t="str">
        <x:v>MB8</x:v>
      </x:c>
      <x:c r="D92" s="262" t="n">
        <x:v>46119.98773148148</x:v>
      </x:c>
      <x:c r="E92" s="259" t="n">
        <x:v>46119.166666666664</x:v>
      </x:c>
      <x:c r="F92" s="253" t="str">
        <x:v>302509</x:v>
      </x:c>
      <x:c r="G92" s="253" t="str">
        <x:v>Senjakala</x:v>
      </x:c>
      <x:c r="H92" s="253" t="str">
        <x:v>Yes</x:v>
      </x:c>
      <x:c r="I92" s="253" t="str"/>
      <x:c r="J92" s="253" t="str"/>
      <x:c r="K92" s="259"/>
      <x:c r="L92" s="268" t="str">
        <x:f>IFERROR(VLOOKUP(I92,'Handler-Team Map'!$A$7:$C$17,2,FALSE),"")</x:f>
      </x:c>
      <x:c r="M92" s="268" t="str">
        <x:f>IFERROR(VLOOKUP(I92,'Handler-Team Map'!$A$7:$C$17,3,FALSE),"")</x:f>
      </x:c>
      <x:c r="N92" s="274" t="str">
        <x:v>FT_VM_DEP700_GET300_2X</x:v>
      </x:c>
      <x:c r="O92" s="274" t="str">
        <x:v>VIP BONUS - Deposit 700 Get 300 - 2x TO</x:v>
      </x:c>
      <x:c r="P92" s="274" t="str">
        <x:v>DepositBonus</x:v>
      </x:c>
      <x:c r="Q92" s="274" t="str">
        <x:v>Approved</x:v>
      </x:c>
      <x:c r="R92" s="265" t="n">
        <x:v>300</x:v>
      </x:c>
      <x:c r="S92" s="253" t="str">
        <x:v>Yes</x:v>
      </x:c>
      <x:c r="T92" s="265" t="n">
        <x:v>40</x:v>
      </x:c>
      <x:c r="U92" s="253" t="str">
        <x:f>IF(AND(S92="Yes",T92=0),"Yes","No")</x:f>
        <x:v>No</x:v>
      </x:c>
      <x:c r="V92" s="253" t="str">
        <x:v>Yes</x:v>
      </x:c>
      <x:c r="W92" s="253" t="str">
        <x:v>Yes</x:v>
      </x:c>
      <x:c r="X92" s="259" t="n">
        <x:v>46119.166666666664</x:v>
      </x:c>
      <x:c r="Y92" s="265" t="n">
        <x:v>4730</x:v>
      </x:c>
      <x:c r="Z92" s="265" t="n">
        <x:v>4830</x:v>
      </x:c>
      <x:c r="AA92" s="253" t="str">
        <x:f>IF(V92="No","Maturing",IF(AND(U92="Yes",Y92&gt;0),"Yes","No"))</x:f>
        <x:v>No</x:v>
      </x:c>
      <x:c r="AB92" s="253" t="str">
        <x:f>IF(W92="No","Maturing",IF(AND(U92="Yes",Z92&gt;0),"Yes","No"))</x:f>
        <x:v>No</x:v>
      </x:c>
      <x:c r="AC92" s="265" t="n">
        <x:v>4729.87</x:v>
      </x:c>
      <x:c r="AD92" s="265" t="n">
        <x:v>4828.56</x:v>
      </x:c>
      <x:c r="AE92" s="271" t="str"/>
      <x:c r="AF92" s="274" t="str">
        <x:v>Not validated - no control/holdout</x:v>
      </x:c>
      <x:c r="AG92" s="277" t="str">
        <x:v>Recovered execution only; assignment date and unclaimed-offer denominator unavailable</x:v>
      </x:c>
    </x:row>
    <x:row r="93">
      <x:c r="A93" s="252" t="str">
        <x:v>33812568</x:v>
      </x:c>
      <x:c r="B93" s="253" t="str">
        <x:v>WS1</x:v>
      </x:c>
      <x:c r="C93" s="253" t="str">
        <x:v>MB8</x:v>
      </x:c>
      <x:c r="D93" s="262" t="n">
        <x:v>46119.99204861111</x:v>
      </x:c>
      <x:c r="E93" s="259" t="n">
        <x:v>46119.166666666664</x:v>
      </x:c>
      <x:c r="F93" s="253" t="str">
        <x:v>1014620</x:v>
      </x:c>
      <x:c r="G93" s="253" t="str">
        <x:v>Surianti8</x:v>
      </x:c>
      <x:c r="H93" s="253" t="str">
        <x:v>Yes</x:v>
      </x:c>
      <x:c r="I93" s="253" t="str">
        <x:v>zhen</x:v>
      </x:c>
      <x:c r="J93" s="253" t="str">
        <x:v>zhen</x:v>
      </x:c>
      <x:c r="K93" s="259" t="n">
        <x:v>45880.166666666664</x:v>
      </x:c>
      <x:c r="L93" s="268" t="str">
        <x:f>IFERROR(VLOOKUP(I93,'Handler-Team Map'!$A$7:$C$17,2,FALSE),"")</x:f>
      </x:c>
      <x:c r="M93" s="268" t="str">
        <x:f>IFERROR(VLOOKUP(I93,'Handler-Team Map'!$A$7:$C$17,3,FALSE),"")</x:f>
      </x:c>
      <x:c r="N93" s="274" t="str">
        <x:v>FT_VM_DEP600_GET200_5X</x:v>
      </x:c>
      <x:c r="O93" s="274" t="str">
        <x:v>VIP BONUS - Deposit 600 Get 200 - 5x TO</x:v>
      </x:c>
      <x:c r="P93" s="274" t="str">
        <x:v>DepositBonus</x:v>
      </x:c>
      <x:c r="Q93" s="274" t="str">
        <x:v>Approved</x:v>
      </x:c>
      <x:c r="R93" s="265" t="n">
        <x:v>200</x:v>
      </x:c>
      <x:c r="S93" s="253" t="str">
        <x:v>Yes</x:v>
      </x:c>
      <x:c r="T93" s="265" t="n">
        <x:v>788</x:v>
      </x:c>
      <x:c r="U93" s="253" t="str">
        <x:f>IF(AND(S93="Yes",T93=0),"Yes","No")</x:f>
        <x:v>No</x:v>
      </x:c>
      <x:c r="V93" s="253" t="str">
        <x:v>Yes</x:v>
      </x:c>
      <x:c r="W93" s="253" t="str">
        <x:v>Yes</x:v>
      </x:c>
      <x:c r="X93" s="259" t="n">
        <x:v>46119.166666666664</x:v>
      </x:c>
      <x:c r="Y93" s="265" t="n">
        <x:v>600</x:v>
      </x:c>
      <x:c r="Z93" s="265" t="n">
        <x:v>600</x:v>
      </x:c>
      <x:c r="AA93" s="253" t="str">
        <x:f>IF(V93="No","Maturing",IF(AND(U93="Yes",Y93&gt;0),"Yes","No"))</x:f>
        <x:v>No</x:v>
      </x:c>
      <x:c r="AB93" s="253" t="str">
        <x:f>IF(W93="No","Maturing",IF(AND(U93="Yes",Z93&gt;0),"Yes","No"))</x:f>
        <x:v>No</x:v>
      </x:c>
      <x:c r="AC93" s="265" t="n">
        <x:v>-539.99</x:v>
      </x:c>
      <x:c r="AD93" s="265" t="n">
        <x:v>-539.99</x:v>
      </x:c>
      <x:c r="AE93" s="271" t="str"/>
      <x:c r="AF93" s="274" t="str">
        <x:v>Not validated - no control/holdout</x:v>
      </x:c>
      <x:c r="AG93" s="277" t="str">
        <x:v>Recovered execution only; assignment date and unclaimed-offer denominator unavailable</x:v>
      </x:c>
    </x:row>
    <x:row r="94">
      <x:c r="A94" s="252" t="str">
        <x:v>33818272</x:v>
      </x:c>
      <x:c r="B94" s="253" t="str">
        <x:v>WS1</x:v>
      </x:c>
      <x:c r="C94" s="253" t="str">
        <x:v>MB8</x:v>
      </x:c>
      <x:c r="D94" s="262" t="n">
        <x:v>46120.57519675926</x:v>
      </x:c>
      <x:c r="E94" s="259" t="n">
        <x:v>46120.166666666664</x:v>
      </x:c>
      <x:c r="F94" s="253" t="str">
        <x:v>984098</x:v>
      </x:c>
      <x:c r="G94" s="253" t="str">
        <x:v>fran88</x:v>
      </x:c>
      <x:c r="H94" s="253" t="str">
        <x:v>Yes</x:v>
      </x:c>
      <x:c r="I94" s="253" t="str"/>
      <x:c r="J94" s="253" t="str"/>
      <x:c r="K94" s="259"/>
      <x:c r="L94" s="268" t="str">
        <x:f>IFERROR(VLOOKUP(I94,'Handler-Team Map'!$A$7:$C$17,2,FALSE),"")</x:f>
      </x:c>
      <x:c r="M94" s="268" t="str">
        <x:f>IFERROR(VLOOKUP(I94,'Handler-Team Map'!$A$7:$C$17,3,FALSE),"")</x:f>
      </x:c>
      <x:c r="N94" s="274" t="str">
        <x:v>FT_VM_DEP800_GET400_1X</x:v>
      </x:c>
      <x:c r="O94" s="274" t="str">
        <x:v>VIP BONUS - Deposit 800 Get 400 - 1x TO</x:v>
      </x:c>
      <x:c r="P94" s="274" t="str">
        <x:v>DepositBonus</x:v>
      </x:c>
      <x:c r="Q94" s="274" t="str">
        <x:v>Approved</x:v>
      </x:c>
      <x:c r="R94" s="265" t="n">
        <x:v>400</x:v>
      </x:c>
      <x:c r="S94" s="253" t="str">
        <x:v>Yes</x:v>
      </x:c>
      <x:c r="T94" s="265" t="n">
        <x:v>600</x:v>
      </x:c>
      <x:c r="U94" s="253" t="str">
        <x:f>IF(AND(S94="Yes",T94=0),"Yes","No")</x:f>
        <x:v>No</x:v>
      </x:c>
      <x:c r="V94" s="253" t="str">
        <x:v>Yes</x:v>
      </x:c>
      <x:c r="W94" s="253" t="str">
        <x:v>Yes</x:v>
      </x:c>
      <x:c r="X94" s="259" t="n">
        <x:v>46120.166666666664</x:v>
      </x:c>
      <x:c r="Y94" s="265" t="n">
        <x:v>800</x:v>
      </x:c>
      <x:c r="Z94" s="265" t="n">
        <x:v>800</x:v>
      </x:c>
      <x:c r="AA94" s="253" t="str">
        <x:f>IF(V94="No","Maturing",IF(AND(U94="Yes",Y94&gt;0),"Yes","No"))</x:f>
        <x:v>No</x:v>
      </x:c>
      <x:c r="AB94" s="253" t="str">
        <x:f>IF(W94="No","Maturing",IF(AND(U94="Yes",Z94&gt;0),"Yes","No"))</x:f>
        <x:v>No</x:v>
      </x:c>
      <x:c r="AC94" s="265" t="n">
        <x:v>-158.98</x:v>
      </x:c>
      <x:c r="AD94" s="265" t="n">
        <x:v>-158.98</x:v>
      </x:c>
      <x:c r="AE94" s="271" t="str"/>
      <x:c r="AF94" s="274" t="str">
        <x:v>Not validated - no control/holdout</x:v>
      </x:c>
      <x:c r="AG94" s="277" t="str">
        <x:v>Recovered execution only; assignment date and unclaimed-offer denominator unavailable</x:v>
      </x:c>
    </x:row>
    <x:row r="95">
      <x:c r="A95" s="252" t="str">
        <x:v>33818474</x:v>
      </x:c>
      <x:c r="B95" s="253" t="str">
        <x:v>WS1</x:v>
      </x:c>
      <x:c r="C95" s="253" t="str">
        <x:v>MB8</x:v>
      </x:c>
      <x:c r="D95" s="262" t="n">
        <x:v>46120.59155092593</x:v>
      </x:c>
      <x:c r="E95" s="259" t="n">
        <x:v>46120.166666666664</x:v>
      </x:c>
      <x:c r="F95" s="253" t="str">
        <x:v>967766</x:v>
      </x:c>
      <x:c r="G95" s="253" t="str">
        <x:v>wxyz9876</x:v>
      </x:c>
      <x:c r="H95" s="253" t="str">
        <x:v>Yes</x:v>
      </x:c>
      <x:c r="I95" s="253" t="str">
        <x:v>Tammy</x:v>
      </x:c>
      <x:c r="J95" s="253" t="str">
        <x:v>Tammy</x:v>
      </x:c>
      <x:c r="K95" s="259" t="n">
        <x:v>45951.166666666664</x:v>
      </x:c>
      <x:c r="L95" s="268" t="str">
        <x:f>IFERROR(VLOOKUP(I95,'Handler-Team Map'!$A$7:$C$17,2,FALSE),"")</x:f>
      </x:c>
      <x:c r="M95" s="268" t="str">
        <x:f>IFERROR(VLOOKUP(I95,'Handler-Team Map'!$A$7:$C$17,3,FALSE),"")</x:f>
      </x:c>
      <x:c r="N95" s="274" t="str">
        <x:v>FT_VM_DEP1000_GET500_5X</x:v>
      </x:c>
      <x:c r="O95" s="274" t="str">
        <x:v>VIP BONUS - Deposit 1000 Get 500 - 5x TO</x:v>
      </x:c>
      <x:c r="P95" s="274" t="str">
        <x:v>DepositBonus</x:v>
      </x:c>
      <x:c r="Q95" s="274" t="str">
        <x:v>Approved</x:v>
      </x:c>
      <x:c r="R95" s="265" t="n">
        <x:v>500</x:v>
      </x:c>
      <x:c r="S95" s="253" t="str">
        <x:v>Yes</x:v>
      </x:c>
      <x:c r="T95" s="265" t="n">
        <x:v>18270</x:v>
      </x:c>
      <x:c r="U95" s="253" t="str">
        <x:f>IF(AND(S95="Yes",T95=0),"Yes","No")</x:f>
        <x:v>No</x:v>
      </x:c>
      <x:c r="V95" s="253" t="str">
        <x:v>Yes</x:v>
      </x:c>
      <x:c r="W95" s="253" t="str">
        <x:v>Yes</x:v>
      </x:c>
      <x:c r="X95" s="259" t="n">
        <x:v>46120.166666666664</x:v>
      </x:c>
      <x:c r="Y95" s="265" t="n">
        <x:v>6000</x:v>
      </x:c>
      <x:c r="Z95" s="265" t="n">
        <x:v>6850</x:v>
      </x:c>
      <x:c r="AA95" s="253" t="str">
        <x:f>IF(V95="No","Maturing",IF(AND(U95="Yes",Y95&gt;0),"Yes","No"))</x:f>
        <x:v>No</x:v>
      </x:c>
      <x:c r="AB95" s="253" t="str">
        <x:f>IF(W95="No","Maturing",IF(AND(U95="Yes",Z95&gt;0),"Yes","No"))</x:f>
        <x:v>No</x:v>
      </x:c>
      <x:c r="AC95" s="265" t="n">
        <x:v>5979.92</x:v>
      </x:c>
      <x:c r="AD95" s="265" t="n">
        <x:v>6827.8</x:v>
      </x:c>
      <x:c r="AE95" s="271" t="str"/>
      <x:c r="AF95" s="274" t="str">
        <x:v>Not validated - no control/holdout</x:v>
      </x:c>
      <x:c r="AG95" s="277" t="str">
        <x:v>Recovered execution only; assignment date and unclaimed-offer denominator unavailable</x:v>
      </x:c>
    </x:row>
    <x:row r="96">
      <x:c r="A96" s="252" t="str">
        <x:v>33818742</x:v>
      </x:c>
      <x:c r="B96" s="253" t="str">
        <x:v>WS1</x:v>
      </x:c>
      <x:c r="C96" s="253" t="str">
        <x:v>MB8</x:v>
      </x:c>
      <x:c r="D96" s="262" t="n">
        <x:v>46120.61866898148</x:v>
      </x:c>
      <x:c r="E96" s="259" t="n">
        <x:v>46120.166666666664</x:v>
      </x:c>
      <x:c r="F96" s="253" t="str">
        <x:v>1171083</x:v>
      </x:c>
      <x:c r="G96" s="253" t="str">
        <x:v>kokkamsooi</x:v>
      </x:c>
      <x:c r="H96" s="253" t="str">
        <x:v>Yes</x:v>
      </x:c>
      <x:c r="I96" s="253" t="str"/>
      <x:c r="J96" s="253" t="str"/>
      <x:c r="K96" s="259"/>
      <x:c r="L96" s="268" t="str">
        <x:f>IFERROR(VLOOKUP(I96,'Handler-Team Map'!$A$7:$C$17,2,FALSE),"")</x:f>
      </x:c>
      <x:c r="M96" s="268" t="str">
        <x:f>IFERROR(VLOOKUP(I96,'Handler-Team Map'!$A$7:$C$17,3,FALSE),"")</x:f>
      </x:c>
      <x:c r="N96" s="274" t="str">
        <x:v>FT_VM_DEP1000_GET500_5X</x:v>
      </x:c>
      <x:c r="O96" s="274" t="str">
        <x:v>VIP BONUS - Deposit 1000 Get 500 - 5x TO</x:v>
      </x:c>
      <x:c r="P96" s="274" t="str">
        <x:v>DepositBonus</x:v>
      </x:c>
      <x:c r="Q96" s="274" t="str">
        <x:v>Approved</x:v>
      </x:c>
      <x:c r="R96" s="265" t="n">
        <x:v>500</x:v>
      </x:c>
      <x:c r="S96" s="253" t="str">
        <x:v>Yes</x:v>
      </x:c>
      <x:c r="T96" s="265" t="n">
        <x:v>4500</x:v>
      </x:c>
      <x:c r="U96" s="253" t="str">
        <x:f>IF(AND(S96="Yes",T96=0),"Yes","No")</x:f>
        <x:v>No</x:v>
      </x:c>
      <x:c r="V96" s="253" t="str">
        <x:v>Yes</x:v>
      </x:c>
      <x:c r="W96" s="253" t="str">
        <x:v>Yes</x:v>
      </x:c>
      <x:c r="X96" s="259" t="n">
        <x:v>46120.166666666664</x:v>
      </x:c>
      <x:c r="Y96" s="265" t="n">
        <x:v>56840</x:v>
      </x:c>
      <x:c r="Z96" s="265" t="n">
        <x:v>124790</x:v>
      </x:c>
      <x:c r="AA96" s="253" t="str">
        <x:f>IF(V96="No","Maturing",IF(AND(U96="Yes",Y96&gt;0),"Yes","No"))</x:f>
        <x:v>No</x:v>
      </x:c>
      <x:c r="AB96" s="253" t="str">
        <x:f>IF(W96="No","Maturing",IF(AND(U96="Yes",Z96&gt;0),"Yes","No"))</x:f>
        <x:v>No</x:v>
      </x:c>
      <x:c r="AC96" s="265" t="n">
        <x:v>1741.34</x:v>
      </x:c>
      <x:c r="AD96" s="265" t="n">
        <x:v>29535.21</x:v>
      </x:c>
      <x:c r="AE96" s="271" t="str"/>
      <x:c r="AF96" s="274" t="str">
        <x:v>Not validated - no control/holdout</x:v>
      </x:c>
      <x:c r="AG96" s="277" t="str">
        <x:v>Recovered execution only; assignment date and unclaimed-offer denominator unavailable</x:v>
      </x:c>
    </x:row>
    <x:row r="97">
      <x:c r="A97" s="252" t="str">
        <x:v>33818873</x:v>
      </x:c>
      <x:c r="B97" s="253" t="str">
        <x:v>WS1</x:v>
      </x:c>
      <x:c r="C97" s="253" t="str">
        <x:v>MB8</x:v>
      </x:c>
      <x:c r="D97" s="262" t="n">
        <x:v>46120.629375</x:v>
      </x:c>
      <x:c r="E97" s="259" t="n">
        <x:v>46120.166666666664</x:v>
      </x:c>
      <x:c r="F97" s="253" t="str">
        <x:v>476510</x:v>
      </x:c>
      <x:c r="G97" s="253" t="str">
        <x:v>giinshen</x:v>
      </x:c>
      <x:c r="H97" s="253" t="str">
        <x:v>Yes</x:v>
      </x:c>
      <x:c r="I97" s="253" t="str">
        <x:v>Claire</x:v>
      </x:c>
      <x:c r="J97" s="253" t="str">
        <x:v>Claire</x:v>
      </x:c>
      <x:c r="K97" s="259" t="n">
        <x:v>45659.166666666664</x:v>
      </x:c>
      <x:c r="L97" s="268" t="str">
        <x:f>IFERROR(VLOOKUP(I97,'Handler-Team Map'!$A$7:$C$17,2,FALSE),"")</x:f>
      </x:c>
      <x:c r="M97" s="268" t="str">
        <x:f>IFERROR(VLOOKUP(I97,'Handler-Team Map'!$A$7:$C$17,3,FALSE),"")</x:f>
      </x:c>
      <x:c r="N97" s="274" t="str">
        <x:v>FT_VM_DEP300_GET100_5X</x:v>
      </x:c>
      <x:c r="O97" s="274" t="str">
        <x:v>VIP BONUS - Deposit 300 Get 100 - 5x TO</x:v>
      </x:c>
      <x:c r="P97" s="274" t="str">
        <x:v>DepositBonus</x:v>
      </x:c>
      <x:c r="Q97" s="274" t="str">
        <x:v>Approved</x:v>
      </x:c>
      <x:c r="R97" s="265" t="n">
        <x:v>100</x:v>
      </x:c>
      <x:c r="S97" s="253" t="str">
        <x:v>Yes</x:v>
      </x:c>
      <x:c r="T97" s="265" t="n">
        <x:v>67000</x:v>
      </x:c>
      <x:c r="U97" s="253" t="str">
        <x:f>IF(AND(S97="Yes",T97=0),"Yes","No")</x:f>
        <x:v>No</x:v>
      </x:c>
      <x:c r="V97" s="253" t="str">
        <x:v>Yes</x:v>
      </x:c>
      <x:c r="W97" s="253" t="str">
        <x:v>Yes</x:v>
      </x:c>
      <x:c r="X97" s="259" t="n">
        <x:v>46120.166666666664</x:v>
      </x:c>
      <x:c r="Y97" s="265" t="n">
        <x:v>22000</x:v>
      </x:c>
      <x:c r="Z97" s="265" t="n">
        <x:v>54000</x:v>
      </x:c>
      <x:c r="AA97" s="253" t="str">
        <x:f>IF(V97="No","Maturing",IF(AND(U97="Yes",Y97&gt;0),"Yes","No"))</x:f>
        <x:v>No</x:v>
      </x:c>
      <x:c r="AB97" s="253" t="str">
        <x:f>IF(W97="No","Maturing",IF(AND(U97="Yes",Z97&gt;0),"Yes","No"))</x:f>
        <x:v>No</x:v>
      </x:c>
      <x:c r="AC97" s="265" t="n">
        <x:v>10538.52</x:v>
      </x:c>
      <x:c r="AD97" s="265" t="n">
        <x:v>20667.16</x:v>
      </x:c>
      <x:c r="AE97" s="271" t="str"/>
      <x:c r="AF97" s="274" t="str">
        <x:v>Not validated - no control/holdout</x:v>
      </x:c>
      <x:c r="AG97" s="277" t="str">
        <x:v>Recovered execution only; assignment date and unclaimed-offer denominator unavailable</x:v>
      </x:c>
    </x:row>
    <x:row r="98">
      <x:c r="A98" s="252" t="str">
        <x:v>33819125</x:v>
      </x:c>
      <x:c r="B98" s="253" t="str">
        <x:v>WS1</x:v>
      </x:c>
      <x:c r="C98" s="253" t="str">
        <x:v>MB8</x:v>
      </x:c>
      <x:c r="D98" s="262" t="n">
        <x:v>46120.6534837963</x:v>
      </x:c>
      <x:c r="E98" s="259" t="n">
        <x:v>46120.166666666664</x:v>
      </x:c>
      <x:c r="F98" s="253" t="str">
        <x:v>62892</x:v>
      </x:c>
      <x:c r="G98" s="253" t="str">
        <x:v>Prolakers97</x:v>
      </x:c>
      <x:c r="H98" s="253" t="str">
        <x:v>Yes</x:v>
      </x:c>
      <x:c r="I98" s="253" t="str"/>
      <x:c r="J98" s="253" t="str"/>
      <x:c r="K98" s="259"/>
      <x:c r="L98" s="268" t="str">
        <x:f>IFERROR(VLOOKUP(I98,'Handler-Team Map'!$A$7:$C$17,2,FALSE),"")</x:f>
      </x:c>
      <x:c r="M98" s="268" t="str">
        <x:f>IFERROR(VLOOKUP(I98,'Handler-Team Map'!$A$7:$C$17,3,FALSE),"")</x:f>
      </x:c>
      <x:c r="N98" s="274" t="str">
        <x:v>FT_VM_DEP600_GET200_5X</x:v>
      </x:c>
      <x:c r="O98" s="274" t="str">
        <x:v>VIP BONUS - Deposit 600 Get 200 - 5x TO</x:v>
      </x:c>
      <x:c r="P98" s="274" t="str">
        <x:v>DepositBonus</x:v>
      </x:c>
      <x:c r="Q98" s="274" t="str">
        <x:v>Approved</x:v>
      </x:c>
      <x:c r="R98" s="265" t="n">
        <x:v>200</x:v>
      </x:c>
      <x:c r="S98" s="253" t="str">
        <x:v>Yes</x:v>
      </x:c>
      <x:c r="T98" s="265" t="n">
        <x:v>750</x:v>
      </x:c>
      <x:c r="U98" s="253" t="str">
        <x:f>IF(AND(S98="Yes",T98=0),"Yes","No")</x:f>
        <x:v>No</x:v>
      </x:c>
      <x:c r="V98" s="253" t="str">
        <x:v>Yes</x:v>
      </x:c>
      <x:c r="W98" s="253" t="str">
        <x:v>Yes</x:v>
      </x:c>
      <x:c r="X98" s="259" t="n">
        <x:v>46120.166666666664</x:v>
      </x:c>
      <x:c r="Y98" s="265" t="n">
        <x:v>600</x:v>
      </x:c>
      <x:c r="Z98" s="265" t="n">
        <x:v>600</x:v>
      </x:c>
      <x:c r="AA98" s="253" t="str">
        <x:f>IF(V98="No","Maturing",IF(AND(U98="Yes",Y98&gt;0),"Yes","No"))</x:f>
        <x:v>No</x:v>
      </x:c>
      <x:c r="AB98" s="253" t="str">
        <x:f>IF(W98="No","Maturing",IF(AND(U98="Yes",Z98&gt;0),"Yes","No"))</x:f>
        <x:v>No</x:v>
      </x:c>
      <x:c r="AC98" s="265" t="n">
        <x:v>600</x:v>
      </x:c>
      <x:c r="AD98" s="265" t="n">
        <x:v>600</x:v>
      </x:c>
      <x:c r="AE98" s="271" t="str"/>
      <x:c r="AF98" s="274" t="str">
        <x:v>Not validated - no control/holdout</x:v>
      </x:c>
      <x:c r="AG98" s="277" t="str">
        <x:v>Recovered execution only; assignment date and unclaimed-offer denominator unavailable</x:v>
      </x:c>
    </x:row>
    <x:row r="99">
      <x:c r="A99" s="252" t="str">
        <x:v>33819701</x:v>
      </x:c>
      <x:c r="B99" s="253" t="str">
        <x:v>WS1</x:v>
      </x:c>
      <x:c r="C99" s="253" t="str">
        <x:v>MB8</x:v>
      </x:c>
      <x:c r="D99" s="262" t="n">
        <x:v>46120.6921875</x:v>
      </x:c>
      <x:c r="E99" s="259" t="n">
        <x:v>46120.166666666664</x:v>
      </x:c>
      <x:c r="F99" s="253" t="str">
        <x:v>978622</x:v>
      </x:c>
      <x:c r="G99" s="253" t="str">
        <x:v>Mrsojol20</x:v>
      </x:c>
      <x:c r="H99" s="253" t="str">
        <x:v>Yes</x:v>
      </x:c>
      <x:c r="I99" s="253" t="str">
        <x:v>zhen</x:v>
      </x:c>
      <x:c r="J99" s="253" t="str">
        <x:v>zhen</x:v>
      </x:c>
      <x:c r="K99" s="259" t="n">
        <x:v>45880.166666666664</x:v>
      </x:c>
      <x:c r="L99" s="268" t="str">
        <x:f>IFERROR(VLOOKUP(I99,'Handler-Team Map'!$A$7:$C$17,2,FALSE),"")</x:f>
      </x:c>
      <x:c r="M99" s="268" t="str">
        <x:f>IFERROR(VLOOKUP(I99,'Handler-Team Map'!$A$7:$C$17,3,FALSE),"")</x:f>
      </x:c>
      <x:c r="N99" s="274" t="str">
        <x:v>FT_VM_DEP800_GET400_1X</x:v>
      </x:c>
      <x:c r="O99" s="274" t="str">
        <x:v>VIP BONUS - Deposit 800 Get 400 - 1x TO</x:v>
      </x:c>
      <x:c r="P99" s="274" t="str">
        <x:v>DepositBonus</x:v>
      </x:c>
      <x:c r="Q99" s="274" t="str">
        <x:v>Approved</x:v>
      </x:c>
      <x:c r="R99" s="265" t="n">
        <x:v>400</x:v>
      </x:c>
      <x:c r="S99" s="253" t="str">
        <x:v>Yes</x:v>
      </x:c>
      <x:c r="T99" s="265" t="n">
        <x:v>5100</x:v>
      </x:c>
      <x:c r="U99" s="253" t="str">
        <x:f>IF(AND(S99="Yes",T99=0),"Yes","No")</x:f>
        <x:v>No</x:v>
      </x:c>
      <x:c r="V99" s="253" t="str">
        <x:v>Yes</x:v>
      </x:c>
      <x:c r="W99" s="253" t="str">
        <x:v>Yes</x:v>
      </x:c>
      <x:c r="X99" s="259" t="n">
        <x:v>46120.166666666664</x:v>
      </x:c>
      <x:c r="Y99" s="265" t="n">
        <x:v>13180</x:v>
      </x:c>
      <x:c r="Z99" s="265" t="n">
        <x:v>13180</x:v>
      </x:c>
      <x:c r="AA99" s="253" t="str">
        <x:f>IF(V99="No","Maturing",IF(AND(U99="Yes",Y99&gt;0),"Yes","No"))</x:f>
        <x:v>No</x:v>
      </x:c>
      <x:c r="AB99" s="253" t="str">
        <x:f>IF(W99="No","Maturing",IF(AND(U99="Yes",Z99&gt;0),"Yes","No"))</x:f>
        <x:v>No</x:v>
      </x:c>
      <x:c r="AC99" s="265" t="n">
        <x:v>1072.51</x:v>
      </x:c>
      <x:c r="AD99" s="265" t="n">
        <x:v>1072.74</x:v>
      </x:c>
      <x:c r="AE99" s="271" t="str"/>
      <x:c r="AF99" s="274" t="str">
        <x:v>Not validated - no control/holdout</x:v>
      </x:c>
      <x:c r="AG99" s="277" t="str">
        <x:v>Recovered execution only; assignment date and unclaimed-offer denominator unavailable</x:v>
      </x:c>
    </x:row>
    <x:row r="100">
      <x:c r="A100" s="252" t="str">
        <x:v>33820396</x:v>
      </x:c>
      <x:c r="B100" s="253" t="str">
        <x:v>WS1</x:v>
      </x:c>
      <x:c r="C100" s="253" t="str">
        <x:v>MB8</x:v>
      </x:c>
      <x:c r="D100" s="262" t="n">
        <x:v>46120.735659722224</x:v>
      </x:c>
      <x:c r="E100" s="259" t="n">
        <x:v>46120.166666666664</x:v>
      </x:c>
      <x:c r="F100" s="253" t="str">
        <x:v>380888</x:v>
      </x:c>
      <x:c r="G100" s="253" t="str">
        <x:v>andy9790</x:v>
      </x:c>
      <x:c r="H100" s="253" t="str">
        <x:v>Yes</x:v>
      </x:c>
      <x:c r="I100" s="253" t="str">
        <x:v>Serene</x:v>
      </x:c>
      <x:c r="J100" s="253" t="str">
        <x:v>Serene</x:v>
      </x:c>
      <x:c r="K100" s="259" t="n">
        <x:v>45859.166666666664</x:v>
      </x:c>
      <x:c r="L100" s="268" t="str">
        <x:f>IFERROR(VLOOKUP(I100,'Handler-Team Map'!$A$7:$C$17,2,FALSE),"")</x:f>
      </x:c>
      <x:c r="M100" s="268" t="str">
        <x:f>IFERROR(VLOOKUP(I100,'Handler-Team Map'!$A$7:$C$17,3,FALSE),"")</x:f>
      </x:c>
      <x:c r="N100" s="274" t="str">
        <x:v>FT_VM_DEP800_GET400_2X</x:v>
      </x:c>
      <x:c r="O100" s="274" t="str">
        <x:v>VIP BONUS - Deposit 800 Get 400 - 2x TO</x:v>
      </x:c>
      <x:c r="P100" s="274" t="str">
        <x:v>DepositBonus</x:v>
      </x:c>
      <x:c r="Q100" s="274" t="str">
        <x:v>Approved</x:v>
      </x:c>
      <x:c r="R100" s="265" t="n">
        <x:v>400</x:v>
      </x:c>
      <x:c r="S100" s="253" t="str">
        <x:v>Yes</x:v>
      </x:c>
      <x:c r="T100" s="265" t="n">
        <x:v>850</x:v>
      </x:c>
      <x:c r="U100" s="253" t="str">
        <x:f>IF(AND(S100="Yes",T100=0),"Yes","No")</x:f>
        <x:v>No</x:v>
      </x:c>
      <x:c r="V100" s="253" t="str">
        <x:v>Yes</x:v>
      </x:c>
      <x:c r="W100" s="253" t="str">
        <x:v>Yes</x:v>
      </x:c>
      <x:c r="X100" s="259" t="n">
        <x:v>46120.166666666664</x:v>
      </x:c>
      <x:c r="Y100" s="265" t="n">
        <x:v>3300</x:v>
      </x:c>
      <x:c r="Z100" s="265" t="n">
        <x:v>3300</x:v>
      </x:c>
      <x:c r="AA100" s="253" t="str">
        <x:f>IF(V100="No","Maturing",IF(AND(U100="Yes",Y100&gt;0),"Yes","No"))</x:f>
        <x:v>No</x:v>
      </x:c>
      <x:c r="AB100" s="253" t="str">
        <x:f>IF(W100="No","Maturing",IF(AND(U100="Yes",Z100&gt;0),"Yes","No"))</x:f>
        <x:v>No</x:v>
      </x:c>
      <x:c r="AC100" s="265" t="n">
        <x:v>-10696.91</x:v>
      </x:c>
      <x:c r="AD100" s="265" t="n">
        <x:v>-10696.91</x:v>
      </x:c>
      <x:c r="AE100" s="271" t="str"/>
      <x:c r="AF100" s="274" t="str">
        <x:v>Not validated - no control/holdout</x:v>
      </x:c>
      <x:c r="AG100" s="277" t="str">
        <x:v>Recovered execution only; assignment date and unclaimed-offer denominator unavailable</x:v>
      </x:c>
    </x:row>
    <x:row r="101">
      <x:c r="A101" s="252" t="str">
        <x:v>33820829</x:v>
      </x:c>
      <x:c r="B101" s="253" t="str">
        <x:v>WS1</x:v>
      </x:c>
      <x:c r="C101" s="253" t="str">
        <x:v>MB8</x:v>
      </x:c>
      <x:c r="D101" s="262" t="n">
        <x:v>46120.76480324074</x:v>
      </x:c>
      <x:c r="E101" s="259" t="n">
        <x:v>46120.166666666664</x:v>
      </x:c>
      <x:c r="F101" s="253" t="str">
        <x:v>683839</x:v>
      </x:c>
      <x:c r="G101" s="253" t="str">
        <x:v>tan6838</x:v>
      </x:c>
      <x:c r="H101" s="253" t="str">
        <x:v>Yes</x:v>
      </x:c>
      <x:c r="I101" s="253" t="str">
        <x:v>Kam</x:v>
      </x:c>
      <x:c r="J101" s="253" t="str">
        <x:v>Kam</x:v>
      </x:c>
      <x:c r="K101" s="259" t="n">
        <x:v>45951.166666666664</x:v>
      </x:c>
      <x:c r="L101" s="268" t="str">
        <x:f>IFERROR(VLOOKUP(I101,'Handler-Team Map'!$A$7:$C$17,2,FALSE),"")</x:f>
      </x:c>
      <x:c r="M101" s="268" t="str">
        <x:f>IFERROR(VLOOKUP(I101,'Handler-Team Map'!$A$7:$C$17,3,FALSE),"")</x:f>
      </x:c>
      <x:c r="N101" s="274" t="str">
        <x:v>FT_VM_DEP150_GET50_5X</x:v>
      </x:c>
      <x:c r="O101" s="274" t="str">
        <x:v>VIP BONUS - Deposit 150 Get 50 - 5x TO</x:v>
      </x:c>
      <x:c r="P101" s="274" t="str">
        <x:v>DepositBonus</x:v>
      </x:c>
      <x:c r="Q101" s="274" t="str">
        <x:v>Approved</x:v>
      </x:c>
      <x:c r="R101" s="265" t="n">
        <x:v>50</x:v>
      </x:c>
      <x:c r="S101" s="253" t="str">
        <x:v>Yes</x:v>
      </x:c>
      <x:c r="T101" s="265" t="n">
        <x:v>36590</x:v>
      </x:c>
      <x:c r="U101" s="253" t="str">
        <x:f>IF(AND(S101="Yes",T101=0),"Yes","No")</x:f>
        <x:v>No</x:v>
      </x:c>
      <x:c r="V101" s="253" t="str">
        <x:v>Yes</x:v>
      </x:c>
      <x:c r="W101" s="253" t="str">
        <x:v>Yes</x:v>
      </x:c>
      <x:c r="X101" s="259" t="n">
        <x:v>46120.166666666664</x:v>
      </x:c>
      <x:c r="Y101" s="265" t="n">
        <x:v>4760</x:v>
      </x:c>
      <x:c r="Z101" s="265" t="n">
        <x:v>4760</x:v>
      </x:c>
      <x:c r="AA101" s="253" t="str">
        <x:f>IF(V101="No","Maturing",IF(AND(U101="Yes",Y101&gt;0),"Yes","No"))</x:f>
        <x:v>No</x:v>
      </x:c>
      <x:c r="AB101" s="253" t="str">
        <x:f>IF(W101="No","Maturing",IF(AND(U101="Yes",Z101&gt;0),"Yes","No"))</x:f>
        <x:v>No</x:v>
      </x:c>
      <x:c r="AC101" s="265" t="n">
        <x:v>2158.48</x:v>
      </x:c>
      <x:c r="AD101" s="265" t="n">
        <x:v>2158.48</x:v>
      </x:c>
      <x:c r="AE101" s="271" t="str"/>
      <x:c r="AF101" s="274" t="str">
        <x:v>Not validated - no control/holdout</x:v>
      </x:c>
      <x:c r="AG101" s="277" t="str">
        <x:v>Recovered execution only; assignment date and unclaimed-offer denominator unavailable</x:v>
      </x:c>
    </x:row>
    <x:row r="102">
      <x:c r="A102" s="252" t="str">
        <x:v>33820900</x:v>
      </x:c>
      <x:c r="B102" s="253" t="str">
        <x:v>WS1</x:v>
      </x:c>
      <x:c r="C102" s="253" t="str">
        <x:v>MB8</x:v>
      </x:c>
      <x:c r="D102" s="262" t="n">
        <x:v>46120.76944444444</x:v>
      </x:c>
      <x:c r="E102" s="259" t="n">
        <x:v>46120.166666666664</x:v>
      </x:c>
      <x:c r="F102" s="253" t="str">
        <x:v>64201</x:v>
      </x:c>
      <x:c r="G102" s="253" t="str">
        <x:v>Joker1603</x:v>
      </x:c>
      <x:c r="H102" s="253" t="str">
        <x:v>Yes</x:v>
      </x:c>
      <x:c r="I102" s="253" t="str">
        <x:v>Serene</x:v>
      </x:c>
      <x:c r="J102" s="253" t="str">
        <x:v>Serene</x:v>
      </x:c>
      <x:c r="K102" s="259" t="n">
        <x:v>46090.166666666664</x:v>
      </x:c>
      <x:c r="L102" s="268" t="str">
        <x:f>IFERROR(VLOOKUP(I102,'Handler-Team Map'!$A$7:$C$17,2,FALSE),"")</x:f>
      </x:c>
      <x:c r="M102" s="268" t="str">
        <x:f>IFERROR(VLOOKUP(I102,'Handler-Team Map'!$A$7:$C$17,3,FALSE),"")</x:f>
      </x:c>
      <x:c r="N102" s="274" t="str">
        <x:v>FT_VM_DEP1000_GET900_2X</x:v>
      </x:c>
      <x:c r="O102" s="274" t="str">
        <x:v>VIP BONUS - Deposit 1000 Get 900 - 2x TO</x:v>
      </x:c>
      <x:c r="P102" s="274" t="str">
        <x:v>DepositBonus</x:v>
      </x:c>
      <x:c r="Q102" s="274" t="str">
        <x:v>Approved</x:v>
      </x:c>
      <x:c r="R102" s="265" t="n">
        <x:v>900</x:v>
      </x:c>
      <x:c r="S102" s="253" t="str">
        <x:v>Yes</x:v>
      </x:c>
      <x:c r="T102" s="265" t="n">
        <x:v>9280</x:v>
      </x:c>
      <x:c r="U102" s="253" t="str">
        <x:f>IF(AND(S102="Yes",T102=0),"Yes","No")</x:f>
        <x:v>No</x:v>
      </x:c>
      <x:c r="V102" s="253" t="str">
        <x:v>Yes</x:v>
      </x:c>
      <x:c r="W102" s="253" t="str">
        <x:v>Yes</x:v>
      </x:c>
      <x:c r="X102" s="259" t="n">
        <x:v>46120.166666666664</x:v>
      </x:c>
      <x:c r="Y102" s="265" t="n">
        <x:v>25050</x:v>
      </x:c>
      <x:c r="Z102" s="265" t="n">
        <x:v>78300</x:v>
      </x:c>
      <x:c r="AA102" s="253" t="str">
        <x:f>IF(V102="No","Maturing",IF(AND(U102="Yes",Y102&gt;0),"Yes","No"))</x:f>
        <x:v>No</x:v>
      </x:c>
      <x:c r="AB102" s="253" t="str">
        <x:f>IF(W102="No","Maturing",IF(AND(U102="Yes",Z102&gt;0),"Yes","No"))</x:f>
        <x:v>No</x:v>
      </x:c>
      <x:c r="AC102" s="265" t="n">
        <x:v>13883.03</x:v>
      </x:c>
      <x:c r="AD102" s="265" t="n">
        <x:v>14566.93</x:v>
      </x:c>
      <x:c r="AE102" s="271" t="str"/>
      <x:c r="AF102" s="274" t="str">
        <x:v>Not validated - no control/holdout</x:v>
      </x:c>
      <x:c r="AG102" s="277" t="str">
        <x:v>Recovered execution only; assignment date and unclaimed-offer denominator unavailable</x:v>
      </x:c>
    </x:row>
    <x:row r="103">
      <x:c r="A103" s="252" t="str">
        <x:v>33821250</x:v>
      </x:c>
      <x:c r="B103" s="253" t="str">
        <x:v>WS1</x:v>
      </x:c>
      <x:c r="C103" s="253" t="str">
        <x:v>MB8</x:v>
      </x:c>
      <x:c r="D103" s="262" t="n">
        <x:v>46120.79172453703</x:v>
      </x:c>
      <x:c r="E103" s="259" t="n">
        <x:v>46120.166666666664</x:v>
      </x:c>
      <x:c r="F103" s="253" t="str">
        <x:v>587646</x:v>
      </x:c>
      <x:c r="G103" s="253" t="str">
        <x:v>arilrich</x:v>
      </x:c>
      <x:c r="H103" s="253" t="str">
        <x:v>Yes</x:v>
      </x:c>
      <x:c r="I103" s="253" t="str">
        <x:v>Christy</x:v>
      </x:c>
      <x:c r="J103" s="253" t="str">
        <x:v>Christy</x:v>
      </x:c>
      <x:c r="K103" s="259" t="n">
        <x:v>45831.166666666664</x:v>
      </x:c>
      <x:c r="L103" s="268" t="str">
        <x:f>IFERROR(VLOOKUP(I103,'Handler-Team Map'!$A$7:$C$17,2,FALSE),"")</x:f>
      </x:c>
      <x:c r="M103" s="268" t="str">
        <x:f>IFERROR(VLOOKUP(I103,'Handler-Team Map'!$A$7:$C$17,3,FALSE),"")</x:f>
      </x:c>
      <x:c r="N103" s="274" t="str">
        <x:v>FT_VM_DEP1000_GET500_5X</x:v>
      </x:c>
      <x:c r="O103" s="274" t="str">
        <x:v>VIP BONUS - Deposit 1000 Get 500 - 5x TO</x:v>
      </x:c>
      <x:c r="P103" s="274" t="str">
        <x:v>DepositBonus</x:v>
      </x:c>
      <x:c r="Q103" s="274" t="str">
        <x:v>Approved</x:v>
      </x:c>
      <x:c r="R103" s="265" t="n">
        <x:v>500</x:v>
      </x:c>
      <x:c r="S103" s="253" t="str">
        <x:v>Yes</x:v>
      </x:c>
      <x:c r="T103" s="265" t="n">
        <x:v>7217</x:v>
      </x:c>
      <x:c r="U103" s="253" t="str">
        <x:f>IF(AND(S103="Yes",T103=0),"Yes","No")</x:f>
        <x:v>No</x:v>
      </x:c>
      <x:c r="V103" s="253" t="str">
        <x:v>Yes</x:v>
      </x:c>
      <x:c r="W103" s="253" t="str">
        <x:v>Yes</x:v>
      </x:c>
      <x:c r="X103" s="259" t="n">
        <x:v>46120.166666666664</x:v>
      </x:c>
      <x:c r="Y103" s="265" t="n">
        <x:v>2500</x:v>
      </x:c>
      <x:c r="Z103" s="265" t="n">
        <x:v>3500</x:v>
      </x:c>
      <x:c r="AA103" s="253" t="str">
        <x:f>IF(V103="No","Maturing",IF(AND(U103="Yes",Y103&gt;0),"Yes","No"))</x:f>
        <x:v>No</x:v>
      </x:c>
      <x:c r="AB103" s="253" t="str">
        <x:f>IF(W103="No","Maturing",IF(AND(U103="Yes",Z103&gt;0),"Yes","No"))</x:f>
        <x:v>No</x:v>
      </x:c>
      <x:c r="AC103" s="265" t="n">
        <x:v>-4360.06</x:v>
      </x:c>
      <x:c r="AD103" s="265" t="n">
        <x:v>-3360.06</x:v>
      </x:c>
      <x:c r="AE103" s="271" t="str"/>
      <x:c r="AF103" s="274" t="str">
        <x:v>Not validated - no control/holdout</x:v>
      </x:c>
      <x:c r="AG103" s="277" t="str">
        <x:v>Recovered execution only; assignment date and unclaimed-offer denominator unavailable</x:v>
      </x:c>
    </x:row>
    <x:row r="104">
      <x:c r="A104" s="252" t="str">
        <x:v>33821509</x:v>
      </x:c>
      <x:c r="B104" s="253" t="str">
        <x:v>WS1</x:v>
      </x:c>
      <x:c r="C104" s="253" t="str">
        <x:v>MB8</x:v>
      </x:c>
      <x:c r="D104" s="262" t="n">
        <x:v>46120.81542824074</x:v>
      </x:c>
      <x:c r="E104" s="259" t="n">
        <x:v>46120.166666666664</x:v>
      </x:c>
      <x:c r="F104" s="253" t="str">
        <x:v>450398</x:v>
      </x:c>
      <x:c r="G104" s="253" t="str">
        <x:v>johnnytan8</x:v>
      </x:c>
      <x:c r="H104" s="253" t="str">
        <x:v>Yes</x:v>
      </x:c>
      <x:c r="I104" s="253" t="str">
        <x:v>Elda</x:v>
      </x:c>
      <x:c r="J104" s="253" t="str">
        <x:v>Elda</x:v>
      </x:c>
      <x:c r="K104" s="259" t="n">
        <x:v>45790.166666666664</x:v>
      </x:c>
      <x:c r="L104" s="268" t="str">
        <x:f>IFERROR(VLOOKUP(I104,'Handler-Team Map'!$A$7:$C$17,2,FALSE),"")</x:f>
      </x:c>
      <x:c r="M104" s="268" t="str">
        <x:f>IFERROR(VLOOKUP(I104,'Handler-Team Map'!$A$7:$C$17,3,FALSE),"")</x:f>
      </x:c>
      <x:c r="N104" s="274" t="str">
        <x:v>FT_VM_DEP800_GET400_2X</x:v>
      </x:c>
      <x:c r="O104" s="274" t="str">
        <x:v>VIP BONUS - Deposit 800 Get 400 - 2x TO</x:v>
      </x:c>
      <x:c r="P104" s="274" t="str">
        <x:v>DepositBonus</x:v>
      </x:c>
      <x:c r="Q104" s="274" t="str">
        <x:v>Approved</x:v>
      </x:c>
      <x:c r="R104" s="265" t="n">
        <x:v>400</x:v>
      </x:c>
      <x:c r="S104" s="253" t="str">
        <x:v>Yes</x:v>
      </x:c>
      <x:c r="T104" s="265" t="n">
        <x:v>800</x:v>
      </x:c>
      <x:c r="U104" s="253" t="str">
        <x:f>IF(AND(S104="Yes",T104=0),"Yes","No")</x:f>
        <x:v>No</x:v>
      </x:c>
      <x:c r="V104" s="253" t="str">
        <x:v>Yes</x:v>
      </x:c>
      <x:c r="W104" s="253" t="str">
        <x:v>Yes</x:v>
      </x:c>
      <x:c r="X104" s="259" t="n">
        <x:v>46120.166666666664</x:v>
      </x:c>
      <x:c r="Y104" s="265" t="n">
        <x:v>800</x:v>
      </x:c>
      <x:c r="Z104" s="265" t="n">
        <x:v>800</x:v>
      </x:c>
      <x:c r="AA104" s="253" t="str">
        <x:f>IF(V104="No","Maturing",IF(AND(U104="Yes",Y104&gt;0),"Yes","No"))</x:f>
        <x:v>No</x:v>
      </x:c>
      <x:c r="AB104" s="253" t="str">
        <x:f>IF(W104="No","Maturing",IF(AND(U104="Yes",Z104&gt;0),"Yes","No"))</x:f>
        <x:v>No</x:v>
      </x:c>
      <x:c r="AC104" s="265" t="n">
        <x:v>-538.66</x:v>
      </x:c>
      <x:c r="AD104" s="265" t="n">
        <x:v>-538.66</x:v>
      </x:c>
      <x:c r="AE104" s="271" t="str"/>
      <x:c r="AF104" s="274" t="str">
        <x:v>Not validated - no control/holdout</x:v>
      </x:c>
      <x:c r="AG104" s="277" t="str">
        <x:v>Recovered execution only; assignment date and unclaimed-offer denominator unavailable</x:v>
      </x:c>
    </x:row>
    <x:row r="105">
      <x:c r="A105" s="252" t="str">
        <x:v>33821513</x:v>
      </x:c>
      <x:c r="B105" s="253" t="str">
        <x:v>WS1</x:v>
      </x:c>
      <x:c r="C105" s="253" t="str">
        <x:v>MB8</x:v>
      </x:c>
      <x:c r="D105" s="262" t="n">
        <x:v>46120.81560185185</x:v>
      </x:c>
      <x:c r="E105" s="259" t="n">
        <x:v>46120.166666666664</x:v>
      </x:c>
      <x:c r="F105" s="253" t="str">
        <x:v>163316</x:v>
      </x:c>
      <x:c r="G105" s="253" t="str">
        <x:v>huathuat</x:v>
      </x:c>
      <x:c r="H105" s="253" t="str">
        <x:v>Yes</x:v>
      </x:c>
      <x:c r="I105" s="253" t="str">
        <x:v>Elda</x:v>
      </x:c>
      <x:c r="J105" s="253" t="str">
        <x:v>Elda</x:v>
      </x:c>
      <x:c r="K105" s="259" t="n">
        <x:v>46090.166666666664</x:v>
      </x:c>
      <x:c r="L105" s="268" t="str">
        <x:f>IFERROR(VLOOKUP(I105,'Handler-Team Map'!$A$7:$C$17,2,FALSE),"")</x:f>
      </x:c>
      <x:c r="M105" s="268" t="str">
        <x:f>IFERROR(VLOOKUP(I105,'Handler-Team Map'!$A$7:$C$17,3,FALSE),"")</x:f>
      </x:c>
      <x:c r="N105" s="274" t="str">
        <x:v>FT_VM_DEP600_GET200_5X</x:v>
      </x:c>
      <x:c r="O105" s="274" t="str">
        <x:v>VIP BONUS - Deposit 600 Get 200 - 5x TO</x:v>
      </x:c>
      <x:c r="P105" s="274" t="str">
        <x:v>DepositBonus</x:v>
      </x:c>
      <x:c r="Q105" s="274" t="str">
        <x:v>Approved</x:v>
      </x:c>
      <x:c r="R105" s="265" t="n">
        <x:v>200</x:v>
      </x:c>
      <x:c r="S105" s="253" t="str">
        <x:v>Yes</x:v>
      </x:c>
      <x:c r="T105" s="265" t="n">
        <x:v>22580</x:v>
      </x:c>
      <x:c r="U105" s="253" t="str">
        <x:f>IF(AND(S105="Yes",T105=0),"Yes","No")</x:f>
        <x:v>No</x:v>
      </x:c>
      <x:c r="V105" s="253" t="str">
        <x:v>Yes</x:v>
      </x:c>
      <x:c r="W105" s="253" t="str">
        <x:v>Yes</x:v>
      </x:c>
      <x:c r="X105" s="259" t="n">
        <x:v>46120.166666666664</x:v>
      </x:c>
      <x:c r="Y105" s="265" t="n">
        <x:v>600</x:v>
      </x:c>
      <x:c r="Z105" s="265" t="n">
        <x:v>600</x:v>
      </x:c>
      <x:c r="AA105" s="253" t="str">
        <x:f>IF(V105="No","Maturing",IF(AND(U105="Yes",Y105&gt;0),"Yes","No"))</x:f>
        <x:v>No</x:v>
      </x:c>
      <x:c r="AB105" s="253" t="str">
        <x:f>IF(W105="No","Maturing",IF(AND(U105="Yes",Z105&gt;0),"Yes","No"))</x:f>
        <x:v>No</x:v>
      </x:c>
      <x:c r="AC105" s="265" t="n">
        <x:v>-300.25</x:v>
      </x:c>
      <x:c r="AD105" s="265" t="n">
        <x:v>-300.25</x:v>
      </x:c>
      <x:c r="AE105" s="271" t="str"/>
      <x:c r="AF105" s="274" t="str">
        <x:v>Not validated - no control/holdout</x:v>
      </x:c>
      <x:c r="AG105" s="277" t="str">
        <x:v>Recovered execution only; assignment date and unclaimed-offer denominator unavailable</x:v>
      </x:c>
    </x:row>
    <x:row r="106">
      <x:c r="A106" s="252" t="str">
        <x:v>33821991</x:v>
      </x:c>
      <x:c r="B106" s="253" t="str">
        <x:v>WS1</x:v>
      </x:c>
      <x:c r="C106" s="253" t="str">
        <x:v>MB8</x:v>
      </x:c>
      <x:c r="D106" s="262" t="n">
        <x:v>46120.851689814815</x:v>
      </x:c>
      <x:c r="E106" s="259" t="n">
        <x:v>46120.166666666664</x:v>
      </x:c>
      <x:c r="F106" s="253" t="str">
        <x:v>595266</x:v>
      </x:c>
      <x:c r="G106" s="253" t="str">
        <x:v>macklen90</x:v>
      </x:c>
      <x:c r="H106" s="253" t="str">
        <x:v>Yes</x:v>
      </x:c>
      <x:c r="I106" s="253" t="str">
        <x:v>Sheena</x:v>
      </x:c>
      <x:c r="J106" s="253" t="str">
        <x:v>Sheena</x:v>
      </x:c>
      <x:c r="K106" s="259" t="n">
        <x:v>45964.166666666664</x:v>
      </x:c>
      <x:c r="L106" s="268" t="str">
        <x:f>IFERROR(VLOOKUP(I106,'Handler-Team Map'!$A$7:$C$17,2,FALSE),"")</x:f>
      </x:c>
      <x:c r="M106" s="268" t="str">
        <x:f>IFERROR(VLOOKUP(I106,'Handler-Team Map'!$A$7:$C$17,3,FALSE),"")</x:f>
      </x:c>
      <x:c r="N106" s="274" t="str">
        <x:v>FT_VM_DEP700_GET300_2X</x:v>
      </x:c>
      <x:c r="O106" s="274" t="str">
        <x:v>VIP BONUS - Deposit 700 Get 300 - 2x TO</x:v>
      </x:c>
      <x:c r="P106" s="274" t="str">
        <x:v>DepositBonus</x:v>
      </x:c>
      <x:c r="Q106" s="274" t="str">
        <x:v>Approved</x:v>
      </x:c>
      <x:c r="R106" s="265" t="n">
        <x:v>300</x:v>
      </x:c>
      <x:c r="S106" s="253" t="str">
        <x:v>Yes</x:v>
      </x:c>
      <x:c r="T106" s="265" t="n">
        <x:v>3043</x:v>
      </x:c>
      <x:c r="U106" s="253" t="str">
        <x:f>IF(AND(S106="Yes",T106=0),"Yes","No")</x:f>
        <x:v>No</x:v>
      </x:c>
      <x:c r="V106" s="253" t="str">
        <x:v>Yes</x:v>
      </x:c>
      <x:c r="W106" s="253" t="str">
        <x:v>Yes</x:v>
      </x:c>
      <x:c r="X106" s="259" t="n">
        <x:v>46120.166666666664</x:v>
      </x:c>
      <x:c r="Y106" s="265" t="n">
        <x:v>700</x:v>
      </x:c>
      <x:c r="Z106" s="265" t="n">
        <x:v>700</x:v>
      </x:c>
      <x:c r="AA106" s="253" t="str">
        <x:f>IF(V106="No","Maturing",IF(AND(U106="Yes",Y106&gt;0),"Yes","No"))</x:f>
        <x:v>No</x:v>
      </x:c>
      <x:c r="AB106" s="253" t="str">
        <x:f>IF(W106="No","Maturing",IF(AND(U106="Yes",Z106&gt;0),"Yes","No"))</x:f>
        <x:v>No</x:v>
      </x:c>
      <x:c r="AC106" s="265" t="n">
        <x:v>-1306.83</x:v>
      </x:c>
      <x:c r="AD106" s="265" t="n">
        <x:v>-1306.83</x:v>
      </x:c>
      <x:c r="AE106" s="271" t="str"/>
      <x:c r="AF106" s="274" t="str">
        <x:v>Not validated - no control/holdout</x:v>
      </x:c>
      <x:c r="AG106" s="277" t="str">
        <x:v>Recovered execution only; assignment date and unclaimed-offer denominator unavailable</x:v>
      </x:c>
    </x:row>
    <x:row r="107">
      <x:c r="A107" s="252" t="str">
        <x:v>33822240</x:v>
      </x:c>
      <x:c r="B107" s="253" t="str">
        <x:v>WS1</x:v>
      </x:c>
      <x:c r="C107" s="253" t="str">
        <x:v>MB8</x:v>
      </x:c>
      <x:c r="D107" s="262" t="n">
        <x:v>46120.86895833333</x:v>
      </x:c>
      <x:c r="E107" s="259" t="n">
        <x:v>46120.166666666664</x:v>
      </x:c>
      <x:c r="F107" s="253" t="str">
        <x:v>587328</x:v>
      </x:c>
      <x:c r="G107" s="253" t="str">
        <x:v>momiji123</x:v>
      </x:c>
      <x:c r="H107" s="253" t="str">
        <x:v>Yes</x:v>
      </x:c>
      <x:c r="I107" s="253" t="str">
        <x:v>zhen</x:v>
      </x:c>
      <x:c r="J107" s="253" t="str">
        <x:v>zhen</x:v>
      </x:c>
      <x:c r="K107" s="259" t="n">
        <x:v>45922.166666666664</x:v>
      </x:c>
      <x:c r="L107" s="268" t="str">
        <x:f>IFERROR(VLOOKUP(I107,'Handler-Team Map'!$A$7:$C$17,2,FALSE),"")</x:f>
      </x:c>
      <x:c r="M107" s="268" t="str">
        <x:f>IFERROR(VLOOKUP(I107,'Handler-Team Map'!$A$7:$C$17,3,FALSE),"")</x:f>
      </x:c>
      <x:c r="N107" s="274" t="str">
        <x:v>FT_VM_DEP1000_GET500_5X</x:v>
      </x:c>
      <x:c r="O107" s="274" t="str">
        <x:v>VIP BONUS - Deposit 1000 Get 500 - 5x TO</x:v>
      </x:c>
      <x:c r="P107" s="274" t="str">
        <x:v>DepositBonus</x:v>
      </x:c>
      <x:c r="Q107" s="274" t="str">
        <x:v>Approved</x:v>
      </x:c>
      <x:c r="R107" s="265" t="n">
        <x:v>500</x:v>
      </x:c>
      <x:c r="S107" s="253" t="str">
        <x:v>Yes</x:v>
      </x:c>
      <x:c r="T107" s="265" t="n">
        <x:v>6596</x:v>
      </x:c>
      <x:c r="U107" s="253" t="str">
        <x:f>IF(AND(S107="Yes",T107=0),"Yes","No")</x:f>
        <x:v>No</x:v>
      </x:c>
      <x:c r="V107" s="253" t="str">
        <x:v>Yes</x:v>
      </x:c>
      <x:c r="W107" s="253" t="str">
        <x:v>Yes</x:v>
      </x:c>
      <x:c r="X107" s="259" t="n">
        <x:v>46120.166666666664</x:v>
      </x:c>
      <x:c r="Y107" s="265" t="n">
        <x:v>2500</x:v>
      </x:c>
      <x:c r="Z107" s="265" t="n">
        <x:v>2500</x:v>
      </x:c>
      <x:c r="AA107" s="253" t="str">
        <x:f>IF(V107="No","Maturing",IF(AND(U107="Yes",Y107&gt;0),"Yes","No"))</x:f>
        <x:v>No</x:v>
      </x:c>
      <x:c r="AB107" s="253" t="str">
        <x:f>IF(W107="No","Maturing",IF(AND(U107="Yes",Z107&gt;0),"Yes","No"))</x:f>
        <x:v>No</x:v>
      </x:c>
      <x:c r="AC107" s="265" t="n">
        <x:v>-499.99</x:v>
      </x:c>
      <x:c r="AD107" s="265" t="n">
        <x:v>-500</x:v>
      </x:c>
      <x:c r="AE107" s="271" t="str"/>
      <x:c r="AF107" s="274" t="str">
        <x:v>Not validated - no control/holdout</x:v>
      </x:c>
      <x:c r="AG107" s="277" t="str">
        <x:v>Recovered execution only; assignment date and unclaimed-offer denominator unavailable</x:v>
      </x:c>
    </x:row>
    <x:row r="108">
      <x:c r="A108" s="252" t="str">
        <x:v>33823689</x:v>
      </x:c>
      <x:c r="B108" s="253" t="str">
        <x:v>WS1</x:v>
      </x:c>
      <x:c r="C108" s="253" t="str">
        <x:v>MB8</x:v>
      </x:c>
      <x:c r="D108" s="262" t="n">
        <x:v>46120.95046296297</x:v>
      </x:c>
      <x:c r="E108" s="259" t="n">
        <x:v>46120.166666666664</x:v>
      </x:c>
      <x:c r="F108" s="253" t="str">
        <x:v>1199122</x:v>
      </x:c>
      <x:c r="G108" s="253" t="str">
        <x:v>ROMI18</x:v>
      </x:c>
      <x:c r="H108" s="253" t="str">
        <x:v>Yes</x:v>
      </x:c>
      <x:c r="I108" s="253" t="str"/>
      <x:c r="J108" s="253" t="str"/>
      <x:c r="K108" s="259"/>
      <x:c r="L108" s="268" t="str">
        <x:f>IFERROR(VLOOKUP(I108,'Handler-Team Map'!$A$7:$C$17,2,FALSE),"")</x:f>
      </x:c>
      <x:c r="M108" s="268" t="str">
        <x:f>IFERROR(VLOOKUP(I108,'Handler-Team Map'!$A$7:$C$17,3,FALSE),"")</x:f>
      </x:c>
      <x:c r="N108" s="274" t="str">
        <x:v>FT_VM_DEP600_GET200_5X</x:v>
      </x:c>
      <x:c r="O108" s="274" t="str">
        <x:v>VIP BONUS - Deposit 600 Get 200 - 5x TO</x:v>
      </x:c>
      <x:c r="P108" s="274" t="str">
        <x:v>DepositBonus</x:v>
      </x:c>
      <x:c r="Q108" s="274" t="str">
        <x:v>Approved</x:v>
      </x:c>
      <x:c r="R108" s="265" t="n">
        <x:v>200</x:v>
      </x:c>
      <x:c r="S108" s="253" t="str">
        <x:v>Yes</x:v>
      </x:c>
      <x:c r="T108" s="265" t="n">
        <x:v>7014.27</x:v>
      </x:c>
      <x:c r="U108" s="253" t="str">
        <x:f>IF(AND(S108="Yes",T108=0),"Yes","No")</x:f>
        <x:v>No</x:v>
      </x:c>
      <x:c r="V108" s="253" t="str">
        <x:v>Yes</x:v>
      </x:c>
      <x:c r="W108" s="253" t="str">
        <x:v>Yes</x:v>
      </x:c>
      <x:c r="X108" s="259" t="n">
        <x:v>46120.166666666664</x:v>
      </x:c>
      <x:c r="Y108" s="265" t="n">
        <x:v>600</x:v>
      </x:c>
      <x:c r="Z108" s="265" t="n">
        <x:v>600</x:v>
      </x:c>
      <x:c r="AA108" s="253" t="str">
        <x:f>IF(V108="No","Maturing",IF(AND(U108="Yes",Y108&gt;0),"Yes","No"))</x:f>
        <x:v>No</x:v>
      </x:c>
      <x:c r="AB108" s="253" t="str">
        <x:f>IF(W108="No","Maturing",IF(AND(U108="Yes",Z108&gt;0),"Yes","No"))</x:f>
        <x:v>No</x:v>
      </x:c>
      <x:c r="AC108" s="265" t="n">
        <x:v>603.46</x:v>
      </x:c>
      <x:c r="AD108" s="265" t="n">
        <x:v>603.46</x:v>
      </x:c>
      <x:c r="AE108" s="271" t="str"/>
      <x:c r="AF108" s="274" t="str">
        <x:v>Not validated - no control/holdout</x:v>
      </x:c>
      <x:c r="AG108" s="277" t="str">
        <x:v>Recovered execution only; assignment date and unclaimed-offer denominator unavailable</x:v>
      </x:c>
    </x:row>
    <x:row r="109">
      <x:c r="A109" s="252" t="str">
        <x:v>33823881</x:v>
      </x:c>
      <x:c r="B109" s="253" t="str">
        <x:v>WS1</x:v>
      </x:c>
      <x:c r="C109" s="253" t="str">
        <x:v>MB8</x:v>
      </x:c>
      <x:c r="D109" s="262" t="n">
        <x:v>46120.95893518518</x:v>
      </x:c>
      <x:c r="E109" s="259" t="n">
        <x:v>46120.166666666664</x:v>
      </x:c>
      <x:c r="F109" s="253" t="str">
        <x:v>815421</x:v>
      </x:c>
      <x:c r="G109" s="253" t="str">
        <x:v>skyhow</x:v>
      </x:c>
      <x:c r="H109" s="253" t="str">
        <x:v>Yes</x:v>
      </x:c>
      <x:c r="I109" s="253" t="str"/>
      <x:c r="J109" s="253" t="str"/>
      <x:c r="K109" s="259"/>
      <x:c r="L109" s="268" t="str">
        <x:f>IFERROR(VLOOKUP(I109,'Handler-Team Map'!$A$7:$C$17,2,FALSE),"")</x:f>
      </x:c>
      <x:c r="M109" s="268" t="str">
        <x:f>IFERROR(VLOOKUP(I109,'Handler-Team Map'!$A$7:$C$17,3,FALSE),"")</x:f>
      </x:c>
      <x:c r="N109" s="274" t="str">
        <x:v>FT_VM_DEP800_GET400_2X</x:v>
      </x:c>
      <x:c r="O109" s="274" t="str">
        <x:v>VIP BONUS - Deposit 800 Get 400 - 2x TO</x:v>
      </x:c>
      <x:c r="P109" s="274" t="str">
        <x:v>DepositBonus</x:v>
      </x:c>
      <x:c r="Q109" s="274" t="str">
        <x:v>Approved</x:v>
      </x:c>
      <x:c r="R109" s="265" t="n">
        <x:v>400</x:v>
      </x:c>
      <x:c r="S109" s="253" t="str">
        <x:v>Yes</x:v>
      </x:c>
      <x:c r="T109" s="265" t="n">
        <x:v>1200</x:v>
      </x:c>
      <x:c r="U109" s="253" t="str">
        <x:f>IF(AND(S109="Yes",T109=0),"Yes","No")</x:f>
        <x:v>No</x:v>
      </x:c>
      <x:c r="V109" s="253" t="str">
        <x:v>Yes</x:v>
      </x:c>
      <x:c r="W109" s="253" t="str">
        <x:v>Yes</x:v>
      </x:c>
      <x:c r="X109" s="259" t="n">
        <x:v>46120.166666666664</x:v>
      </x:c>
      <x:c r="Y109" s="265" t="n">
        <x:v>890</x:v>
      </x:c>
      <x:c r="Z109" s="265" t="n">
        <x:v>890</x:v>
      </x:c>
      <x:c r="AA109" s="253" t="str">
        <x:f>IF(V109="No","Maturing",IF(AND(U109="Yes",Y109&gt;0),"Yes","No"))</x:f>
        <x:v>No</x:v>
      </x:c>
      <x:c r="AB109" s="253" t="str">
        <x:f>IF(W109="No","Maturing",IF(AND(U109="Yes",Z109&gt;0),"Yes","No"))</x:f>
        <x:v>No</x:v>
      </x:c>
      <x:c r="AC109" s="265" t="n">
        <x:v>321.81</x:v>
      </x:c>
      <x:c r="AD109" s="265" t="n">
        <x:v>321.81</x:v>
      </x:c>
      <x:c r="AE109" s="271" t="str"/>
      <x:c r="AF109" s="274" t="str">
        <x:v>Not validated - no control/holdout</x:v>
      </x:c>
      <x:c r="AG109" s="277" t="str">
        <x:v>Recovered execution only; assignment date and unclaimed-offer denominator unavailable</x:v>
      </x:c>
    </x:row>
    <x:row r="110">
      <x:c r="A110" s="252" t="str">
        <x:v>33829448</x:v>
      </x:c>
      <x:c r="B110" s="253" t="str">
        <x:v>WS1</x:v>
      </x:c>
      <x:c r="C110" s="253" t="str">
        <x:v>MB8</x:v>
      </x:c>
      <x:c r="D110" s="262" t="n">
        <x:v>46121.53304398148</x:v>
      </x:c>
      <x:c r="E110" s="259" t="n">
        <x:v>46121.166666666664</x:v>
      </x:c>
      <x:c r="F110" s="253" t="str">
        <x:v>815519</x:v>
      </x:c>
      <x:c r="G110" s="253" t="str">
        <x:v>Mac1228</x:v>
      </x:c>
      <x:c r="H110" s="253" t="str">
        <x:v>Yes</x:v>
      </x:c>
      <x:c r="I110" s="253" t="str">
        <x:v>Tammy</x:v>
      </x:c>
      <x:c r="J110" s="253" t="str">
        <x:v>Tammy</x:v>
      </x:c>
      <x:c r="K110" s="259" t="n">
        <x:v>45951.166666666664</x:v>
      </x:c>
      <x:c r="L110" s="268" t="str">
        <x:f>IFERROR(VLOOKUP(I110,'Handler-Team Map'!$A$7:$C$17,2,FALSE),"")</x:f>
      </x:c>
      <x:c r="M110" s="268" t="str">
        <x:f>IFERROR(VLOOKUP(I110,'Handler-Team Map'!$A$7:$C$17,3,FALSE),"")</x:f>
      </x:c>
      <x:c r="N110" s="274" t="str">
        <x:v>FT_VM_DEP1000_GET500_5X</x:v>
      </x:c>
      <x:c r="O110" s="274" t="str">
        <x:v>VIP BONUS - Deposit 1000 Get 500 - 5x TO</x:v>
      </x:c>
      <x:c r="P110" s="274" t="str">
        <x:v>DepositBonus</x:v>
      </x:c>
      <x:c r="Q110" s="274" t="str">
        <x:v>Approved</x:v>
      </x:c>
      <x:c r="R110" s="265" t="n">
        <x:v>500</x:v>
      </x:c>
      <x:c r="S110" s="253" t="str">
        <x:v>Yes</x:v>
      </x:c>
      <x:c r="T110" s="265" t="n">
        <x:v>36900</x:v>
      </x:c>
      <x:c r="U110" s="253" t="str">
        <x:f>IF(AND(S110="Yes",T110=0),"Yes","No")</x:f>
        <x:v>No</x:v>
      </x:c>
      <x:c r="V110" s="253" t="str">
        <x:v>Yes</x:v>
      </x:c>
      <x:c r="W110" s="253" t="str">
        <x:v>Yes</x:v>
      </x:c>
      <x:c r="X110" s="259" t="n">
        <x:v>46121.166666666664</x:v>
      </x:c>
      <x:c r="Y110" s="265" t="n">
        <x:v>3400</x:v>
      </x:c>
      <x:c r="Z110" s="265" t="n">
        <x:v>4600</x:v>
      </x:c>
      <x:c r="AA110" s="253" t="str">
        <x:f>IF(V110="No","Maturing",IF(AND(U110="Yes",Y110&gt;0),"Yes","No"))</x:f>
        <x:v>No</x:v>
      </x:c>
      <x:c r="AB110" s="253" t="str">
        <x:f>IF(W110="No","Maturing",IF(AND(U110="Yes",Z110&gt;0),"Yes","No"))</x:f>
        <x:v>No</x:v>
      </x:c>
      <x:c r="AC110" s="265" t="n">
        <x:v>3401.01</x:v>
      </x:c>
      <x:c r="AD110" s="265" t="n">
        <x:v>4590.16</x:v>
      </x:c>
      <x:c r="AE110" s="271" t="str"/>
      <x:c r="AF110" s="274" t="str">
        <x:v>Not validated - no control/holdout</x:v>
      </x:c>
      <x:c r="AG110" s="277" t="str">
        <x:v>Recovered execution only; assignment date and unclaimed-offer denominator unavailable</x:v>
      </x:c>
    </x:row>
    <x:row r="111">
      <x:c r="A111" s="252" t="str">
        <x:v>33829592</x:v>
      </x:c>
      <x:c r="B111" s="253" t="str">
        <x:v>WS1</x:v>
      </x:c>
      <x:c r="C111" s="253" t="str">
        <x:v>MB8</x:v>
      </x:c>
      <x:c r="D111" s="262" t="n">
        <x:v>46121.54791666667</x:v>
      </x:c>
      <x:c r="E111" s="259" t="n">
        <x:v>46121.166666666664</x:v>
      </x:c>
      <x:c r="F111" s="253" t="str">
        <x:v>647438</x:v>
      </x:c>
      <x:c r="G111" s="253" t="str">
        <x:v>seng0911</x:v>
      </x:c>
      <x:c r="H111" s="253" t="str">
        <x:v>Yes</x:v>
      </x:c>
      <x:c r="I111" s="253" t="str">
        <x:v>Christy</x:v>
      </x:c>
      <x:c r="J111" s="253" t="str">
        <x:v>Christy</x:v>
      </x:c>
      <x:c r="K111" s="259" t="n">
        <x:v>45859.166666666664</x:v>
      </x:c>
      <x:c r="L111" s="268" t="str">
        <x:f>IFERROR(VLOOKUP(I111,'Handler-Team Map'!$A$7:$C$17,2,FALSE),"")</x:f>
      </x:c>
      <x:c r="M111" s="268" t="str">
        <x:f>IFERROR(VLOOKUP(I111,'Handler-Team Map'!$A$7:$C$17,3,FALSE),"")</x:f>
      </x:c>
      <x:c r="N111" s="274" t="str">
        <x:v>FT_VM_DEP700_GET300_2X</x:v>
      </x:c>
      <x:c r="O111" s="274" t="str">
        <x:v>VIP BONUS - Deposit 700 Get 300 - 2x TO</x:v>
      </x:c>
      <x:c r="P111" s="274" t="str">
        <x:v>DepositBonus</x:v>
      </x:c>
      <x:c r="Q111" s="274" t="str">
        <x:v>Approved</x:v>
      </x:c>
      <x:c r="R111" s="265" t="n">
        <x:v>300</x:v>
      </x:c>
      <x:c r="S111" s="253" t="str">
        <x:v>Yes</x:v>
      </x:c>
      <x:c r="T111" s="265" t="n">
        <x:v>60</x:v>
      </x:c>
      <x:c r="U111" s="253" t="str">
        <x:f>IF(AND(S111="Yes",T111=0),"Yes","No")</x:f>
        <x:v>No</x:v>
      </x:c>
      <x:c r="V111" s="253" t="str">
        <x:v>Yes</x:v>
      </x:c>
      <x:c r="W111" s="253" t="str">
        <x:v>Yes</x:v>
      </x:c>
      <x:c r="X111" s="259" t="n">
        <x:v>46121.166666666664</x:v>
      </x:c>
      <x:c r="Y111" s="265" t="n">
        <x:v>700</x:v>
      </x:c>
      <x:c r="Z111" s="265" t="n">
        <x:v>900</x:v>
      </x:c>
      <x:c r="AA111" s="253" t="str">
        <x:f>IF(V111="No","Maturing",IF(AND(U111="Yes",Y111&gt;0),"Yes","No"))</x:f>
        <x:v>No</x:v>
      </x:c>
      <x:c r="AB111" s="253" t="str">
        <x:f>IF(W111="No","Maturing",IF(AND(U111="Yes",Z111&gt;0),"Yes","No"))</x:f>
        <x:v>No</x:v>
      </x:c>
      <x:c r="AC111" s="265" t="n">
        <x:v>-35</x:v>
      </x:c>
      <x:c r="AD111" s="265" t="n">
        <x:v>-155.58</x:v>
      </x:c>
      <x:c r="AE111" s="271" t="str"/>
      <x:c r="AF111" s="274" t="str">
        <x:v>Not validated - no control/holdout</x:v>
      </x:c>
      <x:c r="AG111" s="277" t="str">
        <x:v>Recovered execution only; assignment date and unclaimed-offer denominator unavailable</x:v>
      </x:c>
    </x:row>
    <x:row r="112">
      <x:c r="A112" s="252" t="str">
        <x:v>33830824</x:v>
      </x:c>
      <x:c r="B112" s="253" t="str">
        <x:v>WS1</x:v>
      </x:c>
      <x:c r="C112" s="253" t="str">
        <x:v>MB8</x:v>
      </x:c>
      <x:c r="D112" s="262" t="n">
        <x:v>46121.66484953704</x:v>
      </x:c>
      <x:c r="E112" s="259" t="n">
        <x:v>46121.166666666664</x:v>
      </x:c>
      <x:c r="F112" s="253" t="str">
        <x:v>666090</x:v>
      </x:c>
      <x:c r="G112" s="253" t="str">
        <x:v>Anthony1</x:v>
      </x:c>
      <x:c r="H112" s="253" t="str">
        <x:v>Yes</x:v>
      </x:c>
      <x:c r="I112" s="253" t="str">
        <x:v>Mikki</x:v>
      </x:c>
      <x:c r="J112" s="253" t="str">
        <x:v>Mikki</x:v>
      </x:c>
      <x:c r="K112" s="259" t="n">
        <x:v>45993.166666666664</x:v>
      </x:c>
      <x:c r="L112" s="268" t="str">
        <x:f>IFERROR(VLOOKUP(I112,'Handler-Team Map'!$A$7:$C$17,2,FALSE),"")</x:f>
      </x:c>
      <x:c r="M112" s="268" t="str">
        <x:f>IFERROR(VLOOKUP(I112,'Handler-Team Map'!$A$7:$C$17,3,FALSE),"")</x:f>
      </x:c>
      <x:c r="N112" s="274" t="str">
        <x:v>FT_VM_DEP600_GET200_5X</x:v>
      </x:c>
      <x:c r="O112" s="274" t="str">
        <x:v>VIP BONUS - Deposit 600 Get 200 - 5x TO</x:v>
      </x:c>
      <x:c r="P112" s="274" t="str">
        <x:v>DepositBonus</x:v>
      </x:c>
      <x:c r="Q112" s="274" t="str">
        <x:v>Approved</x:v>
      </x:c>
      <x:c r="R112" s="265" t="n">
        <x:v>200</x:v>
      </x:c>
      <x:c r="S112" s="253" t="str">
        <x:v>Yes</x:v>
      </x:c>
      <x:c r="T112" s="265" t="n">
        <x:v>3320</x:v>
      </x:c>
      <x:c r="U112" s="253" t="str">
        <x:f>IF(AND(S112="Yes",T112=0),"Yes","No")</x:f>
        <x:v>No</x:v>
      </x:c>
      <x:c r="V112" s="253" t="str">
        <x:v>Yes</x:v>
      </x:c>
      <x:c r="W112" s="253" t="str">
        <x:v>Yes</x:v>
      </x:c>
      <x:c r="X112" s="259" t="n">
        <x:v>46121.166666666664</x:v>
      </x:c>
      <x:c r="Y112" s="265" t="n">
        <x:v>1000</x:v>
      </x:c>
      <x:c r="Z112" s="265" t="n">
        <x:v>2600</x:v>
      </x:c>
      <x:c r="AA112" s="253" t="str">
        <x:f>IF(V112="No","Maturing",IF(AND(U112="Yes",Y112&gt;0),"Yes","No"))</x:f>
        <x:v>No</x:v>
      </x:c>
      <x:c r="AB112" s="253" t="str">
        <x:f>IF(W112="No","Maturing",IF(AND(U112="Yes",Z112&gt;0),"Yes","No"))</x:f>
        <x:v>No</x:v>
      </x:c>
      <x:c r="AC112" s="265" t="n">
        <x:v>-1233.59</x:v>
      </x:c>
      <x:c r="AD112" s="265" t="n">
        <x:v>-848.01</x:v>
      </x:c>
      <x:c r="AE112" s="271" t="str"/>
      <x:c r="AF112" s="274" t="str">
        <x:v>Not validated - no control/holdout</x:v>
      </x:c>
      <x:c r="AG112" s="277" t="str">
        <x:v>Recovered execution only; assignment date and unclaimed-offer denominator unavailable</x:v>
      </x:c>
    </x:row>
    <x:row r="113">
      <x:c r="A113" s="252" t="str">
        <x:v>33831328</x:v>
      </x:c>
      <x:c r="B113" s="253" t="str">
        <x:v>WS1</x:v>
      </x:c>
      <x:c r="C113" s="253" t="str">
        <x:v>MB8</x:v>
      </x:c>
      <x:c r="D113" s="262" t="n">
        <x:v>46121.70159722222</x:v>
      </x:c>
      <x:c r="E113" s="259" t="n">
        <x:v>46121.166666666664</x:v>
      </x:c>
      <x:c r="F113" s="253" t="str">
        <x:v>676093</x:v>
      </x:c>
      <x:c r="G113" s="253" t="str">
        <x:v>Chiaw</x:v>
      </x:c>
      <x:c r="H113" s="253" t="str">
        <x:v>Yes</x:v>
      </x:c>
      <x:c r="I113" s="253" t="str">
        <x:v>Christy</x:v>
      </x:c>
      <x:c r="J113" s="253" t="str">
        <x:v>Christy</x:v>
      </x:c>
      <x:c r="K113" s="259" t="n">
        <x:v>45831.166666666664</x:v>
      </x:c>
      <x:c r="L113" s="268" t="str">
        <x:f>IFERROR(VLOOKUP(I113,'Handler-Team Map'!$A$7:$C$17,2,FALSE),"")</x:f>
      </x:c>
      <x:c r="M113" s="268" t="str">
        <x:f>IFERROR(VLOOKUP(I113,'Handler-Team Map'!$A$7:$C$17,3,FALSE),"")</x:f>
      </x:c>
      <x:c r="N113" s="274" t="str">
        <x:v>FT_VM_DEP1000_GET700_1X</x:v>
      </x:c>
      <x:c r="O113" s="274" t="str">
        <x:v>VIP BONUS - Deposit 1000 Get 700 - 1x TO</x:v>
      </x:c>
      <x:c r="P113" s="274" t="str">
        <x:v>DepositBonus</x:v>
      </x:c>
      <x:c r="Q113" s="274" t="str">
        <x:v>Approved</x:v>
      </x:c>
      <x:c r="R113" s="265" t="n">
        <x:v>700</x:v>
      </x:c>
      <x:c r="S113" s="253" t="str">
        <x:v>Yes</x:v>
      </x:c>
      <x:c r="T113" s="265" t="n">
        <x:v>6050</x:v>
      </x:c>
      <x:c r="U113" s="253" t="str">
        <x:f>IF(AND(S113="Yes",T113=0),"Yes","No")</x:f>
        <x:v>No</x:v>
      </x:c>
      <x:c r="V113" s="253" t="str">
        <x:v>Yes</x:v>
      </x:c>
      <x:c r="W113" s="253" t="str">
        <x:v>Yes</x:v>
      </x:c>
      <x:c r="X113" s="259" t="n">
        <x:v>46121.166666666664</x:v>
      </x:c>
      <x:c r="Y113" s="265" t="n">
        <x:v>13750</x:v>
      </x:c>
      <x:c r="Z113" s="265" t="n">
        <x:v>15270</x:v>
      </x:c>
      <x:c r="AA113" s="253" t="str">
        <x:f>IF(V113="No","Maturing",IF(AND(U113="Yes",Y113&gt;0),"Yes","No"))</x:f>
        <x:v>No</x:v>
      </x:c>
      <x:c r="AB113" s="253" t="str">
        <x:f>IF(W113="No","Maturing",IF(AND(U113="Yes",Z113&gt;0),"Yes","No"))</x:f>
        <x:v>No</x:v>
      </x:c>
      <x:c r="AC113" s="265" t="n">
        <x:v>1326.03</x:v>
      </x:c>
      <x:c r="AD113" s="265" t="n">
        <x:v>2846.11</x:v>
      </x:c>
      <x:c r="AE113" s="271" t="str"/>
      <x:c r="AF113" s="274" t="str">
        <x:v>Not validated - no control/holdout</x:v>
      </x:c>
      <x:c r="AG113" s="277" t="str">
        <x:v>Recovered execution only; assignment date and unclaimed-offer denominator unavailable</x:v>
      </x:c>
    </x:row>
    <x:row r="114">
      <x:c r="A114" s="252" t="str">
        <x:v>33831583</x:v>
      </x:c>
      <x:c r="B114" s="253" t="str">
        <x:v>WS1</x:v>
      </x:c>
      <x:c r="C114" s="253" t="str">
        <x:v>MB8</x:v>
      </x:c>
      <x:c r="D114" s="262" t="n">
        <x:v>46121.71928240741</x:v>
      </x:c>
      <x:c r="E114" s="259" t="n">
        <x:v>46121.166666666664</x:v>
      </x:c>
      <x:c r="F114" s="253" t="str">
        <x:v>808641</x:v>
      </x:c>
      <x:c r="G114" s="253" t="str">
        <x:v>manlisa75</x:v>
      </x:c>
      <x:c r="H114" s="253" t="str">
        <x:v>Yes</x:v>
      </x:c>
      <x:c r="I114" s="253" t="str">
        <x:v>Kam</x:v>
      </x:c>
      <x:c r="J114" s="253" t="str">
        <x:v>Kam</x:v>
      </x:c>
      <x:c r="K114" s="259" t="n">
        <x:v>45817.166666666664</x:v>
      </x:c>
      <x:c r="L114" s="268" t="str">
        <x:f>IFERROR(VLOOKUP(I114,'Handler-Team Map'!$A$7:$C$17,2,FALSE),"")</x:f>
      </x:c>
      <x:c r="M114" s="268" t="str">
        <x:f>IFERROR(VLOOKUP(I114,'Handler-Team Map'!$A$7:$C$17,3,FALSE),"")</x:f>
      </x:c>
      <x:c r="N114" s="274" t="str">
        <x:v>FT_VM_DEP600_GET200_5X</x:v>
      </x:c>
      <x:c r="O114" s="274" t="str">
        <x:v>VIP BONUS - Deposit 600 Get 200 - 5x TO</x:v>
      </x:c>
      <x:c r="P114" s="274" t="str">
        <x:v>DepositBonus</x:v>
      </x:c>
      <x:c r="Q114" s="274" t="str">
        <x:v>Approved</x:v>
      </x:c>
      <x:c r="R114" s="265" t="n">
        <x:v>200</x:v>
      </x:c>
      <x:c r="S114" s="253" t="str">
        <x:v>Yes</x:v>
      </x:c>
      <x:c r="T114" s="265" t="n">
        <x:v>470250</x:v>
      </x:c>
      <x:c r="U114" s="253" t="str">
        <x:f>IF(AND(S114="Yes",T114=0),"Yes","No")</x:f>
        <x:v>No</x:v>
      </x:c>
      <x:c r="V114" s="253" t="str">
        <x:v>Yes</x:v>
      </x:c>
      <x:c r="W114" s="253" t="str">
        <x:v>Yes</x:v>
      </x:c>
      <x:c r="X114" s="259" t="n">
        <x:v>46121.166666666664</x:v>
      </x:c>
      <x:c r="Y114" s="265" t="n">
        <x:v>117600</x:v>
      </x:c>
      <x:c r="Z114" s="265" t="n">
        <x:v>147760</x:v>
      </x:c>
      <x:c r="AA114" s="253" t="str">
        <x:f>IF(V114="No","Maturing",IF(AND(U114="Yes",Y114&gt;0),"Yes","No"))</x:f>
        <x:v>No</x:v>
      </x:c>
      <x:c r="AB114" s="253" t="str">
        <x:f>IF(W114="No","Maturing",IF(AND(U114="Yes",Z114&gt;0),"Yes","No"))</x:f>
        <x:v>No</x:v>
      </x:c>
      <x:c r="AC114" s="265" t="n">
        <x:v>87478.5</x:v>
      </x:c>
      <x:c r="AD114" s="265" t="n">
        <x:v>63061.62</x:v>
      </x:c>
      <x:c r="AE114" s="271" t="str"/>
      <x:c r="AF114" s="274" t="str">
        <x:v>Not validated - no control/holdout</x:v>
      </x:c>
      <x:c r="AG114" s="277" t="str">
        <x:v>Recovered execution only; assignment date and unclaimed-offer denominator unavailable</x:v>
      </x:c>
    </x:row>
    <x:row r="115">
      <x:c r="A115" s="252" t="str">
        <x:v>33832241</x:v>
      </x:c>
      <x:c r="B115" s="253" t="str">
        <x:v>WS1</x:v>
      </x:c>
      <x:c r="C115" s="253" t="str">
        <x:v>MB8</x:v>
      </x:c>
      <x:c r="D115" s="262" t="n">
        <x:v>46121.770902777775</x:v>
      </x:c>
      <x:c r="E115" s="259" t="n">
        <x:v>46121.166666666664</x:v>
      </x:c>
      <x:c r="F115" s="253" t="str">
        <x:v>552057</x:v>
      </x:c>
      <x:c r="G115" s="253" t="str">
        <x:v>jackie888</x:v>
      </x:c>
      <x:c r="H115" s="253" t="str">
        <x:v>Yes</x:v>
      </x:c>
      <x:c r="I115" s="253" t="str">
        <x:v>zhen</x:v>
      </x:c>
      <x:c r="J115" s="253" t="str">
        <x:v>zhen</x:v>
      </x:c>
      <x:c r="K115" s="259" t="n">
        <x:v>45985.166666666664</x:v>
      </x:c>
      <x:c r="L115" s="268" t="str">
        <x:f>IFERROR(VLOOKUP(I115,'Handler-Team Map'!$A$7:$C$17,2,FALSE),"")</x:f>
      </x:c>
      <x:c r="M115" s="268" t="str">
        <x:f>IFERROR(VLOOKUP(I115,'Handler-Team Map'!$A$7:$C$17,3,FALSE),"")</x:f>
      </x:c>
      <x:c r="N115" s="274" t="str">
        <x:v>FT_VM_DEP1000_GET500_5X</x:v>
      </x:c>
      <x:c r="O115" s="274" t="str">
        <x:v>VIP BONUS - Deposit 1000 Get 500 - 5x TO</x:v>
      </x:c>
      <x:c r="P115" s="274" t="str">
        <x:v>DepositBonus</x:v>
      </x:c>
      <x:c r="Q115" s="274" t="str">
        <x:v>Approved</x:v>
      </x:c>
      <x:c r="R115" s="265" t="n">
        <x:v>500</x:v>
      </x:c>
      <x:c r="S115" s="253" t="str">
        <x:v>Yes</x:v>
      </x:c>
      <x:c r="T115" s="265" t="n">
        <x:v>328500</x:v>
      </x:c>
      <x:c r="U115" s="253" t="str">
        <x:f>IF(AND(S115="Yes",T115=0),"Yes","No")</x:f>
        <x:v>No</x:v>
      </x:c>
      <x:c r="V115" s="253" t="str">
        <x:v>Yes</x:v>
      </x:c>
      <x:c r="W115" s="253" t="str">
        <x:v>Yes</x:v>
      </x:c>
      <x:c r="X115" s="259" t="n">
        <x:v>46121.166666666664</x:v>
      </x:c>
      <x:c r="Y115" s="265" t="n">
        <x:v>64700</x:v>
      </x:c>
      <x:c r="Z115" s="265" t="n">
        <x:v>87400</x:v>
      </x:c>
      <x:c r="AA115" s="253" t="str">
        <x:f>IF(V115="No","Maturing",IF(AND(U115="Yes",Y115&gt;0),"Yes","No"))</x:f>
        <x:v>No</x:v>
      </x:c>
      <x:c r="AB115" s="253" t="str">
        <x:f>IF(W115="No","Maturing",IF(AND(U115="Yes",Z115&gt;0),"Yes","No"))</x:f>
        <x:v>No</x:v>
      </x:c>
      <x:c r="AC115" s="265" t="n">
        <x:v>17835.54</x:v>
      </x:c>
      <x:c r="AD115" s="265" t="n">
        <x:v>40339.5</x:v>
      </x:c>
      <x:c r="AE115" s="271" t="str"/>
      <x:c r="AF115" s="274" t="str">
        <x:v>Not validated - no control/holdout</x:v>
      </x:c>
      <x:c r="AG115" s="277" t="str">
        <x:v>Recovered execution only; assignment date and unclaimed-offer denominator unavailable</x:v>
      </x:c>
    </x:row>
    <x:row r="116">
      <x:c r="A116" s="252" t="str">
        <x:v>33833890</x:v>
      </x:c>
      <x:c r="B116" s="253" t="str">
        <x:v>WS1</x:v>
      </x:c>
      <x:c r="C116" s="253" t="str">
        <x:v>MB8</x:v>
      </x:c>
      <x:c r="D116" s="262" t="n">
        <x:v>46121.89616898148</x:v>
      </x:c>
      <x:c r="E116" s="259" t="n">
        <x:v>46121.166666666664</x:v>
      </x:c>
      <x:c r="F116" s="253" t="str">
        <x:v>1047324</x:v>
      </x:c>
      <x:c r="G116" s="253" t="str">
        <x:v>Tarnish</x:v>
      </x:c>
      <x:c r="H116" s="253" t="str">
        <x:v>Yes</x:v>
      </x:c>
      <x:c r="I116" s="253" t="str">
        <x:v>zhen</x:v>
      </x:c>
      <x:c r="J116" s="253" t="str">
        <x:v>zhen</x:v>
      </x:c>
      <x:c r="K116" s="259" t="n">
        <x:v>45922.166666666664</x:v>
      </x:c>
      <x:c r="L116" s="268" t="str">
        <x:f>IFERROR(VLOOKUP(I116,'Handler-Team Map'!$A$7:$C$17,2,FALSE),"")</x:f>
      </x:c>
      <x:c r="M116" s="268" t="str">
        <x:f>IFERROR(VLOOKUP(I116,'Handler-Team Map'!$A$7:$C$17,3,FALSE),"")</x:f>
      </x:c>
      <x:c r="N116" s="274" t="str">
        <x:v>FT_VM_DEP1000_GET500_5X</x:v>
      </x:c>
      <x:c r="O116" s="274" t="str">
        <x:v>VIP BONUS - Deposit 1000 Get 500 - 5x TO</x:v>
      </x:c>
      <x:c r="P116" s="274" t="str">
        <x:v>DepositBonus</x:v>
      </x:c>
      <x:c r="Q116" s="274" t="str">
        <x:v>Approved</x:v>
      </x:c>
      <x:c r="R116" s="265" t="n">
        <x:v>500</x:v>
      </x:c>
      <x:c r="S116" s="253" t="str">
        <x:v>Yes</x:v>
      </x:c>
      <x:c r="T116" s="265" t="n">
        <x:v>559590</x:v>
      </x:c>
      <x:c r="U116" s="253" t="str">
        <x:f>IF(AND(S116="Yes",T116=0),"Yes","No")</x:f>
        <x:v>No</x:v>
      </x:c>
      <x:c r="V116" s="253" t="str">
        <x:v>Yes</x:v>
      </x:c>
      <x:c r="W116" s="253" t="str">
        <x:v>Yes</x:v>
      </x:c>
      <x:c r="X116" s="259" t="n">
        <x:v>46121.166666666664</x:v>
      </x:c>
      <x:c r="Y116" s="265" t="n">
        <x:v>146350</x:v>
      </x:c>
      <x:c r="Z116" s="265" t="n">
        <x:v>214349</x:v>
      </x:c>
      <x:c r="AA116" s="253" t="str">
        <x:f>IF(V116="No","Maturing",IF(AND(U116="Yes",Y116&gt;0),"Yes","No"))</x:f>
        <x:v>No</x:v>
      </x:c>
      <x:c r="AB116" s="253" t="str">
        <x:f>IF(W116="No","Maturing",IF(AND(U116="Yes",Z116&gt;0),"Yes","No"))</x:f>
        <x:v>No</x:v>
      </x:c>
      <x:c r="AC116" s="265" t="n">
        <x:v>-41847.93</x:v>
      </x:c>
      <x:c r="AD116" s="265" t="n">
        <x:v>-126716.35</x:v>
      </x:c>
      <x:c r="AE116" s="271" t="str"/>
      <x:c r="AF116" s="274" t="str">
        <x:v>Not validated - no control/holdout</x:v>
      </x:c>
      <x:c r="AG116" s="277" t="str">
        <x:v>Recovered execution only; assignment date and unclaimed-offer denominator unavailable</x:v>
      </x:c>
    </x:row>
    <x:row r="117">
      <x:c r="A117" s="252" t="str">
        <x:v>33835301</x:v>
      </x:c>
      <x:c r="B117" s="253" t="str">
        <x:v>WS1</x:v>
      </x:c>
      <x:c r="C117" s="253" t="str">
        <x:v>MB8</x:v>
      </x:c>
      <x:c r="D117" s="262" t="n">
        <x:v>46121.9708912037</x:v>
      </x:c>
      <x:c r="E117" s="259" t="n">
        <x:v>46121.166666666664</x:v>
      </x:c>
      <x:c r="F117" s="253" t="str">
        <x:v>214867</x:v>
      </x:c>
      <x:c r="G117" s="253" t="str">
        <x:v>Brendae</x:v>
      </x:c>
      <x:c r="H117" s="253" t="str">
        <x:v>Yes</x:v>
      </x:c>
      <x:c r="I117" s="253" t="str">
        <x:v>Elda</x:v>
      </x:c>
      <x:c r="J117" s="253" t="str">
        <x:v>Elda</x:v>
      </x:c>
      <x:c r="K117" s="259" t="n">
        <x:v>45790.166666666664</x:v>
      </x:c>
      <x:c r="L117" s="268" t="str">
        <x:f>IFERROR(VLOOKUP(I117,'Handler-Team Map'!$A$7:$C$17,2,FALSE),"")</x:f>
      </x:c>
      <x:c r="M117" s="268" t="str">
        <x:f>IFERROR(VLOOKUP(I117,'Handler-Team Map'!$A$7:$C$17,3,FALSE),"")</x:f>
      </x:c>
      <x:c r="N117" s="274" t="str">
        <x:v>FT_VM_DEP700_GET300_2X</x:v>
      </x:c>
      <x:c r="O117" s="274" t="str">
        <x:v>VIP BONUS - Deposit 700 Get 300 - 2x TO</x:v>
      </x:c>
      <x:c r="P117" s="274" t="str">
        <x:v>DepositBonus</x:v>
      </x:c>
      <x:c r="Q117" s="274" t="str">
        <x:v>Approved</x:v>
      </x:c>
      <x:c r="R117" s="265" t="n">
        <x:v>300</x:v>
      </x:c>
      <x:c r="S117" s="253" t="str">
        <x:v>Yes</x:v>
      </x:c>
      <x:c r="T117" s="265" t="n">
        <x:v>300</x:v>
      </x:c>
      <x:c r="U117" s="253" t="str">
        <x:f>IF(AND(S117="Yes",T117=0),"Yes","No")</x:f>
        <x:v>No</x:v>
      </x:c>
      <x:c r="V117" s="253" t="str">
        <x:v>Yes</x:v>
      </x:c>
      <x:c r="W117" s="253" t="str">
        <x:v>Yes</x:v>
      </x:c>
      <x:c r="X117" s="259" t="n">
        <x:v>46121.166666666664</x:v>
      </x:c>
      <x:c r="Y117" s="265" t="n">
        <x:v>3700</x:v>
      </x:c>
      <x:c r="Z117" s="265" t="n">
        <x:v>4290</x:v>
      </x:c>
      <x:c r="AA117" s="253" t="str">
        <x:f>IF(V117="No","Maturing",IF(AND(U117="Yes",Y117&gt;0),"Yes","No"))</x:f>
        <x:v>No</x:v>
      </x:c>
      <x:c r="AB117" s="253" t="str">
        <x:f>IF(W117="No","Maturing",IF(AND(U117="Yes",Z117&gt;0),"Yes","No"))</x:f>
        <x:v>No</x:v>
      </x:c>
      <x:c r="AC117" s="265" t="n">
        <x:v>-2415.24</x:v>
      </x:c>
      <x:c r="AD117" s="265" t="n">
        <x:v>-3326.78</x:v>
      </x:c>
      <x:c r="AE117" s="271" t="str"/>
      <x:c r="AF117" s="274" t="str">
        <x:v>Not validated - no control/holdout</x:v>
      </x:c>
      <x:c r="AG117" s="277" t="str">
        <x:v>Recovered execution only; assignment date and unclaimed-offer denominator unavailable</x:v>
      </x:c>
    </x:row>
    <x:row r="118">
      <x:c r="A118" s="252" t="str">
        <x:v>33836032</x:v>
      </x:c>
      <x:c r="B118" s="253" t="str">
        <x:v>WS1</x:v>
      </x:c>
      <x:c r="C118" s="253" t="str">
        <x:v>MB8</x:v>
      </x:c>
      <x:c r="D118" s="262" t="n">
        <x:v>46122.0078125</x:v>
      </x:c>
      <x:c r="E118" s="259" t="n">
        <x:v>46122.166666666664</x:v>
      </x:c>
      <x:c r="F118" s="253" t="str">
        <x:v>534007</x:v>
      </x:c>
      <x:c r="G118" s="253" t="str">
        <x:v>sahilyar15</x:v>
      </x:c>
      <x:c r="H118" s="253" t="str">
        <x:v>Yes</x:v>
      </x:c>
      <x:c r="I118" s="253" t="str">
        <x:v>Tammy</x:v>
      </x:c>
      <x:c r="J118" s="253" t="str">
        <x:v>Tammy</x:v>
      </x:c>
      <x:c r="K118" s="259" t="n">
        <x:v>45951.166666666664</x:v>
      </x:c>
      <x:c r="L118" s="268" t="str">
        <x:f>IFERROR(VLOOKUP(I118,'Handler-Team Map'!$A$7:$C$17,2,FALSE),"")</x:f>
      </x:c>
      <x:c r="M118" s="268" t="str">
        <x:f>IFERROR(VLOOKUP(I118,'Handler-Team Map'!$A$7:$C$17,3,FALSE),"")</x:f>
      </x:c>
      <x:c r="N118" s="274" t="str">
        <x:v>FT_VM_DEP1000_GET900_1X</x:v>
      </x:c>
      <x:c r="O118" s="274" t="str">
        <x:v>VIP BONUS - Deposit 1000 Get 900 - 1x TO</x:v>
      </x:c>
      <x:c r="P118" s="274" t="str">
        <x:v>DepositBonus</x:v>
      </x:c>
      <x:c r="Q118" s="274" t="str">
        <x:v>Approved</x:v>
      </x:c>
      <x:c r="R118" s="265" t="n">
        <x:v>900</x:v>
      </x:c>
      <x:c r="S118" s="253" t="str">
        <x:v>Yes</x:v>
      </x:c>
      <x:c r="T118" s="265" t="n">
        <x:v>2745</x:v>
      </x:c>
      <x:c r="U118" s="253" t="str">
        <x:f>IF(AND(S118="Yes",T118=0),"Yes","No")</x:f>
        <x:v>No</x:v>
      </x:c>
      <x:c r="V118" s="253" t="str">
        <x:v>Yes</x:v>
      </x:c>
      <x:c r="W118" s="253" t="str">
        <x:v>Yes</x:v>
      </x:c>
      <x:c r="X118" s="259" t="n">
        <x:v>46122.166666666664</x:v>
      </x:c>
      <x:c r="Y118" s="265" t="n">
        <x:v>8735</x:v>
      </x:c>
      <x:c r="Z118" s="265" t="n">
        <x:v>9185</x:v>
      </x:c>
      <x:c r="AA118" s="253" t="str">
        <x:f>IF(V118="No","Maturing",IF(AND(U118="Yes",Y118&gt;0),"Yes","No"))</x:f>
        <x:v>No</x:v>
      </x:c>
      <x:c r="AB118" s="253" t="str">
        <x:f>IF(W118="No","Maturing",IF(AND(U118="Yes",Z118&gt;0),"Yes","No"))</x:f>
        <x:v>No</x:v>
      </x:c>
      <x:c r="AC118" s="265" t="n">
        <x:v>-65.35</x:v>
      </x:c>
      <x:c r="AD118" s="265" t="n">
        <x:v>383.25</x:v>
      </x:c>
      <x:c r="AE118" s="271" t="str"/>
      <x:c r="AF118" s="274" t="str">
        <x:v>Not validated - no control/holdout</x:v>
      </x:c>
      <x:c r="AG118" s="277" t="str">
        <x:v>Recovered execution only; assignment date and unclaimed-offer denominator unavailable</x:v>
      </x:c>
    </x:row>
    <x:row r="119">
      <x:c r="A119" s="252" t="str">
        <x:v>33839416</x:v>
      </x:c>
      <x:c r="B119" s="253" t="str">
        <x:v>WS1</x:v>
      </x:c>
      <x:c r="C119" s="253" t="str">
        <x:v>MB8</x:v>
      </x:c>
      <x:c r="D119" s="262" t="n">
        <x:v>46122.40403935185</x:v>
      </x:c>
      <x:c r="E119" s="259" t="n">
        <x:v>46122.166666666664</x:v>
      </x:c>
      <x:c r="F119" s="253" t="str">
        <x:v>432234</x:v>
      </x:c>
      <x:c r="G119" s="253" t="str">
        <x:v>geechew85</x:v>
      </x:c>
      <x:c r="H119" s="253" t="str">
        <x:v>Yes</x:v>
      </x:c>
      <x:c r="I119" s="253" t="str">
        <x:v>zhen</x:v>
      </x:c>
      <x:c r="J119" s="253" t="str">
        <x:v>zhen</x:v>
      </x:c>
      <x:c r="K119" s="259" t="n">
        <x:v>45922.166666666664</x:v>
      </x:c>
      <x:c r="L119" s="268" t="str">
        <x:f>IFERROR(VLOOKUP(I119,'Handler-Team Map'!$A$7:$C$17,2,FALSE),"")</x:f>
      </x:c>
      <x:c r="M119" s="268" t="str">
        <x:f>IFERROR(VLOOKUP(I119,'Handler-Team Map'!$A$7:$C$17,3,FALSE),"")</x:f>
      </x:c>
      <x:c r="N119" s="274" t="str">
        <x:v>FT_VM_DEP1000_GET500_5X</x:v>
      </x:c>
      <x:c r="O119" s="274" t="str">
        <x:v>VIP BONUS - Deposit 1000 Get 500 - 5x TO</x:v>
      </x:c>
      <x:c r="P119" s="274" t="str">
        <x:v>DepositBonus</x:v>
      </x:c>
      <x:c r="Q119" s="274" t="str">
        <x:v>Approved</x:v>
      </x:c>
      <x:c r="R119" s="265" t="n">
        <x:v>500</x:v>
      </x:c>
      <x:c r="S119" s="253" t="str">
        <x:v>Yes</x:v>
      </x:c>
      <x:c r="T119" s="265" t="n">
        <x:v>10769.3</x:v>
      </x:c>
      <x:c r="U119" s="253" t="str">
        <x:f>IF(AND(S119="Yes",T119=0),"Yes","No")</x:f>
        <x:v>No</x:v>
      </x:c>
      <x:c r="V119" s="253" t="str">
        <x:v>Yes</x:v>
      </x:c>
      <x:c r="W119" s="253" t="str">
        <x:v>Yes</x:v>
      </x:c>
      <x:c r="X119" s="259" t="n">
        <x:v>46122.166666666664</x:v>
      </x:c>
      <x:c r="Y119" s="265" t="n">
        <x:v>4091</x:v>
      </x:c>
      <x:c r="Z119" s="265" t="n">
        <x:v>4449.6</x:v>
      </x:c>
      <x:c r="AA119" s="253" t="str">
        <x:f>IF(V119="No","Maturing",IF(AND(U119="Yes",Y119&gt;0),"Yes","No"))</x:f>
        <x:v>No</x:v>
      </x:c>
      <x:c r="AB119" s="253" t="str">
        <x:f>IF(W119="No","Maturing",IF(AND(U119="Yes",Z119&gt;0),"Yes","No"))</x:f>
        <x:v>No</x:v>
      </x:c>
      <x:c r="AC119" s="265" t="n">
        <x:v>-638.32</x:v>
      </x:c>
      <x:c r="AD119" s="265" t="n">
        <x:v>-279.41</x:v>
      </x:c>
      <x:c r="AE119" s="271" t="str"/>
      <x:c r="AF119" s="274" t="str">
        <x:v>Not validated - no control/holdout</x:v>
      </x:c>
      <x:c r="AG119" s="277" t="str">
        <x:v>Recovered execution only; assignment date and unclaimed-offer denominator unavailable</x:v>
      </x:c>
    </x:row>
    <x:row r="120">
      <x:c r="A120" s="252" t="str">
        <x:v>33842745</x:v>
      </x:c>
      <x:c r="B120" s="253" t="str">
        <x:v>WS1</x:v>
      </x:c>
      <x:c r="C120" s="253" t="str">
        <x:v>MB8</x:v>
      </x:c>
      <x:c r="D120" s="262" t="n">
        <x:v>46122.70621527778</x:v>
      </x:c>
      <x:c r="E120" s="259" t="n">
        <x:v>46122.166666666664</x:v>
      </x:c>
      <x:c r="F120" s="253" t="str">
        <x:v>312953</x:v>
      </x:c>
      <x:c r="G120" s="253" t="str">
        <x:v>MaryJane80</x:v>
      </x:c>
      <x:c r="H120" s="253" t="str">
        <x:v>Yes</x:v>
      </x:c>
      <x:c r="I120" s="253" t="str">
        <x:v>Christy</x:v>
      </x:c>
      <x:c r="J120" s="253" t="str">
        <x:v>Christy</x:v>
      </x:c>
      <x:c r="K120" s="259" t="n">
        <x:v>45831.166666666664</x:v>
      </x:c>
      <x:c r="L120" s="268" t="str">
        <x:f>IFERROR(VLOOKUP(I120,'Handler-Team Map'!$A$7:$C$17,2,FALSE),"")</x:f>
      </x:c>
      <x:c r="M120" s="268" t="str">
        <x:f>IFERROR(VLOOKUP(I120,'Handler-Team Map'!$A$7:$C$17,3,FALSE),"")</x:f>
      </x:c>
      <x:c r="N120" s="274" t="str">
        <x:v>FT_VM_DEP600_GET200_5X</x:v>
      </x:c>
      <x:c r="O120" s="274" t="str">
        <x:v>VIP BONUS - Deposit 600 Get 200 - 5x TO</x:v>
      </x:c>
      <x:c r="P120" s="274" t="str">
        <x:v>DepositBonus</x:v>
      </x:c>
      <x:c r="Q120" s="274" t="str">
        <x:v>Approved</x:v>
      </x:c>
      <x:c r="R120" s="265" t="n">
        <x:v>200</x:v>
      </x:c>
      <x:c r="S120" s="253" t="str">
        <x:v>Yes</x:v>
      </x:c>
      <x:c r="T120" s="265" t="n">
        <x:v>24300</x:v>
      </x:c>
      <x:c r="U120" s="253" t="str">
        <x:f>IF(AND(S120="Yes",T120=0),"Yes","No")</x:f>
        <x:v>No</x:v>
      </x:c>
      <x:c r="V120" s="253" t="str">
        <x:v>Yes</x:v>
      </x:c>
      <x:c r="W120" s="253" t="str">
        <x:v>Yes</x:v>
      </x:c>
      <x:c r="X120" s="259" t="n">
        <x:v>46122.166666666664</x:v>
      </x:c>
      <x:c r="Y120" s="265" t="n">
        <x:v>900</x:v>
      </x:c>
      <x:c r="Z120" s="265" t="n">
        <x:v>7900</x:v>
      </x:c>
      <x:c r="AA120" s="253" t="str">
        <x:f>IF(V120="No","Maturing",IF(AND(U120="Yes",Y120&gt;0),"Yes","No"))</x:f>
        <x:v>No</x:v>
      </x:c>
      <x:c r="AB120" s="253" t="str">
        <x:f>IF(W120="No","Maturing",IF(AND(U120="Yes",Z120&gt;0),"Yes","No"))</x:f>
        <x:v>No</x:v>
      </x:c>
      <x:c r="AC120" s="265" t="n">
        <x:v>-1106.39</x:v>
      </x:c>
      <x:c r="AD120" s="265" t="n">
        <x:v>5897.03</x:v>
      </x:c>
      <x:c r="AE120" s="271" t="str"/>
      <x:c r="AF120" s="274" t="str">
        <x:v>Not validated - no control/holdout</x:v>
      </x:c>
      <x:c r="AG120" s="277" t="str">
        <x:v>Recovered execution only; assignment date and unclaimed-offer denominator unavailable</x:v>
      </x:c>
    </x:row>
    <x:row r="121">
      <x:c r="A121" s="252" t="str">
        <x:v>33842942</x:v>
      </x:c>
      <x:c r="B121" s="253" t="str">
        <x:v>WS1</x:v>
      </x:c>
      <x:c r="C121" s="253" t="str">
        <x:v>MB8</x:v>
      </x:c>
      <x:c r="D121" s="262" t="n">
        <x:v>46122.72006944445</x:v>
      </x:c>
      <x:c r="E121" s="259" t="n">
        <x:v>46122.166666666664</x:v>
      </x:c>
      <x:c r="F121" s="253" t="str">
        <x:v>673118</x:v>
      </x:c>
      <x:c r="G121" s="253" t="str">
        <x:v>Hashim007</x:v>
      </x:c>
      <x:c r="H121" s="253" t="str">
        <x:v>Yes</x:v>
      </x:c>
      <x:c r="I121" s="253" t="str">
        <x:v>Elda</x:v>
      </x:c>
      <x:c r="J121" s="253" t="str">
        <x:v>Elda</x:v>
      </x:c>
      <x:c r="K121" s="259" t="n">
        <x:v>45779.166666666664</x:v>
      </x:c>
      <x:c r="L121" s="268" t="str">
        <x:f>IFERROR(VLOOKUP(I121,'Handler-Team Map'!$A$7:$C$17,2,FALSE),"")</x:f>
      </x:c>
      <x:c r="M121" s="268" t="str">
        <x:f>IFERROR(VLOOKUP(I121,'Handler-Team Map'!$A$7:$C$17,3,FALSE),"")</x:f>
      </x:c>
      <x:c r="N121" s="274" t="str">
        <x:v>FT_VM_DEP1000_GET500_5X</x:v>
      </x:c>
      <x:c r="O121" s="274" t="str">
        <x:v>VIP BONUS - Deposit 1000 Get 500 - 5x TO</x:v>
      </x:c>
      <x:c r="P121" s="274" t="str">
        <x:v>DepositBonus</x:v>
      </x:c>
      <x:c r="Q121" s="274" t="str">
        <x:v>Approved</x:v>
      </x:c>
      <x:c r="R121" s="265" t="n">
        <x:v>500</x:v>
      </x:c>
      <x:c r="S121" s="253" t="str">
        <x:v>Yes</x:v>
      </x:c>
      <x:c r="T121" s="265" t="n">
        <x:v>5878</x:v>
      </x:c>
      <x:c r="U121" s="253" t="str">
        <x:f>IF(AND(S121="Yes",T121=0),"Yes","No")</x:f>
        <x:v>No</x:v>
      </x:c>
      <x:c r="V121" s="253" t="str">
        <x:v>Yes</x:v>
      </x:c>
      <x:c r="W121" s="253" t="str">
        <x:v>Yes</x:v>
      </x:c>
      <x:c r="X121" s="259" t="n">
        <x:v>46122.166666666664</x:v>
      </x:c>
      <x:c r="Y121" s="265" t="n">
        <x:v>1000</x:v>
      </x:c>
      <x:c r="Z121" s="265" t="n">
        <x:v>1500</x:v>
      </x:c>
      <x:c r="AA121" s="253" t="str">
        <x:f>IF(V121="No","Maturing",IF(AND(U121="Yes",Y121&gt;0),"Yes","No"))</x:f>
        <x:v>No</x:v>
      </x:c>
      <x:c r="AB121" s="253" t="str">
        <x:f>IF(W121="No","Maturing",IF(AND(U121="Yes",Z121&gt;0),"Yes","No"))</x:f>
        <x:v>No</x:v>
      </x:c>
      <x:c r="AC121" s="265" t="n">
        <x:v>1695.26</x:v>
      </x:c>
      <x:c r="AD121" s="265" t="n">
        <x:v>2197.74</x:v>
      </x:c>
      <x:c r="AE121" s="271" t="str"/>
      <x:c r="AF121" s="274" t="str">
        <x:v>Not validated - no control/holdout</x:v>
      </x:c>
      <x:c r="AG121" s="277" t="str">
        <x:v>Recovered execution only; assignment date and unclaimed-offer denominator unavailable</x:v>
      </x:c>
    </x:row>
    <x:row r="122">
      <x:c r="A122" s="252" t="str">
        <x:v>33843506</x:v>
      </x:c>
      <x:c r="B122" s="253" t="str">
        <x:v>WS1</x:v>
      </x:c>
      <x:c r="C122" s="253" t="str">
        <x:v>MB8</x:v>
      </x:c>
      <x:c r="D122" s="262" t="n">
        <x:v>46122.76159722222</x:v>
      </x:c>
      <x:c r="E122" s="259" t="n">
        <x:v>46122.166666666664</x:v>
      </x:c>
      <x:c r="F122" s="253" t="str">
        <x:v>38910</x:v>
      </x:c>
      <x:c r="G122" s="253" t="str">
        <x:v>Snowy2kaki</x:v>
      </x:c>
      <x:c r="H122" s="253" t="str">
        <x:v>Yes</x:v>
      </x:c>
      <x:c r="I122" s="253" t="str">
        <x:v>Claire</x:v>
      </x:c>
      <x:c r="J122" s="253" t="str">
        <x:v>Claire</x:v>
      </x:c>
      <x:c r="K122" s="259" t="n">
        <x:v>45659.166666666664</x:v>
      </x:c>
      <x:c r="L122" s="268" t="str">
        <x:f>IFERROR(VLOOKUP(I122,'Handler-Team Map'!$A$7:$C$17,2,FALSE),"")</x:f>
      </x:c>
      <x:c r="M122" s="268" t="str">
        <x:f>IFERROR(VLOOKUP(I122,'Handler-Team Map'!$A$7:$C$17,3,FALSE),"")</x:f>
      </x:c>
      <x:c r="N122" s="274" t="str">
        <x:v>FT_VM_DEP1000_GET900_2X</x:v>
      </x:c>
      <x:c r="O122" s="274" t="str">
        <x:v>VIP BONUS - Deposit 1000 Get 900 - 2x TO</x:v>
      </x:c>
      <x:c r="P122" s="274" t="str">
        <x:v>DepositBonus</x:v>
      </x:c>
      <x:c r="Q122" s="274" t="str">
        <x:v>Approved</x:v>
      </x:c>
      <x:c r="R122" s="265" t="n">
        <x:v>900</x:v>
      </x:c>
      <x:c r="S122" s="253" t="str">
        <x:v>Yes</x:v>
      </x:c>
      <x:c r="T122" s="265" t="n">
        <x:v>102000</x:v>
      </x:c>
      <x:c r="U122" s="253" t="str">
        <x:f>IF(AND(S122="Yes",T122=0),"Yes","No")</x:f>
        <x:v>No</x:v>
      </x:c>
      <x:c r="V122" s="253" t="str">
        <x:v>Yes</x:v>
      </x:c>
      <x:c r="W122" s="253" t="str">
        <x:v>Yes</x:v>
      </x:c>
      <x:c r="X122" s="259" t="n">
        <x:v>46122.166666666664</x:v>
      </x:c>
      <x:c r="Y122" s="265" t="n">
        <x:v>19500</x:v>
      </x:c>
      <x:c r="Z122" s="265" t="n">
        <x:v>107000</x:v>
      </x:c>
      <x:c r="AA122" s="253" t="str">
        <x:f>IF(V122="No","Maturing",IF(AND(U122="Yes",Y122&gt;0),"Yes","No"))</x:f>
        <x:v>No</x:v>
      </x:c>
      <x:c r="AB122" s="253" t="str">
        <x:f>IF(W122="No","Maturing",IF(AND(U122="Yes",Z122&gt;0),"Yes","No"))</x:f>
        <x:v>No</x:v>
      </x:c>
      <x:c r="AC122" s="265" t="n">
        <x:v>21499.49</x:v>
      </x:c>
      <x:c r="AD122" s="265" t="n">
        <x:v>107881.96</x:v>
      </x:c>
      <x:c r="AE122" s="271" t="str"/>
      <x:c r="AF122" s="274" t="str">
        <x:v>Not validated - no control/holdout</x:v>
      </x:c>
      <x:c r="AG122" s="277" t="str">
        <x:v>Recovered execution only; assignment date and unclaimed-offer denominator unavailable</x:v>
      </x:c>
    </x:row>
    <x:row r="123">
      <x:c r="A123" s="252" t="str">
        <x:v>33843570</x:v>
      </x:c>
      <x:c r="B123" s="253" t="str">
        <x:v>WS1</x:v>
      </x:c>
      <x:c r="C123" s="253" t="str">
        <x:v>MB8</x:v>
      </x:c>
      <x:c r="D123" s="262" t="n">
        <x:v>46122.765081018515</x:v>
      </x:c>
      <x:c r="E123" s="259" t="n">
        <x:v>46122.166666666664</x:v>
      </x:c>
      <x:c r="F123" s="253" t="str">
        <x:v>567383</x:v>
      </x:c>
      <x:c r="G123" s="253" t="str">
        <x:v>benho9988</x:v>
      </x:c>
      <x:c r="H123" s="253" t="str">
        <x:v>Yes</x:v>
      </x:c>
      <x:c r="I123" s="253" t="str">
        <x:v>Elda</x:v>
      </x:c>
      <x:c r="J123" s="253" t="str">
        <x:v>Elda</x:v>
      </x:c>
      <x:c r="K123" s="259" t="n">
        <x:v>45659.166666666664</x:v>
      </x:c>
      <x:c r="L123" s="268" t="str">
        <x:f>IFERROR(VLOOKUP(I123,'Handler-Team Map'!$A$7:$C$17,2,FALSE),"")</x:f>
      </x:c>
      <x:c r="M123" s="268" t="str">
        <x:f>IFERROR(VLOOKUP(I123,'Handler-Team Map'!$A$7:$C$17,3,FALSE),"")</x:f>
      </x:c>
      <x:c r="N123" s="274" t="str">
        <x:v>FT_VM_DEP1000_GET900_1X</x:v>
      </x:c>
      <x:c r="O123" s="274" t="str">
        <x:v>VIP BONUS - Deposit 1000 Get 900 - 1x TO</x:v>
      </x:c>
      <x:c r="P123" s="274" t="str">
        <x:v>DepositBonus</x:v>
      </x:c>
      <x:c r="Q123" s="274" t="str">
        <x:v>Approved</x:v>
      </x:c>
      <x:c r="R123" s="265" t="n">
        <x:v>900</x:v>
      </x:c>
      <x:c r="S123" s="253" t="str">
        <x:v>Yes</x:v>
      </x:c>
      <x:c r="T123" s="265" t="n">
        <x:v>9000</x:v>
      </x:c>
      <x:c r="U123" s="253" t="str">
        <x:f>IF(AND(S123="Yes",T123=0),"Yes","No")</x:f>
        <x:v>No</x:v>
      </x:c>
      <x:c r="V123" s="253" t="str">
        <x:v>Yes</x:v>
      </x:c>
      <x:c r="W123" s="253" t="str">
        <x:v>Yes</x:v>
      </x:c>
      <x:c r="X123" s="259" t="n">
        <x:v>46122.166666666664</x:v>
      </x:c>
      <x:c r="Y123" s="265" t="n">
        <x:v>6000</x:v>
      </x:c>
      <x:c r="Z123" s="265" t="n">
        <x:v>6000</x:v>
      </x:c>
      <x:c r="AA123" s="253" t="str">
        <x:f>IF(V123="No","Maturing",IF(AND(U123="Yes",Y123&gt;0),"Yes","No"))</x:f>
        <x:v>No</x:v>
      </x:c>
      <x:c r="AB123" s="253" t="str">
        <x:f>IF(W123="No","Maturing",IF(AND(U123="Yes",Z123&gt;0),"Yes","No"))</x:f>
        <x:v>No</x:v>
      </x:c>
      <x:c r="AC123" s="265" t="n">
        <x:v>-298.35</x:v>
      </x:c>
      <x:c r="AD123" s="265" t="n">
        <x:v>-298.87</x:v>
      </x:c>
      <x:c r="AE123" s="271" t="str"/>
      <x:c r="AF123" s="274" t="str">
        <x:v>Not validated - no control/holdout</x:v>
      </x:c>
      <x:c r="AG123" s="277" t="str">
        <x:v>Recovered execution only; assignment date and unclaimed-offer denominator unavailable</x:v>
      </x:c>
    </x:row>
    <x:row r="124">
      <x:c r="A124" s="252" t="str">
        <x:v>33844302</x:v>
      </x:c>
      <x:c r="B124" s="253" t="str">
        <x:v>WS1</x:v>
      </x:c>
      <x:c r="C124" s="253" t="str">
        <x:v>MB8</x:v>
      </x:c>
      <x:c r="D124" s="262" t="n">
        <x:v>46122.82303240741</x:v>
      </x:c>
      <x:c r="E124" s="259" t="n">
        <x:v>46122.166666666664</x:v>
      </x:c>
      <x:c r="F124" s="253" t="str">
        <x:v>529545</x:v>
      </x:c>
      <x:c r="G124" s="253" t="str">
        <x:v>Chihtsung</x:v>
      </x:c>
      <x:c r="H124" s="253" t="str">
        <x:v>Yes</x:v>
      </x:c>
      <x:c r="I124" s="253" t="str">
        <x:v>Claire</x:v>
      </x:c>
      <x:c r="J124" s="253" t="str">
        <x:v>Claire</x:v>
      </x:c>
      <x:c r="K124" s="259" t="n">
        <x:v>46083.166666666664</x:v>
      </x:c>
      <x:c r="L124" s="268" t="str">
        <x:f>IFERROR(VLOOKUP(I124,'Handler-Team Map'!$A$7:$C$17,2,FALSE),"")</x:f>
      </x:c>
      <x:c r="M124" s="268" t="str">
        <x:f>IFERROR(VLOOKUP(I124,'Handler-Team Map'!$A$7:$C$17,3,FALSE),"")</x:f>
      </x:c>
      <x:c r="N124" s="274" t="str">
        <x:v>FT_VM_DEP1000_GET800_2X</x:v>
      </x:c>
      <x:c r="O124" s="274" t="str">
        <x:v>VIP BONUS - Deposit 1000 Get 800 - 2x TO</x:v>
      </x:c>
      <x:c r="P124" s="274" t="str">
        <x:v>DepositBonus</x:v>
      </x:c>
      <x:c r="Q124" s="274" t="str">
        <x:v>Approved</x:v>
      </x:c>
      <x:c r="R124" s="265" t="n">
        <x:v>800</x:v>
      </x:c>
      <x:c r="S124" s="253" t="str">
        <x:v>Yes</x:v>
      </x:c>
      <x:c r="T124" s="265" t="n">
        <x:v>24500</x:v>
      </x:c>
      <x:c r="U124" s="253" t="str">
        <x:f>IF(AND(S124="Yes",T124=0),"Yes","No")</x:f>
        <x:v>No</x:v>
      </x:c>
      <x:c r="V124" s="253" t="str">
        <x:v>Yes</x:v>
      </x:c>
      <x:c r="W124" s="253" t="str">
        <x:v>Yes</x:v>
      </x:c>
      <x:c r="X124" s="259" t="n">
        <x:v>46122.166666666664</x:v>
      </x:c>
      <x:c r="Y124" s="265" t="n">
        <x:v>15000</x:v>
      </x:c>
      <x:c r="Z124" s="265" t="n">
        <x:v>15000</x:v>
      </x:c>
      <x:c r="AA124" s="253" t="str">
        <x:f>IF(V124="No","Maturing",IF(AND(U124="Yes",Y124&gt;0),"Yes","No"))</x:f>
        <x:v>No</x:v>
      </x:c>
      <x:c r="AB124" s="253" t="str">
        <x:f>IF(W124="No","Maturing",IF(AND(U124="Yes",Z124&gt;0),"Yes","No"))</x:f>
        <x:v>No</x:v>
      </x:c>
      <x:c r="AC124" s="265" t="n">
        <x:v>4964.4</x:v>
      </x:c>
      <x:c r="AD124" s="265" t="n">
        <x:v>4964.4</x:v>
      </x:c>
      <x:c r="AE124" s="271" t="str"/>
      <x:c r="AF124" s="274" t="str">
        <x:v>Not validated - no control/holdout</x:v>
      </x:c>
      <x:c r="AG124" s="277" t="str">
        <x:v>Recovered execution only; assignment date and unclaimed-offer denominator unavailable</x:v>
      </x:c>
    </x:row>
    <x:row r="125">
      <x:c r="A125" s="252" t="str">
        <x:v>33845101</x:v>
      </x:c>
      <x:c r="B125" s="253" t="str">
        <x:v>WS1</x:v>
      </x:c>
      <x:c r="C125" s="253" t="str">
        <x:v>MB8</x:v>
      </x:c>
      <x:c r="D125" s="262" t="n">
        <x:v>46122.88415509259</x:v>
      </x:c>
      <x:c r="E125" s="259" t="n">
        <x:v>46122.166666666664</x:v>
      </x:c>
      <x:c r="F125" s="253" t="str">
        <x:v>48485</x:v>
      </x:c>
      <x:c r="G125" s="253" t="str">
        <x:v>Arul5909</x:v>
      </x:c>
      <x:c r="H125" s="253" t="str">
        <x:v>Yes</x:v>
      </x:c>
      <x:c r="I125" s="253" t="str">
        <x:v>Kam</x:v>
      </x:c>
      <x:c r="J125" s="253" t="str">
        <x:v>Kam</x:v>
      </x:c>
      <x:c r="K125" s="259" t="n">
        <x:v>45817.166666666664</x:v>
      </x:c>
      <x:c r="L125" s="268" t="str">
        <x:f>IFERROR(VLOOKUP(I125,'Handler-Team Map'!$A$7:$C$17,2,FALSE),"")</x:f>
      </x:c>
      <x:c r="M125" s="268" t="str">
        <x:f>IFERROR(VLOOKUP(I125,'Handler-Team Map'!$A$7:$C$17,3,FALSE),"")</x:f>
      </x:c>
      <x:c r="N125" s="274" t="str">
        <x:v>FT_VM_DEP150_GET50_5X</x:v>
      </x:c>
      <x:c r="O125" s="274" t="str">
        <x:v>VIP BONUS - Deposit 150 Get 50 - 5x TO</x:v>
      </x:c>
      <x:c r="P125" s="274" t="str">
        <x:v>DepositBonus</x:v>
      </x:c>
      <x:c r="Q125" s="274" t="str">
        <x:v>Approved</x:v>
      </x:c>
      <x:c r="R125" s="265" t="n">
        <x:v>50</x:v>
      </x:c>
      <x:c r="S125" s="253" t="str">
        <x:v>Yes</x:v>
      </x:c>
      <x:c r="T125" s="265" t="n">
        <x:v>10350</x:v>
      </x:c>
      <x:c r="U125" s="253" t="str">
        <x:f>IF(AND(S125="Yes",T125=0),"Yes","No")</x:f>
        <x:v>No</x:v>
      </x:c>
      <x:c r="V125" s="253" t="str">
        <x:v>Yes</x:v>
      </x:c>
      <x:c r="W125" s="253" t="str">
        <x:v>Yes</x:v>
      </x:c>
      <x:c r="X125" s="259" t="n">
        <x:v>46122.166666666664</x:v>
      </x:c>
      <x:c r="Y125" s="265" t="n">
        <x:v>450</x:v>
      </x:c>
      <x:c r="Z125" s="265" t="n">
        <x:v>550</x:v>
      </x:c>
      <x:c r="AA125" s="253" t="str">
        <x:f>IF(V125="No","Maturing",IF(AND(U125="Yes",Y125&gt;0),"Yes","No"))</x:f>
        <x:v>No</x:v>
      </x:c>
      <x:c r="AB125" s="253" t="str">
        <x:f>IF(W125="No","Maturing",IF(AND(U125="Yes",Z125&gt;0),"Yes","No"))</x:f>
        <x:v>No</x:v>
      </x:c>
      <x:c r="AC125" s="265" t="n">
        <x:v>450.5</x:v>
      </x:c>
      <x:c r="AD125" s="265" t="n">
        <x:v>548.93</x:v>
      </x:c>
      <x:c r="AE125" s="271" t="str"/>
      <x:c r="AF125" s="274" t="str">
        <x:v>Not validated - no control/holdout</x:v>
      </x:c>
      <x:c r="AG125" s="277" t="str">
        <x:v>Recovered execution only; assignment date and unclaimed-offer denominator unavailable</x:v>
      </x:c>
    </x:row>
    <x:row r="126">
      <x:c r="A126" s="252" t="str">
        <x:v>33845141</x:v>
      </x:c>
      <x:c r="B126" s="253" t="str">
        <x:v>WS1</x:v>
      </x:c>
      <x:c r="C126" s="253" t="str">
        <x:v>MB8</x:v>
      </x:c>
      <x:c r="D126" s="262" t="n">
        <x:v>46122.88648148148</x:v>
      </x:c>
      <x:c r="E126" s="259" t="n">
        <x:v>46122.166666666664</x:v>
      </x:c>
      <x:c r="F126" s="253" t="str">
        <x:v>1155209</x:v>
      </x:c>
      <x:c r="G126" s="253" t="str">
        <x:v>windywindy</x:v>
      </x:c>
      <x:c r="H126" s="253" t="str">
        <x:v>Yes</x:v>
      </x:c>
      <x:c r="I126" s="253" t="str">
        <x:v>zhen</x:v>
      </x:c>
      <x:c r="J126" s="253" t="str">
        <x:v>zhen</x:v>
      </x:c>
      <x:c r="K126" s="259" t="n">
        <x:v>46090.166666666664</x:v>
      </x:c>
      <x:c r="L126" s="268" t="str">
        <x:f>IFERROR(VLOOKUP(I126,'Handler-Team Map'!$A$7:$C$17,2,FALSE),"")</x:f>
      </x:c>
      <x:c r="M126" s="268" t="str">
        <x:f>IFERROR(VLOOKUP(I126,'Handler-Team Map'!$A$7:$C$17,3,FALSE),"")</x:f>
      </x:c>
      <x:c r="N126" s="274" t="str">
        <x:v>FT_VM_DEP150_GET50_5X</x:v>
      </x:c>
      <x:c r="O126" s="274" t="str">
        <x:v>VIP BONUS - Deposit 150 Get 50 - 5x TO</x:v>
      </x:c>
      <x:c r="P126" s="274" t="str">
        <x:v>DepositBonus</x:v>
      </x:c>
      <x:c r="Q126" s="274" t="str">
        <x:v>Approved</x:v>
      </x:c>
      <x:c r="R126" s="265" t="n">
        <x:v>50</x:v>
      </x:c>
      <x:c r="S126" s="253" t="str">
        <x:v>Yes</x:v>
      </x:c>
      <x:c r="T126" s="265" t="n">
        <x:v>4035.31</x:v>
      </x:c>
      <x:c r="U126" s="253" t="str">
        <x:f>IF(AND(S126="Yes",T126=0),"Yes","No")</x:f>
        <x:v>No</x:v>
      </x:c>
      <x:c r="V126" s="253" t="str">
        <x:v>Yes</x:v>
      </x:c>
      <x:c r="W126" s="253" t="str">
        <x:v>Yes</x:v>
      </x:c>
      <x:c r="X126" s="259" t="n">
        <x:v>46122.166666666664</x:v>
      </x:c>
      <x:c r="Y126" s="265" t="n">
        <x:v>3384.64</x:v>
      </x:c>
      <x:c r="Z126" s="265" t="n">
        <x:v>6041.84</x:v>
      </x:c>
      <x:c r="AA126" s="253" t="str">
        <x:f>IF(V126="No","Maturing",IF(AND(U126="Yes",Y126&gt;0),"Yes","No"))</x:f>
        <x:v>No</x:v>
      </x:c>
      <x:c r="AB126" s="253" t="str">
        <x:f>IF(W126="No","Maturing",IF(AND(U126="Yes",Z126&gt;0),"Yes","No"))</x:f>
        <x:v>No</x:v>
      </x:c>
      <x:c r="AC126" s="265" t="n">
        <x:v>544.95</x:v>
      </x:c>
      <x:c r="AD126" s="265" t="n">
        <x:v>1366.72</x:v>
      </x:c>
      <x:c r="AE126" s="271" t="str"/>
      <x:c r="AF126" s="274" t="str">
        <x:v>Not validated - no control/holdout</x:v>
      </x:c>
      <x:c r="AG126" s="277" t="str">
        <x:v>Recovered execution only; assignment date and unclaimed-offer denominator unavailable</x:v>
      </x:c>
    </x:row>
    <x:row r="127">
      <x:c r="A127" s="252" t="str">
        <x:v>33852896</x:v>
      </x:c>
      <x:c r="B127" s="253" t="str">
        <x:v>WS1</x:v>
      </x:c>
      <x:c r="C127" s="253" t="str">
        <x:v>MB8</x:v>
      </x:c>
      <x:c r="D127" s="262" t="n">
        <x:v>46123.58534722222</x:v>
      </x:c>
      <x:c r="E127" s="259" t="n">
        <x:v>46123.166666666664</x:v>
      </x:c>
      <x:c r="F127" s="253" t="str">
        <x:v>685663</x:v>
      </x:c>
      <x:c r="G127" s="253" t="str">
        <x:v>Cristian98</x:v>
      </x:c>
      <x:c r="H127" s="253" t="str">
        <x:v>Yes</x:v>
      </x:c>
      <x:c r="I127" s="253" t="str">
        <x:v>Elda</x:v>
      </x:c>
      <x:c r="J127" s="253" t="str">
        <x:v>Elda</x:v>
      </x:c>
      <x:c r="K127" s="259" t="n">
        <x:v>45790.166666666664</x:v>
      </x:c>
      <x:c r="L127" s="268" t="str">
        <x:f>IFERROR(VLOOKUP(I127,'Handler-Team Map'!$A$7:$C$17,2,FALSE),"")</x:f>
      </x:c>
      <x:c r="M127" s="268" t="str">
        <x:f>IFERROR(VLOOKUP(I127,'Handler-Team Map'!$A$7:$C$17,3,FALSE),"")</x:f>
      </x:c>
      <x:c r="N127" s="274" t="str">
        <x:v>FT_VM_DEP1000_GET500_5X</x:v>
      </x:c>
      <x:c r="O127" s="274" t="str">
        <x:v>VIP BONUS - Deposit 1000 Get 500 - 5x TO</x:v>
      </x:c>
      <x:c r="P127" s="274" t="str">
        <x:v>DepositBonus</x:v>
      </x:c>
      <x:c r="Q127" s="274" t="str">
        <x:v>Approved</x:v>
      </x:c>
      <x:c r="R127" s="265" t="n">
        <x:v>500</x:v>
      </x:c>
      <x:c r="S127" s="253" t="str">
        <x:v>Yes</x:v>
      </x:c>
      <x:c r="T127" s="265" t="n">
        <x:v>20391</x:v>
      </x:c>
      <x:c r="U127" s="253" t="str">
        <x:f>IF(AND(S127="Yes",T127=0),"Yes","No")</x:f>
        <x:v>No</x:v>
      </x:c>
      <x:c r="V127" s="253" t="str">
        <x:v>Yes</x:v>
      </x:c>
      <x:c r="W127" s="253" t="str">
        <x:v>Yes</x:v>
      </x:c>
      <x:c r="X127" s="259" t="n">
        <x:v>46123.166666666664</x:v>
      </x:c>
      <x:c r="Y127" s="265" t="n">
        <x:v>11013</x:v>
      </x:c>
      <x:c r="Z127" s="265" t="n">
        <x:v>24284</x:v>
      </x:c>
      <x:c r="AA127" s="253" t="str">
        <x:f>IF(V127="No","Maturing",IF(AND(U127="Yes",Y127&gt;0),"Yes","No"))</x:f>
        <x:v>No</x:v>
      </x:c>
      <x:c r="AB127" s="253" t="str">
        <x:f>IF(W127="No","Maturing",IF(AND(U127="Yes",Z127&gt;0),"Yes","No"))</x:f>
        <x:v>No</x:v>
      </x:c>
      <x:c r="AC127" s="265" t="n">
        <x:v>-4630.54</x:v>
      </x:c>
      <x:c r="AD127" s="265" t="n">
        <x:v>1733.3</x:v>
      </x:c>
      <x:c r="AE127" s="271" t="str"/>
      <x:c r="AF127" s="274" t="str">
        <x:v>Not validated - no control/holdout</x:v>
      </x:c>
      <x:c r="AG127" s="277" t="str">
        <x:v>Recovered execution only; assignment date and unclaimed-offer denominator unavailable</x:v>
      </x:c>
    </x:row>
    <x:row r="128">
      <x:c r="A128" s="252" t="str">
        <x:v>33853371</x:v>
      </x:c>
      <x:c r="B128" s="253" t="str">
        <x:v>WS1</x:v>
      </x:c>
      <x:c r="C128" s="253" t="str">
        <x:v>MB8</x:v>
      </x:c>
      <x:c r="D128" s="262" t="n">
        <x:v>46123.62724537037</x:v>
      </x:c>
      <x:c r="E128" s="259" t="n">
        <x:v>46123.166666666664</x:v>
      </x:c>
      <x:c r="F128" s="253" t="str">
        <x:v>1147183</x:v>
      </x:c>
      <x:c r="G128" s="253" t="str">
        <x:v>Ellam06</x:v>
      </x:c>
      <x:c r="H128" s="253" t="str">
        <x:v>Yes</x:v>
      </x:c>
      <x:c r="I128" s="253" t="str"/>
      <x:c r="J128" s="253" t="str"/>
      <x:c r="K128" s="259"/>
      <x:c r="L128" s="268" t="str">
        <x:f>IFERROR(VLOOKUP(I128,'Handler-Team Map'!$A$7:$C$17,2,FALSE),"")</x:f>
      </x:c>
      <x:c r="M128" s="268" t="str">
        <x:f>IFERROR(VLOOKUP(I128,'Handler-Team Map'!$A$7:$C$17,3,FALSE),"")</x:f>
      </x:c>
      <x:c r="N128" s="274" t="str">
        <x:v>FT_VM_DEP1000_GET500_1X</x:v>
      </x:c>
      <x:c r="O128" s="274" t="str">
        <x:v>VIP BONUS - Deposit 1000 Get 500 - 1x TO</x:v>
      </x:c>
      <x:c r="P128" s="274" t="str">
        <x:v>DepositBonus</x:v>
      </x:c>
      <x:c r="Q128" s="274" t="str">
        <x:v>Approved</x:v>
      </x:c>
      <x:c r="R128" s="265" t="n">
        <x:v>500</x:v>
      </x:c>
      <x:c r="S128" s="253" t="str">
        <x:v>Yes</x:v>
      </x:c>
      <x:c r="T128" s="265" t="n">
        <x:v>2200</x:v>
      </x:c>
      <x:c r="U128" s="253" t="str">
        <x:f>IF(AND(S128="Yes",T128=0),"Yes","No")</x:f>
        <x:v>No</x:v>
      </x:c>
      <x:c r="V128" s="253" t="str">
        <x:v>Yes</x:v>
      </x:c>
      <x:c r="W128" s="253" t="str">
        <x:v>Yes</x:v>
      </x:c>
      <x:c r="X128" s="259" t="n">
        <x:v>46123.166666666664</x:v>
      </x:c>
      <x:c r="Y128" s="265" t="n">
        <x:v>1530</x:v>
      </x:c>
      <x:c r="Z128" s="265" t="n">
        <x:v>1530</x:v>
      </x:c>
      <x:c r="AA128" s="253" t="str">
        <x:f>IF(V128="No","Maturing",IF(AND(U128="Yes",Y128&gt;0),"Yes","No"))</x:f>
        <x:v>No</x:v>
      </x:c>
      <x:c r="AB128" s="253" t="str">
        <x:f>IF(W128="No","Maturing",IF(AND(U128="Yes",Z128&gt;0),"Yes","No"))</x:f>
        <x:v>No</x:v>
      </x:c>
      <x:c r="AC128" s="265" t="n">
        <x:v>1529.31</x:v>
      </x:c>
      <x:c r="AD128" s="265" t="n">
        <x:v>1512.47</x:v>
      </x:c>
      <x:c r="AE128" s="271" t="str"/>
      <x:c r="AF128" s="274" t="str">
        <x:v>Not validated - no control/holdout</x:v>
      </x:c>
      <x:c r="AG128" s="277" t="str">
        <x:v>Recovered execution only; assignment date and unclaimed-offer denominator unavailable</x:v>
      </x:c>
    </x:row>
    <x:row r="129">
      <x:c r="A129" s="252" t="str">
        <x:v>33857057</x:v>
      </x:c>
      <x:c r="B129" s="253" t="str">
        <x:v>WS1</x:v>
      </x:c>
      <x:c r="C129" s="253" t="str">
        <x:v>MB8</x:v>
      </x:c>
      <x:c r="D129" s="262" t="n">
        <x:v>46123.90269675926</x:v>
      </x:c>
      <x:c r="E129" s="259" t="n">
        <x:v>46123.166666666664</x:v>
      </x:c>
      <x:c r="F129" s="253" t="str">
        <x:v>18798</x:v>
      </x:c>
      <x:c r="G129" s="253" t="str">
        <x:v>nelcamris90</x:v>
      </x:c>
      <x:c r="H129" s="253" t="str">
        <x:v>Yes</x:v>
      </x:c>
      <x:c r="I129" s="253" t="str">
        <x:v>Mikki</x:v>
      </x:c>
      <x:c r="J129" s="253" t="str">
        <x:v>Mikki</x:v>
      </x:c>
      <x:c r="K129" s="259" t="n">
        <x:v>45993.166666666664</x:v>
      </x:c>
      <x:c r="L129" s="268" t="str">
        <x:f>IFERROR(VLOOKUP(I129,'Handler-Team Map'!$A$7:$C$17,2,FALSE),"")</x:f>
      </x:c>
      <x:c r="M129" s="268" t="str">
        <x:f>IFERROR(VLOOKUP(I129,'Handler-Team Map'!$A$7:$C$17,3,FALSE),"")</x:f>
      </x:c>
      <x:c r="N129" s="274" t="str">
        <x:v>FT_VM_DEP600_GET200_5X</x:v>
      </x:c>
      <x:c r="O129" s="274" t="str">
        <x:v>VIP BONUS - Deposit 600 Get 200 - 5x TO</x:v>
      </x:c>
      <x:c r="P129" s="274" t="str">
        <x:v>DepositBonus</x:v>
      </x:c>
      <x:c r="Q129" s="274" t="str">
        <x:v>Approved</x:v>
      </x:c>
      <x:c r="R129" s="265" t="n">
        <x:v>200</x:v>
      </x:c>
      <x:c r="S129" s="253" t="str">
        <x:v>Yes</x:v>
      </x:c>
      <x:c r="T129" s="265" t="n">
        <x:v>1920</x:v>
      </x:c>
      <x:c r="U129" s="253" t="str">
        <x:f>IF(AND(S129="Yes",T129=0),"Yes","No")</x:f>
        <x:v>No</x:v>
      </x:c>
      <x:c r="V129" s="253" t="str">
        <x:v>Yes</x:v>
      </x:c>
      <x:c r="W129" s="253" t="str">
        <x:v>Yes</x:v>
      </x:c>
      <x:c r="X129" s="259" t="n">
        <x:v>46123.166666666664</x:v>
      </x:c>
      <x:c r="Y129" s="265" t="n">
        <x:v>600</x:v>
      </x:c>
      <x:c r="Z129" s="265" t="n">
        <x:v>600</x:v>
      </x:c>
      <x:c r="AA129" s="253" t="str">
        <x:f>IF(V129="No","Maturing",IF(AND(U129="Yes",Y129&gt;0),"Yes","No"))</x:f>
        <x:v>No</x:v>
      </x:c>
      <x:c r="AB129" s="253" t="str">
        <x:f>IF(W129="No","Maturing",IF(AND(U129="Yes",Z129&gt;0),"Yes","No"))</x:f>
        <x:v>No</x:v>
      </x:c>
      <x:c r="AC129" s="265" t="n">
        <x:v>-241.51</x:v>
      </x:c>
      <x:c r="AD129" s="265" t="n">
        <x:v>-241.51</x:v>
      </x:c>
      <x:c r="AE129" s="271" t="str"/>
      <x:c r="AF129" s="274" t="str">
        <x:v>Not validated - no control/holdout</x:v>
      </x:c>
      <x:c r="AG129" s="277" t="str">
        <x:v>Recovered execution only; assignment date and unclaimed-offer denominator unavailable</x:v>
      </x:c>
    </x:row>
    <x:row r="130">
      <x:c r="A130" s="252" t="str">
        <x:v>33859692</x:v>
      </x:c>
      <x:c r="B130" s="253" t="str">
        <x:v>WS1</x:v>
      </x:c>
      <x:c r="C130" s="253" t="str">
        <x:v>MB8</x:v>
      </x:c>
      <x:c r="D130" s="262" t="n">
        <x:v>46124.05359953704</x:v>
      </x:c>
      <x:c r="E130" s="259" t="n">
        <x:v>46124.166666666664</x:v>
      </x:c>
      <x:c r="F130" s="253" t="str">
        <x:v>32407</x:v>
      </x:c>
      <x:c r="G130" s="253" t="str">
        <x:v>Arechoy79</x:v>
      </x:c>
      <x:c r="H130" s="253" t="str">
        <x:v>Yes</x:v>
      </x:c>
      <x:c r="I130" s="253" t="str">
        <x:v>Kam</x:v>
      </x:c>
      <x:c r="J130" s="253" t="str">
        <x:v>Kam</x:v>
      </x:c>
      <x:c r="K130" s="259" t="n">
        <x:v>45817.166666666664</x:v>
      </x:c>
      <x:c r="L130" s="268" t="str">
        <x:f>IFERROR(VLOOKUP(I130,'Handler-Team Map'!$A$7:$C$17,2,FALSE),"")</x:f>
      </x:c>
      <x:c r="M130" s="268" t="str">
        <x:f>IFERROR(VLOOKUP(I130,'Handler-Team Map'!$A$7:$C$17,3,FALSE),"")</x:f>
      </x:c>
      <x:c r="N130" s="274" t="str">
        <x:v>FT_VM_DEP150_GET50_5X</x:v>
      </x:c>
      <x:c r="O130" s="274" t="str">
        <x:v>VIP BONUS - Deposit 150 Get 50 - 5x TO</x:v>
      </x:c>
      <x:c r="P130" s="274" t="str">
        <x:v>DepositBonus</x:v>
      </x:c>
      <x:c r="Q130" s="274" t="str">
        <x:v>Approved</x:v>
      </x:c>
      <x:c r="R130" s="265" t="n">
        <x:v>50</x:v>
      </x:c>
      <x:c r="S130" s="253" t="str">
        <x:v>Yes</x:v>
      </x:c>
      <x:c r="T130" s="265" t="n">
        <x:v>160</x:v>
      </x:c>
      <x:c r="U130" s="253" t="str">
        <x:f>IF(AND(S130="Yes",T130=0),"Yes","No")</x:f>
        <x:v>No</x:v>
      </x:c>
      <x:c r="V130" s="253" t="str">
        <x:v>Yes</x:v>
      </x:c>
      <x:c r="W130" s="253" t="str">
        <x:v>Yes</x:v>
      </x:c>
      <x:c r="X130" s="259" t="n">
        <x:v>46124.166666666664</x:v>
      </x:c>
      <x:c r="Y130" s="265" t="n">
        <x:v>950</x:v>
      </x:c>
      <x:c r="Z130" s="265" t="n">
        <x:v>1600</x:v>
      </x:c>
      <x:c r="AA130" s="253" t="str">
        <x:f>IF(V130="No","Maturing",IF(AND(U130="Yes",Y130&gt;0),"Yes","No"))</x:f>
        <x:v>No</x:v>
      </x:c>
      <x:c r="AB130" s="253" t="str">
        <x:f>IF(W130="No","Maturing",IF(AND(U130="Yes",Z130&gt;0),"Yes","No"))</x:f>
        <x:v>No</x:v>
      </x:c>
      <x:c r="AC130" s="265" t="n">
        <x:v>-56.35</x:v>
      </x:c>
      <x:c r="AD130" s="265" t="n">
        <x:v>593.4</x:v>
      </x:c>
      <x:c r="AE130" s="271" t="str"/>
      <x:c r="AF130" s="274" t="str">
        <x:v>Not validated - no control/holdout</x:v>
      </x:c>
      <x:c r="AG130" s="277" t="str">
        <x:v>Recovered execution only; assignment date and unclaimed-offer denominator unavailable</x:v>
      </x:c>
    </x:row>
    <x:row r="131">
      <x:c r="A131" s="252" t="str">
        <x:v>33860233</x:v>
      </x:c>
      <x:c r="B131" s="253" t="str">
        <x:v>WS1</x:v>
      </x:c>
      <x:c r="C131" s="253" t="str">
        <x:v>MB8</x:v>
      </x:c>
      <x:c r="D131" s="262" t="n">
        <x:v>46124.08421296296</x:v>
      </x:c>
      <x:c r="E131" s="259" t="n">
        <x:v>46124.166666666664</x:v>
      </x:c>
      <x:c r="F131" s="253" t="str">
        <x:v>685809</x:v>
      </x:c>
      <x:c r="G131" s="253" t="str">
        <x:v>Naz85</x:v>
      </x:c>
      <x:c r="H131" s="253" t="str">
        <x:v>Yes</x:v>
      </x:c>
      <x:c r="I131" s="253" t="str">
        <x:v>Elda</x:v>
      </x:c>
      <x:c r="J131" s="253" t="str">
        <x:v>Elda</x:v>
      </x:c>
      <x:c r="K131" s="259" t="n">
        <x:v>45790.166666666664</x:v>
      </x:c>
      <x:c r="L131" s="268" t="str">
        <x:f>IFERROR(VLOOKUP(I131,'Handler-Team Map'!$A$7:$C$17,2,FALSE),"")</x:f>
      </x:c>
      <x:c r="M131" s="268" t="str">
        <x:f>IFERROR(VLOOKUP(I131,'Handler-Team Map'!$A$7:$C$17,3,FALSE),"")</x:f>
      </x:c>
      <x:c r="N131" s="274" t="str">
        <x:v>FT_VM_DEP700_GET300_2X</x:v>
      </x:c>
      <x:c r="O131" s="274" t="str">
        <x:v>VIP BONUS - Deposit 700 Get 300 - 2x TO</x:v>
      </x:c>
      <x:c r="P131" s="274" t="str">
        <x:v>DepositBonus</x:v>
      </x:c>
      <x:c r="Q131" s="274" t="str">
        <x:v>Approved</x:v>
      </x:c>
      <x:c r="R131" s="265" t="n">
        <x:v>300</x:v>
      </x:c>
      <x:c r="S131" s="253" t="str">
        <x:v>Yes</x:v>
      </x:c>
      <x:c r="T131" s="265" t="n">
        <x:v>7875</x:v>
      </x:c>
      <x:c r="U131" s="253" t="str">
        <x:f>IF(AND(S131="Yes",T131=0),"Yes","No")</x:f>
        <x:v>No</x:v>
      </x:c>
      <x:c r="V131" s="253" t="str">
        <x:v>Yes</x:v>
      </x:c>
      <x:c r="W131" s="253" t="str">
        <x:v>Yes</x:v>
      </x:c>
      <x:c r="X131" s="259" t="n">
        <x:v>46124.166666666664</x:v>
      </x:c>
      <x:c r="Y131" s="265" t="n">
        <x:v>1200</x:v>
      </x:c>
      <x:c r="Z131" s="265" t="n">
        <x:v>1200</x:v>
      </x:c>
      <x:c r="AA131" s="253" t="str">
        <x:f>IF(V131="No","Maturing",IF(AND(U131="Yes",Y131&gt;0),"Yes","No"))</x:f>
        <x:v>No</x:v>
      </x:c>
      <x:c r="AB131" s="253" t="str">
        <x:f>IF(W131="No","Maturing",IF(AND(U131="Yes",Z131&gt;0),"Yes","No"))</x:f>
        <x:v>No</x:v>
      </x:c>
      <x:c r="AC131" s="265" t="n">
        <x:v>1200.33</x:v>
      </x:c>
      <x:c r="AD131" s="265" t="n">
        <x:v>1201.45</x:v>
      </x:c>
      <x:c r="AE131" s="271" t="str"/>
      <x:c r="AF131" s="274" t="str">
        <x:v>Not validated - no control/holdout</x:v>
      </x:c>
      <x:c r="AG131" s="277" t="str">
        <x:v>Recovered execution only; assignment date and unclaimed-offer denominator unavailable</x:v>
      </x:c>
    </x:row>
    <x:row r="132">
      <x:c r="A132" s="252" t="str">
        <x:v>33860621</x:v>
      </x:c>
      <x:c r="B132" s="253" t="str">
        <x:v>WS1</x:v>
      </x:c>
      <x:c r="C132" s="253" t="str">
        <x:v>MB8</x:v>
      </x:c>
      <x:c r="D132" s="262" t="n">
        <x:v>46124.11126157407</x:v>
      </x:c>
      <x:c r="E132" s="259" t="n">
        <x:v>46124.166666666664</x:v>
      </x:c>
      <x:c r="F132" s="253" t="str">
        <x:v>599828</x:v>
      </x:c>
      <x:c r="G132" s="253" t="str">
        <x:v>jaman1975</x:v>
      </x:c>
      <x:c r="H132" s="253" t="str">
        <x:v>Yes</x:v>
      </x:c>
      <x:c r="I132" s="253" t="str">
        <x:v>Elda</x:v>
      </x:c>
      <x:c r="J132" s="253" t="str">
        <x:v>Elda</x:v>
      </x:c>
      <x:c r="K132" s="259" t="n">
        <x:v>45659.166666666664</x:v>
      </x:c>
      <x:c r="L132" s="268" t="str">
        <x:f>IFERROR(VLOOKUP(I132,'Handler-Team Map'!$A$7:$C$17,2,FALSE),"")</x:f>
      </x:c>
      <x:c r="M132" s="268" t="str">
        <x:f>IFERROR(VLOOKUP(I132,'Handler-Team Map'!$A$7:$C$17,3,FALSE),"")</x:f>
      </x:c>
      <x:c r="N132" s="274" t="str">
        <x:v>FT_VM_DEP300_GET100_5X</x:v>
      </x:c>
      <x:c r="O132" s="274" t="str">
        <x:v>VIP BONUS - Deposit 300 Get 100 - 5x TO</x:v>
      </x:c>
      <x:c r="P132" s="274" t="str">
        <x:v>DepositBonus</x:v>
      </x:c>
      <x:c r="Q132" s="274" t="str">
        <x:v>Approved</x:v>
      </x:c>
      <x:c r="R132" s="265" t="n">
        <x:v>100</x:v>
      </x:c>
      <x:c r="S132" s="253" t="str">
        <x:v>Yes</x:v>
      </x:c>
      <x:c r="T132" s="265" t="n">
        <x:v>40552</x:v>
      </x:c>
      <x:c r="U132" s="253" t="str">
        <x:f>IF(AND(S132="Yes",T132=0),"Yes","No")</x:f>
        <x:v>No</x:v>
      </x:c>
      <x:c r="V132" s="253" t="str">
        <x:v>Yes</x:v>
      </x:c>
      <x:c r="W132" s="253" t="str">
        <x:v>Yes</x:v>
      </x:c>
      <x:c r="X132" s="259" t="n">
        <x:v>46124.166666666664</x:v>
      </x:c>
      <x:c r="Y132" s="265" t="n">
        <x:v>10530</x:v>
      </x:c>
      <x:c r="Z132" s="265" t="n">
        <x:v>25830</x:v>
      </x:c>
      <x:c r="AA132" s="253" t="str">
        <x:f>IF(V132="No","Maturing",IF(AND(U132="Yes",Y132&gt;0),"Yes","No"))</x:f>
        <x:v>No</x:v>
      </x:c>
      <x:c r="AB132" s="253" t="str">
        <x:f>IF(W132="No","Maturing",IF(AND(U132="Yes",Z132&gt;0),"Yes","No"))</x:f>
        <x:v>No</x:v>
      </x:c>
      <x:c r="AC132" s="265" t="n">
        <x:v>6241.86</x:v>
      </x:c>
      <x:c r="AD132" s="265" t="n">
        <x:v>9250.92</x:v>
      </x:c>
      <x:c r="AE132" s="271" t="str"/>
      <x:c r="AF132" s="274" t="str">
        <x:v>Not validated - no control/holdout</x:v>
      </x:c>
      <x:c r="AG132" s="277" t="str">
        <x:v>Recovered execution only; assignment date and unclaimed-offer denominator unavailable</x:v>
      </x:c>
    </x:row>
    <x:row r="133">
      <x:c r="A133" s="252" t="str">
        <x:v>33862019</x:v>
      </x:c>
      <x:c r="B133" s="253" t="str">
        <x:v>WS1</x:v>
      </x:c>
      <x:c r="C133" s="253" t="str">
        <x:v>MB8</x:v>
      </x:c>
      <x:c r="D133" s="262" t="n">
        <x:v>46124.34158564815</x:v>
      </x:c>
      <x:c r="E133" s="259" t="n">
        <x:v>46124.166666666664</x:v>
      </x:c>
      <x:c r="F133" s="253" t="str">
        <x:v>131667</x:v>
      </x:c>
      <x:c r="G133" s="253" t="str">
        <x:v>TT418</x:v>
      </x:c>
      <x:c r="H133" s="253" t="str">
        <x:v>Yes</x:v>
      </x:c>
      <x:c r="I133" s="253" t="str">
        <x:v>Serene</x:v>
      </x:c>
      <x:c r="J133" s="253" t="str">
        <x:v>Serene</x:v>
      </x:c>
      <x:c r="K133" s="259" t="n">
        <x:v>45859.166666666664</x:v>
      </x:c>
      <x:c r="L133" s="268" t="str">
        <x:f>IFERROR(VLOOKUP(I133,'Handler-Team Map'!$A$7:$C$17,2,FALSE),"")</x:f>
      </x:c>
      <x:c r="M133" s="268" t="str">
        <x:f>IFERROR(VLOOKUP(I133,'Handler-Team Map'!$A$7:$C$17,3,FALSE),"")</x:f>
      </x:c>
      <x:c r="N133" s="274" t="str">
        <x:v>FT_VM_DEP300_GET100_2X</x:v>
      </x:c>
      <x:c r="O133" s="274" t="str">
        <x:v>VIP BONUS - Deposit 300 Get 100 - 2x TO</x:v>
      </x:c>
      <x:c r="P133" s="274" t="str">
        <x:v>DepositBonus</x:v>
      </x:c>
      <x:c r="Q133" s="274" t="str">
        <x:v>Approved</x:v>
      </x:c>
      <x:c r="R133" s="265" t="n">
        <x:v>100</x:v>
      </x:c>
      <x:c r="S133" s="253" t="str">
        <x:v>Yes</x:v>
      </x:c>
      <x:c r="T133" s="265" t="n">
        <x:v>77500</x:v>
      </x:c>
      <x:c r="U133" s="253" t="str">
        <x:f>IF(AND(S133="Yes",T133=0),"Yes","No")</x:f>
        <x:v>No</x:v>
      </x:c>
      <x:c r="V133" s="253" t="str">
        <x:v>Yes</x:v>
      </x:c>
      <x:c r="W133" s="253" t="str">
        <x:v>Yes</x:v>
      </x:c>
      <x:c r="X133" s="259" t="n">
        <x:v>46124.166666666664</x:v>
      </x:c>
      <x:c r="Y133" s="265" t="n">
        <x:v>11600</x:v>
      </x:c>
      <x:c r="Z133" s="265" t="n">
        <x:v>34150</x:v>
      </x:c>
      <x:c r="AA133" s="253" t="str">
        <x:f>IF(V133="No","Maturing",IF(AND(U133="Yes",Y133&gt;0),"Yes","No"))</x:f>
        <x:v>No</x:v>
      </x:c>
      <x:c r="AB133" s="253" t="str">
        <x:f>IF(W133="No","Maturing",IF(AND(U133="Yes",Z133&gt;0),"Yes","No"))</x:f>
        <x:v>No</x:v>
      </x:c>
      <x:c r="AC133" s="265" t="n">
        <x:v>5200.99</x:v>
      </x:c>
      <x:c r="AD133" s="265" t="n">
        <x:v>11999.76</x:v>
      </x:c>
      <x:c r="AE133" s="271" t="str"/>
      <x:c r="AF133" s="274" t="str">
        <x:v>Not validated - no control/holdout</x:v>
      </x:c>
      <x:c r="AG133" s="277" t="str">
        <x:v>Recovered execution only; assignment date and unclaimed-offer denominator unavailable</x:v>
      </x:c>
    </x:row>
    <x:row r="134">
      <x:c r="A134" s="252" t="str">
        <x:v>33865565</x:v>
      </x:c>
      <x:c r="B134" s="253" t="str">
        <x:v>WS1</x:v>
      </x:c>
      <x:c r="C134" s="253" t="str">
        <x:v>MB8</x:v>
      </x:c>
      <x:c r="D134" s="262" t="n">
        <x:v>46124.728472222225</x:v>
      </x:c>
      <x:c r="E134" s="259" t="n">
        <x:v>46124.166666666664</x:v>
      </x:c>
      <x:c r="F134" s="253" t="str">
        <x:v>120505</x:v>
      </x:c>
      <x:c r="G134" s="253" t="str">
        <x:v>Johnyeeong</x:v>
      </x:c>
      <x:c r="H134" s="253" t="str">
        <x:v>Yes</x:v>
      </x:c>
      <x:c r="I134" s="253" t="str"/>
      <x:c r="J134" s="253" t="str"/>
      <x:c r="K134" s="259"/>
      <x:c r="L134" s="268" t="str">
        <x:f>IFERROR(VLOOKUP(I134,'Handler-Team Map'!$A$7:$C$17,2,FALSE),"")</x:f>
      </x:c>
      <x:c r="M134" s="268" t="str">
        <x:f>IFERROR(VLOOKUP(I134,'Handler-Team Map'!$A$7:$C$17,3,FALSE),"")</x:f>
      </x:c>
      <x:c r="N134" s="274" t="str">
        <x:v>FT_VM_DEP600_GET200_5X</x:v>
      </x:c>
      <x:c r="O134" s="274" t="str">
        <x:v>VIP BONUS - Deposit 600 Get 200 - 5x TO</x:v>
      </x:c>
      <x:c r="P134" s="274" t="str">
        <x:v>DepositBonus</x:v>
      </x:c>
      <x:c r="Q134" s="274" t="str">
        <x:v>Approved</x:v>
      </x:c>
      <x:c r="R134" s="265" t="n">
        <x:v>200</x:v>
      </x:c>
      <x:c r="S134" s="253" t="str">
        <x:v>Yes</x:v>
      </x:c>
      <x:c r="T134" s="265" t="n">
        <x:v>0</x:v>
      </x:c>
      <x:c r="U134" s="253" t="str">
        <x:f>IF(AND(S134="Yes",T134=0),"Yes","No")</x:f>
        <x:v>Yes</x:v>
      </x:c>
      <x:c r="V134" s="253" t="str">
        <x:v>Yes</x:v>
      </x:c>
      <x:c r="W134" s="253" t="str">
        <x:v>Yes</x:v>
      </x:c>
      <x:c r="X134" s="259" t="n">
        <x:v>46124.166666666664</x:v>
      </x:c>
      <x:c r="Y134" s="265" t="n">
        <x:v>600</x:v>
      </x:c>
      <x:c r="Z134" s="265" t="n">
        <x:v>600</x:v>
      </x:c>
      <x:c r="AA134" s="253" t="str">
        <x:f>IF(V134="No","Maturing",IF(AND(U134="Yes",Y134&gt;0),"Yes","No"))</x:f>
        <x:v>Yes</x:v>
      </x:c>
      <x:c r="AB134" s="253" t="str">
        <x:f>IF(W134="No","Maturing",IF(AND(U134="Yes",Z134&gt;0),"Yes","No"))</x:f>
        <x:v>Yes</x:v>
      </x:c>
      <x:c r="AC134" s="265" t="n">
        <x:v>590.02</x:v>
      </x:c>
      <x:c r="AD134" s="265" t="n">
        <x:v>590.02</x:v>
      </x:c>
      <x:c r="AE134" s="271" t="str"/>
      <x:c r="AF134" s="274" t="str">
        <x:v>Not validated - no control/holdout</x:v>
      </x:c>
      <x:c r="AG134" s="277" t="str">
        <x:v>Recovered execution only; assignment date and unclaimed-offer denominator unavailable</x:v>
      </x:c>
    </x:row>
    <x:row r="135">
      <x:c r="A135" s="252" t="str">
        <x:v>33868658</x:v>
      </x:c>
      <x:c r="B135" s="253" t="str">
        <x:v>WS1</x:v>
      </x:c>
      <x:c r="C135" s="253" t="str">
        <x:v>MB8</x:v>
      </x:c>
      <x:c r="D135" s="262" t="n">
        <x:v>46124.965</x:v>
      </x:c>
      <x:c r="E135" s="259" t="n">
        <x:v>46124.166666666664</x:v>
      </x:c>
      <x:c r="F135" s="253" t="str">
        <x:v>453890</x:v>
      </x:c>
      <x:c r="G135" s="253" t="str">
        <x:v>LOONG123</x:v>
      </x:c>
      <x:c r="H135" s="253" t="str">
        <x:v>Yes</x:v>
      </x:c>
      <x:c r="I135" s="253" t="str"/>
      <x:c r="J135" s="253" t="str"/>
      <x:c r="K135" s="259"/>
      <x:c r="L135" s="268" t="str">
        <x:f>IFERROR(VLOOKUP(I135,'Handler-Team Map'!$A$7:$C$17,2,FALSE),"")</x:f>
      </x:c>
      <x:c r="M135" s="268" t="str">
        <x:f>IFERROR(VLOOKUP(I135,'Handler-Team Map'!$A$7:$C$17,3,FALSE),"")</x:f>
      </x:c>
      <x:c r="N135" s="274" t="str">
        <x:v>FT_VM_DEP1000_GET500_5X</x:v>
      </x:c>
      <x:c r="O135" s="274" t="str">
        <x:v>VIP BONUS - Deposit 1000 Get 500 - 5x TO</x:v>
      </x:c>
      <x:c r="P135" s="274" t="str">
        <x:v>DepositBonus</x:v>
      </x:c>
      <x:c r="Q135" s="274" t="str">
        <x:v>Approved</x:v>
      </x:c>
      <x:c r="R135" s="265" t="n">
        <x:v>500</x:v>
      </x:c>
      <x:c r="S135" s="253" t="str">
        <x:v>Yes</x:v>
      </x:c>
      <x:c r="T135" s="265" t="n">
        <x:v>0</x:v>
      </x:c>
      <x:c r="U135" s="253" t="str">
        <x:f>IF(AND(S135="Yes",T135=0),"Yes","No")</x:f>
        <x:v>Yes</x:v>
      </x:c>
      <x:c r="V135" s="253" t="str">
        <x:v>Yes</x:v>
      </x:c>
      <x:c r="W135" s="253" t="str">
        <x:v>Yes</x:v>
      </x:c>
      <x:c r="X135" s="259" t="n">
        <x:v>46124.166666666664</x:v>
      </x:c>
      <x:c r="Y135" s="265" t="n">
        <x:v>1600</x:v>
      </x:c>
      <x:c r="Z135" s="265" t="n">
        <x:v>1600</x:v>
      </x:c>
      <x:c r="AA135" s="253" t="str">
        <x:f>IF(V135="No","Maturing",IF(AND(U135="Yes",Y135&gt;0),"Yes","No"))</x:f>
        <x:v>Yes</x:v>
      </x:c>
      <x:c r="AB135" s="253" t="str">
        <x:f>IF(W135="No","Maturing",IF(AND(U135="Yes",Z135&gt;0),"Yes","No"))</x:f>
        <x:v>Yes</x:v>
      </x:c>
      <x:c r="AC135" s="265" t="n">
        <x:v>1595.8</x:v>
      </x:c>
      <x:c r="AD135" s="265" t="n">
        <x:v>1595.8</x:v>
      </x:c>
      <x:c r="AE135" s="271" t="str"/>
      <x:c r="AF135" s="274" t="str">
        <x:v>Not validated - no control/holdout</x:v>
      </x:c>
      <x:c r="AG135" s="277" t="str">
        <x:v>Recovered execution only; assignment date and unclaimed-offer denominator unavailable</x:v>
      </x:c>
    </x:row>
    <x:row r="136">
      <x:c r="A136" s="252" t="str">
        <x:v>33870045</x:v>
      </x:c>
      <x:c r="B136" s="253" t="str">
        <x:v>WS1</x:v>
      </x:c>
      <x:c r="C136" s="253" t="str">
        <x:v>MB8</x:v>
      </x:c>
      <x:c r="D136" s="262" t="n">
        <x:v>46125.04620370371</x:v>
      </x:c>
      <x:c r="E136" s="259" t="n">
        <x:v>46125.166666666664</x:v>
      </x:c>
      <x:c r="F136" s="253" t="str">
        <x:v>527147</x:v>
      </x:c>
      <x:c r="G136" s="253" t="str">
        <x:v>XiiaoEvan0625</x:v>
      </x:c>
      <x:c r="H136" s="253" t="str">
        <x:v>Yes</x:v>
      </x:c>
      <x:c r="I136" s="253" t="str"/>
      <x:c r="J136" s="253" t="str"/>
      <x:c r="K136" s="259"/>
      <x:c r="L136" s="268" t="str">
        <x:f>IFERROR(VLOOKUP(I136,'Handler-Team Map'!$A$7:$C$17,2,FALSE),"")</x:f>
      </x:c>
      <x:c r="M136" s="268" t="str">
        <x:f>IFERROR(VLOOKUP(I136,'Handler-Team Map'!$A$7:$C$17,3,FALSE),"")</x:f>
      </x:c>
      <x:c r="N136" s="274" t="str">
        <x:v>FT_VM_DEP600_GET200_5X</x:v>
      </x:c>
      <x:c r="O136" s="274" t="str">
        <x:v>VIP BONUS - Deposit 600 Get 200 - 5x TO</x:v>
      </x:c>
      <x:c r="P136" s="274" t="str">
        <x:v>DepositBonus</x:v>
      </x:c>
      <x:c r="Q136" s="274" t="str">
        <x:v>Approved</x:v>
      </x:c>
      <x:c r="R136" s="265" t="n">
        <x:v>200</x:v>
      </x:c>
      <x:c r="S136" s="253" t="str">
        <x:v>Yes</x:v>
      </x:c>
      <x:c r="T136" s="265" t="n">
        <x:v>6557</x:v>
      </x:c>
      <x:c r="U136" s="253" t="str">
        <x:f>IF(AND(S136="Yes",T136=0),"Yes","No")</x:f>
        <x:v>No</x:v>
      </x:c>
      <x:c r="V136" s="253" t="str">
        <x:v>Yes</x:v>
      </x:c>
      <x:c r="W136" s="253" t="str">
        <x:v>Yes</x:v>
      </x:c>
      <x:c r="X136" s="259" t="n">
        <x:v>46125.166666666664</x:v>
      </x:c>
      <x:c r="Y136" s="265" t="n">
        <x:v>7417.7</x:v>
      </x:c>
      <x:c r="Z136" s="265" t="n">
        <x:v>7765.7</x:v>
      </x:c>
      <x:c r="AA136" s="253" t="str">
        <x:f>IF(V136="No","Maturing",IF(AND(U136="Yes",Y136&gt;0),"Yes","No"))</x:f>
        <x:v>No</x:v>
      </x:c>
      <x:c r="AB136" s="253" t="str">
        <x:f>IF(W136="No","Maturing",IF(AND(U136="Yes",Z136&gt;0),"Yes","No"))</x:f>
        <x:v>No</x:v>
      </x:c>
      <x:c r="AC136" s="265" t="n">
        <x:v>4756.97</x:v>
      </x:c>
      <x:c r="AD136" s="265" t="n">
        <x:v>5104.56</x:v>
      </x:c>
      <x:c r="AE136" s="271" t="str"/>
      <x:c r="AF136" s="274" t="str">
        <x:v>Not validated - no control/holdout</x:v>
      </x:c>
      <x:c r="AG136" s="277" t="str">
        <x:v>Recovered execution only; assignment date and unclaimed-offer denominator unavailable</x:v>
      </x:c>
    </x:row>
    <x:row r="137">
      <x:c r="A137" s="252" t="str">
        <x:v>33871354</x:v>
      </x:c>
      <x:c r="B137" s="253" t="str">
        <x:v>WS1</x:v>
      </x:c>
      <x:c r="C137" s="253" t="str">
        <x:v>MB8</x:v>
      </x:c>
      <x:c r="D137" s="262" t="n">
        <x:v>46125.14807870371</x:v>
      </x:c>
      <x:c r="E137" s="259" t="n">
        <x:v>46125.166666666664</x:v>
      </x:c>
      <x:c r="F137" s="253" t="str">
        <x:v>685896</x:v>
      </x:c>
      <x:c r="G137" s="253" t="str">
        <x:v>RockerJ1617</x:v>
      </x:c>
      <x:c r="H137" s="253" t="str">
        <x:v>Yes</x:v>
      </x:c>
      <x:c r="I137" s="253" t="str">
        <x:v>Elda</x:v>
      </x:c>
      <x:c r="J137" s="253" t="str">
        <x:v>Elda</x:v>
      </x:c>
      <x:c r="K137" s="259" t="n">
        <x:v>45790.166666666664</x:v>
      </x:c>
      <x:c r="L137" s="268" t="str">
        <x:f>IFERROR(VLOOKUP(I137,'Handler-Team Map'!$A$7:$C$17,2,FALSE),"")</x:f>
      </x:c>
      <x:c r="M137" s="268" t="str">
        <x:f>IFERROR(VLOOKUP(I137,'Handler-Team Map'!$A$7:$C$17,3,FALSE),"")</x:f>
      </x:c>
      <x:c r="N137" s="274" t="str">
        <x:v>FT_VM_DEP1000_GET500_5X</x:v>
      </x:c>
      <x:c r="O137" s="274" t="str">
        <x:v>VIP BONUS - Deposit 1000 Get 500 - 5x TO</x:v>
      </x:c>
      <x:c r="P137" s="274" t="str">
        <x:v>DepositBonus</x:v>
      </x:c>
      <x:c r="Q137" s="274" t="str">
        <x:v>Approved</x:v>
      </x:c>
      <x:c r="R137" s="265" t="n">
        <x:v>500</x:v>
      </x:c>
      <x:c r="S137" s="253" t="str">
        <x:v>Yes</x:v>
      </x:c>
      <x:c r="T137" s="265" t="n">
        <x:v>300</x:v>
      </x:c>
      <x:c r="U137" s="253" t="str">
        <x:f>IF(AND(S137="Yes",T137=0),"Yes","No")</x:f>
        <x:v>No</x:v>
      </x:c>
      <x:c r="V137" s="253" t="str">
        <x:v>Yes</x:v>
      </x:c>
      <x:c r="W137" s="253" t="str">
        <x:v>Yes</x:v>
      </x:c>
      <x:c r="X137" s="259" t="n">
        <x:v>46125.166666666664</x:v>
      </x:c>
      <x:c r="Y137" s="265" t="n">
        <x:v>1000</x:v>
      </x:c>
      <x:c r="Z137" s="265" t="n">
        <x:v>1000</x:v>
      </x:c>
      <x:c r="AA137" s="253" t="str">
        <x:f>IF(V137="No","Maturing",IF(AND(U137="Yes",Y137&gt;0),"Yes","No"))</x:f>
        <x:v>No</x:v>
      </x:c>
      <x:c r="AB137" s="253" t="str">
        <x:f>IF(W137="No","Maturing",IF(AND(U137="Yes",Z137&gt;0),"Yes","No"))</x:f>
        <x:v>No</x:v>
      </x:c>
      <x:c r="AC137" s="265" t="n">
        <x:v>974.26</x:v>
      </x:c>
      <x:c r="AD137" s="265" t="n">
        <x:v>1000.99</x:v>
      </x:c>
      <x:c r="AE137" s="271" t="str"/>
      <x:c r="AF137" s="274" t="str">
        <x:v>Not validated - no control/holdout</x:v>
      </x:c>
      <x:c r="AG137" s="277" t="str">
        <x:v>Recovered execution only; assignment date and unclaimed-offer denominator unavailable</x:v>
      </x:c>
    </x:row>
    <x:row r="138">
      <x:c r="A138" s="252" t="str">
        <x:v>33873105</x:v>
      </x:c>
      <x:c r="B138" s="253" t="str">
        <x:v>WS1</x:v>
      </x:c>
      <x:c r="C138" s="253" t="str">
        <x:v>MB8</x:v>
      </x:c>
      <x:c r="D138" s="262" t="n">
        <x:v>46125.51903935185</x:v>
      </x:c>
      <x:c r="E138" s="259" t="n">
        <x:v>46125.166666666664</x:v>
      </x:c>
      <x:c r="F138" s="253" t="str">
        <x:v>366220</x:v>
      </x:c>
      <x:c r="G138" s="253" t="str">
        <x:v>Bluebird84</x:v>
      </x:c>
      <x:c r="H138" s="253" t="str">
        <x:v>Yes</x:v>
      </x:c>
      <x:c r="I138" s="253" t="str">
        <x:v>Tammy</x:v>
      </x:c>
      <x:c r="J138" s="253" t="str">
        <x:v>Tammy</x:v>
      </x:c>
      <x:c r="K138" s="259" t="n">
        <x:v>45951.166666666664</x:v>
      </x:c>
      <x:c r="L138" s="268" t="str">
        <x:f>IFERROR(VLOOKUP(I138,'Handler-Team Map'!$A$7:$C$17,2,FALSE),"")</x:f>
      </x:c>
      <x:c r="M138" s="268" t="str">
        <x:f>IFERROR(VLOOKUP(I138,'Handler-Team Map'!$A$7:$C$17,3,FALSE),"")</x:f>
      </x:c>
      <x:c r="N138" s="274" t="str">
        <x:v>FT_VM_DEP1000_GET500_5X</x:v>
      </x:c>
      <x:c r="O138" s="274" t="str">
        <x:v>VIP BONUS - Deposit 1000 Get 500 - 5x TO</x:v>
      </x:c>
      <x:c r="P138" s="274" t="str">
        <x:v>DepositBonus</x:v>
      </x:c>
      <x:c r="Q138" s="274" t="str">
        <x:v>Approved</x:v>
      </x:c>
      <x:c r="R138" s="265" t="n">
        <x:v>500</x:v>
      </x:c>
      <x:c r="S138" s="253" t="str">
        <x:v>Yes</x:v>
      </x:c>
      <x:c r="T138" s="265" t="n">
        <x:v>2350</x:v>
      </x:c>
      <x:c r="U138" s="253" t="str">
        <x:f>IF(AND(S138="Yes",T138=0),"Yes","No")</x:f>
        <x:v>No</x:v>
      </x:c>
      <x:c r="V138" s="253" t="str">
        <x:v>Yes</x:v>
      </x:c>
      <x:c r="W138" s="253" t="str">
        <x:v>Yes</x:v>
      </x:c>
      <x:c r="X138" s="259" t="n">
        <x:v>46125.166666666664</x:v>
      </x:c>
      <x:c r="Y138" s="265" t="n">
        <x:v>1940</x:v>
      </x:c>
      <x:c r="Z138" s="265" t="n">
        <x:v>2430</x:v>
      </x:c>
      <x:c r="AA138" s="253" t="str">
        <x:f>IF(V138="No","Maturing",IF(AND(U138="Yes",Y138&gt;0),"Yes","No"))</x:f>
        <x:v>No</x:v>
      </x:c>
      <x:c r="AB138" s="253" t="str">
        <x:f>IF(W138="No","Maturing",IF(AND(U138="Yes",Z138&gt;0),"Yes","No"))</x:f>
        <x:v>No</x:v>
      </x:c>
      <x:c r="AC138" s="265" t="n">
        <x:v>1939.74</x:v>
      </x:c>
      <x:c r="AD138" s="265" t="n">
        <x:v>2429.12</x:v>
      </x:c>
      <x:c r="AE138" s="271" t="str"/>
      <x:c r="AF138" s="274" t="str">
        <x:v>Not validated - no control/holdout</x:v>
      </x:c>
      <x:c r="AG138" s="277" t="str">
        <x:v>Recovered execution only; assignment date and unclaimed-offer denominator unavailable</x:v>
      </x:c>
    </x:row>
    <x:row r="139">
      <x:c r="A139" s="252" t="str">
        <x:v>33873376</x:v>
      </x:c>
      <x:c r="B139" s="253" t="str">
        <x:v>WS1</x:v>
      </x:c>
      <x:c r="C139" s="253" t="str">
        <x:v>MB8</x:v>
      </x:c>
      <x:c r="D139" s="262" t="n">
        <x:v>46125.54366898148</x:v>
      </x:c>
      <x:c r="E139" s="259" t="n">
        <x:v>46125.166666666664</x:v>
      </x:c>
      <x:c r="F139" s="253" t="str">
        <x:v>794407</x:v>
      </x:c>
      <x:c r="G139" s="253" t="str">
        <x:v>Tiew2567</x:v>
      </x:c>
      <x:c r="H139" s="253" t="str">
        <x:v>Yes</x:v>
      </x:c>
      <x:c r="I139" s="253" t="str">
        <x:v>zhen</x:v>
      </x:c>
      <x:c r="J139" s="253" t="str">
        <x:v>zhen</x:v>
      </x:c>
      <x:c r="K139" s="259" t="n">
        <x:v>45922.166666666664</x:v>
      </x:c>
      <x:c r="L139" s="268" t="str">
        <x:f>IFERROR(VLOOKUP(I139,'Handler-Team Map'!$A$7:$C$17,2,FALSE),"")</x:f>
      </x:c>
      <x:c r="M139" s="268" t="str">
        <x:f>IFERROR(VLOOKUP(I139,'Handler-Team Map'!$A$7:$C$17,3,FALSE),"")</x:f>
      </x:c>
      <x:c r="N139" s="274" t="str">
        <x:v>FT_VM_DEP150_GET50_5X</x:v>
      </x:c>
      <x:c r="O139" s="274" t="str">
        <x:v>VIP BONUS - Deposit 150 Get 50 - 5x TO</x:v>
      </x:c>
      <x:c r="P139" s="274" t="str">
        <x:v>DepositBonus</x:v>
      </x:c>
      <x:c r="Q139" s="274" t="str">
        <x:v>Approved</x:v>
      </x:c>
      <x:c r="R139" s="265" t="n">
        <x:v>50</x:v>
      </x:c>
      <x:c r="S139" s="253" t="str">
        <x:v>Yes</x:v>
      </x:c>
      <x:c r="T139" s="265" t="n">
        <x:v>11900</x:v>
      </x:c>
      <x:c r="U139" s="253" t="str">
        <x:f>IF(AND(S139="Yes",T139=0),"Yes","No")</x:f>
        <x:v>No</x:v>
      </x:c>
      <x:c r="V139" s="253" t="str">
        <x:v>Yes</x:v>
      </x:c>
      <x:c r="W139" s="253" t="str">
        <x:v>Yes</x:v>
      </x:c>
      <x:c r="X139" s="259" t="n">
        <x:v>46125.166666666664</x:v>
      </x:c>
      <x:c r="Y139" s="265" t="n">
        <x:v>4050</x:v>
      </x:c>
      <x:c r="Z139" s="265" t="n">
        <x:v>8150</x:v>
      </x:c>
      <x:c r="AA139" s="253" t="str">
        <x:f>IF(V139="No","Maturing",IF(AND(U139="Yes",Y139&gt;0),"Yes","No"))</x:f>
        <x:v>No</x:v>
      </x:c>
      <x:c r="AB139" s="253" t="str">
        <x:f>IF(W139="No","Maturing",IF(AND(U139="Yes",Z139&gt;0),"Yes","No"))</x:f>
        <x:v>No</x:v>
      </x:c>
      <x:c r="AC139" s="265" t="n">
        <x:v>893.24</x:v>
      </x:c>
      <x:c r="AD139" s="265" t="n">
        <x:v>-362.36</x:v>
      </x:c>
      <x:c r="AE139" s="271" t="str"/>
      <x:c r="AF139" s="274" t="str">
        <x:v>Not validated - no control/holdout</x:v>
      </x:c>
      <x:c r="AG139" s="277" t="str">
        <x:v>Recovered execution only; assignment date and unclaimed-offer denominator unavailable</x:v>
      </x:c>
    </x:row>
    <x:row r="140">
      <x:c r="A140" s="252" t="str">
        <x:v>33873857</x:v>
      </x:c>
      <x:c r="B140" s="253" t="str">
        <x:v>WS1</x:v>
      </x:c>
      <x:c r="C140" s="253" t="str">
        <x:v>MB8</x:v>
      </x:c>
      <x:c r="D140" s="262" t="n">
        <x:v>46125.59576388889</x:v>
      </x:c>
      <x:c r="E140" s="259" t="n">
        <x:v>46125.166666666664</x:v>
      </x:c>
      <x:c r="F140" s="253" t="str">
        <x:v>433845</x:v>
      </x:c>
      <x:c r="G140" s="253" t="str">
        <x:v>aderson124</x:v>
      </x:c>
      <x:c r="H140" s="253" t="str">
        <x:v>Yes</x:v>
      </x:c>
      <x:c r="I140" s="253" t="str">
        <x:v>Sheena</x:v>
      </x:c>
      <x:c r="J140" s="253" t="str">
        <x:v>Sheena</x:v>
      </x:c>
      <x:c r="K140" s="259" t="n">
        <x:v>45852.166666666664</x:v>
      </x:c>
      <x:c r="L140" s="268" t="str">
        <x:f>IFERROR(VLOOKUP(I140,'Handler-Team Map'!$A$7:$C$17,2,FALSE),"")</x:f>
      </x:c>
      <x:c r="M140" s="268" t="str">
        <x:f>IFERROR(VLOOKUP(I140,'Handler-Team Map'!$A$7:$C$17,3,FALSE),"")</x:f>
      </x:c>
      <x:c r="N140" s="274" t="str">
        <x:v>FT_VM_DEP1000_GET500_5X</x:v>
      </x:c>
      <x:c r="O140" s="274" t="str">
        <x:v>VIP BONUS - Deposit 1000 Get 500 - 5x TO</x:v>
      </x:c>
      <x:c r="P140" s="274" t="str">
        <x:v>DepositBonus</x:v>
      </x:c>
      <x:c r="Q140" s="274" t="str">
        <x:v>Approved</x:v>
      </x:c>
      <x:c r="R140" s="265" t="n">
        <x:v>500</x:v>
      </x:c>
      <x:c r="S140" s="253" t="str">
        <x:v>Yes</x:v>
      </x:c>
      <x:c r="T140" s="265" t="n">
        <x:v>34018</x:v>
      </x:c>
      <x:c r="U140" s="253" t="str">
        <x:f>IF(AND(S140="Yes",T140=0),"Yes","No")</x:f>
        <x:v>No</x:v>
      </x:c>
      <x:c r="V140" s="253" t="str">
        <x:v>Yes</x:v>
      </x:c>
      <x:c r="W140" s="253" t="str">
        <x:v>Yes</x:v>
      </x:c>
      <x:c r="X140" s="259" t="n">
        <x:v>46125.166666666664</x:v>
      </x:c>
      <x:c r="Y140" s="265" t="n">
        <x:v>19000</x:v>
      </x:c>
      <x:c r="Z140" s="265" t="n">
        <x:v>31000</x:v>
      </x:c>
      <x:c r="AA140" s="253" t="str">
        <x:f>IF(V140="No","Maturing",IF(AND(U140="Yes",Y140&gt;0),"Yes","No"))</x:f>
        <x:v>No</x:v>
      </x:c>
      <x:c r="AB140" s="253" t="str">
        <x:f>IF(W140="No","Maturing",IF(AND(U140="Yes",Z140&gt;0),"Yes","No"))</x:f>
        <x:v>No</x:v>
      </x:c>
      <x:c r="AC140" s="265" t="n">
        <x:v>-34553.97</x:v>
      </x:c>
      <x:c r="AD140" s="265" t="n">
        <x:v>-27680.84</x:v>
      </x:c>
      <x:c r="AE140" s="271" t="str"/>
      <x:c r="AF140" s="274" t="str">
        <x:v>Not validated - no control/holdout</x:v>
      </x:c>
      <x:c r="AG140" s="277" t="str">
        <x:v>Recovered execution only; assignment date and unclaimed-offer denominator unavailable</x:v>
      </x:c>
    </x:row>
    <x:row r="141">
      <x:c r="A141" s="252" t="str">
        <x:v>33874163</x:v>
      </x:c>
      <x:c r="B141" s="253" t="str">
        <x:v>WS1</x:v>
      </x:c>
      <x:c r="C141" s="253" t="str">
        <x:v>MB8</x:v>
      </x:c>
      <x:c r="D141" s="262" t="n">
        <x:v>46125.627546296295</x:v>
      </x:c>
      <x:c r="E141" s="259" t="n">
        <x:v>46125.166666666664</x:v>
      </x:c>
      <x:c r="F141" s="253" t="str">
        <x:v>306733</x:v>
      </x:c>
      <x:c r="G141" s="253" t="str">
        <x:v>HC5140</x:v>
      </x:c>
      <x:c r="H141" s="253" t="str">
        <x:v>Yes</x:v>
      </x:c>
      <x:c r="I141" s="253" t="str">
        <x:v>Claire</x:v>
      </x:c>
      <x:c r="J141" s="253" t="str">
        <x:v>Claire</x:v>
      </x:c>
      <x:c r="K141" s="259" t="n">
        <x:v>45659.166666666664</x:v>
      </x:c>
      <x:c r="L141" s="268" t="str">
        <x:f>IFERROR(VLOOKUP(I141,'Handler-Team Map'!$A$7:$C$17,2,FALSE),"")</x:f>
      </x:c>
      <x:c r="M141" s="268" t="str">
        <x:f>IFERROR(VLOOKUP(I141,'Handler-Team Map'!$A$7:$C$17,3,FALSE),"")</x:f>
      </x:c>
      <x:c r="N141" s="274" t="str">
        <x:v>FT_VM_DEP1000_GET500_5X</x:v>
      </x:c>
      <x:c r="O141" s="274" t="str">
        <x:v>VIP BONUS - Deposit 1000 Get 500 - 5x TO</x:v>
      </x:c>
      <x:c r="P141" s="274" t="str">
        <x:v>DepositBonus</x:v>
      </x:c>
      <x:c r="Q141" s="274" t="str">
        <x:v>Approved</x:v>
      </x:c>
      <x:c r="R141" s="265" t="n">
        <x:v>500</x:v>
      </x:c>
      <x:c r="S141" s="253" t="str">
        <x:v>Yes</x:v>
      </x:c>
      <x:c r="T141" s="265" t="n">
        <x:v>113189</x:v>
      </x:c>
      <x:c r="U141" s="253" t="str">
        <x:f>IF(AND(S141="Yes",T141=0),"Yes","No")</x:f>
        <x:v>No</x:v>
      </x:c>
      <x:c r="V141" s="253" t="str">
        <x:v>Yes</x:v>
      </x:c>
      <x:c r="W141" s="253" t="str">
        <x:v>Yes</x:v>
      </x:c>
      <x:c r="X141" s="259" t="n">
        <x:v>46125.166666666664</x:v>
      </x:c>
      <x:c r="Y141" s="265" t="n">
        <x:v>20107</x:v>
      </x:c>
      <x:c r="Z141" s="265" t="n">
        <x:v>35427</x:v>
      </x:c>
      <x:c r="AA141" s="253" t="str">
        <x:f>IF(V141="No","Maturing",IF(AND(U141="Yes",Y141&gt;0),"Yes","No"))</x:f>
        <x:v>No</x:v>
      </x:c>
      <x:c r="AB141" s="253" t="str">
        <x:f>IF(W141="No","Maturing",IF(AND(U141="Yes",Z141&gt;0),"Yes","No"))</x:f>
        <x:v>No</x:v>
      </x:c>
      <x:c r="AC141" s="265" t="n">
        <x:v>3554.85</x:v>
      </x:c>
      <x:c r="AD141" s="265" t="n">
        <x:v>2194.74</x:v>
      </x:c>
      <x:c r="AE141" s="271" t="str"/>
      <x:c r="AF141" s="274" t="str">
        <x:v>Not validated - no control/holdout</x:v>
      </x:c>
      <x:c r="AG141" s="277" t="str">
        <x:v>Recovered execution only; assignment date and unclaimed-offer denominator unavailable</x:v>
      </x:c>
    </x:row>
    <x:row r="142">
      <x:c r="A142" s="252" t="str">
        <x:v>33874277</x:v>
      </x:c>
      <x:c r="B142" s="253" t="str">
        <x:v>WS1</x:v>
      </x:c>
      <x:c r="C142" s="253" t="str">
        <x:v>MB8</x:v>
      </x:c>
      <x:c r="D142" s="262" t="n">
        <x:v>46125.639814814815</x:v>
      </x:c>
      <x:c r="E142" s="259" t="n">
        <x:v>46125.166666666664</x:v>
      </x:c>
      <x:c r="F142" s="253" t="str">
        <x:v>967766</x:v>
      </x:c>
      <x:c r="G142" s="253" t="str">
        <x:v>wxyz9876</x:v>
      </x:c>
      <x:c r="H142" s="253" t="str">
        <x:v>Yes</x:v>
      </x:c>
      <x:c r="I142" s="253" t="str">
        <x:v>Tammy</x:v>
      </x:c>
      <x:c r="J142" s="253" t="str">
        <x:v>Tammy</x:v>
      </x:c>
      <x:c r="K142" s="259" t="n">
        <x:v>45951.166666666664</x:v>
      </x:c>
      <x:c r="L142" s="268" t="str">
        <x:f>IFERROR(VLOOKUP(I142,'Handler-Team Map'!$A$7:$C$17,2,FALSE),"")</x:f>
      </x:c>
      <x:c r="M142" s="268" t="str">
        <x:f>IFERROR(VLOOKUP(I142,'Handler-Team Map'!$A$7:$C$17,3,FALSE),"")</x:f>
      </x:c>
      <x:c r="N142" s="274" t="str">
        <x:v>FT_VM_DEP300_GET100_5X</x:v>
      </x:c>
      <x:c r="O142" s="274" t="str">
        <x:v>VIP BONUS - Deposit 300 Get 100 - 5x TO</x:v>
      </x:c>
      <x:c r="P142" s="274" t="str">
        <x:v>DepositBonus</x:v>
      </x:c>
      <x:c r="Q142" s="274" t="str">
        <x:v>Approved</x:v>
      </x:c>
      <x:c r="R142" s="265" t="n">
        <x:v>100</x:v>
      </x:c>
      <x:c r="S142" s="253" t="str">
        <x:v>Yes</x:v>
      </x:c>
      <x:c r="T142" s="265" t="n">
        <x:v>15420</x:v>
      </x:c>
      <x:c r="U142" s="253" t="str">
        <x:f>IF(AND(S142="Yes",T142=0),"Yes","No")</x:f>
        <x:v>No</x:v>
      </x:c>
      <x:c r="V142" s="253" t="str">
        <x:v>Yes</x:v>
      </x:c>
      <x:c r="W142" s="253" t="str">
        <x:v>Yes</x:v>
      </x:c>
      <x:c r="X142" s="259" t="n">
        <x:v>46125.166666666664</x:v>
      </x:c>
      <x:c r="Y142" s="265" t="n">
        <x:v>2750</x:v>
      </x:c>
      <x:c r="Z142" s="265" t="n">
        <x:v>3040</x:v>
      </x:c>
      <x:c r="AA142" s="253" t="str">
        <x:f>IF(V142="No","Maturing",IF(AND(U142="Yes",Y142&gt;0),"Yes","No"))</x:f>
        <x:v>No</x:v>
      </x:c>
      <x:c r="AB142" s="253" t="str">
        <x:f>IF(W142="No","Maturing",IF(AND(U142="Yes",Z142&gt;0),"Yes","No"))</x:f>
        <x:v>No</x:v>
      </x:c>
      <x:c r="AC142" s="265" t="n">
        <x:v>2749.92</x:v>
      </x:c>
      <x:c r="AD142" s="265" t="n">
        <x:v>2847.8</x:v>
      </x:c>
      <x:c r="AE142" s="271" t="str"/>
      <x:c r="AF142" s="274" t="str">
        <x:v>Not validated - no control/holdout</x:v>
      </x:c>
      <x:c r="AG142" s="277" t="str">
        <x:v>Recovered execution only; assignment date and unclaimed-offer denominator unavailable</x:v>
      </x:c>
    </x:row>
    <x:row r="143">
      <x:c r="A143" s="252" t="str">
        <x:v>33874320</x:v>
      </x:c>
      <x:c r="B143" s="253" t="str">
        <x:v>WS1</x:v>
      </x:c>
      <x:c r="C143" s="253" t="str">
        <x:v>MB8</x:v>
      </x:c>
      <x:c r="D143" s="262" t="n">
        <x:v>46125.642534722225</x:v>
      </x:c>
      <x:c r="E143" s="259" t="n">
        <x:v>46125.166666666664</x:v>
      </x:c>
      <x:c r="F143" s="253" t="str">
        <x:v>274195</x:v>
      </x:c>
      <x:c r="G143" s="253" t="str">
        <x:v>Win131313</x:v>
      </x:c>
      <x:c r="H143" s="253" t="str">
        <x:v>Yes</x:v>
      </x:c>
      <x:c r="I143" s="253" t="str">
        <x:v>Claire</x:v>
      </x:c>
      <x:c r="J143" s="253" t="str">
        <x:v>Claire</x:v>
      </x:c>
      <x:c r="K143" s="259" t="n">
        <x:v>45922.166666666664</x:v>
      </x:c>
      <x:c r="L143" s="268" t="str">
        <x:f>IFERROR(VLOOKUP(I143,'Handler-Team Map'!$A$7:$C$17,2,FALSE),"")</x:f>
      </x:c>
      <x:c r="M143" s="268" t="str">
        <x:f>IFERROR(VLOOKUP(I143,'Handler-Team Map'!$A$7:$C$17,3,FALSE),"")</x:f>
      </x:c>
      <x:c r="N143" s="274" t="str">
        <x:v>FT_VM_DEP1000_GET500_2X</x:v>
      </x:c>
      <x:c r="O143" s="274" t="str">
        <x:v>VIP BONUS - Deposit 1000 Get 500 - 2x TO</x:v>
      </x:c>
      <x:c r="P143" s="274" t="str">
        <x:v>DepositBonus</x:v>
      </x:c>
      <x:c r="Q143" s="274" t="str">
        <x:v>Approved</x:v>
      </x:c>
      <x:c r="R143" s="265" t="n">
        <x:v>500</x:v>
      </x:c>
      <x:c r="S143" s="253" t="str">
        <x:v>Yes</x:v>
      </x:c>
      <x:c r="T143" s="265" t="n">
        <x:v>1000</x:v>
      </x:c>
      <x:c r="U143" s="253" t="str">
        <x:f>IF(AND(S143="Yes",T143=0),"Yes","No")</x:f>
        <x:v>No</x:v>
      </x:c>
      <x:c r="V143" s="253" t="str">
        <x:v>Yes</x:v>
      </x:c>
      <x:c r="W143" s="253" t="str">
        <x:v>Yes</x:v>
      </x:c>
      <x:c r="X143" s="259" t="n">
        <x:v>46125.166666666664</x:v>
      </x:c>
      <x:c r="Y143" s="265" t="n">
        <x:v>9100</x:v>
      </x:c>
      <x:c r="Z143" s="265" t="n">
        <x:v>11700</x:v>
      </x:c>
      <x:c r="AA143" s="253" t="str">
        <x:f>IF(V143="No","Maturing",IF(AND(U143="Yes",Y143&gt;0),"Yes","No"))</x:f>
        <x:v>No</x:v>
      </x:c>
      <x:c r="AB143" s="253" t="str">
        <x:f>IF(W143="No","Maturing",IF(AND(U143="Yes",Z143&gt;0),"Yes","No"))</x:f>
        <x:v>No</x:v>
      </x:c>
      <x:c r="AC143" s="265" t="n">
        <x:v>-3448</x:v>
      </x:c>
      <x:c r="AD143" s="265" t="n">
        <x:v>-5756.65</x:v>
      </x:c>
      <x:c r="AE143" s="271" t="str"/>
      <x:c r="AF143" s="274" t="str">
        <x:v>Not validated - no control/holdout</x:v>
      </x:c>
      <x:c r="AG143" s="277" t="str">
        <x:v>Recovered execution only; assignment date and unclaimed-offer denominator unavailable</x:v>
      </x:c>
    </x:row>
    <x:row r="144">
      <x:c r="A144" s="252" t="str">
        <x:v>33874357</x:v>
      </x:c>
      <x:c r="B144" s="253" t="str">
        <x:v>WS1</x:v>
      </x:c>
      <x:c r="C144" s="253" t="str">
        <x:v>MB8</x:v>
      </x:c>
      <x:c r="D144" s="262" t="n">
        <x:v>46125.64711805555</x:v>
      </x:c>
      <x:c r="E144" s="259" t="n">
        <x:v>46125.166666666664</x:v>
      </x:c>
      <x:c r="F144" s="253" t="str">
        <x:v>827371</x:v>
      </x:c>
      <x:c r="G144" s="253" t="str">
        <x:v>marc187</x:v>
      </x:c>
      <x:c r="H144" s="253" t="str">
        <x:v>Yes</x:v>
      </x:c>
      <x:c r="I144" s="253" t="str">
        <x:v>Claire</x:v>
      </x:c>
      <x:c r="J144" s="253" t="str">
        <x:v>Claire</x:v>
      </x:c>
      <x:c r="K144" s="259" t="n">
        <x:v>45755.166666666664</x:v>
      </x:c>
      <x:c r="L144" s="268" t="str">
        <x:f>IFERROR(VLOOKUP(I144,'Handler-Team Map'!$A$7:$C$17,2,FALSE),"")</x:f>
      </x:c>
      <x:c r="M144" s="268" t="str">
        <x:f>IFERROR(VLOOKUP(I144,'Handler-Team Map'!$A$7:$C$17,3,FALSE),"")</x:f>
      </x:c>
      <x:c r="N144" s="274" t="str">
        <x:v>FT_VM_DEP1000_GET900_2X</x:v>
      </x:c>
      <x:c r="O144" s="274" t="str">
        <x:v>VIP BONUS - Deposit 1000 Get 900 - 2x TO</x:v>
      </x:c>
      <x:c r="P144" s="274" t="str">
        <x:v>DepositBonus</x:v>
      </x:c>
      <x:c r="Q144" s="274" t="str">
        <x:v>Approved</x:v>
      </x:c>
      <x:c r="R144" s="265" t="n">
        <x:v>900</x:v>
      </x:c>
      <x:c r="S144" s="253" t="str">
        <x:v>Yes</x:v>
      </x:c>
      <x:c r="T144" s="265" t="n">
        <x:v>1229450.73</x:v>
      </x:c>
      <x:c r="U144" s="253" t="str">
        <x:f>IF(AND(S144="Yes",T144=0),"Yes","No")</x:f>
        <x:v>No</x:v>
      </x:c>
      <x:c r="V144" s="253" t="str">
        <x:v>Yes</x:v>
      </x:c>
      <x:c r="W144" s="253" t="str">
        <x:v>Yes</x:v>
      </x:c>
      <x:c r="X144" s="259" t="n">
        <x:v>46125.166666666664</x:v>
      </x:c>
      <x:c r="Y144" s="265" t="n">
        <x:v>559986</x:v>
      </x:c>
      <x:c r="Z144" s="265" t="n">
        <x:v>951339.08</x:v>
      </x:c>
      <x:c r="AA144" s="253" t="str">
        <x:f>IF(V144="No","Maturing",IF(AND(U144="Yes",Y144&gt;0),"Yes","No"))</x:f>
        <x:v>No</x:v>
      </x:c>
      <x:c r="AB144" s="253" t="str">
        <x:f>IF(W144="No","Maturing",IF(AND(U144="Yes",Z144&gt;0),"Yes","No"))</x:f>
        <x:v>No</x:v>
      </x:c>
      <x:c r="AC144" s="265" t="n">
        <x:v>275943.15</x:v>
      </x:c>
      <x:c r="AD144" s="265" t="n">
        <x:v>346503.57</x:v>
      </x:c>
      <x:c r="AE144" s="271" t="str"/>
      <x:c r="AF144" s="274" t="str">
        <x:v>Not validated - no control/holdout</x:v>
      </x:c>
      <x:c r="AG144" s="277" t="str">
        <x:v>Recovered execution only; assignment date and unclaimed-offer denominator unavailable</x:v>
      </x:c>
    </x:row>
    <x:row r="145">
      <x:c r="A145" s="252" t="str">
        <x:v>33874728</x:v>
      </x:c>
      <x:c r="B145" s="253" t="str">
        <x:v>WS1</x:v>
      </x:c>
      <x:c r="C145" s="253" t="str">
        <x:v>MB8</x:v>
      </x:c>
      <x:c r="D145" s="262" t="n">
        <x:v>46125.685162037036</x:v>
      </x:c>
      <x:c r="E145" s="259" t="n">
        <x:v>46125.166666666664</x:v>
      </x:c>
      <x:c r="F145" s="253" t="str">
        <x:v>587646</x:v>
      </x:c>
      <x:c r="G145" s="253" t="str">
        <x:v>arilrich</x:v>
      </x:c>
      <x:c r="H145" s="253" t="str">
        <x:v>Yes</x:v>
      </x:c>
      <x:c r="I145" s="253" t="str">
        <x:v>Christy</x:v>
      </x:c>
      <x:c r="J145" s="253" t="str">
        <x:v>Christy</x:v>
      </x:c>
      <x:c r="K145" s="259" t="n">
        <x:v>45831.166666666664</x:v>
      </x:c>
      <x:c r="L145" s="268" t="str">
        <x:f>IFERROR(VLOOKUP(I145,'Handler-Team Map'!$A$7:$C$17,2,FALSE),"")</x:f>
      </x:c>
      <x:c r="M145" s="268" t="str">
        <x:f>IFERROR(VLOOKUP(I145,'Handler-Team Map'!$A$7:$C$17,3,FALSE),"")</x:f>
      </x:c>
      <x:c r="N145" s="274" t="str">
        <x:v>FT_VM_DEP1000_GET500_5X</x:v>
      </x:c>
      <x:c r="O145" s="274" t="str">
        <x:v>VIP BONUS - Deposit 1000 Get 500 - 5x TO</x:v>
      </x:c>
      <x:c r="P145" s="274" t="str">
        <x:v>DepositBonus</x:v>
      </x:c>
      <x:c r="Q145" s="274" t="str">
        <x:v>Approved</x:v>
      </x:c>
      <x:c r="R145" s="265" t="n">
        <x:v>500</x:v>
      </x:c>
      <x:c r="S145" s="253" t="str">
        <x:v>Yes</x:v>
      </x:c>
      <x:c r="T145" s="265" t="n">
        <x:v>7717</x:v>
      </x:c>
      <x:c r="U145" s="253" t="str">
        <x:f>IF(AND(S145="Yes",T145=0),"Yes","No")</x:f>
        <x:v>No</x:v>
      </x:c>
      <x:c r="V145" s="253" t="str">
        <x:v>Yes</x:v>
      </x:c>
      <x:c r="W145" s="253" t="str">
        <x:v>Yes</x:v>
      </x:c>
      <x:c r="X145" s="259" t="n">
        <x:v>46125.166666666664</x:v>
      </x:c>
      <x:c r="Y145" s="265" t="n">
        <x:v>1000</x:v>
      </x:c>
      <x:c r="Z145" s="265" t="n">
        <x:v>8120</x:v>
      </x:c>
      <x:c r="AA145" s="253" t="str">
        <x:f>IF(V145="No","Maturing",IF(AND(U145="Yes",Y145&gt;0),"Yes","No"))</x:f>
        <x:v>No</x:v>
      </x:c>
      <x:c r="AB145" s="253" t="str">
        <x:f>IF(W145="No","Maturing",IF(AND(U145="Yes",Z145&gt;0),"Yes","No"))</x:f>
        <x:v>No</x:v>
      </x:c>
      <x:c r="AC145" s="265" t="n">
        <x:v>-5860.5</x:v>
      </x:c>
      <x:c r="AD145" s="265" t="n">
        <x:v>-8318.5</x:v>
      </x:c>
      <x:c r="AE145" s="271" t="str"/>
      <x:c r="AF145" s="274" t="str">
        <x:v>Not validated - no control/holdout</x:v>
      </x:c>
      <x:c r="AG145" s="277" t="str">
        <x:v>Recovered execution only; assignment date and unclaimed-offer denominator unavailable</x:v>
      </x:c>
    </x:row>
    <x:row r="146">
      <x:c r="A146" s="252" t="str">
        <x:v>33874809</x:v>
      </x:c>
      <x:c r="B146" s="253" t="str">
        <x:v>WS1</x:v>
      </x:c>
      <x:c r="C146" s="253" t="str">
        <x:v>MB8</x:v>
      </x:c>
      <x:c r="D146" s="262" t="n">
        <x:v>46125.68865740741</x:v>
      </x:c>
      <x:c r="E146" s="259" t="n">
        <x:v>46125.166666666664</x:v>
      </x:c>
      <x:c r="F146" s="253" t="str">
        <x:v>992918</x:v>
      </x:c>
      <x:c r="G146" s="253" t="str">
        <x:v>Sprema</x:v>
      </x:c>
      <x:c r="H146" s="253" t="str">
        <x:v>Yes</x:v>
      </x:c>
      <x:c r="I146" s="253" t="str"/>
      <x:c r="J146" s="253" t="str"/>
      <x:c r="K146" s="259"/>
      <x:c r="L146" s="268" t="str">
        <x:f>IFERROR(VLOOKUP(I146,'Handler-Team Map'!$A$7:$C$17,2,FALSE),"")</x:f>
      </x:c>
      <x:c r="M146" s="268" t="str">
        <x:f>IFERROR(VLOOKUP(I146,'Handler-Team Map'!$A$7:$C$17,3,FALSE),"")</x:f>
      </x:c>
      <x:c r="N146" s="274" t="str">
        <x:v>FT_VM_DEP1000_GET500_2X</x:v>
      </x:c>
      <x:c r="O146" s="274" t="str">
        <x:v>VIP BONUS - Deposit 1000 Get 500 - 2x TO</x:v>
      </x:c>
      <x:c r="P146" s="274" t="str">
        <x:v>DepositBonus</x:v>
      </x:c>
      <x:c r="Q146" s="274" t="str">
        <x:v>Approved</x:v>
      </x:c>
      <x:c r="R146" s="265" t="n">
        <x:v>500</x:v>
      </x:c>
      <x:c r="S146" s="253" t="str">
        <x:v>Yes</x:v>
      </x:c>
      <x:c r="T146" s="265" t="n">
        <x:v>2005</x:v>
      </x:c>
      <x:c r="U146" s="253" t="str">
        <x:f>IF(AND(S146="Yes",T146=0),"Yes","No")</x:f>
        <x:v>No</x:v>
      </x:c>
      <x:c r="V146" s="253" t="str">
        <x:v>Yes</x:v>
      </x:c>
      <x:c r="W146" s="253" t="str">
        <x:v>Yes</x:v>
      </x:c>
      <x:c r="X146" s="259" t="n">
        <x:v>46125.166666666664</x:v>
      </x:c>
      <x:c r="Y146" s="265" t="n">
        <x:v>2500</x:v>
      </x:c>
      <x:c r="Z146" s="265" t="n">
        <x:v>2700</x:v>
      </x:c>
      <x:c r="AA146" s="253" t="str">
        <x:f>IF(V146="No","Maturing",IF(AND(U146="Yes",Y146&gt;0),"Yes","No"))</x:f>
        <x:v>No</x:v>
      </x:c>
      <x:c r="AB146" s="253" t="str">
        <x:f>IF(W146="No","Maturing",IF(AND(U146="Yes",Z146&gt;0),"Yes","No"))</x:f>
        <x:v>No</x:v>
      </x:c>
      <x:c r="AC146" s="265" t="n">
        <x:v>-956.47</x:v>
      </x:c>
      <x:c r="AD146" s="265" t="n">
        <x:v>-749.66</x:v>
      </x:c>
      <x:c r="AE146" s="271" t="str"/>
      <x:c r="AF146" s="274" t="str">
        <x:v>Not validated - no control/holdout</x:v>
      </x:c>
      <x:c r="AG146" s="277" t="str">
        <x:v>Recovered execution only; assignment date and unclaimed-offer denominator unavailable</x:v>
      </x:c>
    </x:row>
    <x:row r="147">
      <x:c r="A147" s="252" t="str">
        <x:v>33874949</x:v>
      </x:c>
      <x:c r="B147" s="253" t="str">
        <x:v>WS1</x:v>
      </x:c>
      <x:c r="C147" s="253" t="str">
        <x:v>MB8</x:v>
      </x:c>
      <x:c r="D147" s="262" t="n">
        <x:v>46125.69936342593</x:v>
      </x:c>
      <x:c r="E147" s="259" t="n">
        <x:v>46125.166666666664</x:v>
      </x:c>
      <x:c r="F147" s="253" t="str">
        <x:v>476510</x:v>
      </x:c>
      <x:c r="G147" s="253" t="str">
        <x:v>giinshen</x:v>
      </x:c>
      <x:c r="H147" s="253" t="str">
        <x:v>Yes</x:v>
      </x:c>
      <x:c r="I147" s="253" t="str">
        <x:v>Claire</x:v>
      </x:c>
      <x:c r="J147" s="253" t="str">
        <x:v>Claire</x:v>
      </x:c>
      <x:c r="K147" s="259" t="n">
        <x:v>45659.166666666664</x:v>
      </x:c>
      <x:c r="L147" s="268" t="str">
        <x:f>IFERROR(VLOOKUP(I147,'Handler-Team Map'!$A$7:$C$17,2,FALSE),"")</x:f>
      </x:c>
      <x:c r="M147" s="268" t="str">
        <x:f>IFERROR(VLOOKUP(I147,'Handler-Team Map'!$A$7:$C$17,3,FALSE),"")</x:f>
      </x:c>
      <x:c r="N147" s="274" t="str">
        <x:v>FT_VM_DEP1000_GET500_1X</x:v>
      </x:c>
      <x:c r="O147" s="274" t="str">
        <x:v>VIP BONUS - Deposit 1000 Get 500 - 1x TO</x:v>
      </x:c>
      <x:c r="P147" s="274" t="str">
        <x:v>DepositBonus</x:v>
      </x:c>
      <x:c r="Q147" s="274" t="str">
        <x:v>Approved</x:v>
      </x:c>
      <x:c r="R147" s="265" t="n">
        <x:v>500</x:v>
      </x:c>
      <x:c r="S147" s="253" t="str">
        <x:v>Yes</x:v>
      </x:c>
      <x:c r="T147" s="265" t="n">
        <x:v>72500</x:v>
      </x:c>
      <x:c r="U147" s="253" t="str">
        <x:f>IF(AND(S147="Yes",T147=0),"Yes","No")</x:f>
        <x:v>No</x:v>
      </x:c>
      <x:c r="V147" s="253" t="str">
        <x:v>Yes</x:v>
      </x:c>
      <x:c r="W147" s="253" t="str">
        <x:v>Yes</x:v>
      </x:c>
      <x:c r="X147" s="259" t="n">
        <x:v>46125.166666666664</x:v>
      </x:c>
      <x:c r="Y147" s="265" t="n">
        <x:v>20500</x:v>
      </x:c>
      <x:c r="Z147" s="265" t="n">
        <x:v>46000</x:v>
      </x:c>
      <x:c r="AA147" s="253" t="str">
        <x:f>IF(V147="No","Maturing",IF(AND(U147="Yes",Y147&gt;0),"Yes","No"))</x:f>
        <x:v>No</x:v>
      </x:c>
      <x:c r="AB147" s="253" t="str">
        <x:f>IF(W147="No","Maturing",IF(AND(U147="Yes",Z147&gt;0),"Yes","No"))</x:f>
        <x:v>No</x:v>
      </x:c>
      <x:c r="AC147" s="265" t="n">
        <x:v>-7733.88</x:v>
      </x:c>
      <x:c r="AD147" s="265" t="n">
        <x:v>17772.63</x:v>
      </x:c>
      <x:c r="AE147" s="271" t="str"/>
      <x:c r="AF147" s="274" t="str">
        <x:v>Not validated - no control/holdout</x:v>
      </x:c>
      <x:c r="AG147" s="277" t="str">
        <x:v>Recovered execution only; assignment date and unclaimed-offer denominator unavailable</x:v>
      </x:c>
    </x:row>
    <x:row r="148">
      <x:c r="A148" s="252" t="str">
        <x:v>33875094</x:v>
      </x:c>
      <x:c r="B148" s="253" t="str">
        <x:v>WS1</x:v>
      </x:c>
      <x:c r="C148" s="253" t="str">
        <x:v>MB8</x:v>
      </x:c>
      <x:c r="D148" s="262" t="n">
        <x:v>46125.71287037037</x:v>
      </x:c>
      <x:c r="E148" s="259" t="n">
        <x:v>46125.166666666664</x:v>
      </x:c>
      <x:c r="F148" s="253" t="str">
        <x:v>648954</x:v>
      </x:c>
      <x:c r="G148" s="253" t="str">
        <x:v>Jesh16</x:v>
      </x:c>
      <x:c r="H148" s="253" t="str">
        <x:v>Yes</x:v>
      </x:c>
      <x:c r="I148" s="253" t="str">
        <x:v>Claire</x:v>
      </x:c>
      <x:c r="J148" s="253" t="str">
        <x:v>Claire</x:v>
      </x:c>
      <x:c r="K148" s="259" t="n">
        <x:v>45659.166666666664</x:v>
      </x:c>
      <x:c r="L148" s="268" t="str">
        <x:f>IFERROR(VLOOKUP(I148,'Handler-Team Map'!$A$7:$C$17,2,FALSE),"")</x:f>
      </x:c>
      <x:c r="M148" s="268" t="str">
        <x:f>IFERROR(VLOOKUP(I148,'Handler-Team Map'!$A$7:$C$17,3,FALSE),"")</x:f>
      </x:c>
      <x:c r="N148" s="274" t="str">
        <x:v>FT_VM_DEP150_GET50_5X</x:v>
      </x:c>
      <x:c r="O148" s="274" t="str">
        <x:v>VIP BONUS - Deposit 150 Get 50 - 5x TO</x:v>
      </x:c>
      <x:c r="P148" s="274" t="str">
        <x:v>DepositBonus</x:v>
      </x:c>
      <x:c r="Q148" s="274" t="str">
        <x:v>Approved</x:v>
      </x:c>
      <x:c r="R148" s="265" t="n">
        <x:v>50</x:v>
      </x:c>
      <x:c r="S148" s="253" t="str">
        <x:v>Yes</x:v>
      </x:c>
      <x:c r="T148" s="265" t="n">
        <x:v>69320</x:v>
      </x:c>
      <x:c r="U148" s="253" t="str">
        <x:f>IF(AND(S148="Yes",T148=0),"Yes","No")</x:f>
        <x:v>No</x:v>
      </x:c>
      <x:c r="V148" s="253" t="str">
        <x:v>Yes</x:v>
      </x:c>
      <x:c r="W148" s="253" t="str">
        <x:v>Yes</x:v>
      </x:c>
      <x:c r="X148" s="259" t="n">
        <x:v>46125.166666666664</x:v>
      </x:c>
      <x:c r="Y148" s="265" t="n">
        <x:v>17240</x:v>
      </x:c>
      <x:c r="Z148" s="265" t="n">
        <x:v>17240</x:v>
      </x:c>
      <x:c r="AA148" s="253" t="str">
        <x:f>IF(V148="No","Maturing",IF(AND(U148="Yes",Y148&gt;0),"Yes","No"))</x:f>
        <x:v>No</x:v>
      </x:c>
      <x:c r="AB148" s="253" t="str">
        <x:f>IF(W148="No","Maturing",IF(AND(U148="Yes",Z148&gt;0),"Yes","No"))</x:f>
        <x:v>No</x:v>
      </x:c>
      <x:c r="AC148" s="265" t="n">
        <x:v>3226.91</x:v>
      </x:c>
      <x:c r="AD148" s="265" t="n">
        <x:v>3236.84</x:v>
      </x:c>
      <x:c r="AE148" s="271" t="str"/>
      <x:c r="AF148" s="274" t="str">
        <x:v>Not validated - no control/holdout</x:v>
      </x:c>
      <x:c r="AG148" s="277" t="str">
        <x:v>Recovered execution only; assignment date and unclaimed-offer denominator unavailable</x:v>
      </x:c>
    </x:row>
    <x:row r="149">
      <x:c r="A149" s="252" t="str">
        <x:v>33875267</x:v>
      </x:c>
      <x:c r="B149" s="253" t="str">
        <x:v>WS1</x:v>
      </x:c>
      <x:c r="C149" s="253" t="str">
        <x:v>MB8</x:v>
      </x:c>
      <x:c r="D149" s="262" t="n">
        <x:v>46125.72849537037</x:v>
      </x:c>
      <x:c r="E149" s="259" t="n">
        <x:v>46125.166666666664</x:v>
      </x:c>
      <x:c r="F149" s="253" t="str">
        <x:v>478019</x:v>
      </x:c>
      <x:c r="G149" s="253" t="str">
        <x:v>Latino65</x:v>
      </x:c>
      <x:c r="H149" s="253" t="str">
        <x:v>Yes</x:v>
      </x:c>
      <x:c r="I149" s="253" t="str">
        <x:v>Claire</x:v>
      </x:c>
      <x:c r="J149" s="253" t="str">
        <x:v>Claire</x:v>
      </x:c>
      <x:c r="K149" s="259" t="n">
        <x:v>45790.166666666664</x:v>
      </x:c>
      <x:c r="L149" s="268" t="str">
        <x:f>IFERROR(VLOOKUP(I149,'Handler-Team Map'!$A$7:$C$17,2,FALSE),"")</x:f>
      </x:c>
      <x:c r="M149" s="268" t="str">
        <x:f>IFERROR(VLOOKUP(I149,'Handler-Team Map'!$A$7:$C$17,3,FALSE),"")</x:f>
      </x:c>
      <x:c r="N149" s="274" t="str">
        <x:v>FT_VM_DEP150_GET50_5X</x:v>
      </x:c>
      <x:c r="O149" s="274" t="str">
        <x:v>VIP BONUS - Deposit 150 Get 50 - 5x TO</x:v>
      </x:c>
      <x:c r="P149" s="274" t="str">
        <x:v>DepositBonus</x:v>
      </x:c>
      <x:c r="Q149" s="274" t="str">
        <x:v>Approved</x:v>
      </x:c>
      <x:c r="R149" s="265" t="n">
        <x:v>50</x:v>
      </x:c>
      <x:c r="S149" s="253" t="str">
        <x:v>Yes</x:v>
      </x:c>
      <x:c r="T149" s="265" t="n">
        <x:v>22198</x:v>
      </x:c>
      <x:c r="U149" s="253" t="str">
        <x:f>IF(AND(S149="Yes",T149=0),"Yes","No")</x:f>
        <x:v>No</x:v>
      </x:c>
      <x:c r="V149" s="253" t="str">
        <x:v>Yes</x:v>
      </x:c>
      <x:c r="W149" s="253" t="str">
        <x:v>Yes</x:v>
      </x:c>
      <x:c r="X149" s="259" t="n">
        <x:v>46125.166666666664</x:v>
      </x:c>
      <x:c r="Y149" s="265" t="n">
        <x:v>300</x:v>
      </x:c>
      <x:c r="Z149" s="265" t="n">
        <x:v>5610</x:v>
      </x:c>
      <x:c r="AA149" s="253" t="str">
        <x:f>IF(V149="No","Maturing",IF(AND(U149="Yes",Y149&gt;0),"Yes","No"))</x:f>
        <x:v>No</x:v>
      </x:c>
      <x:c r="AB149" s="253" t="str">
        <x:f>IF(W149="No","Maturing",IF(AND(U149="Yes",Z149&gt;0),"Yes","No"))</x:f>
        <x:v>No</x:v>
      </x:c>
      <x:c r="AC149" s="265" t="n">
        <x:v>299.66</x:v>
      </x:c>
      <x:c r="AD149" s="265" t="n">
        <x:v>1572.72</x:v>
      </x:c>
      <x:c r="AE149" s="271" t="str"/>
      <x:c r="AF149" s="274" t="str">
        <x:v>Not validated - no control/holdout</x:v>
      </x:c>
      <x:c r="AG149" s="277" t="str">
        <x:v>Recovered execution only; assignment date and unclaimed-offer denominator unavailable</x:v>
      </x:c>
    </x:row>
    <x:row r="150">
      <x:c r="A150" s="252" t="str">
        <x:v>33875362</x:v>
      </x:c>
      <x:c r="B150" s="253" t="str">
        <x:v>WS1</x:v>
      </x:c>
      <x:c r="C150" s="253" t="str">
        <x:v>MB8</x:v>
      </x:c>
      <x:c r="D150" s="262" t="n">
        <x:v>46125.73525462963</x:v>
      </x:c>
      <x:c r="E150" s="259" t="n">
        <x:v>46125.166666666664</x:v>
      </x:c>
      <x:c r="F150" s="253" t="str">
        <x:v>521114</x:v>
      </x:c>
      <x:c r="G150" s="253" t="str">
        <x:v>Nzboss8181</x:v>
      </x:c>
      <x:c r="H150" s="253" t="str">
        <x:v>Yes</x:v>
      </x:c>
      <x:c r="I150" s="253" t="str">
        <x:v>Claire</x:v>
      </x:c>
      <x:c r="J150" s="253" t="str">
        <x:v>Claire</x:v>
      </x:c>
      <x:c r="K150" s="259" t="n">
        <x:v>45659.166666666664</x:v>
      </x:c>
      <x:c r="L150" s="268" t="str">
        <x:f>IFERROR(VLOOKUP(I150,'Handler-Team Map'!$A$7:$C$17,2,FALSE),"")</x:f>
      </x:c>
      <x:c r="M150" s="268" t="str">
        <x:f>IFERROR(VLOOKUP(I150,'Handler-Team Map'!$A$7:$C$17,3,FALSE),"")</x:f>
      </x:c>
      <x:c r="N150" s="274" t="str">
        <x:v>FT_VM_DEP1000_GET900_2X</x:v>
      </x:c>
      <x:c r="O150" s="274" t="str">
        <x:v>VIP BONUS - Deposit 1000 Get 900 - 2x TO</x:v>
      </x:c>
      <x:c r="P150" s="274" t="str">
        <x:v>DepositBonus</x:v>
      </x:c>
      <x:c r="Q150" s="274" t="str">
        <x:v>Approved</x:v>
      </x:c>
      <x:c r="R150" s="265" t="n">
        <x:v>900</x:v>
      </x:c>
      <x:c r="S150" s="253" t="str">
        <x:v>Yes</x:v>
      </x:c>
      <x:c r="T150" s="265" t="n">
        <x:v>359100</x:v>
      </x:c>
      <x:c r="U150" s="253" t="str">
        <x:f>IF(AND(S150="Yes",T150=0),"Yes","No")</x:f>
        <x:v>No</x:v>
      </x:c>
      <x:c r="V150" s="253" t="str">
        <x:v>Yes</x:v>
      </x:c>
      <x:c r="W150" s="253" t="str">
        <x:v>Yes</x:v>
      </x:c>
      <x:c r="X150" s="259" t="n">
        <x:v>46125.166666666664</x:v>
      </x:c>
      <x:c r="Y150" s="265" t="n">
        <x:v>34000</x:v>
      </x:c>
      <x:c r="Z150" s="265" t="n">
        <x:v>112700</x:v>
      </x:c>
      <x:c r="AA150" s="253" t="str">
        <x:f>IF(V150="No","Maturing",IF(AND(U150="Yes",Y150&gt;0),"Yes","No"))</x:f>
        <x:v>No</x:v>
      </x:c>
      <x:c r="AB150" s="253" t="str">
        <x:f>IF(W150="No","Maturing",IF(AND(U150="Yes",Z150&gt;0),"Yes","No"))</x:f>
        <x:v>No</x:v>
      </x:c>
      <x:c r="AC150" s="265" t="n">
        <x:v>-109877.19</x:v>
      </x:c>
      <x:c r="AD150" s="265" t="n">
        <x:v>-83177.13</x:v>
      </x:c>
      <x:c r="AE150" s="271" t="str"/>
      <x:c r="AF150" s="274" t="str">
        <x:v>Not validated - no control/holdout</x:v>
      </x:c>
      <x:c r="AG150" s="277" t="str">
        <x:v>Recovered execution only; assignment date and unclaimed-offer denominator unavailable</x:v>
      </x:c>
    </x:row>
    <x:row r="151">
      <x:c r="A151" s="252" t="str">
        <x:v>33875469</x:v>
      </x:c>
      <x:c r="B151" s="253" t="str">
        <x:v>WS1</x:v>
      </x:c>
      <x:c r="C151" s="253" t="str">
        <x:v>MB8</x:v>
      </x:c>
      <x:c r="D151" s="262" t="n">
        <x:v>46125.74523148148</x:v>
      </x:c>
      <x:c r="E151" s="259" t="n">
        <x:v>46125.166666666664</x:v>
      </x:c>
      <x:c r="F151" s="253" t="str">
        <x:v>1189075</x:v>
      </x:c>
      <x:c r="G151" s="253" t="str">
        <x:v>hmsbidang</x:v>
      </x:c>
      <x:c r="H151" s="253" t="str">
        <x:v>Yes</x:v>
      </x:c>
      <x:c r="I151" s="253" t="str"/>
      <x:c r="J151" s="253" t="str"/>
      <x:c r="K151" s="259"/>
      <x:c r="L151" s="268" t="str">
        <x:f>IFERROR(VLOOKUP(I151,'Handler-Team Map'!$A$7:$C$17,2,FALSE),"")</x:f>
      </x:c>
      <x:c r="M151" s="268" t="str">
        <x:f>IFERROR(VLOOKUP(I151,'Handler-Team Map'!$A$7:$C$17,3,FALSE),"")</x:f>
      </x:c>
      <x:c r="N151" s="274" t="str">
        <x:v>FT_VM_DEP600_GET200_5X</x:v>
      </x:c>
      <x:c r="O151" s="274" t="str">
        <x:v>VIP BONUS - Deposit 600 Get 200 - 5x TO</x:v>
      </x:c>
      <x:c r="P151" s="274" t="str">
        <x:v>DepositBonus</x:v>
      </x:c>
      <x:c r="Q151" s="274" t="str">
        <x:v>Approved</x:v>
      </x:c>
      <x:c r="R151" s="265" t="n">
        <x:v>200</x:v>
      </x:c>
      <x:c r="S151" s="253" t="str">
        <x:v>Yes</x:v>
      </x:c>
      <x:c r="T151" s="265" t="n">
        <x:v>1900</x:v>
      </x:c>
      <x:c r="U151" s="253" t="str">
        <x:f>IF(AND(S151="Yes",T151=0),"Yes","No")</x:f>
        <x:v>No</x:v>
      </x:c>
      <x:c r="V151" s="253" t="str">
        <x:v>Yes</x:v>
      </x:c>
      <x:c r="W151" s="253" t="str">
        <x:v>Yes</x:v>
      </x:c>
      <x:c r="X151" s="259" t="n">
        <x:v>46125.166666666664</x:v>
      </x:c>
      <x:c r="Y151" s="265" t="n">
        <x:v>1600</x:v>
      </x:c>
      <x:c r="Z151" s="265" t="n">
        <x:v>1600</x:v>
      </x:c>
      <x:c r="AA151" s="253" t="str">
        <x:f>IF(V151="No","Maturing",IF(AND(U151="Yes",Y151&gt;0),"Yes","No"))</x:f>
        <x:v>No</x:v>
      </x:c>
      <x:c r="AB151" s="253" t="str">
        <x:f>IF(W151="No","Maturing",IF(AND(U151="Yes",Z151&gt;0),"Yes","No"))</x:f>
        <x:v>No</x:v>
      </x:c>
      <x:c r="AC151" s="265" t="n">
        <x:v>1597.07</x:v>
      </x:c>
      <x:c r="AD151" s="265" t="n">
        <x:v>1599.92</x:v>
      </x:c>
      <x:c r="AE151" s="271" t="str"/>
      <x:c r="AF151" s="274" t="str">
        <x:v>Not validated - no control/holdout</x:v>
      </x:c>
      <x:c r="AG151" s="277" t="str">
        <x:v>Recovered execution only; assignment date and unclaimed-offer denominator unavailable</x:v>
      </x:c>
    </x:row>
    <x:row r="152">
      <x:c r="A152" s="252" t="str">
        <x:v>33875793</x:v>
      </x:c>
      <x:c r="B152" s="253" t="str">
        <x:v>WS1</x:v>
      </x:c>
      <x:c r="C152" s="253" t="str">
        <x:v>MB8</x:v>
      </x:c>
      <x:c r="D152" s="262" t="n">
        <x:v>46125.776458333334</x:v>
      </x:c>
      <x:c r="E152" s="259" t="n">
        <x:v>46125.166666666664</x:v>
      </x:c>
      <x:c r="F152" s="253" t="str">
        <x:v>580807</x:v>
      </x:c>
      <x:c r="G152" s="253" t="str">
        <x:v>Ams1202</x:v>
      </x:c>
      <x:c r="H152" s="253" t="str">
        <x:v>Yes</x:v>
      </x:c>
      <x:c r="I152" s="253" t="str">
        <x:v>Claire</x:v>
      </x:c>
      <x:c r="J152" s="253" t="str">
        <x:v>Claire</x:v>
      </x:c>
      <x:c r="K152" s="259" t="n">
        <x:v>45659.166666666664</x:v>
      </x:c>
      <x:c r="L152" s="268" t="str">
        <x:f>IFERROR(VLOOKUP(I152,'Handler-Team Map'!$A$7:$C$17,2,FALSE),"")</x:f>
      </x:c>
      <x:c r="M152" s="268" t="str">
        <x:f>IFERROR(VLOOKUP(I152,'Handler-Team Map'!$A$7:$C$17,3,FALSE),"")</x:f>
      </x:c>
      <x:c r="N152" s="274" t="str">
        <x:v>FT_VM_DEP700_GET300_2X</x:v>
      </x:c>
      <x:c r="O152" s="274" t="str">
        <x:v>VIP BONUS - Deposit 700 Get 300 - 2x TO</x:v>
      </x:c>
      <x:c r="P152" s="274" t="str">
        <x:v>DepositBonus</x:v>
      </x:c>
      <x:c r="Q152" s="274" t="str">
        <x:v>Approved</x:v>
      </x:c>
      <x:c r="R152" s="265" t="n">
        <x:v>300</x:v>
      </x:c>
      <x:c r="S152" s="253" t="str">
        <x:v>Yes</x:v>
      </x:c>
      <x:c r="T152" s="265" t="n">
        <x:v>116350</x:v>
      </x:c>
      <x:c r="U152" s="253" t="str">
        <x:f>IF(AND(S152="Yes",T152=0),"Yes","No")</x:f>
        <x:v>No</x:v>
      </x:c>
      <x:c r="V152" s="253" t="str">
        <x:v>Yes</x:v>
      </x:c>
      <x:c r="W152" s="253" t="str">
        <x:v>Yes</x:v>
      </x:c>
      <x:c r="X152" s="259" t="n">
        <x:v>46125.166666666664</x:v>
      </x:c>
      <x:c r="Y152" s="265" t="n">
        <x:v>30580</x:v>
      </x:c>
      <x:c r="Z152" s="265" t="n">
        <x:v>57110</x:v>
      </x:c>
      <x:c r="AA152" s="253" t="str">
        <x:f>IF(V152="No","Maturing",IF(AND(U152="Yes",Y152&gt;0),"Yes","No"))</x:f>
        <x:v>No</x:v>
      </x:c>
      <x:c r="AB152" s="253" t="str">
        <x:f>IF(W152="No","Maturing",IF(AND(U152="Yes",Z152&gt;0),"Yes","No"))</x:f>
        <x:v>No</x:v>
      </x:c>
      <x:c r="AC152" s="265" t="n">
        <x:v>17272.53</x:v>
      </x:c>
      <x:c r="AD152" s="265" t="n">
        <x:v>33303.28</x:v>
      </x:c>
      <x:c r="AE152" s="271" t="str"/>
      <x:c r="AF152" s="274" t="str">
        <x:v>Not validated - no control/holdout</x:v>
      </x:c>
      <x:c r="AG152" s="277" t="str">
        <x:v>Recovered execution only; assignment date and unclaimed-offer denominator unavailable</x:v>
      </x:c>
    </x:row>
    <x:row r="153">
      <x:c r="A153" s="252" t="str">
        <x:v>33876121</x:v>
      </x:c>
      <x:c r="B153" s="253" t="str">
        <x:v>WS1</x:v>
      </x:c>
      <x:c r="C153" s="253" t="str">
        <x:v>MB8</x:v>
      </x:c>
      <x:c r="D153" s="262" t="n">
        <x:v>46125.798425925925</x:v>
      </x:c>
      <x:c r="E153" s="259" t="n">
        <x:v>46125.166666666664</x:v>
      </x:c>
      <x:c r="F153" s="253" t="str">
        <x:v>937936</x:v>
      </x:c>
      <x:c r="G153" s="253" t="str">
        <x:v>Aliceyap</x:v>
      </x:c>
      <x:c r="H153" s="253" t="str">
        <x:v>Yes</x:v>
      </x:c>
      <x:c r="I153" s="253" t="str">
        <x:v>Serene</x:v>
      </x:c>
      <x:c r="J153" s="253" t="str">
        <x:v>Serene</x:v>
      </x:c>
      <x:c r="K153" s="259" t="n">
        <x:v>46077.166666666664</x:v>
      </x:c>
      <x:c r="L153" s="268" t="str">
        <x:f>IFERROR(VLOOKUP(I153,'Handler-Team Map'!$A$7:$C$17,2,FALSE),"")</x:f>
      </x:c>
      <x:c r="M153" s="268" t="str">
        <x:f>IFERROR(VLOOKUP(I153,'Handler-Team Map'!$A$7:$C$17,3,FALSE),"")</x:f>
      </x:c>
      <x:c r="N153" s="274" t="str">
        <x:v>FT_VM_DEP800_GET400_2X</x:v>
      </x:c>
      <x:c r="O153" s="274" t="str">
        <x:v>VIP BONUS - Deposit 800 Get 400 - 2x TO</x:v>
      </x:c>
      <x:c r="P153" s="274" t="str">
        <x:v>DepositBonus</x:v>
      </x:c>
      <x:c r="Q153" s="274" t="str">
        <x:v>Approved</x:v>
      </x:c>
      <x:c r="R153" s="265" t="n">
        <x:v>400</x:v>
      </x:c>
      <x:c r="S153" s="253" t="str">
        <x:v>Yes</x:v>
      </x:c>
      <x:c r="T153" s="265" t="n">
        <x:v>800</x:v>
      </x:c>
      <x:c r="U153" s="253" t="str">
        <x:f>IF(AND(S153="Yes",T153=0),"Yes","No")</x:f>
        <x:v>No</x:v>
      </x:c>
      <x:c r="V153" s="253" t="str">
        <x:v>Yes</x:v>
      </x:c>
      <x:c r="W153" s="253" t="str">
        <x:v>Yes</x:v>
      </x:c>
      <x:c r="X153" s="259" t="n">
        <x:v>46125.166666666664</x:v>
      </x:c>
      <x:c r="Y153" s="265" t="n">
        <x:v>800</x:v>
      </x:c>
      <x:c r="Z153" s="265" t="n">
        <x:v>800</x:v>
      </x:c>
      <x:c r="AA153" s="253" t="str">
        <x:f>IF(V153="No","Maturing",IF(AND(U153="Yes",Y153&gt;0),"Yes","No"))</x:f>
        <x:v>No</x:v>
      </x:c>
      <x:c r="AB153" s="253" t="str">
        <x:f>IF(W153="No","Maturing",IF(AND(U153="Yes",Z153&gt;0),"Yes","No"))</x:f>
        <x:v>No</x:v>
      </x:c>
      <x:c r="AC153" s="265" t="n">
        <x:v>-300.02</x:v>
      </x:c>
      <x:c r="AD153" s="265" t="n">
        <x:v>-300.02</x:v>
      </x:c>
      <x:c r="AE153" s="271" t="str"/>
      <x:c r="AF153" s="274" t="str">
        <x:v>Not validated - no control/holdout</x:v>
      </x:c>
      <x:c r="AG153" s="277" t="str">
        <x:v>Recovered execution only; assignment date and unclaimed-offer denominator unavailable</x:v>
      </x:c>
    </x:row>
    <x:row r="154">
      <x:c r="A154" s="252" t="str">
        <x:v>33876516</x:v>
      </x:c>
      <x:c r="B154" s="253" t="str">
        <x:v>WS1</x:v>
      </x:c>
      <x:c r="C154" s="253" t="str">
        <x:v>MB8</x:v>
      </x:c>
      <x:c r="D154" s="262" t="n">
        <x:v>46125.833020833335</x:v>
      </x:c>
      <x:c r="E154" s="259" t="n">
        <x:v>46125.166666666664</x:v>
      </x:c>
      <x:c r="F154" s="253" t="str">
        <x:v>663490</x:v>
      </x:c>
      <x:c r="G154" s="253" t="str">
        <x:v>Arsenal9968</x:v>
      </x:c>
      <x:c r="H154" s="253" t="str">
        <x:v>Yes</x:v>
      </x:c>
      <x:c r="I154" s="253" t="str">
        <x:v>Claire</x:v>
      </x:c>
      <x:c r="J154" s="253" t="str">
        <x:v>Claire</x:v>
      </x:c>
      <x:c r="K154" s="259" t="n">
        <x:v>45659.166666666664</x:v>
      </x:c>
      <x:c r="L154" s="268" t="str">
        <x:f>IFERROR(VLOOKUP(I154,'Handler-Team Map'!$A$7:$C$17,2,FALSE),"")</x:f>
      </x:c>
      <x:c r="M154" s="268" t="str">
        <x:f>IFERROR(VLOOKUP(I154,'Handler-Team Map'!$A$7:$C$17,3,FALSE),"")</x:f>
      </x:c>
      <x:c r="N154" s="274" t="str">
        <x:v>FT_VM_DEP700_GET300_2X</x:v>
      </x:c>
      <x:c r="O154" s="274" t="str">
        <x:v>VIP BONUS - Deposit 700 Get 300 - 2x TO</x:v>
      </x:c>
      <x:c r="P154" s="274" t="str">
        <x:v>DepositBonus</x:v>
      </x:c>
      <x:c r="Q154" s="274" t="str">
        <x:v>Approved</x:v>
      </x:c>
      <x:c r="R154" s="265" t="n">
        <x:v>300</x:v>
      </x:c>
      <x:c r="S154" s="253" t="str">
        <x:v>Yes</x:v>
      </x:c>
      <x:c r="T154" s="265" t="n">
        <x:v>80138</x:v>
      </x:c>
      <x:c r="U154" s="253" t="str">
        <x:f>IF(AND(S154="Yes",T154=0),"Yes","No")</x:f>
        <x:v>No</x:v>
      </x:c>
      <x:c r="V154" s="253" t="str">
        <x:v>Yes</x:v>
      </x:c>
      <x:c r="W154" s="253" t="str">
        <x:v>Yes</x:v>
      </x:c>
      <x:c r="X154" s="259" t="n">
        <x:v>46125.166666666664</x:v>
      </x:c>
      <x:c r="Y154" s="265" t="n">
        <x:v>23048</x:v>
      </x:c>
      <x:c r="Z154" s="265" t="n">
        <x:v>55543</x:v>
      </x:c>
      <x:c r="AA154" s="253" t="str">
        <x:f>IF(V154="No","Maturing",IF(AND(U154="Yes",Y154&gt;0),"Yes","No"))</x:f>
        <x:v>No</x:v>
      </x:c>
      <x:c r="AB154" s="253" t="str">
        <x:f>IF(W154="No","Maturing",IF(AND(U154="Yes",Z154&gt;0),"Yes","No"))</x:f>
        <x:v>No</x:v>
      </x:c>
      <x:c r="AC154" s="265" t="n">
        <x:v>7258.19</x:v>
      </x:c>
      <x:c r="AD154" s="265" t="n">
        <x:v>-908.57</x:v>
      </x:c>
      <x:c r="AE154" s="271" t="str"/>
      <x:c r="AF154" s="274" t="str">
        <x:v>Not validated - no control/holdout</x:v>
      </x:c>
      <x:c r="AG154" s="277" t="str">
        <x:v>Recovered execution only; assignment date and unclaimed-offer denominator unavailable</x:v>
      </x:c>
    </x:row>
    <x:row r="155">
      <x:c r="A155" s="252" t="str">
        <x:v>33877184</x:v>
      </x:c>
      <x:c r="B155" s="253" t="str">
        <x:v>WS1</x:v>
      </x:c>
      <x:c r="C155" s="253" t="str">
        <x:v>MB8</x:v>
      </x:c>
      <x:c r="D155" s="262" t="n">
        <x:v>46125.88349537037</x:v>
      </x:c>
      <x:c r="E155" s="259" t="n">
        <x:v>46125.166666666664</x:v>
      </x:c>
      <x:c r="F155" s="253" t="str">
        <x:v>238790</x:v>
      </x:c>
      <x:c r="G155" s="253" t="str">
        <x:v>Maxtech888</x:v>
      </x:c>
      <x:c r="H155" s="253" t="str">
        <x:v>Yes</x:v>
      </x:c>
      <x:c r="I155" s="253" t="str">
        <x:v>Tammy</x:v>
      </x:c>
      <x:c r="J155" s="253" t="str">
        <x:v>Tammy</x:v>
      </x:c>
      <x:c r="K155" s="259" t="n">
        <x:v>45951.166666666664</x:v>
      </x:c>
      <x:c r="L155" s="268" t="str">
        <x:f>IFERROR(VLOOKUP(I155,'Handler-Team Map'!$A$7:$C$17,2,FALSE),"")</x:f>
      </x:c>
      <x:c r="M155" s="268" t="str">
        <x:f>IFERROR(VLOOKUP(I155,'Handler-Team Map'!$A$7:$C$17,3,FALSE),"")</x:f>
      </x:c>
      <x:c r="N155" s="274" t="str">
        <x:v>FT_VM_DEP600_GET200_5X</x:v>
      </x:c>
      <x:c r="O155" s="274" t="str">
        <x:v>VIP BONUS - Deposit 600 Get 200 - 5x TO</x:v>
      </x:c>
      <x:c r="P155" s="274" t="str">
        <x:v>DepositBonus</x:v>
      </x:c>
      <x:c r="Q155" s="274" t="str">
        <x:v>Approved</x:v>
      </x:c>
      <x:c r="R155" s="265" t="n">
        <x:v>200</x:v>
      </x:c>
      <x:c r="S155" s="253" t="str">
        <x:v>Yes</x:v>
      </x:c>
      <x:c r="T155" s="265" t="n">
        <x:v>63130</x:v>
      </x:c>
      <x:c r="U155" s="253" t="str">
        <x:f>IF(AND(S155="Yes",T155=0),"Yes","No")</x:f>
        <x:v>No</x:v>
      </x:c>
      <x:c r="V155" s="253" t="str">
        <x:v>Yes</x:v>
      </x:c>
      <x:c r="W155" s="253" t="str">
        <x:v>Yes</x:v>
      </x:c>
      <x:c r="X155" s="259" t="n">
        <x:v>46125.166666666664</x:v>
      </x:c>
      <x:c r="Y155" s="265" t="n">
        <x:v>9110</x:v>
      </x:c>
      <x:c r="Z155" s="265" t="n">
        <x:v>17150</x:v>
      </x:c>
      <x:c r="AA155" s="253" t="str">
        <x:f>IF(V155="No","Maturing",IF(AND(U155="Yes",Y155&gt;0),"Yes","No"))</x:f>
        <x:v>No</x:v>
      </x:c>
      <x:c r="AB155" s="253" t="str">
        <x:f>IF(W155="No","Maturing",IF(AND(U155="Yes",Z155&gt;0),"Yes","No"))</x:f>
        <x:v>No</x:v>
      </x:c>
      <x:c r="AC155" s="265" t="n">
        <x:v>-34.48</x:v>
      </x:c>
      <x:c r="AD155" s="265" t="n">
        <x:v>-5894.44</x:v>
      </x:c>
      <x:c r="AE155" s="271" t="str"/>
      <x:c r="AF155" s="274" t="str">
        <x:v>Not validated - no control/holdout</x:v>
      </x:c>
      <x:c r="AG155" s="277" t="str">
        <x:v>Recovered execution only; assignment date and unclaimed-offer denominator unavailable</x:v>
      </x:c>
    </x:row>
    <x:row r="156">
      <x:c r="A156" s="252" t="str">
        <x:v>33877219</x:v>
      </x:c>
      <x:c r="B156" s="253" t="str">
        <x:v>WS1</x:v>
      </x:c>
      <x:c r="C156" s="253" t="str">
        <x:v>MB8</x:v>
      </x:c>
      <x:c r="D156" s="262" t="n">
        <x:v>46125.88480324074</x:v>
      </x:c>
      <x:c r="E156" s="259" t="n">
        <x:v>46125.166666666664</x:v>
      </x:c>
      <x:c r="F156" s="253" t="str">
        <x:v>354942</x:v>
      </x:c>
      <x:c r="G156" s="253" t="str">
        <x:v>koitchinwei</x:v>
      </x:c>
      <x:c r="H156" s="253" t="str">
        <x:v>Yes</x:v>
      </x:c>
      <x:c r="I156" s="253" t="str">
        <x:v>Sheena</x:v>
      </x:c>
      <x:c r="J156" s="253" t="str">
        <x:v>Sheena</x:v>
      </x:c>
      <x:c r="K156" s="259" t="n">
        <x:v>45912.166666666664</x:v>
      </x:c>
      <x:c r="L156" s="268" t="str">
        <x:f>IFERROR(VLOOKUP(I156,'Handler-Team Map'!$A$7:$C$17,2,FALSE),"")</x:f>
      </x:c>
      <x:c r="M156" s="268" t="str">
        <x:f>IFERROR(VLOOKUP(I156,'Handler-Team Map'!$A$7:$C$17,3,FALSE),"")</x:f>
      </x:c>
      <x:c r="N156" s="274" t="str">
        <x:v>FT_VM_DEP1000_GET800_1X</x:v>
      </x:c>
      <x:c r="O156" s="274" t="str">
        <x:v>VIP BONUS - Deposit 1000 Get 800 - 1x TO</x:v>
      </x:c>
      <x:c r="P156" s="274" t="str">
        <x:v>DepositBonus</x:v>
      </x:c>
      <x:c r="Q156" s="274" t="str">
        <x:v>Approved</x:v>
      </x:c>
      <x:c r="R156" s="265" t="n">
        <x:v>800</x:v>
      </x:c>
      <x:c r="S156" s="253" t="str">
        <x:v>Yes</x:v>
      </x:c>
      <x:c r="T156" s="265" t="n">
        <x:v>118</x:v>
      </x:c>
      <x:c r="U156" s="253" t="str">
        <x:f>IF(AND(S156="Yes",T156=0),"Yes","No")</x:f>
        <x:v>No</x:v>
      </x:c>
      <x:c r="V156" s="253" t="str">
        <x:v>Yes</x:v>
      </x:c>
      <x:c r="W156" s="253" t="str">
        <x:v>Yes</x:v>
      </x:c>
      <x:c r="X156" s="259" t="n">
        <x:v>46125.166666666664</x:v>
      </x:c>
      <x:c r="Y156" s="265" t="n">
        <x:v>1000</x:v>
      </x:c>
      <x:c r="Z156" s="265" t="n">
        <x:v>1000</x:v>
      </x:c>
      <x:c r="AA156" s="253" t="str">
        <x:f>IF(V156="No","Maturing",IF(AND(U156="Yes",Y156&gt;0),"Yes","No"))</x:f>
        <x:v>No</x:v>
      </x:c>
      <x:c r="AB156" s="253" t="str">
        <x:f>IF(W156="No","Maturing",IF(AND(U156="Yes",Z156&gt;0),"Yes","No"))</x:f>
        <x:v>No</x:v>
      </x:c>
      <x:c r="AC156" s="265" t="n">
        <x:v>-4000</x:v>
      </x:c>
      <x:c r="AD156" s="265" t="n">
        <x:v>-4000</x:v>
      </x:c>
      <x:c r="AE156" s="271" t="str"/>
      <x:c r="AF156" s="274" t="str">
        <x:v>Not validated - no control/holdout</x:v>
      </x:c>
      <x:c r="AG156" s="277" t="str">
        <x:v>Recovered execution only; assignment date and unclaimed-offer denominator unavailable</x:v>
      </x:c>
    </x:row>
    <x:row r="157">
      <x:c r="A157" s="252" t="str">
        <x:v>33877357</x:v>
      </x:c>
      <x:c r="B157" s="253" t="str">
        <x:v>WS1</x:v>
      </x:c>
      <x:c r="C157" s="253" t="str">
        <x:v>MB8</x:v>
      </x:c>
      <x:c r="D157" s="262" t="n">
        <x:v>46125.89550925926</x:v>
      </x:c>
      <x:c r="E157" s="259" t="n">
        <x:v>46125.166666666664</x:v>
      </x:c>
      <x:c r="F157" s="253" t="str">
        <x:v>668806</x:v>
      </x:c>
      <x:c r="G157" s="253" t="str">
        <x:v>Achaikecik</x:v>
      </x:c>
      <x:c r="H157" s="253" t="str">
        <x:v>Yes</x:v>
      </x:c>
      <x:c r="I157" s="253" t="str">
        <x:v>Tammy</x:v>
      </x:c>
      <x:c r="J157" s="253" t="str">
        <x:v>Tammy</x:v>
      </x:c>
      <x:c r="K157" s="259" t="n">
        <x:v>45951.166666666664</x:v>
      </x:c>
      <x:c r="L157" s="268" t="str">
        <x:f>IFERROR(VLOOKUP(I157,'Handler-Team Map'!$A$7:$C$17,2,FALSE),"")</x:f>
      </x:c>
      <x:c r="M157" s="268" t="str">
        <x:f>IFERROR(VLOOKUP(I157,'Handler-Team Map'!$A$7:$C$17,3,FALSE),"")</x:f>
      </x:c>
      <x:c r="N157" s="274" t="str">
        <x:v>FT_VM_DEP300_GET100_5X</x:v>
      </x:c>
      <x:c r="O157" s="274" t="str">
        <x:v>VIP BONUS - Deposit 300 Get 100 - 5x TO</x:v>
      </x:c>
      <x:c r="P157" s="274" t="str">
        <x:v>DepositBonus</x:v>
      </x:c>
      <x:c r="Q157" s="274" t="str">
        <x:v>Approved</x:v>
      </x:c>
      <x:c r="R157" s="265" t="n">
        <x:v>100</x:v>
      </x:c>
      <x:c r="S157" s="253" t="str">
        <x:v>Yes</x:v>
      </x:c>
      <x:c r="T157" s="265" t="n">
        <x:v>35139.77</x:v>
      </x:c>
      <x:c r="U157" s="253" t="str">
        <x:f>IF(AND(S157="Yes",T157=0),"Yes","No")</x:f>
        <x:v>No</x:v>
      </x:c>
      <x:c r="V157" s="253" t="str">
        <x:v>Yes</x:v>
      </x:c>
      <x:c r="W157" s="253" t="str">
        <x:v>Yes</x:v>
      </x:c>
      <x:c r="X157" s="259" t="n">
        <x:v>46125.166666666664</x:v>
      </x:c>
      <x:c r="Y157" s="265" t="n">
        <x:v>3760.5</x:v>
      </x:c>
      <x:c r="Z157" s="265" t="n">
        <x:v>5701</x:v>
      </x:c>
      <x:c r="AA157" s="253" t="str">
        <x:f>IF(V157="No","Maturing",IF(AND(U157="Yes",Y157&gt;0),"Yes","No"))</x:f>
        <x:v>No</x:v>
      </x:c>
      <x:c r="AB157" s="253" t="str">
        <x:f>IF(W157="No","Maturing",IF(AND(U157="Yes",Z157&gt;0),"Yes","No"))</x:f>
        <x:v>No</x:v>
      </x:c>
      <x:c r="AC157" s="265" t="n">
        <x:v>3760.39</x:v>
      </x:c>
      <x:c r="AD157" s="265" t="n">
        <x:v>5201</x:v>
      </x:c>
      <x:c r="AE157" s="271" t="str"/>
      <x:c r="AF157" s="274" t="str">
        <x:v>Not validated - no control/holdout</x:v>
      </x:c>
      <x:c r="AG157" s="277" t="str">
        <x:v>Recovered execution only; assignment date and unclaimed-offer denominator unavailable</x:v>
      </x:c>
    </x:row>
    <x:row r="158">
      <x:c r="A158" s="252" t="str">
        <x:v>33878044</x:v>
      </x:c>
      <x:c r="B158" s="253" t="str">
        <x:v>WS1</x:v>
      </x:c>
      <x:c r="C158" s="253" t="str">
        <x:v>MB8</x:v>
      </x:c>
      <x:c r="D158" s="262" t="n">
        <x:v>46125.93583333334</x:v>
      </x:c>
      <x:c r="E158" s="259" t="n">
        <x:v>46125.166666666664</x:v>
      </x:c>
      <x:c r="F158" s="253" t="str">
        <x:v>288472</x:v>
      </x:c>
      <x:c r="G158" s="253" t="str">
        <x:v>ANGIENG5</x:v>
      </x:c>
      <x:c r="H158" s="253" t="str">
        <x:v>Yes</x:v>
      </x:c>
      <x:c r="I158" s="253" t="str">
        <x:v>Claire</x:v>
      </x:c>
      <x:c r="J158" s="253" t="str">
        <x:v>Claire</x:v>
      </x:c>
      <x:c r="K158" s="259" t="n">
        <x:v>45659.166666666664</x:v>
      </x:c>
      <x:c r="L158" s="268" t="str">
        <x:f>IFERROR(VLOOKUP(I158,'Handler-Team Map'!$A$7:$C$17,2,FALSE),"")</x:f>
      </x:c>
      <x:c r="M158" s="268" t="str">
        <x:f>IFERROR(VLOOKUP(I158,'Handler-Team Map'!$A$7:$C$17,3,FALSE),"")</x:f>
      </x:c>
      <x:c r="N158" s="274" t="str">
        <x:v>FT_VM_DEP1000_GET1000_2X</x:v>
      </x:c>
      <x:c r="O158" s="274" t="str">
        <x:v>VIP BONUS - Deposit 1000 Get 1000 - 2x TO</x:v>
      </x:c>
      <x:c r="P158" s="274" t="str">
        <x:v>DepositBonus</x:v>
      </x:c>
      <x:c r="Q158" s="274" t="str">
        <x:v>Approved</x:v>
      </x:c>
      <x:c r="R158" s="265" t="n">
        <x:v>1000</x:v>
      </x:c>
      <x:c r="S158" s="253" t="str">
        <x:v>Yes</x:v>
      </x:c>
      <x:c r="T158" s="265" t="n">
        <x:v>448786</x:v>
      </x:c>
      <x:c r="U158" s="253" t="str">
        <x:f>IF(AND(S158="Yes",T158=0),"Yes","No")</x:f>
        <x:v>No</x:v>
      </x:c>
      <x:c r="V158" s="253" t="str">
        <x:v>Yes</x:v>
      </x:c>
      <x:c r="W158" s="253" t="str">
        <x:v>Yes</x:v>
      </x:c>
      <x:c r="X158" s="259" t="n">
        <x:v>46125.166666666664</x:v>
      </x:c>
      <x:c r="Y158" s="265" t="n">
        <x:v>20180</x:v>
      </x:c>
      <x:c r="Z158" s="265" t="n">
        <x:v>33361</x:v>
      </x:c>
      <x:c r="AA158" s="253" t="str">
        <x:f>IF(V158="No","Maturing",IF(AND(U158="Yes",Y158&gt;0),"Yes","No"))</x:f>
        <x:v>No</x:v>
      </x:c>
      <x:c r="AB158" s="253" t="str">
        <x:f>IF(W158="No","Maturing",IF(AND(U158="Yes",Z158&gt;0),"Yes","No"))</x:f>
        <x:v>No</x:v>
      </x:c>
      <x:c r="AC158" s="265" t="n">
        <x:v>-6196.18</x:v>
      </x:c>
      <x:c r="AD158" s="265" t="n">
        <x:v>-1300.06</x:v>
      </x:c>
      <x:c r="AE158" s="271" t="str"/>
      <x:c r="AF158" s="274" t="str">
        <x:v>Not validated - no control/holdout</x:v>
      </x:c>
      <x:c r="AG158" s="277" t="str">
        <x:v>Recovered execution only; assignment date and unclaimed-offer denominator unavailable</x:v>
      </x:c>
    </x:row>
    <x:row r="159">
      <x:c r="A159" s="252" t="str">
        <x:v>33878100</x:v>
      </x:c>
      <x:c r="B159" s="253" t="str">
        <x:v>WS1</x:v>
      </x:c>
      <x:c r="C159" s="253" t="str">
        <x:v>MB8</x:v>
      </x:c>
      <x:c r="D159" s="262" t="n">
        <x:v>46125.93822916667</x:v>
      </x:c>
      <x:c r="E159" s="259" t="n">
        <x:v>46125.166666666664</x:v>
      </x:c>
      <x:c r="F159" s="253" t="str">
        <x:v>1183306</x:v>
      </x:c>
      <x:c r="G159" s="253" t="str">
        <x:v>xuanearn88</x:v>
      </x:c>
      <x:c r="H159" s="253" t="str">
        <x:v>Yes</x:v>
      </x:c>
      <x:c r="I159" s="253" t="str">
        <x:v>Jiahui</x:v>
      </x:c>
      <x:c r="J159" s="253" t="str">
        <x:v>Jiahui</x:v>
      </x:c>
      <x:c r="K159" s="259" t="n">
        <x:v>45909.166666666664</x:v>
      </x:c>
      <x:c r="L159" s="268" t="str">
        <x:f>IFERROR(VLOOKUP(I159,'Handler-Team Map'!$A$7:$C$17,2,FALSE),"")</x:f>
      </x:c>
      <x:c r="M159" s="268" t="str">
        <x:f>IFERROR(VLOOKUP(I159,'Handler-Team Map'!$A$7:$C$17,3,FALSE),"")</x:f>
      </x:c>
      <x:c r="N159" s="274" t="str">
        <x:v>FT_VM_DEP600_GET200_5X</x:v>
      </x:c>
      <x:c r="O159" s="274" t="str">
        <x:v>VIP BONUS - Deposit 600 Get 200 - 5x TO</x:v>
      </x:c>
      <x:c r="P159" s="274" t="str">
        <x:v>DepositBonus</x:v>
      </x:c>
      <x:c r="Q159" s="274" t="str">
        <x:v>Approved</x:v>
      </x:c>
      <x:c r="R159" s="265" t="n">
        <x:v>200</x:v>
      </x:c>
      <x:c r="S159" s="253" t="str">
        <x:v>Yes</x:v>
      </x:c>
      <x:c r="T159" s="265" t="n">
        <x:v>1250</x:v>
      </x:c>
      <x:c r="U159" s="253" t="str">
        <x:f>IF(AND(S159="Yes",T159=0),"Yes","No")</x:f>
        <x:v>No</x:v>
      </x:c>
      <x:c r="V159" s="253" t="str">
        <x:v>Yes</x:v>
      </x:c>
      <x:c r="W159" s="253" t="str">
        <x:v>Yes</x:v>
      </x:c>
      <x:c r="X159" s="259" t="n">
        <x:v>46125.166666666664</x:v>
      </x:c>
      <x:c r="Y159" s="265" t="n">
        <x:v>1480</x:v>
      </x:c>
      <x:c r="Z159" s="265" t="n">
        <x:v>4160</x:v>
      </x:c>
      <x:c r="AA159" s="253" t="str">
        <x:f>IF(V159="No","Maturing",IF(AND(U159="Yes",Y159&gt;0),"Yes","No"))</x:f>
        <x:v>No</x:v>
      </x:c>
      <x:c r="AB159" s="253" t="str">
        <x:f>IF(W159="No","Maturing",IF(AND(U159="Yes",Z159&gt;0),"Yes","No"))</x:f>
        <x:v>No</x:v>
      </x:c>
      <x:c r="AC159" s="265" t="n">
        <x:v>626.33</x:v>
      </x:c>
      <x:c r="AD159" s="265" t="n">
        <x:v>-1115.75</x:v>
      </x:c>
      <x:c r="AE159" s="271" t="str"/>
      <x:c r="AF159" s="274" t="str">
        <x:v>Not validated - no control/holdout</x:v>
      </x:c>
      <x:c r="AG159" s="277" t="str">
        <x:v>Recovered execution only; assignment date and unclaimed-offer denominator unavailable</x:v>
      </x:c>
    </x:row>
    <x:row r="160">
      <x:c r="A160" s="252" t="str">
        <x:v>33878297</x:v>
      </x:c>
      <x:c r="B160" s="253" t="str">
        <x:v>WS1</x:v>
      </x:c>
      <x:c r="C160" s="253" t="str">
        <x:v>MB8</x:v>
      </x:c>
      <x:c r="D160" s="262" t="n">
        <x:v>46125.950370370374</x:v>
      </x:c>
      <x:c r="E160" s="259" t="n">
        <x:v>46125.166666666664</x:v>
      </x:c>
      <x:c r="F160" s="253" t="str">
        <x:v>291167</x:v>
      </x:c>
      <x:c r="G160" s="253" t="str">
        <x:v>CCPP10</x:v>
      </x:c>
      <x:c r="H160" s="253" t="str">
        <x:v>Yes</x:v>
      </x:c>
      <x:c r="I160" s="253" t="str">
        <x:v>zhen</x:v>
      </x:c>
      <x:c r="J160" s="253" t="str">
        <x:v>zhen</x:v>
      </x:c>
      <x:c r="K160" s="259" t="n">
        <x:v>46090.166666666664</x:v>
      </x:c>
      <x:c r="L160" s="268" t="str">
        <x:f>IFERROR(VLOOKUP(I160,'Handler-Team Map'!$A$7:$C$17,2,FALSE),"")</x:f>
      </x:c>
      <x:c r="M160" s="268" t="str">
        <x:f>IFERROR(VLOOKUP(I160,'Handler-Team Map'!$A$7:$C$17,3,FALSE),"")</x:f>
      </x:c>
      <x:c r="N160" s="274" t="str">
        <x:v>FT_VM_DEP600_GET200_5X</x:v>
      </x:c>
      <x:c r="O160" s="274" t="str">
        <x:v>VIP BONUS - Deposit 600 Get 200 - 5x TO</x:v>
      </x:c>
      <x:c r="P160" s="274" t="str">
        <x:v>DepositBonus</x:v>
      </x:c>
      <x:c r="Q160" s="274" t="str">
        <x:v>Approved</x:v>
      </x:c>
      <x:c r="R160" s="265" t="n">
        <x:v>200</x:v>
      </x:c>
      <x:c r="S160" s="253" t="str">
        <x:v>Yes</x:v>
      </x:c>
      <x:c r="T160" s="265" t="n">
        <x:v>122232</x:v>
      </x:c>
      <x:c r="U160" s="253" t="str">
        <x:f>IF(AND(S160="Yes",T160=0),"Yes","No")</x:f>
        <x:v>No</x:v>
      </x:c>
      <x:c r="V160" s="253" t="str">
        <x:v>Yes</x:v>
      </x:c>
      <x:c r="W160" s="253" t="str">
        <x:v>Yes</x:v>
      </x:c>
      <x:c r="X160" s="259" t="n">
        <x:v>46125.166666666664</x:v>
      </x:c>
      <x:c r="Y160" s="265" t="n">
        <x:v>600</x:v>
      </x:c>
      <x:c r="Z160" s="265" t="n">
        <x:v>1900</x:v>
      </x:c>
      <x:c r="AA160" s="253" t="str">
        <x:f>IF(V160="No","Maturing",IF(AND(U160="Yes",Y160&gt;0),"Yes","No"))</x:f>
        <x:v>No</x:v>
      </x:c>
      <x:c r="AB160" s="253" t="str">
        <x:f>IF(W160="No","Maturing",IF(AND(U160="Yes",Z160&gt;0),"Yes","No"))</x:f>
        <x:v>No</x:v>
      </x:c>
      <x:c r="AC160" s="265" t="n">
        <x:v>600.33</x:v>
      </x:c>
      <x:c r="AD160" s="265" t="n">
        <x:v>1592.12</x:v>
      </x:c>
      <x:c r="AE160" s="271" t="str"/>
      <x:c r="AF160" s="274" t="str">
        <x:v>Not validated - no control/holdout</x:v>
      </x:c>
      <x:c r="AG160" s="277" t="str">
        <x:v>Recovered execution only; assignment date and unclaimed-offer denominator unavailable</x:v>
      </x:c>
    </x:row>
    <x:row r="161">
      <x:c r="A161" s="252" t="str">
        <x:v>33878611</x:v>
      </x:c>
      <x:c r="B161" s="253" t="str">
        <x:v>WS1</x:v>
      </x:c>
      <x:c r="C161" s="253" t="str">
        <x:v>MB8</x:v>
      </x:c>
      <x:c r="D161" s="262" t="n">
        <x:v>46125.97059027778</x:v>
      </x:c>
      <x:c r="E161" s="259" t="n">
        <x:v>46125.166666666664</x:v>
      </x:c>
      <x:c r="F161" s="253" t="str">
        <x:v>703632</x:v>
      </x:c>
      <x:c r="G161" s="253" t="str">
        <x:v>Keyingyeon</x:v>
      </x:c>
      <x:c r="H161" s="253" t="str">
        <x:v>Yes</x:v>
      </x:c>
      <x:c r="I161" s="253" t="str">
        <x:v>Tammy</x:v>
      </x:c>
      <x:c r="J161" s="253" t="str">
        <x:v>Tammy</x:v>
      </x:c>
      <x:c r="K161" s="259" t="n">
        <x:v>45951.166666666664</x:v>
      </x:c>
      <x:c r="L161" s="268" t="str">
        <x:f>IFERROR(VLOOKUP(I161,'Handler-Team Map'!$A$7:$C$17,2,FALSE),"")</x:f>
      </x:c>
      <x:c r="M161" s="268" t="str">
        <x:f>IFERROR(VLOOKUP(I161,'Handler-Team Map'!$A$7:$C$17,3,FALSE),"")</x:f>
      </x:c>
      <x:c r="N161" s="274" t="str">
        <x:v>FT_VM_DEP1000_GET1000_2X</x:v>
      </x:c>
      <x:c r="O161" s="274" t="str">
        <x:v>VIP BONUS - Deposit 1000 Get 1000 - 2x TO</x:v>
      </x:c>
      <x:c r="P161" s="274" t="str">
        <x:v>DepositBonus</x:v>
      </x:c>
      <x:c r="Q161" s="274" t="str">
        <x:v>Approved</x:v>
      </x:c>
      <x:c r="R161" s="265" t="n">
        <x:v>1000</x:v>
      </x:c>
      <x:c r="S161" s="253" t="str">
        <x:v>Yes</x:v>
      </x:c>
      <x:c r="T161" s="265" t="n">
        <x:v>514500</x:v>
      </x:c>
      <x:c r="U161" s="253" t="str">
        <x:f>IF(AND(S161="Yes",T161=0),"Yes","No")</x:f>
        <x:v>No</x:v>
      </x:c>
      <x:c r="V161" s="253" t="str">
        <x:v>Yes</x:v>
      </x:c>
      <x:c r="W161" s="253" t="str">
        <x:v>Yes</x:v>
      </x:c>
      <x:c r="X161" s="259" t="n">
        <x:v>46125.166666666664</x:v>
      </x:c>
      <x:c r="Y161" s="265" t="n">
        <x:v>6600</x:v>
      </x:c>
      <x:c r="Z161" s="265" t="n">
        <x:v>10700</x:v>
      </x:c>
      <x:c r="AA161" s="253" t="str">
        <x:f>IF(V161="No","Maturing",IF(AND(U161="Yes",Y161&gt;0),"Yes","No"))</x:f>
        <x:v>No</x:v>
      </x:c>
      <x:c r="AB161" s="253" t="str">
        <x:f>IF(W161="No","Maturing",IF(AND(U161="Yes",Z161&gt;0),"Yes","No"))</x:f>
        <x:v>No</x:v>
      </x:c>
      <x:c r="AC161" s="265" t="n">
        <x:v>6598.29</x:v>
      </x:c>
      <x:c r="AD161" s="265" t="n">
        <x:v>10700.95</x:v>
      </x:c>
      <x:c r="AE161" s="271" t="str"/>
      <x:c r="AF161" s="274" t="str">
        <x:v>Not validated - no control/holdout</x:v>
      </x:c>
      <x:c r="AG161" s="277" t="str">
        <x:v>Recovered execution only; assignment date and unclaimed-offer denominator unavailable</x:v>
      </x:c>
    </x:row>
    <x:row r="162">
      <x:c r="A162" s="252" t="str">
        <x:v>33878737</x:v>
      </x:c>
      <x:c r="B162" s="253" t="str">
        <x:v>WS1</x:v>
      </x:c>
      <x:c r="C162" s="253" t="str">
        <x:v>MB8</x:v>
      </x:c>
      <x:c r="D162" s="262" t="n">
        <x:v>46125.97667824074</x:v>
      </x:c>
      <x:c r="E162" s="259" t="n">
        <x:v>46125.166666666664</x:v>
      </x:c>
      <x:c r="F162" s="253" t="str">
        <x:v>1040121</x:v>
      </x:c>
      <x:c r="G162" s="253" t="str">
        <x:v>Alagen18</x:v>
      </x:c>
      <x:c r="H162" s="253" t="str">
        <x:v>Yes</x:v>
      </x:c>
      <x:c r="I162" s="253" t="str"/>
      <x:c r="J162" s="253" t="str"/>
      <x:c r="K162" s="259"/>
      <x:c r="L162" s="268" t="str">
        <x:f>IFERROR(VLOOKUP(I162,'Handler-Team Map'!$A$7:$C$17,2,FALSE),"")</x:f>
      </x:c>
      <x:c r="M162" s="268" t="str">
        <x:f>IFERROR(VLOOKUP(I162,'Handler-Team Map'!$A$7:$C$17,3,FALSE),"")</x:f>
      </x:c>
      <x:c r="N162" s="274" t="str">
        <x:v>FT_VM_DEP700_GET300_2X</x:v>
      </x:c>
      <x:c r="O162" s="274" t="str">
        <x:v>VIP BONUS - Deposit 700 Get 300 - 2x TO</x:v>
      </x:c>
      <x:c r="P162" s="274" t="str">
        <x:v>DepositBonus</x:v>
      </x:c>
      <x:c r="Q162" s="274" t="str">
        <x:v>Approved</x:v>
      </x:c>
      <x:c r="R162" s="265" t="n">
        <x:v>300</x:v>
      </x:c>
      <x:c r="S162" s="253" t="str">
        <x:v>Yes</x:v>
      </x:c>
      <x:c r="T162" s="265" t="n">
        <x:v>1150</x:v>
      </x:c>
      <x:c r="U162" s="253" t="str">
        <x:f>IF(AND(S162="Yes",T162=0),"Yes","No")</x:f>
        <x:v>No</x:v>
      </x:c>
      <x:c r="V162" s="253" t="str">
        <x:v>Yes</x:v>
      </x:c>
      <x:c r="W162" s="253" t="str">
        <x:v>Yes</x:v>
      </x:c>
      <x:c r="X162" s="259" t="n">
        <x:v>46125.166666666664</x:v>
      </x:c>
      <x:c r="Y162" s="265" t="n">
        <x:v>700</x:v>
      </x:c>
      <x:c r="Z162" s="265" t="n">
        <x:v>700</x:v>
      </x:c>
      <x:c r="AA162" s="253" t="str">
        <x:f>IF(V162="No","Maturing",IF(AND(U162="Yes",Y162&gt;0),"Yes","No"))</x:f>
        <x:v>No</x:v>
      </x:c>
      <x:c r="AB162" s="253" t="str">
        <x:f>IF(W162="No","Maturing",IF(AND(U162="Yes",Z162&gt;0),"Yes","No"))</x:f>
        <x:v>No</x:v>
      </x:c>
      <x:c r="AC162" s="265" t="n">
        <x:v>689.88</x:v>
      </x:c>
      <x:c r="AD162" s="265" t="n">
        <x:v>689.88</x:v>
      </x:c>
      <x:c r="AE162" s="271" t="str"/>
      <x:c r="AF162" s="274" t="str">
        <x:v>Not validated - no control/holdout</x:v>
      </x:c>
      <x:c r="AG162" s="277" t="str">
        <x:v>Recovered execution only; assignment date and unclaimed-offer denominator unavailable</x:v>
      </x:c>
    </x:row>
    <x:row r="163">
      <x:c r="A163" s="252" t="str">
        <x:v>33879596</x:v>
      </x:c>
      <x:c r="B163" s="253" t="str">
        <x:v>WS1</x:v>
      </x:c>
      <x:c r="C163" s="253" t="str">
        <x:v>MB8</x:v>
      </x:c>
      <x:c r="D163" s="262" t="n">
        <x:v>46126.02684027778</x:v>
      </x:c>
      <x:c r="E163" s="259" t="n">
        <x:v>46126.166666666664</x:v>
      </x:c>
      <x:c r="F163" s="253" t="str">
        <x:v>1044016</x:v>
      </x:c>
      <x:c r="G163" s="253" t="str">
        <x:v>crapssam</x:v>
      </x:c>
      <x:c r="H163" s="253" t="str">
        <x:v>Yes</x:v>
      </x:c>
      <x:c r="I163" s="253" t="str">
        <x:v>Christy</x:v>
      </x:c>
      <x:c r="J163" s="253" t="str">
        <x:v>Christy</x:v>
      </x:c>
      <x:c r="K163" s="259" t="n">
        <x:v>45831.166666666664</x:v>
      </x:c>
      <x:c r="L163" s="268" t="str">
        <x:f>IFERROR(VLOOKUP(I163,'Handler-Team Map'!$A$7:$C$17,2,FALSE),"")</x:f>
      </x:c>
      <x:c r="M163" s="268" t="str">
        <x:f>IFERROR(VLOOKUP(I163,'Handler-Team Map'!$A$7:$C$17,3,FALSE),"")</x:f>
      </x:c>
      <x:c r="N163" s="274" t="str">
        <x:v>FT_VM_DEP300_GET100_2X</x:v>
      </x:c>
      <x:c r="O163" s="274" t="str">
        <x:v>VIP BONUS - Deposit 300 Get 100 - 2x TO</x:v>
      </x:c>
      <x:c r="P163" s="274" t="str">
        <x:v>DepositBonus</x:v>
      </x:c>
      <x:c r="Q163" s="274" t="str">
        <x:v>Approved</x:v>
      </x:c>
      <x:c r="R163" s="265" t="n">
        <x:v>100</x:v>
      </x:c>
      <x:c r="S163" s="253" t="str">
        <x:v>Yes</x:v>
      </x:c>
      <x:c r="T163" s="265" t="n">
        <x:v>30100</x:v>
      </x:c>
      <x:c r="U163" s="253" t="str">
        <x:f>IF(AND(S163="Yes",T163=0),"Yes","No")</x:f>
        <x:v>No</x:v>
      </x:c>
      <x:c r="V163" s="253" t="str">
        <x:v>Yes</x:v>
      </x:c>
      <x:c r="W163" s="253" t="str">
        <x:v>Yes</x:v>
      </x:c>
      <x:c r="X163" s="259" t="n">
        <x:v>46126.166666666664</x:v>
      </x:c>
      <x:c r="Y163" s="265" t="n">
        <x:v>1800</x:v>
      </x:c>
      <x:c r="Z163" s="265" t="n">
        <x:v>6700</x:v>
      </x:c>
      <x:c r="AA163" s="253" t="str">
        <x:f>IF(V163="No","Maturing",IF(AND(U163="Yes",Y163&gt;0),"Yes","No"))</x:f>
        <x:v>No</x:v>
      </x:c>
      <x:c r="AB163" s="253" t="str">
        <x:f>IF(W163="No","Maturing",IF(AND(U163="Yes",Z163&gt;0),"Yes","No"))</x:f>
        <x:v>No</x:v>
      </x:c>
      <x:c r="AC163" s="265" t="n">
        <x:v>1724.31</x:v>
      </x:c>
      <x:c r="AD163" s="265" t="n">
        <x:v>4330.29</x:v>
      </x:c>
      <x:c r="AE163" s="271" t="str"/>
      <x:c r="AF163" s="274" t="str">
        <x:v>Not validated - no control/holdout</x:v>
      </x:c>
      <x:c r="AG163" s="277" t="str">
        <x:v>Recovered execution only; assignment date and unclaimed-offer denominator unavailable</x:v>
      </x:c>
    </x:row>
    <x:row r="164">
      <x:c r="A164" s="252" t="str">
        <x:v>33879961</x:v>
      </x:c>
      <x:c r="B164" s="253" t="str">
        <x:v>WS1</x:v>
      </x:c>
      <x:c r="C164" s="253" t="str">
        <x:v>MB8</x:v>
      </x:c>
      <x:c r="D164" s="262" t="n">
        <x:v>46126.05113425926</x:v>
      </x:c>
      <x:c r="E164" s="259" t="n">
        <x:v>46126.166666666664</x:v>
      </x:c>
      <x:c r="F164" s="253" t="str">
        <x:v>565191</x:v>
      </x:c>
      <x:c r="G164" s="253" t="str">
        <x:v>Sasitaren</x:v>
      </x:c>
      <x:c r="H164" s="253" t="str">
        <x:v>Yes</x:v>
      </x:c>
      <x:c r="I164" s="253" t="str">
        <x:v>Kam</x:v>
      </x:c>
      <x:c r="J164" s="253" t="str">
        <x:v>Kam</x:v>
      </x:c>
      <x:c r="K164" s="259" t="n">
        <x:v>45951.166666666664</x:v>
      </x:c>
      <x:c r="L164" s="268" t="str">
        <x:f>IFERROR(VLOOKUP(I164,'Handler-Team Map'!$A$7:$C$17,2,FALSE),"")</x:f>
      </x:c>
      <x:c r="M164" s="268" t="str">
        <x:f>IFERROR(VLOOKUP(I164,'Handler-Team Map'!$A$7:$C$17,3,FALSE),"")</x:f>
      </x:c>
      <x:c r="N164" s="274" t="str">
        <x:v>FT_VM_DEP1000_GET500_5X</x:v>
      </x:c>
      <x:c r="O164" s="274" t="str">
        <x:v>VIP BONUS - Deposit 1000 Get 500 - 5x TO</x:v>
      </x:c>
      <x:c r="P164" s="274" t="str">
        <x:v>DepositBonus</x:v>
      </x:c>
      <x:c r="Q164" s="274" t="str">
        <x:v>Approved</x:v>
      </x:c>
      <x:c r="R164" s="265" t="n">
        <x:v>500</x:v>
      </x:c>
      <x:c r="S164" s="253" t="str">
        <x:v>Yes</x:v>
      </x:c>
      <x:c r="T164" s="265" t="n">
        <x:v>51958</x:v>
      </x:c>
      <x:c r="U164" s="253" t="str">
        <x:f>IF(AND(S164="Yes",T164=0),"Yes","No")</x:f>
        <x:v>No</x:v>
      </x:c>
      <x:c r="V164" s="253" t="str">
        <x:v>Yes</x:v>
      </x:c>
      <x:c r="W164" s="253" t="str">
        <x:v>Yes</x:v>
      </x:c>
      <x:c r="X164" s="259" t="n">
        <x:v>46126.166666666664</x:v>
      </x:c>
      <x:c r="Y164" s="265" t="n">
        <x:v>20306</x:v>
      </x:c>
      <x:c r="Z164" s="265" t="n">
        <x:v>36402</x:v>
      </x:c>
      <x:c r="AA164" s="253" t="str">
        <x:f>IF(V164="No","Maturing",IF(AND(U164="Yes",Y164&gt;0),"Yes","No"))</x:f>
        <x:v>No</x:v>
      </x:c>
      <x:c r="AB164" s="253" t="str">
        <x:f>IF(W164="No","Maturing",IF(AND(U164="Yes",Z164&gt;0),"Yes","No"))</x:f>
        <x:v>No</x:v>
      </x:c>
      <x:c r="AC164" s="265" t="n">
        <x:v>4628.72</x:v>
      </x:c>
      <x:c r="AD164" s="265" t="n">
        <x:v>8680.88</x:v>
      </x:c>
      <x:c r="AE164" s="271" t="str"/>
      <x:c r="AF164" s="274" t="str">
        <x:v>Not validated - no control/holdout</x:v>
      </x:c>
      <x:c r="AG164" s="277" t="str">
        <x:v>Recovered execution only; assignment date and unclaimed-offer denominator unavailable</x:v>
      </x:c>
    </x:row>
    <x:row r="165">
      <x:c r="A165" s="252" t="str">
        <x:v>33881321</x:v>
      </x:c>
      <x:c r="B165" s="253" t="str">
        <x:v>WS1</x:v>
      </x:c>
      <x:c r="C165" s="253" t="str">
        <x:v>MB8</x:v>
      </x:c>
      <x:c r="D165" s="262" t="n">
        <x:v>46126.231412037036</x:v>
      </x:c>
      <x:c r="E165" s="259" t="n">
        <x:v>46126.166666666664</x:v>
      </x:c>
      <x:c r="F165" s="253" t="str">
        <x:v>962025</x:v>
      </x:c>
      <x:c r="G165" s="253" t="str">
        <x:v>yongchuen96</x:v>
      </x:c>
      <x:c r="H165" s="253" t="str">
        <x:v>Yes</x:v>
      </x:c>
      <x:c r="I165" s="253" t="str">
        <x:v>Jiahui</x:v>
      </x:c>
      <x:c r="J165" s="253" t="str">
        <x:v>Jiahui</x:v>
      </x:c>
      <x:c r="K165" s="259" t="n">
        <x:v>45993.166666666664</x:v>
      </x:c>
      <x:c r="L165" s="268" t="str">
        <x:f>IFERROR(VLOOKUP(I165,'Handler-Team Map'!$A$7:$C$17,2,FALSE),"")</x:f>
      </x:c>
      <x:c r="M165" s="268" t="str">
        <x:f>IFERROR(VLOOKUP(I165,'Handler-Team Map'!$A$7:$C$17,3,FALSE),"")</x:f>
      </x:c>
      <x:c r="N165" s="274" t="str">
        <x:v>FT_VM_DEP800_GET400_1X</x:v>
      </x:c>
      <x:c r="O165" s="274" t="str">
        <x:v>VIP BONUS - Deposit 800 Get 400 - 1x TO</x:v>
      </x:c>
      <x:c r="P165" s="274" t="str">
        <x:v>DepositBonus</x:v>
      </x:c>
      <x:c r="Q165" s="274" t="str">
        <x:v>Approved</x:v>
      </x:c>
      <x:c r="R165" s="265" t="n">
        <x:v>400</x:v>
      </x:c>
      <x:c r="S165" s="253" t="str">
        <x:v>Yes</x:v>
      </x:c>
      <x:c r="T165" s="265" t="n">
        <x:v>239</x:v>
      </x:c>
      <x:c r="U165" s="253" t="str">
        <x:f>IF(AND(S165="Yes",T165=0),"Yes","No")</x:f>
        <x:v>No</x:v>
      </x:c>
      <x:c r="V165" s="253" t="str">
        <x:v>Yes</x:v>
      </x:c>
      <x:c r="W165" s="253" t="str">
        <x:v>Yes</x:v>
      </x:c>
      <x:c r="X165" s="259" t="n">
        <x:v>46126.166666666664</x:v>
      </x:c>
      <x:c r="Y165" s="265" t="n">
        <x:v>1066</x:v>
      </x:c>
      <x:c r="Z165" s="265" t="n">
        <x:v>1066</x:v>
      </x:c>
      <x:c r="AA165" s="253" t="str">
        <x:f>IF(V165="No","Maturing",IF(AND(U165="Yes",Y165&gt;0),"Yes","No"))</x:f>
        <x:v>No</x:v>
      </x:c>
      <x:c r="AB165" s="253" t="str">
        <x:f>IF(W165="No","Maturing",IF(AND(U165="Yes",Z165&gt;0),"Yes","No"))</x:f>
        <x:v>No</x:v>
      </x:c>
      <x:c r="AC165" s="265" t="n">
        <x:v>-2560.34</x:v>
      </x:c>
      <x:c r="AD165" s="265" t="n">
        <x:v>-2560.34</x:v>
      </x:c>
      <x:c r="AE165" s="271" t="str"/>
      <x:c r="AF165" s="274" t="str">
        <x:v>Not validated - no control/holdout</x:v>
      </x:c>
      <x:c r="AG165" s="277" t="str">
        <x:v>Recovered execution only; assignment date and unclaimed-offer denominator unavailable</x:v>
      </x:c>
    </x:row>
    <x:row r="166">
      <x:c r="A166" s="252" t="str">
        <x:v>33881990</x:v>
      </x:c>
      <x:c r="B166" s="253" t="str">
        <x:v>WS1</x:v>
      </x:c>
      <x:c r="C166" s="253" t="str">
        <x:v>MB8</x:v>
      </x:c>
      <x:c r="D166" s="262" t="n">
        <x:v>46126.39775462963</x:v>
      </x:c>
      <x:c r="E166" s="259" t="n">
        <x:v>46126.166666666664</x:v>
      </x:c>
      <x:c r="F166" s="253" t="str">
        <x:v>644130</x:v>
      </x:c>
      <x:c r="G166" s="253" t="str">
        <x:v>chong7890</x:v>
      </x:c>
      <x:c r="H166" s="253" t="str">
        <x:v>Yes</x:v>
      </x:c>
      <x:c r="I166" s="253" t="str">
        <x:v>Christy</x:v>
      </x:c>
      <x:c r="J166" s="253" t="str">
        <x:v>Christy</x:v>
      </x:c>
      <x:c r="K166" s="259" t="n">
        <x:v>45831.166666666664</x:v>
      </x:c>
      <x:c r="L166" s="268" t="str">
        <x:f>IFERROR(VLOOKUP(I166,'Handler-Team Map'!$A$7:$C$17,2,FALSE),"")</x:f>
      </x:c>
      <x:c r="M166" s="268" t="str">
        <x:f>IFERROR(VLOOKUP(I166,'Handler-Team Map'!$A$7:$C$17,3,FALSE),"")</x:f>
      </x:c>
      <x:c r="N166" s="274" t="str">
        <x:v>FT_VM_DEP1000_GET500_1X</x:v>
      </x:c>
      <x:c r="O166" s="274" t="str">
        <x:v>VIP BONUS - Deposit 1000 Get 500 - 1x TO</x:v>
      </x:c>
      <x:c r="P166" s="274" t="str">
        <x:v>DepositBonus</x:v>
      </x:c>
      <x:c r="Q166" s="274" t="str">
        <x:v>Approved</x:v>
      </x:c>
      <x:c r="R166" s="265" t="n">
        <x:v>500</x:v>
      </x:c>
      <x:c r="S166" s="253" t="str">
        <x:v>Yes</x:v>
      </x:c>
      <x:c r="T166" s="265" t="n">
        <x:v>1600</x:v>
      </x:c>
      <x:c r="U166" s="253" t="str">
        <x:f>IF(AND(S166="Yes",T166=0),"Yes","No")</x:f>
        <x:v>No</x:v>
      </x:c>
      <x:c r="V166" s="253" t="str">
        <x:v>Yes</x:v>
      </x:c>
      <x:c r="W166" s="253" t="str">
        <x:v>Yes</x:v>
      </x:c>
      <x:c r="X166" s="259" t="n">
        <x:v>46126.166666666664</x:v>
      </x:c>
      <x:c r="Y166" s="265" t="n">
        <x:v>2150</x:v>
      </x:c>
      <x:c r="Z166" s="265" t="n">
        <x:v>2750</x:v>
      </x:c>
      <x:c r="AA166" s="253" t="str">
        <x:f>IF(V166="No","Maturing",IF(AND(U166="Yes",Y166&gt;0),"Yes","No"))</x:f>
        <x:v>No</x:v>
      </x:c>
      <x:c r="AB166" s="253" t="str">
        <x:f>IF(W166="No","Maturing",IF(AND(U166="Yes",Z166&gt;0),"Yes","No"))</x:f>
        <x:v>No</x:v>
      </x:c>
      <x:c r="AC166" s="265" t="n">
        <x:v>49.58</x:v>
      </x:c>
      <x:c r="AD166" s="265" t="n">
        <x:v>650.05</x:v>
      </x:c>
      <x:c r="AE166" s="271" t="str"/>
      <x:c r="AF166" s="274" t="str">
        <x:v>Not validated - no control/holdout</x:v>
      </x:c>
      <x:c r="AG166" s="277" t="str">
        <x:v>Recovered execution only; assignment date and unclaimed-offer denominator unavailable</x:v>
      </x:c>
    </x:row>
    <x:row r="167">
      <x:c r="A167" s="252" t="str">
        <x:v>33883801</x:v>
      </x:c>
      <x:c r="B167" s="253" t="str">
        <x:v>WS1</x:v>
      </x:c>
      <x:c r="C167" s="253" t="str">
        <x:v>MB8</x:v>
      </x:c>
      <x:c r="D167" s="262" t="n">
        <x:v>46126.62572916667</x:v>
      </x:c>
      <x:c r="E167" s="259" t="n">
        <x:v>46126.166666666664</x:v>
      </x:c>
      <x:c r="F167" s="253" t="str">
        <x:v>547460</x:v>
      </x:c>
      <x:c r="G167" s="253" t="str">
        <x:v>nananamyass</x:v>
      </x:c>
      <x:c r="H167" s="253" t="str">
        <x:v>Yes</x:v>
      </x:c>
      <x:c r="I167" s="253" t="str"/>
      <x:c r="J167" s="253" t="str"/>
      <x:c r="K167" s="259"/>
      <x:c r="L167" s="268" t="str">
        <x:f>IFERROR(VLOOKUP(I167,'Handler-Team Map'!$A$7:$C$17,2,FALSE),"")</x:f>
      </x:c>
      <x:c r="M167" s="268" t="str">
        <x:f>IFERROR(VLOOKUP(I167,'Handler-Team Map'!$A$7:$C$17,3,FALSE),"")</x:f>
      </x:c>
      <x:c r="N167" s="274" t="str">
        <x:v>FT_VM_DEP1000_GET500_2X</x:v>
      </x:c>
      <x:c r="O167" s="274" t="str">
        <x:v>VIP BONUS - Deposit 1000 Get 500 - 2x TO</x:v>
      </x:c>
      <x:c r="P167" s="274" t="str">
        <x:v>DepositBonus</x:v>
      </x:c>
      <x:c r="Q167" s="274" t="str">
        <x:v>Approved</x:v>
      </x:c>
      <x:c r="R167" s="265" t="n">
        <x:v>500</x:v>
      </x:c>
      <x:c r="S167" s="253" t="str">
        <x:v>Yes</x:v>
      </x:c>
      <x:c r="T167" s="265" t="n">
        <x:v>143</x:v>
      </x:c>
      <x:c r="U167" s="253" t="str">
        <x:f>IF(AND(S167="Yes",T167=0),"Yes","No")</x:f>
        <x:v>No</x:v>
      </x:c>
      <x:c r="V167" s="253" t="str">
        <x:v>Yes</x:v>
      </x:c>
      <x:c r="W167" s="253" t="str">
        <x:v>Yes</x:v>
      </x:c>
      <x:c r="X167" s="259" t="n">
        <x:v>46126.166666666664</x:v>
      </x:c>
      <x:c r="Y167" s="265" t="n">
        <x:v>17780</x:v>
      </x:c>
      <x:c r="Z167" s="265" t="n">
        <x:v>35164</x:v>
      </x:c>
      <x:c r="AA167" s="253" t="str">
        <x:f>IF(V167="No","Maturing",IF(AND(U167="Yes",Y167&gt;0),"Yes","No"))</x:f>
        <x:v>No</x:v>
      </x:c>
      <x:c r="AB167" s="253" t="str">
        <x:f>IF(W167="No","Maturing",IF(AND(U167="Yes",Z167&gt;0),"Yes","No"))</x:f>
        <x:v>No</x:v>
      </x:c>
      <x:c r="AC167" s="265" t="n">
        <x:v>-120.41</x:v>
      </x:c>
      <x:c r="AD167" s="265" t="n">
        <x:v>8421.28</x:v>
      </x:c>
      <x:c r="AE167" s="271" t="str"/>
      <x:c r="AF167" s="274" t="str">
        <x:v>Not validated - no control/holdout</x:v>
      </x:c>
      <x:c r="AG167" s="277" t="str">
        <x:v>Recovered execution only; assignment date and unclaimed-offer denominator unavailable</x:v>
      </x:c>
    </x:row>
    <x:row r="168">
      <x:c r="A168" s="252" t="str">
        <x:v>33883809</x:v>
      </x:c>
      <x:c r="B168" s="253" t="str">
        <x:v>WS1</x:v>
      </x:c>
      <x:c r="C168" s="253" t="str">
        <x:v>MB8</x:v>
      </x:c>
      <x:c r="D168" s="262" t="n">
        <x:v>46126.62594907408</x:v>
      </x:c>
      <x:c r="E168" s="259" t="n">
        <x:v>46126.166666666664</x:v>
      </x:c>
      <x:c r="F168" s="253" t="str">
        <x:v>782659</x:v>
      </x:c>
      <x:c r="G168" s="253" t="str">
        <x:v>mdk3747</x:v>
      </x:c>
      <x:c r="H168" s="253" t="str">
        <x:v>Yes</x:v>
      </x:c>
      <x:c r="I168" s="253" t="str">
        <x:v>Sheena</x:v>
      </x:c>
      <x:c r="J168" s="253" t="str">
        <x:v>Sheena</x:v>
      </x:c>
      <x:c r="K168" s="259" t="n">
        <x:v>46105.166666666664</x:v>
      </x:c>
      <x:c r="L168" s="268" t="str">
        <x:f>IFERROR(VLOOKUP(I168,'Handler-Team Map'!$A$7:$C$17,2,FALSE),"")</x:f>
      </x:c>
      <x:c r="M168" s="268" t="str">
        <x:f>IFERROR(VLOOKUP(I168,'Handler-Team Map'!$A$7:$C$17,3,FALSE),"")</x:f>
      </x:c>
      <x:c r="N168" s="274" t="str">
        <x:v>FT_VM_DEP600_GET200_5X</x:v>
      </x:c>
      <x:c r="O168" s="274" t="str">
        <x:v>VIP BONUS - Deposit 600 Get 200 - 5x TO</x:v>
      </x:c>
      <x:c r="P168" s="274" t="str">
        <x:v>DepositBonus</x:v>
      </x:c>
      <x:c r="Q168" s="274" t="str">
        <x:v>Approved</x:v>
      </x:c>
      <x:c r="R168" s="265" t="n">
        <x:v>200</x:v>
      </x:c>
      <x:c r="S168" s="253" t="str">
        <x:v>Yes</x:v>
      </x:c>
      <x:c r="T168" s="265" t="n">
        <x:v>113249</x:v>
      </x:c>
      <x:c r="U168" s="253" t="str">
        <x:f>IF(AND(S168="Yes",T168=0),"Yes","No")</x:f>
        <x:v>No</x:v>
      </x:c>
      <x:c r="V168" s="253" t="str">
        <x:v>Yes</x:v>
      </x:c>
      <x:c r="W168" s="253" t="str">
        <x:v>Yes</x:v>
      </x:c>
      <x:c r="X168" s="259" t="n">
        <x:v>46126.166666666664</x:v>
      </x:c>
      <x:c r="Y168" s="265" t="n">
        <x:v>29733</x:v>
      </x:c>
      <x:c r="Z168" s="265" t="n">
        <x:v>41261</x:v>
      </x:c>
      <x:c r="AA168" s="253" t="str">
        <x:f>IF(V168="No","Maturing",IF(AND(U168="Yes",Y168&gt;0),"Yes","No"))</x:f>
        <x:v>No</x:v>
      </x:c>
      <x:c r="AB168" s="253" t="str">
        <x:f>IF(W168="No","Maturing",IF(AND(U168="Yes",Z168&gt;0),"Yes","No"))</x:f>
        <x:v>No</x:v>
      </x:c>
      <x:c r="AC168" s="265" t="n">
        <x:v>13365.83</x:v>
      </x:c>
      <x:c r="AD168" s="265" t="n">
        <x:v>15384.1</x:v>
      </x:c>
      <x:c r="AE168" s="271" t="str"/>
      <x:c r="AF168" s="274" t="str">
        <x:v>Not validated - no control/holdout</x:v>
      </x:c>
      <x:c r="AG168" s="277" t="str">
        <x:v>Recovered execution only; assignment date and unclaimed-offer denominator unavailable</x:v>
      </x:c>
    </x:row>
    <x:row r="169">
      <x:c r="A169" s="252" t="str">
        <x:v>33884667</x:v>
      </x:c>
      <x:c r="B169" s="253" t="str">
        <x:v>WS1</x:v>
      </x:c>
      <x:c r="C169" s="253" t="str">
        <x:v>MB8</x:v>
      </x:c>
      <x:c r="D169" s="262" t="n">
        <x:v>46126.69096064815</x:v>
      </x:c>
      <x:c r="E169" s="259" t="n">
        <x:v>46126.166666666664</x:v>
      </x:c>
      <x:c r="F169" s="253" t="str">
        <x:v>625524</x:v>
      </x:c>
      <x:c r="G169" s="253" t="str">
        <x:v>Jeremy1992</x:v>
      </x:c>
      <x:c r="H169" s="253" t="str">
        <x:v>Yes</x:v>
      </x:c>
      <x:c r="I169" s="253" t="str">
        <x:v>Sheena</x:v>
      </x:c>
      <x:c r="J169" s="253" t="str">
        <x:v>Sheena</x:v>
      </x:c>
      <x:c r="K169" s="259" t="n">
        <x:v>45910.166666666664</x:v>
      </x:c>
      <x:c r="L169" s="268" t="str">
        <x:f>IFERROR(VLOOKUP(I169,'Handler-Team Map'!$A$7:$C$17,2,FALSE),"")</x:f>
      </x:c>
      <x:c r="M169" s="268" t="str">
        <x:f>IFERROR(VLOOKUP(I169,'Handler-Team Map'!$A$7:$C$17,3,FALSE),"")</x:f>
      </x:c>
      <x:c r="N169" s="274" t="str">
        <x:v>FT_VM_DEP300_GET100_5X</x:v>
      </x:c>
      <x:c r="O169" s="274" t="str">
        <x:v>VIP BONUS - Deposit 300 Get 100 - 5x TO</x:v>
      </x:c>
      <x:c r="P169" s="274" t="str">
        <x:v>DepositBonus</x:v>
      </x:c>
      <x:c r="Q169" s="274" t="str">
        <x:v>Approved</x:v>
      </x:c>
      <x:c r="R169" s="265" t="n">
        <x:v>100</x:v>
      </x:c>
      <x:c r="S169" s="253" t="str">
        <x:v>Yes</x:v>
      </x:c>
      <x:c r="T169" s="265" t="n">
        <x:v>198521.37</x:v>
      </x:c>
      <x:c r="U169" s="253" t="str">
        <x:f>IF(AND(S169="Yes",T169=0),"Yes","No")</x:f>
        <x:v>No</x:v>
      </x:c>
      <x:c r="V169" s="253" t="str">
        <x:v>Yes</x:v>
      </x:c>
      <x:c r="W169" s="253" t="str">
        <x:v>Yes</x:v>
      </x:c>
      <x:c r="X169" s="259" t="n">
        <x:v>46126.166666666664</x:v>
      </x:c>
      <x:c r="Y169" s="265" t="n">
        <x:v>75290.86</x:v>
      </x:c>
      <x:c r="Z169" s="265" t="n">
        <x:v>213028.86</x:v>
      </x:c>
      <x:c r="AA169" s="253" t="str">
        <x:f>IF(V169="No","Maturing",IF(AND(U169="Yes",Y169&gt;0),"Yes","No"))</x:f>
        <x:v>No</x:v>
      </x:c>
      <x:c r="AB169" s="253" t="str">
        <x:f>IF(W169="No","Maturing",IF(AND(U169="Yes",Z169&gt;0),"Yes","No"))</x:f>
        <x:v>No</x:v>
      </x:c>
      <x:c r="AC169" s="265" t="n">
        <x:v>-12441.03</x:v>
      </x:c>
      <x:c r="AD169" s="265" t="n">
        <x:v>3028.52</x:v>
      </x:c>
      <x:c r="AE169" s="271" t="str"/>
      <x:c r="AF169" s="274" t="str">
        <x:v>Not validated - no control/holdout</x:v>
      </x:c>
      <x:c r="AG169" s="277" t="str">
        <x:v>Recovered execution only; assignment date and unclaimed-offer denominator unavailable</x:v>
      </x:c>
    </x:row>
    <x:row r="170">
      <x:c r="A170" s="252" t="str">
        <x:v>33885823</x:v>
      </x:c>
      <x:c r="B170" s="253" t="str">
        <x:v>WS1</x:v>
      </x:c>
      <x:c r="C170" s="253" t="str">
        <x:v>MB8</x:v>
      </x:c>
      <x:c r="D170" s="262" t="n">
        <x:v>46126.790300925924</x:v>
      </x:c>
      <x:c r="E170" s="259" t="n">
        <x:v>46126.166666666664</x:v>
      </x:c>
      <x:c r="F170" s="253" t="str">
        <x:v>992918</x:v>
      </x:c>
      <x:c r="G170" s="253" t="str">
        <x:v>Sprema</x:v>
      </x:c>
      <x:c r="H170" s="253" t="str">
        <x:v>Yes</x:v>
      </x:c>
      <x:c r="I170" s="253" t="str"/>
      <x:c r="J170" s="253" t="str"/>
      <x:c r="K170" s="259"/>
      <x:c r="L170" s="268" t="str">
        <x:f>IFERROR(VLOOKUP(I170,'Handler-Team Map'!$A$7:$C$17,2,FALSE),"")</x:f>
      </x:c>
      <x:c r="M170" s="268" t="str">
        <x:f>IFERROR(VLOOKUP(I170,'Handler-Team Map'!$A$7:$C$17,3,FALSE),"")</x:f>
      </x:c>
      <x:c r="N170" s="274" t="str">
        <x:v>FT_VM_DEP1000_GET700_1X</x:v>
      </x:c>
      <x:c r="O170" s="274" t="str">
        <x:v>VIP BONUS - Deposit 1000 Get 700 - 1x TO</x:v>
      </x:c>
      <x:c r="P170" s="274" t="str">
        <x:v>DepositBonus</x:v>
      </x:c>
      <x:c r="Q170" s="274" t="str">
        <x:v>Approved</x:v>
      </x:c>
      <x:c r="R170" s="265" t="n">
        <x:v>700</x:v>
      </x:c>
      <x:c r="S170" s="253" t="str">
        <x:v>Yes</x:v>
      </x:c>
      <x:c r="T170" s="265" t="n">
        <x:v>3005</x:v>
      </x:c>
      <x:c r="U170" s="253" t="str">
        <x:f>IF(AND(S170="Yes",T170=0),"Yes","No")</x:f>
        <x:v>No</x:v>
      </x:c>
      <x:c r="V170" s="253" t="str">
        <x:v>Yes</x:v>
      </x:c>
      <x:c r="W170" s="253" t="str">
        <x:v>Yes</x:v>
      </x:c>
      <x:c r="X170" s="259" t="n">
        <x:v>46126.166666666664</x:v>
      </x:c>
      <x:c r="Y170" s="265" t="n">
        <x:v>1500</x:v>
      </x:c>
      <x:c r="Z170" s="265" t="n">
        <x:v>1700</x:v>
      </x:c>
      <x:c r="AA170" s="253" t="str">
        <x:f>IF(V170="No","Maturing",IF(AND(U170="Yes",Y170&gt;0),"Yes","No"))</x:f>
        <x:v>No</x:v>
      </x:c>
      <x:c r="AB170" s="253" t="str">
        <x:f>IF(W170="No","Maturing",IF(AND(U170="Yes",Z170&gt;0),"Yes","No"))</x:f>
        <x:v>No</x:v>
      </x:c>
      <x:c r="AC170" s="265" t="n">
        <x:v>-949.57</x:v>
      </x:c>
      <x:c r="AD170" s="265" t="n">
        <x:v>-749.16</x:v>
      </x:c>
      <x:c r="AE170" s="271" t="str"/>
      <x:c r="AF170" s="274" t="str">
        <x:v>Not validated - no control/holdout</x:v>
      </x:c>
      <x:c r="AG170" s="277" t="str">
        <x:v>Recovered execution only; assignment date and unclaimed-offer denominator unavailable</x:v>
      </x:c>
    </x:row>
    <x:row r="171">
      <x:c r="A171" s="252" t="str">
        <x:v>33886051</x:v>
      </x:c>
      <x:c r="B171" s="253" t="str">
        <x:v>WS1</x:v>
      </x:c>
      <x:c r="C171" s="253" t="str">
        <x:v>MB8</x:v>
      </x:c>
      <x:c r="D171" s="262" t="n">
        <x:v>46126.810648148145</x:v>
      </x:c>
      <x:c r="E171" s="259" t="n">
        <x:v>46126.166666666664</x:v>
      </x:c>
      <x:c r="F171" s="253" t="str">
        <x:v>461077</x:v>
      </x:c>
      <x:c r="G171" s="253" t="str">
        <x:v>Chenghe</x:v>
      </x:c>
      <x:c r="H171" s="253" t="str">
        <x:v>Yes</x:v>
      </x:c>
      <x:c r="I171" s="253" t="str">
        <x:v>Claire</x:v>
      </x:c>
      <x:c r="J171" s="253" t="str">
        <x:v>Claire</x:v>
      </x:c>
      <x:c r="K171" s="259" t="n">
        <x:v>45659.166666666664</x:v>
      </x:c>
      <x:c r="L171" s="268" t="str">
        <x:f>IFERROR(VLOOKUP(I171,'Handler-Team Map'!$A$7:$C$17,2,FALSE),"")</x:f>
      </x:c>
      <x:c r="M171" s="268" t="str">
        <x:f>IFERROR(VLOOKUP(I171,'Handler-Team Map'!$A$7:$C$17,3,FALSE),"")</x:f>
      </x:c>
      <x:c r="N171" s="274" t="str">
        <x:v>FT_VM_DEP800_GET400_2X</x:v>
      </x:c>
      <x:c r="O171" s="274" t="str">
        <x:v>VIP BONUS - Deposit 800 Get 400 - 2x TO</x:v>
      </x:c>
      <x:c r="P171" s="274" t="str">
        <x:v>DepositBonus</x:v>
      </x:c>
      <x:c r="Q171" s="274" t="str">
        <x:v>Approved</x:v>
      </x:c>
      <x:c r="R171" s="265" t="n">
        <x:v>400</x:v>
      </x:c>
      <x:c r="S171" s="253" t="str">
        <x:v>Yes</x:v>
      </x:c>
      <x:c r="T171" s="265" t="n">
        <x:v>91020</x:v>
      </x:c>
      <x:c r="U171" s="253" t="str">
        <x:f>IF(AND(S171="Yes",T171=0),"Yes","No")</x:f>
        <x:v>No</x:v>
      </x:c>
      <x:c r="V171" s="253" t="str">
        <x:v>Yes</x:v>
      </x:c>
      <x:c r="W171" s="253" t="str">
        <x:v>Yes</x:v>
      </x:c>
      <x:c r="X171" s="259" t="n">
        <x:v>46126.166666666664</x:v>
      </x:c>
      <x:c r="Y171" s="265" t="n">
        <x:v>18600</x:v>
      </x:c>
      <x:c r="Z171" s="265" t="n">
        <x:v>58700</x:v>
      </x:c>
      <x:c r="AA171" s="253" t="str">
        <x:f>IF(V171="No","Maturing",IF(AND(U171="Yes",Y171&gt;0),"Yes","No"))</x:f>
        <x:v>No</x:v>
      </x:c>
      <x:c r="AB171" s="253" t="str">
        <x:f>IF(W171="No","Maturing",IF(AND(U171="Yes",Z171&gt;0),"Yes","No"))</x:f>
        <x:v>No</x:v>
      </x:c>
      <x:c r="AC171" s="265" t="n">
        <x:v>9226.06</x:v>
      </x:c>
      <x:c r="AD171" s="265" t="n">
        <x:v>10541.77</x:v>
      </x:c>
      <x:c r="AE171" s="271" t="str"/>
      <x:c r="AF171" s="274" t="str">
        <x:v>Not validated - no control/holdout</x:v>
      </x:c>
      <x:c r="AG171" s="277" t="str">
        <x:v>Recovered execution only; assignment date and unclaimed-offer denominator unavailable</x:v>
      </x:c>
    </x:row>
    <x:row r="172">
      <x:c r="A172" s="252" t="str">
        <x:v>33886600</x:v>
      </x:c>
      <x:c r="B172" s="253" t="str">
        <x:v>WS1</x:v>
      </x:c>
      <x:c r="C172" s="253" t="str">
        <x:v>MB8</x:v>
      </x:c>
      <x:c r="D172" s="262" t="n">
        <x:v>46126.85267361111</x:v>
      </x:c>
      <x:c r="E172" s="259" t="n">
        <x:v>46126.166666666664</x:v>
      </x:c>
      <x:c r="F172" s="253" t="str">
        <x:v>131667</x:v>
      </x:c>
      <x:c r="G172" s="253" t="str">
        <x:v>TT418</x:v>
      </x:c>
      <x:c r="H172" s="253" t="str">
        <x:v>Yes</x:v>
      </x:c>
      <x:c r="I172" s="253" t="str">
        <x:v>Serene</x:v>
      </x:c>
      <x:c r="J172" s="253" t="str">
        <x:v>Serene</x:v>
      </x:c>
      <x:c r="K172" s="259" t="n">
        <x:v>45859.166666666664</x:v>
      </x:c>
      <x:c r="L172" s="268" t="str">
        <x:f>IFERROR(VLOOKUP(I172,'Handler-Team Map'!$A$7:$C$17,2,FALSE),"")</x:f>
      </x:c>
      <x:c r="M172" s="268" t="str">
        <x:f>IFERROR(VLOOKUP(I172,'Handler-Team Map'!$A$7:$C$17,3,FALSE),"")</x:f>
      </x:c>
      <x:c r="N172" s="274" t="str">
        <x:v>FT_VM_DEP300_GET100_2X</x:v>
      </x:c>
      <x:c r="O172" s="274" t="str">
        <x:v>VIP BONUS - Deposit 300 Get 100 - 2x TO</x:v>
      </x:c>
      <x:c r="P172" s="274" t="str">
        <x:v>DepositBonus</x:v>
      </x:c>
      <x:c r="Q172" s="274" t="str">
        <x:v>Approved</x:v>
      </x:c>
      <x:c r="R172" s="265" t="n">
        <x:v>100</x:v>
      </x:c>
      <x:c r="S172" s="253" t="str">
        <x:v>Yes</x:v>
      </x:c>
      <x:c r="T172" s="265" t="n">
        <x:v>64100</x:v>
      </x:c>
      <x:c r="U172" s="253" t="str">
        <x:f>IF(AND(S172="Yes",T172=0),"Yes","No")</x:f>
        <x:v>No</x:v>
      </x:c>
      <x:c r="V172" s="253" t="str">
        <x:v>Yes</x:v>
      </x:c>
      <x:c r="W172" s="253" t="str">
        <x:v>Yes</x:v>
      </x:c>
      <x:c r="X172" s="259" t="n">
        <x:v>46126.166666666664</x:v>
      </x:c>
      <x:c r="Y172" s="265" t="n">
        <x:v>7850</x:v>
      </x:c>
      <x:c r="Z172" s="265" t="n">
        <x:v>32118</x:v>
      </x:c>
      <x:c r="AA172" s="253" t="str">
        <x:f>IF(V172="No","Maturing",IF(AND(U172="Yes",Y172&gt;0),"Yes","No"))</x:f>
        <x:v>No</x:v>
      </x:c>
      <x:c r="AB172" s="253" t="str">
        <x:f>IF(W172="No","Maturing",IF(AND(U172="Yes",Z172&gt;0),"Yes","No"))</x:f>
        <x:v>No</x:v>
      </x:c>
      <x:c r="AC172" s="265" t="n">
        <x:v>-7591.15</x:v>
      </x:c>
      <x:c r="AD172" s="265" t="n">
        <x:v>8724.5</x:v>
      </x:c>
      <x:c r="AE172" s="271" t="str"/>
      <x:c r="AF172" s="274" t="str">
        <x:v>Not validated - no control/holdout</x:v>
      </x:c>
      <x:c r="AG172" s="277" t="str">
        <x:v>Recovered execution only; assignment date and unclaimed-offer denominator unavailable</x:v>
      </x:c>
    </x:row>
    <x:row r="173">
      <x:c r="A173" s="252" t="str">
        <x:v>33890791</x:v>
      </x:c>
      <x:c r="B173" s="253" t="str">
        <x:v>WS1</x:v>
      </x:c>
      <x:c r="C173" s="253" t="str">
        <x:v>MB8</x:v>
      </x:c>
      <x:c r="D173" s="262" t="n">
        <x:v>46127.12174768518</x:v>
      </x:c>
      <x:c r="E173" s="259" t="n">
        <x:v>46127.166666666664</x:v>
      </x:c>
      <x:c r="F173" s="253" t="str">
        <x:v>38910</x:v>
      </x:c>
      <x:c r="G173" s="253" t="str">
        <x:v>Snowy2kaki</x:v>
      </x:c>
      <x:c r="H173" s="253" t="str">
        <x:v>Yes</x:v>
      </x:c>
      <x:c r="I173" s="253" t="str">
        <x:v>Claire</x:v>
      </x:c>
      <x:c r="J173" s="253" t="str">
        <x:v>Claire</x:v>
      </x:c>
      <x:c r="K173" s="259" t="n">
        <x:v>45659.166666666664</x:v>
      </x:c>
      <x:c r="L173" s="268" t="str">
        <x:f>IFERROR(VLOOKUP(I173,'Handler-Team Map'!$A$7:$C$17,2,FALSE),"")</x:f>
      </x:c>
      <x:c r="M173" s="268" t="str">
        <x:f>IFERROR(VLOOKUP(I173,'Handler-Team Map'!$A$7:$C$17,3,FALSE),"")</x:f>
      </x:c>
      <x:c r="N173" s="274" t="str">
        <x:v>FT_VM_DEP1000_GET700_1X</x:v>
      </x:c>
      <x:c r="O173" s="274" t="str">
        <x:v>VIP BONUS - Deposit 1000 Get 700 - 1x TO</x:v>
      </x:c>
      <x:c r="P173" s="274" t="str">
        <x:v>DepositBonus</x:v>
      </x:c>
      <x:c r="Q173" s="274" t="str">
        <x:v>Approved</x:v>
      </x:c>
      <x:c r="R173" s="265" t="n">
        <x:v>700</x:v>
      </x:c>
      <x:c r="S173" s="253" t="str">
        <x:v>Yes</x:v>
      </x:c>
      <x:c r="T173" s="265" t="n">
        <x:v>93500</x:v>
      </x:c>
      <x:c r="U173" s="253" t="str">
        <x:f>IF(AND(S173="Yes",T173=0),"Yes","No")</x:f>
        <x:v>No</x:v>
      </x:c>
      <x:c r="V173" s="253" t="str">
        <x:v>Yes</x:v>
      </x:c>
      <x:c r="W173" s="253" t="str">
        <x:v>Yes</x:v>
      </x:c>
      <x:c r="X173" s="259" t="n">
        <x:v>46127.166666666664</x:v>
      </x:c>
      <x:c r="Y173" s="265" t="n">
        <x:v>61500</x:v>
      </x:c>
      <x:c r="Z173" s="265" t="n">
        <x:v>94300</x:v>
      </x:c>
      <x:c r="AA173" s="253" t="str">
        <x:f>IF(V173="No","Maturing",IF(AND(U173="Yes",Y173&gt;0),"Yes","No"))</x:f>
        <x:v>No</x:v>
      </x:c>
      <x:c r="AB173" s="253" t="str">
        <x:f>IF(W173="No","Maturing",IF(AND(U173="Yes",Z173&gt;0),"Yes","No"))</x:f>
        <x:v>No</x:v>
      </x:c>
      <x:c r="AC173" s="265" t="n">
        <x:v>28244.69</x:v>
      </x:c>
      <x:c r="AD173" s="265" t="n">
        <x:v>96109.03</x:v>
      </x:c>
      <x:c r="AE173" s="271" t="str"/>
      <x:c r="AF173" s="274" t="str">
        <x:v>Not validated - no control/holdout</x:v>
      </x:c>
      <x:c r="AG173" s="277" t="str">
        <x:v>Recovered execution only; assignment date and unclaimed-offer denominator unavailable</x:v>
      </x:c>
    </x:row>
    <x:row r="174">
      <x:c r="A174" s="252" t="str">
        <x:v>33893440</x:v>
      </x:c>
      <x:c r="B174" s="253" t="str">
        <x:v>WS1</x:v>
      </x:c>
      <x:c r="C174" s="253" t="str">
        <x:v>MB8</x:v>
      </x:c>
      <x:c r="D174" s="262" t="n">
        <x:v>46127.54056712963</x:v>
      </x:c>
      <x:c r="E174" s="259" t="n">
        <x:v>46127.166666666664</x:v>
      </x:c>
      <x:c r="F174" s="253" t="str">
        <x:v>28287</x:v>
      </x:c>
      <x:c r="G174" s="253" t="str">
        <x:v>Haze88</x:v>
      </x:c>
      <x:c r="H174" s="253" t="str">
        <x:v>Yes</x:v>
      </x:c>
      <x:c r="I174" s="253" t="str">
        <x:v>Claire</x:v>
      </x:c>
      <x:c r="J174" s="253" t="str">
        <x:v>Claire</x:v>
      </x:c>
      <x:c r="K174" s="259" t="n">
        <x:v>46090.166666666664</x:v>
      </x:c>
      <x:c r="L174" s="268" t="str">
        <x:f>IFERROR(VLOOKUP(I174,'Handler-Team Map'!$A$7:$C$17,2,FALSE),"")</x:f>
      </x:c>
      <x:c r="M174" s="268" t="str">
        <x:f>IFERROR(VLOOKUP(I174,'Handler-Team Map'!$A$7:$C$17,3,FALSE),"")</x:f>
      </x:c>
      <x:c r="N174" s="274" t="str">
        <x:v>FT_VM_DEP1000_GET700_2X</x:v>
      </x:c>
      <x:c r="O174" s="274" t="str">
        <x:v>VIP BONUS - Deposit 1000 Get 700 - 2x TO</x:v>
      </x:c>
      <x:c r="P174" s="274" t="str">
        <x:v>DepositBonus</x:v>
      </x:c>
      <x:c r="Q174" s="274" t="str">
        <x:v>Approved</x:v>
      </x:c>
      <x:c r="R174" s="265" t="n">
        <x:v>700</x:v>
      </x:c>
      <x:c r="S174" s="253" t="str">
        <x:v>Yes</x:v>
      </x:c>
      <x:c r="T174" s="265" t="n">
        <x:v>2000</x:v>
      </x:c>
      <x:c r="U174" s="253" t="str">
        <x:f>IF(AND(S174="Yes",T174=0),"Yes","No")</x:f>
        <x:v>No</x:v>
      </x:c>
      <x:c r="V174" s="253" t="str">
        <x:v>Yes</x:v>
      </x:c>
      <x:c r="W174" s="253" t="str">
        <x:v>Yes</x:v>
      </x:c>
      <x:c r="X174" s="259" t="n">
        <x:v>46127.166666666664</x:v>
      </x:c>
      <x:c r="Y174" s="265" t="n">
        <x:v>1000</x:v>
      </x:c>
      <x:c r="Z174" s="265" t="n">
        <x:v>1000</x:v>
      </x:c>
      <x:c r="AA174" s="253" t="str">
        <x:f>IF(V174="No","Maturing",IF(AND(U174="Yes",Y174&gt;0),"Yes","No"))</x:f>
        <x:v>No</x:v>
      </x:c>
      <x:c r="AB174" s="253" t="str">
        <x:f>IF(W174="No","Maturing",IF(AND(U174="Yes",Z174&gt;0),"Yes","No"))</x:f>
        <x:v>No</x:v>
      </x:c>
      <x:c r="AC174" s="265" t="n">
        <x:v>-989.96</x:v>
      </x:c>
      <x:c r="AD174" s="265" t="n">
        <x:v>-960</x:v>
      </x:c>
      <x:c r="AE174" s="271" t="str"/>
      <x:c r="AF174" s="274" t="str">
        <x:v>Not validated - no control/holdout</x:v>
      </x:c>
      <x:c r="AG174" s="277" t="str">
        <x:v>Recovered execution only; assignment date and unclaimed-offer denominator unavailable</x:v>
      </x:c>
    </x:row>
    <x:row r="175">
      <x:c r="A175" s="252" t="str">
        <x:v>33893837</x:v>
      </x:c>
      <x:c r="B175" s="253" t="str">
        <x:v>WS1</x:v>
      </x:c>
      <x:c r="C175" s="253" t="str">
        <x:v>MB8</x:v>
      </x:c>
      <x:c r="D175" s="262" t="n">
        <x:v>46127.576377314814</x:v>
      </x:c>
      <x:c r="E175" s="259" t="n">
        <x:v>46127.166666666664</x:v>
      </x:c>
      <x:c r="F175" s="253" t="str">
        <x:v>650335</x:v>
      </x:c>
      <x:c r="G175" s="253" t="str">
        <x:v>Azrulshah</x:v>
      </x:c>
      <x:c r="H175" s="253" t="str">
        <x:v>Yes</x:v>
      </x:c>
      <x:c r="I175" s="253" t="str">
        <x:v>Elda</x:v>
      </x:c>
      <x:c r="J175" s="253" t="str">
        <x:v>Elda</x:v>
      </x:c>
      <x:c r="K175" s="259" t="n">
        <x:v>45659.166666666664</x:v>
      </x:c>
      <x:c r="L175" s="268" t="str">
        <x:f>IFERROR(VLOOKUP(I175,'Handler-Team Map'!$A$7:$C$17,2,FALSE),"")</x:f>
      </x:c>
      <x:c r="M175" s="268" t="str">
        <x:f>IFERROR(VLOOKUP(I175,'Handler-Team Map'!$A$7:$C$17,3,FALSE),"")</x:f>
      </x:c>
      <x:c r="N175" s="274" t="str">
        <x:v>FT_VM_DEP300_GET100_5X</x:v>
      </x:c>
      <x:c r="O175" s="274" t="str">
        <x:v>VIP BONUS - Deposit 300 Get 100 - 5x TO</x:v>
      </x:c>
      <x:c r="P175" s="274" t="str">
        <x:v>DepositBonus</x:v>
      </x:c>
      <x:c r="Q175" s="274" t="str">
        <x:v>Approved</x:v>
      </x:c>
      <x:c r="R175" s="265" t="n">
        <x:v>100</x:v>
      </x:c>
      <x:c r="S175" s="253" t="str">
        <x:v>Yes</x:v>
      </x:c>
      <x:c r="T175" s="265" t="n">
        <x:v>2620</x:v>
      </x:c>
      <x:c r="U175" s="253" t="str">
        <x:f>IF(AND(S175="Yes",T175=0),"Yes","No")</x:f>
        <x:v>No</x:v>
      </x:c>
      <x:c r="V175" s="253" t="str">
        <x:v>Yes</x:v>
      </x:c>
      <x:c r="W175" s="253" t="str">
        <x:v>Yes</x:v>
      </x:c>
      <x:c r="X175" s="259" t="n">
        <x:v>46127.166666666664</x:v>
      </x:c>
      <x:c r="Y175" s="265" t="n">
        <x:v>3678</x:v>
      </x:c>
      <x:c r="Z175" s="265" t="n">
        <x:v>6678</x:v>
      </x:c>
      <x:c r="AA175" s="253" t="str">
        <x:f>IF(V175="No","Maturing",IF(AND(U175="Yes",Y175&gt;0),"Yes","No"))</x:f>
        <x:v>No</x:v>
      </x:c>
      <x:c r="AB175" s="253" t="str">
        <x:f>IF(W175="No","Maturing",IF(AND(U175="Yes",Z175&gt;0),"Yes","No"))</x:f>
        <x:v>No</x:v>
      </x:c>
      <x:c r="AC175" s="265" t="n">
        <x:v>861.86</x:v>
      </x:c>
      <x:c r="AD175" s="265" t="n">
        <x:v>2924.58</x:v>
      </x:c>
      <x:c r="AE175" s="271" t="str"/>
      <x:c r="AF175" s="274" t="str">
        <x:v>Not validated - no control/holdout</x:v>
      </x:c>
      <x:c r="AG175" s="277" t="str">
        <x:v>Recovered execution only; assignment date and unclaimed-offer denominator unavailable</x:v>
      </x:c>
    </x:row>
    <x:row r="176">
      <x:c r="A176" s="252" t="str">
        <x:v>33894528</x:v>
      </x:c>
      <x:c r="B176" s="253" t="str">
        <x:v>WS1</x:v>
      </x:c>
      <x:c r="C176" s="253" t="str">
        <x:v>MB8</x:v>
      </x:c>
      <x:c r="D176" s="262" t="n">
        <x:v>46127.6483912037</x:v>
      </x:c>
      <x:c r="E176" s="259" t="n">
        <x:v>46127.166666666664</x:v>
      </x:c>
      <x:c r="F176" s="253" t="str">
        <x:v>809424</x:v>
      </x:c>
      <x:c r="G176" s="253" t="str">
        <x:v>yeamwc</x:v>
      </x:c>
      <x:c r="H176" s="253" t="str">
        <x:v>Yes</x:v>
      </x:c>
      <x:c r="I176" s="253" t="str">
        <x:v>Elda</x:v>
      </x:c>
      <x:c r="J176" s="253" t="str">
        <x:v>Elda</x:v>
      </x:c>
      <x:c r="K176" s="259" t="n">
        <x:v>45659.166666666664</x:v>
      </x:c>
      <x:c r="L176" s="268" t="str">
        <x:f>IFERROR(VLOOKUP(I176,'Handler-Team Map'!$A$7:$C$17,2,FALSE),"")</x:f>
      </x:c>
      <x:c r="M176" s="268" t="str">
        <x:f>IFERROR(VLOOKUP(I176,'Handler-Team Map'!$A$7:$C$17,3,FALSE),"")</x:f>
      </x:c>
      <x:c r="N176" s="274" t="str">
        <x:v>FT_VM_DEP1000_GET500_5X</x:v>
      </x:c>
      <x:c r="O176" s="274" t="str">
        <x:v>VIP BONUS - Deposit 1000 Get 500 - 5x TO</x:v>
      </x:c>
      <x:c r="P176" s="274" t="str">
        <x:v>DepositBonus</x:v>
      </x:c>
      <x:c r="Q176" s="274" t="str">
        <x:v>Approved</x:v>
      </x:c>
      <x:c r="R176" s="265" t="n">
        <x:v>500</x:v>
      </x:c>
      <x:c r="S176" s="253" t="str">
        <x:v>Yes</x:v>
      </x:c>
      <x:c r="T176" s="265" t="n">
        <x:v>137735</x:v>
      </x:c>
      <x:c r="U176" s="253" t="str">
        <x:f>IF(AND(S176="Yes",T176=0),"Yes","No")</x:f>
        <x:v>No</x:v>
      </x:c>
      <x:c r="V176" s="253" t="str">
        <x:v>Yes</x:v>
      </x:c>
      <x:c r="W176" s="253" t="str">
        <x:v>Yes</x:v>
      </x:c>
      <x:c r="X176" s="259" t="n">
        <x:v>46127.166666666664</x:v>
      </x:c>
      <x:c r="Y176" s="265" t="n">
        <x:v>69425</x:v>
      </x:c>
      <x:c r="Z176" s="265" t="n">
        <x:v>138225</x:v>
      </x:c>
      <x:c r="AA176" s="253" t="str">
        <x:f>IF(V176="No","Maturing",IF(AND(U176="Yes",Y176&gt;0),"Yes","No"))</x:f>
        <x:v>No</x:v>
      </x:c>
      <x:c r="AB176" s="253" t="str">
        <x:f>IF(W176="No","Maturing",IF(AND(U176="Yes",Z176&gt;0),"Yes","No"))</x:f>
        <x:v>No</x:v>
      </x:c>
      <x:c r="AC176" s="265" t="n">
        <x:v>-107409.35</x:v>
      </x:c>
      <x:c r="AD176" s="265" t="n">
        <x:v>-156111.72</x:v>
      </x:c>
      <x:c r="AE176" s="271" t="str"/>
      <x:c r="AF176" s="274" t="str">
        <x:v>Not validated - no control/holdout</x:v>
      </x:c>
      <x:c r="AG176" s="277" t="str">
        <x:v>Recovered execution only; assignment date and unclaimed-offer denominator unavailable</x:v>
      </x:c>
    </x:row>
    <x:row r="177">
      <x:c r="A177" s="252" t="str">
        <x:v>33894934</x:v>
      </x:c>
      <x:c r="B177" s="253" t="str">
        <x:v>WS1</x:v>
      </x:c>
      <x:c r="C177" s="253" t="str">
        <x:v>MB8</x:v>
      </x:c>
      <x:c r="D177" s="262" t="n">
        <x:v>46127.68025462963</x:v>
      </x:c>
      <x:c r="E177" s="259" t="n">
        <x:v>46127.166666666664</x:v>
      </x:c>
      <x:c r="F177" s="253" t="str">
        <x:v>1041738</x:v>
      </x:c>
      <x:c r="G177" s="253" t="str">
        <x:v>ndzm777</x:v>
      </x:c>
      <x:c r="H177" s="253" t="str">
        <x:v>Yes</x:v>
      </x:c>
      <x:c r="I177" s="253" t="str">
        <x:v>zhen</x:v>
      </x:c>
      <x:c r="J177" s="253" t="str">
        <x:v>zhen</x:v>
      </x:c>
      <x:c r="K177" s="259" t="n">
        <x:v>45880.166666666664</x:v>
      </x:c>
      <x:c r="L177" s="268" t="str">
        <x:f>IFERROR(VLOOKUP(I177,'Handler-Team Map'!$A$7:$C$17,2,FALSE),"")</x:f>
      </x:c>
      <x:c r="M177" s="268" t="str">
        <x:f>IFERROR(VLOOKUP(I177,'Handler-Team Map'!$A$7:$C$17,3,FALSE),"")</x:f>
      </x:c>
      <x:c r="N177" s="274" t="str">
        <x:v>FT_VM_DEP1000_GET500_5X</x:v>
      </x:c>
      <x:c r="O177" s="274" t="str">
        <x:v>VIP BONUS - Deposit 1000 Get 500 - 5x TO</x:v>
      </x:c>
      <x:c r="P177" s="274" t="str">
        <x:v>DepositBonus</x:v>
      </x:c>
      <x:c r="Q177" s="274" t="str">
        <x:v>Approved</x:v>
      </x:c>
      <x:c r="R177" s="265" t="n">
        <x:v>500</x:v>
      </x:c>
      <x:c r="S177" s="253" t="str">
        <x:v>Yes</x:v>
      </x:c>
      <x:c r="T177" s="265" t="n">
        <x:v>60221</x:v>
      </x:c>
      <x:c r="U177" s="253" t="str">
        <x:f>IF(AND(S177="Yes",T177=0),"Yes","No")</x:f>
        <x:v>No</x:v>
      </x:c>
      <x:c r="V177" s="253" t="str">
        <x:v>Yes</x:v>
      </x:c>
      <x:c r="W177" s="253" t="str">
        <x:v>Yes</x:v>
      </x:c>
      <x:c r="X177" s="259" t="n">
        <x:v>46127.166666666664</x:v>
      </x:c>
      <x:c r="Y177" s="265" t="n">
        <x:v>12650</x:v>
      </x:c>
      <x:c r="Z177" s="265" t="n">
        <x:v>25885</x:v>
      </x:c>
      <x:c r="AA177" s="253" t="str">
        <x:f>IF(V177="No","Maturing",IF(AND(U177="Yes",Y177&gt;0),"Yes","No"))</x:f>
        <x:v>No</x:v>
      </x:c>
      <x:c r="AB177" s="253" t="str">
        <x:f>IF(W177="No","Maturing",IF(AND(U177="Yes",Z177&gt;0),"Yes","No"))</x:f>
        <x:v>No</x:v>
      </x:c>
      <x:c r="AC177" s="265" t="n">
        <x:v>9844.67</x:v>
      </x:c>
      <x:c r="AD177" s="265" t="n">
        <x:v>13961.03</x:v>
      </x:c>
      <x:c r="AE177" s="271" t="str"/>
      <x:c r="AF177" s="274" t="str">
        <x:v>Not validated - no control/holdout</x:v>
      </x:c>
      <x:c r="AG177" s="277" t="str">
        <x:v>Recovered execution only; assignment date and unclaimed-offer denominator unavailable</x:v>
      </x:c>
    </x:row>
    <x:row r="178">
      <x:c r="A178" s="252" t="str">
        <x:v>33895396</x:v>
      </x:c>
      <x:c r="B178" s="253" t="str">
        <x:v>WS1</x:v>
      </x:c>
      <x:c r="C178" s="253" t="str">
        <x:v>MB8</x:v>
      </x:c>
      <x:c r="D178" s="262" t="n">
        <x:v>46127.714594907404</x:v>
      </x:c>
      <x:c r="E178" s="259" t="n">
        <x:v>46127.166666666664</x:v>
      </x:c>
      <x:c r="F178" s="253" t="str">
        <x:v>839027</x:v>
      </x:c>
      <x:c r="G178" s="253" t="str">
        <x:v>Victorxx502</x:v>
      </x:c>
      <x:c r="H178" s="253" t="str">
        <x:v>Yes</x:v>
      </x:c>
      <x:c r="I178" s="253" t="str">
        <x:v>Elda</x:v>
      </x:c>
      <x:c r="J178" s="253" t="str">
        <x:v>Elda</x:v>
      </x:c>
      <x:c r="K178" s="259" t="n">
        <x:v>45659.166666666664</x:v>
      </x:c>
      <x:c r="L178" s="268" t="str">
        <x:f>IFERROR(VLOOKUP(I178,'Handler-Team Map'!$A$7:$C$17,2,FALSE),"")</x:f>
      </x:c>
      <x:c r="M178" s="268" t="str">
        <x:f>IFERROR(VLOOKUP(I178,'Handler-Team Map'!$A$7:$C$17,3,FALSE),"")</x:f>
      </x:c>
      <x:c r="N178" s="274" t="str">
        <x:v>FT_VM_DEP1000_GET1000_1X</x:v>
      </x:c>
      <x:c r="O178" s="274" t="str">
        <x:v>VIP BONUS - Deposit 1000 Get 1000 - 1x TO</x:v>
      </x:c>
      <x:c r="P178" s="274" t="str">
        <x:v>DepositBonus</x:v>
      </x:c>
      <x:c r="Q178" s="274" t="str">
        <x:v>Approved</x:v>
      </x:c>
      <x:c r="R178" s="265" t="n">
        <x:v>1000</x:v>
      </x:c>
      <x:c r="S178" s="253" t="str">
        <x:v>Yes</x:v>
      </x:c>
      <x:c r="T178" s="265" t="n">
        <x:v>106549.01</x:v>
      </x:c>
      <x:c r="U178" s="253" t="str">
        <x:f>IF(AND(S178="Yes",T178=0),"Yes","No")</x:f>
        <x:v>No</x:v>
      </x:c>
      <x:c r="V178" s="253" t="str">
        <x:v>Yes</x:v>
      </x:c>
      <x:c r="W178" s="253" t="str">
        <x:v>Yes</x:v>
      </x:c>
      <x:c r="X178" s="259" t="n">
        <x:v>46127.166666666664</x:v>
      </x:c>
      <x:c r="Y178" s="265" t="n">
        <x:v>14690.5</x:v>
      </x:c>
      <x:c r="Z178" s="265" t="n">
        <x:v>16490.5</x:v>
      </x:c>
      <x:c r="AA178" s="253" t="str">
        <x:f>IF(V178="No","Maturing",IF(AND(U178="Yes",Y178&gt;0),"Yes","No"))</x:f>
        <x:v>No</x:v>
      </x:c>
      <x:c r="AB178" s="253" t="str">
        <x:f>IF(W178="No","Maturing",IF(AND(U178="Yes",Z178&gt;0),"Yes","No"))</x:f>
        <x:v>No</x:v>
      </x:c>
      <x:c r="AC178" s="265" t="n">
        <x:v>9548.39</x:v>
      </x:c>
      <x:c r="AD178" s="265" t="n">
        <x:v>9368.77</x:v>
      </x:c>
      <x:c r="AE178" s="271" t="str"/>
      <x:c r="AF178" s="274" t="str">
        <x:v>Not validated - no control/holdout</x:v>
      </x:c>
      <x:c r="AG178" s="277" t="str">
        <x:v>Recovered execution only; assignment date and unclaimed-offer denominator unavailable</x:v>
      </x:c>
    </x:row>
    <x:row r="179">
      <x:c r="A179" s="252" t="str">
        <x:v>33895454</x:v>
      </x:c>
      <x:c r="B179" s="253" t="str">
        <x:v>WS1</x:v>
      </x:c>
      <x:c r="C179" s="253" t="str">
        <x:v>MB8</x:v>
      </x:c>
      <x:c r="D179" s="262" t="n">
        <x:v>46127.71787037037</x:v>
      </x:c>
      <x:c r="E179" s="259" t="n">
        <x:v>46127.166666666664</x:v>
      </x:c>
      <x:c r="F179" s="253" t="str">
        <x:v>668025</x:v>
      </x:c>
      <x:c r="G179" s="253" t="str">
        <x:v>Dvd1017</x:v>
      </x:c>
      <x:c r="H179" s="253" t="str">
        <x:v>Yes</x:v>
      </x:c>
      <x:c r="I179" s="253" t="str">
        <x:v>Christy</x:v>
      </x:c>
      <x:c r="J179" s="253" t="str">
        <x:v>Christy</x:v>
      </x:c>
      <x:c r="K179" s="259" t="n">
        <x:v>46090.166666666664</x:v>
      </x:c>
      <x:c r="L179" s="268" t="str">
        <x:f>IFERROR(VLOOKUP(I179,'Handler-Team Map'!$A$7:$C$17,2,FALSE),"")</x:f>
      </x:c>
      <x:c r="M179" s="268" t="str">
        <x:f>IFERROR(VLOOKUP(I179,'Handler-Team Map'!$A$7:$C$17,3,FALSE),"")</x:f>
      </x:c>
      <x:c r="N179" s="274" t="str">
        <x:v>FT_VM_DEP600_GET200_5X</x:v>
      </x:c>
      <x:c r="O179" s="274" t="str">
        <x:v>VIP BONUS - Deposit 600 Get 200 - 5x TO</x:v>
      </x:c>
      <x:c r="P179" s="274" t="str">
        <x:v>DepositBonus</x:v>
      </x:c>
      <x:c r="Q179" s="274" t="str">
        <x:v>Approved</x:v>
      </x:c>
      <x:c r="R179" s="265" t="n">
        <x:v>200</x:v>
      </x:c>
      <x:c r="S179" s="253" t="str">
        <x:v>Yes</x:v>
      </x:c>
      <x:c r="T179" s="265" t="n">
        <x:v>2100</x:v>
      </x:c>
      <x:c r="U179" s="253" t="str">
        <x:f>IF(AND(S179="Yes",T179=0),"Yes","No")</x:f>
        <x:v>No</x:v>
      </x:c>
      <x:c r="V179" s="253" t="str">
        <x:v>Yes</x:v>
      </x:c>
      <x:c r="W179" s="253" t="str">
        <x:v>Yes</x:v>
      </x:c>
      <x:c r="X179" s="259" t="n">
        <x:v>46127.166666666664</x:v>
      </x:c>
      <x:c r="Y179" s="265" t="n">
        <x:v>800</x:v>
      </x:c>
      <x:c r="Z179" s="265" t="n">
        <x:v>1100</x:v>
      </x:c>
      <x:c r="AA179" s="253" t="str">
        <x:f>IF(V179="No","Maturing",IF(AND(U179="Yes",Y179&gt;0),"Yes","No"))</x:f>
        <x:v>No</x:v>
      </x:c>
      <x:c r="AB179" s="253" t="str">
        <x:f>IF(W179="No","Maturing",IF(AND(U179="Yes",Z179&gt;0),"Yes","No"))</x:f>
        <x:v>No</x:v>
      </x:c>
      <x:c r="AC179" s="265" t="n">
        <x:v>-205.13</x:v>
      </x:c>
      <x:c r="AD179" s="265" t="n">
        <x:v>-1248.38</x:v>
      </x:c>
      <x:c r="AE179" s="271" t="str"/>
      <x:c r="AF179" s="274" t="str">
        <x:v>Not validated - no control/holdout</x:v>
      </x:c>
      <x:c r="AG179" s="277" t="str">
        <x:v>Recovered execution only; assignment date and unclaimed-offer denominator unavailable</x:v>
      </x:c>
    </x:row>
    <x:row r="180">
      <x:c r="A180" s="252" t="str">
        <x:v>33895900</x:v>
      </x:c>
      <x:c r="B180" s="253" t="str">
        <x:v>WS1</x:v>
      </x:c>
      <x:c r="C180" s="253" t="str">
        <x:v>MB8</x:v>
      </x:c>
      <x:c r="D180" s="262" t="n">
        <x:v>46127.74679398148</x:v>
      </x:c>
      <x:c r="E180" s="259" t="n">
        <x:v>46127.166666666664</x:v>
      </x:c>
      <x:c r="F180" s="253" t="str">
        <x:v>49986</x:v>
      </x:c>
      <x:c r="G180" s="253" t="str">
        <x:v>De1973</x:v>
      </x:c>
      <x:c r="H180" s="253" t="str">
        <x:v>Yes</x:v>
      </x:c>
      <x:c r="I180" s="253" t="str">
        <x:v>Elda</x:v>
      </x:c>
      <x:c r="J180" s="253" t="str">
        <x:v>Elda</x:v>
      </x:c>
      <x:c r="K180" s="259" t="n">
        <x:v>45659.166666666664</x:v>
      </x:c>
      <x:c r="L180" s="268" t="str">
        <x:f>IFERROR(VLOOKUP(I180,'Handler-Team Map'!$A$7:$C$17,2,FALSE),"")</x:f>
      </x:c>
      <x:c r="M180" s="268" t="str">
        <x:f>IFERROR(VLOOKUP(I180,'Handler-Team Map'!$A$7:$C$17,3,FALSE),"")</x:f>
      </x:c>
      <x:c r="N180" s="274" t="str">
        <x:v>FT_VM_DEP700_GET300_2X</x:v>
      </x:c>
      <x:c r="O180" s="274" t="str">
        <x:v>VIP BONUS - Deposit 700 Get 300 - 2x TO</x:v>
      </x:c>
      <x:c r="P180" s="274" t="str">
        <x:v>DepositBonus</x:v>
      </x:c>
      <x:c r="Q180" s="274" t="str">
        <x:v>Approved</x:v>
      </x:c>
      <x:c r="R180" s="265" t="n">
        <x:v>300</x:v>
      </x:c>
      <x:c r="S180" s="253" t="str">
        <x:v>Yes</x:v>
      </x:c>
      <x:c r="T180" s="265" t="n">
        <x:v>281256</x:v>
      </x:c>
      <x:c r="U180" s="253" t="str">
        <x:f>IF(AND(S180="Yes",T180=0),"Yes","No")</x:f>
        <x:v>No</x:v>
      </x:c>
      <x:c r="V180" s="253" t="str">
        <x:v>Yes</x:v>
      </x:c>
      <x:c r="W180" s="253" t="str">
        <x:v>Yes</x:v>
      </x:c>
      <x:c r="X180" s="259" t="n">
        <x:v>46127.166666666664</x:v>
      </x:c>
      <x:c r="Y180" s="265" t="n">
        <x:v>13550</x:v>
      </x:c>
      <x:c r="Z180" s="265" t="n">
        <x:v>33310</x:v>
      </x:c>
      <x:c r="AA180" s="253" t="str">
        <x:f>IF(V180="No","Maturing",IF(AND(U180="Yes",Y180&gt;0),"Yes","No"))</x:f>
        <x:v>No</x:v>
      </x:c>
      <x:c r="AB180" s="253" t="str">
        <x:f>IF(W180="No","Maturing",IF(AND(U180="Yes",Z180&gt;0),"Yes","No"))</x:f>
        <x:v>No</x:v>
      </x:c>
      <x:c r="AC180" s="265" t="n">
        <x:v>-4143.41</x:v>
      </x:c>
      <x:c r="AD180" s="265" t="n">
        <x:v>-5563.01</x:v>
      </x:c>
      <x:c r="AE180" s="271" t="str"/>
      <x:c r="AF180" s="274" t="str">
        <x:v>Not validated - no control/holdout</x:v>
      </x:c>
      <x:c r="AG180" s="277" t="str">
        <x:v>Recovered execution only; assignment date and unclaimed-offer denominator unavailable</x:v>
      </x:c>
    </x:row>
    <x:row r="181">
      <x:c r="A181" s="252" t="str">
        <x:v>33896018</x:v>
      </x:c>
      <x:c r="B181" s="253" t="str">
        <x:v>WS1</x:v>
      </x:c>
      <x:c r="C181" s="253" t="str">
        <x:v>MB8</x:v>
      </x:c>
      <x:c r="D181" s="262" t="n">
        <x:v>46127.75570601852</x:v>
      </x:c>
      <x:c r="E181" s="259" t="n">
        <x:v>46127.166666666664</x:v>
      </x:c>
      <x:c r="F181" s="253" t="str">
        <x:v>647443</x:v>
      </x:c>
      <x:c r="G181" s="253" t="str">
        <x:v>immd1314</x:v>
      </x:c>
      <x:c r="H181" s="253" t="str">
        <x:v>Yes</x:v>
      </x:c>
      <x:c r="I181" s="253" t="str">
        <x:v>Claire</x:v>
      </x:c>
      <x:c r="J181" s="253" t="str">
        <x:v>Claire</x:v>
      </x:c>
      <x:c r="K181" s="259" t="n">
        <x:v>45659.166666666664</x:v>
      </x:c>
      <x:c r="L181" s="268" t="str">
        <x:f>IFERROR(VLOOKUP(I181,'Handler-Team Map'!$A$7:$C$17,2,FALSE),"")</x:f>
      </x:c>
      <x:c r="M181" s="268" t="str">
        <x:f>IFERROR(VLOOKUP(I181,'Handler-Team Map'!$A$7:$C$17,3,FALSE),"")</x:f>
      </x:c>
      <x:c r="N181" s="274" t="str">
        <x:v>FT_VM_DEP1000_GET700_2X</x:v>
      </x:c>
      <x:c r="O181" s="274" t="str">
        <x:v>VIP BONUS - Deposit 1000 Get 700 - 2x TO</x:v>
      </x:c>
      <x:c r="P181" s="274" t="str">
        <x:v>DepositBonus</x:v>
      </x:c>
      <x:c r="Q181" s="274" t="str">
        <x:v>Approved</x:v>
      </x:c>
      <x:c r="R181" s="265" t="n">
        <x:v>700</x:v>
      </x:c>
      <x:c r="S181" s="253" t="str">
        <x:v>Yes</x:v>
      </x:c>
      <x:c r="T181" s="265" t="n">
        <x:v>114545</x:v>
      </x:c>
      <x:c r="U181" s="253" t="str">
        <x:f>IF(AND(S181="Yes",T181=0),"Yes","No")</x:f>
        <x:v>No</x:v>
      </x:c>
      <x:c r="V181" s="253" t="str">
        <x:v>Yes</x:v>
      </x:c>
      <x:c r="W181" s="253" t="str">
        <x:v>Yes</x:v>
      </x:c>
      <x:c r="X181" s="259" t="n">
        <x:v>46127.166666666664</x:v>
      </x:c>
      <x:c r="Y181" s="265" t="n">
        <x:v>6000</x:v>
      </x:c>
      <x:c r="Z181" s="265" t="n">
        <x:v>6000</x:v>
      </x:c>
      <x:c r="AA181" s="253" t="str">
        <x:f>IF(V181="No","Maturing",IF(AND(U181="Yes",Y181&gt;0),"Yes","No"))</x:f>
        <x:v>No</x:v>
      </x:c>
      <x:c r="AB181" s="253" t="str">
        <x:f>IF(W181="No","Maturing",IF(AND(U181="Yes",Z181&gt;0),"Yes","No"))</x:f>
        <x:v>No</x:v>
      </x:c>
      <x:c r="AC181" s="265" t="n">
        <x:v>8687.75</x:v>
      </x:c>
      <x:c r="AD181" s="265" t="n">
        <x:v>8687.75</x:v>
      </x:c>
      <x:c r="AE181" s="271" t="str"/>
      <x:c r="AF181" s="274" t="str">
        <x:v>Not validated - no control/holdout</x:v>
      </x:c>
      <x:c r="AG181" s="277" t="str">
        <x:v>Recovered execution only; assignment date and unclaimed-offer denominator unavailable</x:v>
      </x:c>
    </x:row>
    <x:row r="182">
      <x:c r="A182" s="252" t="str">
        <x:v>33896035</x:v>
      </x:c>
      <x:c r="B182" s="253" t="str">
        <x:v>WS1</x:v>
      </x:c>
      <x:c r="C182" s="253" t="str">
        <x:v>MB8</x:v>
      </x:c>
      <x:c r="D182" s="262" t="n">
        <x:v>46127.7575462963</x:v>
      </x:c>
      <x:c r="E182" s="259" t="n">
        <x:v>46127.166666666664</x:v>
      </x:c>
      <x:c r="F182" s="253" t="str">
        <x:v>195813</x:v>
      </x:c>
      <x:c r="G182" s="253" t="str">
        <x:v>Veq5774</x:v>
      </x:c>
      <x:c r="H182" s="253" t="str">
        <x:v>Yes</x:v>
      </x:c>
      <x:c r="I182" s="253" t="str">
        <x:v>Elda</x:v>
      </x:c>
      <x:c r="J182" s="253" t="str">
        <x:v>Elda</x:v>
      </x:c>
      <x:c r="K182" s="259" t="n">
        <x:v>45659.166666666664</x:v>
      </x:c>
      <x:c r="L182" s="268" t="str">
        <x:f>IFERROR(VLOOKUP(I182,'Handler-Team Map'!$A$7:$C$17,2,FALSE),"")</x:f>
      </x:c>
      <x:c r="M182" s="268" t="str">
        <x:f>IFERROR(VLOOKUP(I182,'Handler-Team Map'!$A$7:$C$17,3,FALSE),"")</x:f>
      </x:c>
      <x:c r="N182" s="274" t="str">
        <x:v>FT_VM_DEP1000_GET1000_1X</x:v>
      </x:c>
      <x:c r="O182" s="274" t="str">
        <x:v>VIP BONUS - Deposit 1000 Get 1000 - 1x TO</x:v>
      </x:c>
      <x:c r="P182" s="274" t="str">
        <x:v>DepositBonus</x:v>
      </x:c>
      <x:c r="Q182" s="274" t="str">
        <x:v>Approved</x:v>
      </x:c>
      <x:c r="R182" s="265" t="n">
        <x:v>1000</x:v>
      </x:c>
      <x:c r="S182" s="253" t="str">
        <x:v>Yes</x:v>
      </x:c>
      <x:c r="T182" s="265" t="n">
        <x:v>318500</x:v>
      </x:c>
      <x:c r="U182" s="253" t="str">
        <x:f>IF(AND(S182="Yes",T182=0),"Yes","No")</x:f>
        <x:v>No</x:v>
      </x:c>
      <x:c r="V182" s="253" t="str">
        <x:v>Yes</x:v>
      </x:c>
      <x:c r="W182" s="253" t="str">
        <x:v>Yes</x:v>
      </x:c>
      <x:c r="X182" s="259" t="n">
        <x:v>46127.166666666664</x:v>
      </x:c>
      <x:c r="Y182" s="265" t="n">
        <x:v>58538</x:v>
      </x:c>
      <x:c r="Z182" s="265" t="n">
        <x:v>90516</x:v>
      </x:c>
      <x:c r="AA182" s="253" t="str">
        <x:f>IF(V182="No","Maturing",IF(AND(U182="Yes",Y182&gt;0),"Yes","No"))</x:f>
        <x:v>No</x:v>
      </x:c>
      <x:c r="AB182" s="253" t="str">
        <x:f>IF(W182="No","Maturing",IF(AND(U182="Yes",Z182&gt;0),"Yes","No"))</x:f>
        <x:v>No</x:v>
      </x:c>
      <x:c r="AC182" s="265" t="n">
        <x:v>58477.64</x:v>
      </x:c>
      <x:c r="AD182" s="265" t="n">
        <x:v>90361.45</x:v>
      </x:c>
      <x:c r="AE182" s="271" t="str"/>
      <x:c r="AF182" s="274" t="str">
        <x:v>Not validated - no control/holdout</x:v>
      </x:c>
      <x:c r="AG182" s="277" t="str">
        <x:v>Recovered execution only; assignment date and unclaimed-offer denominator unavailable</x:v>
      </x:c>
    </x:row>
    <x:row r="183">
      <x:c r="A183" s="252" t="str">
        <x:v>33896049</x:v>
      </x:c>
      <x:c r="B183" s="253" t="str">
        <x:v>WS1</x:v>
      </x:c>
      <x:c r="C183" s="253" t="str">
        <x:v>MB8</x:v>
      </x:c>
      <x:c r="D183" s="262" t="n">
        <x:v>46127.75811342592</x:v>
      </x:c>
      <x:c r="E183" s="259" t="n">
        <x:v>46127.166666666664</x:v>
      </x:c>
      <x:c r="F183" s="253" t="str">
        <x:v>999210</x:v>
      </x:c>
      <x:c r="G183" s="253" t="str">
        <x:v>flosueper</x:v>
      </x:c>
      <x:c r="H183" s="253" t="str">
        <x:v>Yes</x:v>
      </x:c>
      <x:c r="I183" s="253" t="str">
        <x:v>Claire</x:v>
      </x:c>
      <x:c r="J183" s="253" t="str">
        <x:v>Claire</x:v>
      </x:c>
      <x:c r="K183" s="259" t="n">
        <x:v>45755.166666666664</x:v>
      </x:c>
      <x:c r="L183" s="268" t="str">
        <x:f>IFERROR(VLOOKUP(I183,'Handler-Team Map'!$A$7:$C$17,2,FALSE),"")</x:f>
      </x:c>
      <x:c r="M183" s="268" t="str">
        <x:f>IFERROR(VLOOKUP(I183,'Handler-Team Map'!$A$7:$C$17,3,FALSE),"")</x:f>
      </x:c>
      <x:c r="N183" s="274" t="str">
        <x:v>FT_VM_DEP600_GET200_2X</x:v>
      </x:c>
      <x:c r="O183" s="274" t="str">
        <x:v>VIP BONUS - Deposit 600 Get 200 - 2x TO</x:v>
      </x:c>
      <x:c r="P183" s="274" t="str">
        <x:v>DepositBonus</x:v>
      </x:c>
      <x:c r="Q183" s="274" t="str">
        <x:v>Approved</x:v>
      </x:c>
      <x:c r="R183" s="265" t="n">
        <x:v>200</x:v>
      </x:c>
      <x:c r="S183" s="253" t="str">
        <x:v>Yes</x:v>
      </x:c>
      <x:c r="T183" s="265" t="n">
        <x:v>36070</x:v>
      </x:c>
      <x:c r="U183" s="253" t="str">
        <x:f>IF(AND(S183="Yes",T183=0),"Yes","No")</x:f>
        <x:v>No</x:v>
      </x:c>
      <x:c r="V183" s="253" t="str">
        <x:v>Yes</x:v>
      </x:c>
      <x:c r="W183" s="253" t="str">
        <x:v>Yes</x:v>
      </x:c>
      <x:c r="X183" s="259" t="n">
        <x:v>46127.166666666664</x:v>
      </x:c>
      <x:c r="Y183" s="265" t="n">
        <x:v>8650</x:v>
      </x:c>
      <x:c r="Z183" s="265" t="n">
        <x:v>24800</x:v>
      </x:c>
      <x:c r="AA183" s="253" t="str">
        <x:f>IF(V183="No","Maturing",IF(AND(U183="Yes",Y183&gt;0),"Yes","No"))</x:f>
        <x:v>No</x:v>
      </x:c>
      <x:c r="AB183" s="253" t="str">
        <x:f>IF(W183="No","Maturing",IF(AND(U183="Yes",Z183&gt;0),"Yes","No"))</x:f>
        <x:v>No</x:v>
      </x:c>
      <x:c r="AC183" s="265" t="n">
        <x:v>576.81</x:v>
      </x:c>
      <x:c r="AD183" s="265" t="n">
        <x:v>-11798.88</x:v>
      </x:c>
      <x:c r="AE183" s="271" t="str"/>
      <x:c r="AF183" s="274" t="str">
        <x:v>Not validated - no control/holdout</x:v>
      </x:c>
      <x:c r="AG183" s="277" t="str">
        <x:v>Recovered execution only; assignment date and unclaimed-offer denominator unavailable</x:v>
      </x:c>
    </x:row>
    <x:row r="184">
      <x:c r="A184" s="252" t="str">
        <x:v>33897410</x:v>
      </x:c>
      <x:c r="B184" s="253" t="str">
        <x:v>WS1</x:v>
      </x:c>
      <x:c r="C184" s="253" t="str">
        <x:v>MB8</x:v>
      </x:c>
      <x:c r="D184" s="262" t="n">
        <x:v>46127.856412037036</x:v>
      </x:c>
      <x:c r="E184" s="259" t="n">
        <x:v>46127.166666666664</x:v>
      </x:c>
      <x:c r="F184" s="253" t="str">
        <x:v>202612</x:v>
      </x:c>
      <x:c r="G184" s="253" t="str">
        <x:v>KAYARAYA2769</x:v>
      </x:c>
      <x:c r="H184" s="253" t="str">
        <x:v>Yes</x:v>
      </x:c>
      <x:c r="I184" s="253" t="str">
        <x:v>Tammy</x:v>
      </x:c>
      <x:c r="J184" s="253" t="str">
        <x:v>Tammy</x:v>
      </x:c>
      <x:c r="K184" s="259" t="n">
        <x:v>45951.166666666664</x:v>
      </x:c>
      <x:c r="L184" s="268" t="str">
        <x:f>IFERROR(VLOOKUP(I184,'Handler-Team Map'!$A$7:$C$17,2,FALSE),"")</x:f>
      </x:c>
      <x:c r="M184" s="268" t="str">
        <x:f>IFERROR(VLOOKUP(I184,'Handler-Team Map'!$A$7:$C$17,3,FALSE),"")</x:f>
      </x:c>
      <x:c r="N184" s="274" t="str">
        <x:v>FT_VM_DEP300_GET100_5X</x:v>
      </x:c>
      <x:c r="O184" s="274" t="str">
        <x:v>VIP BONUS - Deposit 300 Get 100 - 5x TO</x:v>
      </x:c>
      <x:c r="P184" s="274" t="str">
        <x:v>DepositBonus</x:v>
      </x:c>
      <x:c r="Q184" s="274" t="str">
        <x:v>Approved</x:v>
      </x:c>
      <x:c r="R184" s="265" t="n">
        <x:v>100</x:v>
      </x:c>
      <x:c r="S184" s="253" t="str">
        <x:v>Yes</x:v>
      </x:c>
      <x:c r="T184" s="265" t="n">
        <x:v>2601</x:v>
      </x:c>
      <x:c r="U184" s="253" t="str">
        <x:f>IF(AND(S184="Yes",T184=0),"Yes","No")</x:f>
        <x:v>No</x:v>
      </x:c>
      <x:c r="V184" s="253" t="str">
        <x:v>Yes</x:v>
      </x:c>
      <x:c r="W184" s="253" t="str">
        <x:v>Yes</x:v>
      </x:c>
      <x:c r="X184" s="259" t="n">
        <x:v>46127.166666666664</x:v>
      </x:c>
      <x:c r="Y184" s="265" t="n">
        <x:v>1122</x:v>
      </x:c>
      <x:c r="Z184" s="265" t="n">
        <x:v>1122</x:v>
      </x:c>
      <x:c r="AA184" s="253" t="str">
        <x:f>IF(V184="No","Maturing",IF(AND(U184="Yes",Y184&gt;0),"Yes","No"))</x:f>
        <x:v>No</x:v>
      </x:c>
      <x:c r="AB184" s="253" t="str">
        <x:f>IF(W184="No","Maturing",IF(AND(U184="Yes",Z184&gt;0),"Yes","No"))</x:f>
        <x:v>No</x:v>
      </x:c>
      <x:c r="AC184" s="265" t="n">
        <x:v>1122</x:v>
      </x:c>
      <x:c r="AD184" s="265" t="n">
        <x:v>1122</x:v>
      </x:c>
      <x:c r="AE184" s="271" t="str"/>
      <x:c r="AF184" s="274" t="str">
        <x:v>Not validated - no control/holdout</x:v>
      </x:c>
      <x:c r="AG184" s="277" t="str">
        <x:v>Recovered execution only; assignment date and unclaimed-offer denominator unavailable</x:v>
      </x:c>
    </x:row>
    <x:row r="185">
      <x:c r="A185" s="252" t="str">
        <x:v>33899489</x:v>
      </x:c>
      <x:c r="B185" s="253" t="str">
        <x:v>WS1</x:v>
      </x:c>
      <x:c r="C185" s="253" t="str">
        <x:v>MB8</x:v>
      </x:c>
      <x:c r="D185" s="262" t="n">
        <x:v>46127.97038194445</x:v>
      </x:c>
      <x:c r="E185" s="259" t="n">
        <x:v>46127.166666666664</x:v>
      </x:c>
      <x:c r="F185" s="253" t="str">
        <x:v>185699</x:v>
      </x:c>
      <x:c r="G185" s="253" t="str">
        <x:v>Andy089</x:v>
      </x:c>
      <x:c r="H185" s="253" t="str">
        <x:v>Yes</x:v>
      </x:c>
      <x:c r="I185" s="253" t="str">
        <x:v>zhen</x:v>
      </x:c>
      <x:c r="J185" s="253" t="str">
        <x:v>zhen</x:v>
      </x:c>
      <x:c r="K185" s="259" t="n">
        <x:v>46090.166666666664</x:v>
      </x:c>
      <x:c r="L185" s="268" t="str">
        <x:f>IFERROR(VLOOKUP(I185,'Handler-Team Map'!$A$7:$C$17,2,FALSE),"")</x:f>
      </x:c>
      <x:c r="M185" s="268" t="str">
        <x:f>IFERROR(VLOOKUP(I185,'Handler-Team Map'!$A$7:$C$17,3,FALSE),"")</x:f>
      </x:c>
      <x:c r="N185" s="274" t="str">
        <x:v>FT_VM_DEP1000_GET500_5X</x:v>
      </x:c>
      <x:c r="O185" s="274" t="str">
        <x:v>VIP BONUS - Deposit 1000 Get 500 - 5x TO</x:v>
      </x:c>
      <x:c r="P185" s="274" t="str">
        <x:v>DepositBonus</x:v>
      </x:c>
      <x:c r="Q185" s="274" t="str">
        <x:v>Approved</x:v>
      </x:c>
      <x:c r="R185" s="265" t="n">
        <x:v>500</x:v>
      </x:c>
      <x:c r="S185" s="253" t="str">
        <x:v>Yes</x:v>
      </x:c>
      <x:c r="T185" s="265" t="n">
        <x:v>6300</x:v>
      </x:c>
      <x:c r="U185" s="253" t="str">
        <x:f>IF(AND(S185="Yes",T185=0),"Yes","No")</x:f>
        <x:v>No</x:v>
      </x:c>
      <x:c r="V185" s="253" t="str">
        <x:v>Yes</x:v>
      </x:c>
      <x:c r="W185" s="253" t="str">
        <x:v>Yes</x:v>
      </x:c>
      <x:c r="X185" s="259" t="n">
        <x:v>46127.166666666664</x:v>
      </x:c>
      <x:c r="Y185" s="265" t="n">
        <x:v>7300</x:v>
      </x:c>
      <x:c r="Z185" s="265" t="n">
        <x:v>7300</x:v>
      </x:c>
      <x:c r="AA185" s="253" t="str">
        <x:f>IF(V185="No","Maturing",IF(AND(U185="Yes",Y185&gt;0),"Yes","No"))</x:f>
        <x:v>No</x:v>
      </x:c>
      <x:c r="AB185" s="253" t="str">
        <x:f>IF(W185="No","Maturing",IF(AND(U185="Yes",Z185&gt;0),"Yes","No"))</x:f>
        <x:v>No</x:v>
      </x:c>
      <x:c r="AC185" s="265" t="n">
        <x:v>4479.81</x:v>
      </x:c>
      <x:c r="AD185" s="265" t="n">
        <x:v>4479.49</x:v>
      </x:c>
      <x:c r="AE185" s="271" t="str"/>
      <x:c r="AF185" s="274" t="str">
        <x:v>Not validated - no control/holdout</x:v>
      </x:c>
      <x:c r="AG185" s="277" t="str">
        <x:v>Recovered execution only; assignment date and unclaimed-offer denominator unavailable</x:v>
      </x:c>
    </x:row>
    <x:row r="186">
      <x:c r="A186" s="252" t="str">
        <x:v>33900956</x:v>
      </x:c>
      <x:c r="B186" s="253" t="str">
        <x:v>WS1</x:v>
      </x:c>
      <x:c r="C186" s="253" t="str">
        <x:v>MB8</x:v>
      </x:c>
      <x:c r="D186" s="262" t="n">
        <x:v>46128.04288194444</x:v>
      </x:c>
      <x:c r="E186" s="259" t="n">
        <x:v>46128.166666666664</x:v>
      </x:c>
      <x:c r="F186" s="253" t="str">
        <x:v>878152</x:v>
      </x:c>
      <x:c r="G186" s="253" t="str">
        <x:v>Royz888</x:v>
      </x:c>
      <x:c r="H186" s="253" t="str">
        <x:v>Yes</x:v>
      </x:c>
      <x:c r="I186" s="253" t="str"/>
      <x:c r="J186" s="253" t="str"/>
      <x:c r="K186" s="259"/>
      <x:c r="L186" s="268" t="str">
        <x:f>IFERROR(VLOOKUP(I186,'Handler-Team Map'!$A$7:$C$17,2,FALSE),"")</x:f>
      </x:c>
      <x:c r="M186" s="268" t="str">
        <x:f>IFERROR(VLOOKUP(I186,'Handler-Team Map'!$A$7:$C$17,3,FALSE),"")</x:f>
      </x:c>
      <x:c r="N186" s="274" t="str">
        <x:v>FT_VM_DEP800_GET400_2X</x:v>
      </x:c>
      <x:c r="O186" s="274" t="str">
        <x:v>VIP BONUS - Deposit 800 Get 400 - 2x TO</x:v>
      </x:c>
      <x:c r="P186" s="274" t="str">
        <x:v>DepositBonus</x:v>
      </x:c>
      <x:c r="Q186" s="274" t="str">
        <x:v>Approved</x:v>
      </x:c>
      <x:c r="R186" s="265" t="n">
        <x:v>400</x:v>
      </x:c>
      <x:c r="S186" s="253" t="str">
        <x:v>Yes</x:v>
      </x:c>
      <x:c r="T186" s="265" t="n">
        <x:v>2200</x:v>
      </x:c>
      <x:c r="U186" s="253" t="str">
        <x:f>IF(AND(S186="Yes",T186=0),"Yes","No")</x:f>
        <x:v>No</x:v>
      </x:c>
      <x:c r="V186" s="253" t="str">
        <x:v>Yes</x:v>
      </x:c>
      <x:c r="W186" s="253" t="str">
        <x:v>Yes</x:v>
      </x:c>
      <x:c r="X186" s="259" t="n">
        <x:v>46128.166666666664</x:v>
      </x:c>
      <x:c r="Y186" s="265" t="n">
        <x:v>1800</x:v>
      </x:c>
      <x:c r="Z186" s="265" t="n">
        <x:v>1800</x:v>
      </x:c>
      <x:c r="AA186" s="253" t="str">
        <x:f>IF(V186="No","Maturing",IF(AND(U186="Yes",Y186&gt;0),"Yes","No"))</x:f>
        <x:v>No</x:v>
      </x:c>
      <x:c r="AB186" s="253" t="str">
        <x:f>IF(W186="No","Maturing",IF(AND(U186="Yes",Z186&gt;0),"Yes","No"))</x:f>
        <x:v>No</x:v>
      </x:c>
      <x:c r="AC186" s="265" t="n">
        <x:v>1799.03</x:v>
      </x:c>
      <x:c r="AD186" s="265" t="n">
        <x:v>1799.03</x:v>
      </x:c>
      <x:c r="AE186" s="271" t="str"/>
      <x:c r="AF186" s="274" t="str">
        <x:v>Not validated - no control/holdout</x:v>
      </x:c>
      <x:c r="AG186" s="277" t="str">
        <x:v>Recovered execution only; assignment date and unclaimed-offer denominator unavailable</x:v>
      </x:c>
    </x:row>
    <x:row r="187">
      <x:c r="A187" s="252" t="str">
        <x:v>33902477</x:v>
      </x:c>
      <x:c r="B187" s="253" t="str">
        <x:v>WS1</x:v>
      </x:c>
      <x:c r="C187" s="253" t="str">
        <x:v>MB8</x:v>
      </x:c>
      <x:c r="D187" s="262" t="n">
        <x:v>46128.173483796294</x:v>
      </x:c>
      <x:c r="E187" s="259" t="n">
        <x:v>46128.166666666664</x:v>
      </x:c>
      <x:c r="F187" s="253" t="str">
        <x:v>476126</x:v>
      </x:c>
      <x:c r="G187" s="253" t="str">
        <x:v>Mahendraj</x:v>
      </x:c>
      <x:c r="H187" s="253" t="str">
        <x:v>Yes</x:v>
      </x:c>
      <x:c r="I187" s="253" t="str">
        <x:v>Sheena</x:v>
      </x:c>
      <x:c r="J187" s="253" t="str">
        <x:v>Sheena</x:v>
      </x:c>
      <x:c r="K187" s="259" t="n">
        <x:v>46090.166666666664</x:v>
      </x:c>
      <x:c r="L187" s="268" t="str">
        <x:f>IFERROR(VLOOKUP(I187,'Handler-Team Map'!$A$7:$C$17,2,FALSE),"")</x:f>
      </x:c>
      <x:c r="M187" s="268" t="str">
        <x:f>IFERROR(VLOOKUP(I187,'Handler-Team Map'!$A$7:$C$17,3,FALSE),"")</x:f>
      </x:c>
      <x:c r="N187" s="274" t="str">
        <x:v>FT_VM_DEP300_GET100_5X</x:v>
      </x:c>
      <x:c r="O187" s="274" t="str">
        <x:v>VIP BONUS - Deposit 300 Get 100 - 5x TO</x:v>
      </x:c>
      <x:c r="P187" s="274" t="str">
        <x:v>DepositBonus</x:v>
      </x:c>
      <x:c r="Q187" s="274" t="str">
        <x:v>Approved</x:v>
      </x:c>
      <x:c r="R187" s="265" t="n">
        <x:v>100</x:v>
      </x:c>
      <x:c r="S187" s="253" t="str">
        <x:v>Yes</x:v>
      </x:c>
      <x:c r="T187" s="265" t="n">
        <x:v>75910</x:v>
      </x:c>
      <x:c r="U187" s="253" t="str">
        <x:f>IF(AND(S187="Yes",T187=0),"Yes","No")</x:f>
        <x:v>No</x:v>
      </x:c>
      <x:c r="V187" s="253" t="str">
        <x:v>Yes</x:v>
      </x:c>
      <x:c r="W187" s="253" t="str">
        <x:v>Yes</x:v>
      </x:c>
      <x:c r="X187" s="259" t="n">
        <x:v>46128.166666666664</x:v>
      </x:c>
      <x:c r="Y187" s="265" t="n">
        <x:v>1100</x:v>
      </x:c>
      <x:c r="Z187" s="265" t="n">
        <x:v>2100</x:v>
      </x:c>
      <x:c r="AA187" s="253" t="str">
        <x:f>IF(V187="No","Maturing",IF(AND(U187="Yes",Y187&gt;0),"Yes","No"))</x:f>
        <x:v>No</x:v>
      </x:c>
      <x:c r="AB187" s="253" t="str">
        <x:f>IF(W187="No","Maturing",IF(AND(U187="Yes",Z187&gt;0),"Yes","No"))</x:f>
        <x:v>No</x:v>
      </x:c>
      <x:c r="AC187" s="265" t="n">
        <x:v>499.99</x:v>
      </x:c>
      <x:c r="AD187" s="265" t="n">
        <x:v>-1000.11</x:v>
      </x:c>
      <x:c r="AE187" s="271" t="str"/>
      <x:c r="AF187" s="274" t="str">
        <x:v>Not validated - no control/holdout</x:v>
      </x:c>
      <x:c r="AG187" s="277" t="str">
        <x:v>Recovered execution only; assignment date and unclaimed-offer denominator unavailable</x:v>
      </x:c>
    </x:row>
    <x:row r="188">
      <x:c r="A188" s="252" t="str">
        <x:v>33902725</x:v>
      </x:c>
      <x:c r="B188" s="253" t="str">
        <x:v>WS1</x:v>
      </x:c>
      <x:c r="C188" s="253" t="str">
        <x:v>MB8</x:v>
      </x:c>
      <x:c r="D188" s="262" t="n">
        <x:v>46128.21376157407</x:v>
      </x:c>
      <x:c r="E188" s="259" t="n">
        <x:v>46128.166666666664</x:v>
      </x:c>
      <x:c r="F188" s="253" t="str">
        <x:v>88655</x:v>
      </x:c>
      <x:c r="G188" s="253" t="str">
        <x:v>Jefflicia44</x:v>
      </x:c>
      <x:c r="H188" s="253" t="str">
        <x:v>Yes</x:v>
      </x:c>
      <x:c r="I188" s="253" t="str">
        <x:v>Tammy</x:v>
      </x:c>
      <x:c r="J188" s="253" t="str">
        <x:v>Tammy</x:v>
      </x:c>
      <x:c r="K188" s="259" t="n">
        <x:v>45951.166666666664</x:v>
      </x:c>
      <x:c r="L188" s="268" t="str">
        <x:f>IFERROR(VLOOKUP(I188,'Handler-Team Map'!$A$7:$C$17,2,FALSE),"")</x:f>
      </x:c>
      <x:c r="M188" s="268" t="str">
        <x:f>IFERROR(VLOOKUP(I188,'Handler-Team Map'!$A$7:$C$17,3,FALSE),"")</x:f>
      </x:c>
      <x:c r="N188" s="274" t="str">
        <x:v>FT_VM_DEP1000_GET900_1X</x:v>
      </x:c>
      <x:c r="O188" s="274" t="str">
        <x:v>VIP BONUS - Deposit 1000 Get 900 - 1x TO</x:v>
      </x:c>
      <x:c r="P188" s="274" t="str">
        <x:v>DepositBonus</x:v>
      </x:c>
      <x:c r="Q188" s="274" t="str">
        <x:v>Approved</x:v>
      </x:c>
      <x:c r="R188" s="265" t="n">
        <x:v>900</x:v>
      </x:c>
      <x:c r="S188" s="253" t="str">
        <x:v>Yes</x:v>
      </x:c>
      <x:c r="T188" s="265" t="n">
        <x:v>6929</x:v>
      </x:c>
      <x:c r="U188" s="253" t="str">
        <x:f>IF(AND(S188="Yes",T188=0),"Yes","No")</x:f>
        <x:v>No</x:v>
      </x:c>
      <x:c r="V188" s="253" t="str">
        <x:v>Yes</x:v>
      </x:c>
      <x:c r="W188" s="253" t="str">
        <x:v>Yes</x:v>
      </x:c>
      <x:c r="X188" s="259" t="n">
        <x:v>46128.166666666664</x:v>
      </x:c>
      <x:c r="Y188" s="265" t="n">
        <x:v>9923</x:v>
      </x:c>
      <x:c r="Z188" s="265" t="n">
        <x:v>9923</x:v>
      </x:c>
      <x:c r="AA188" s="253" t="str">
        <x:f>IF(V188="No","Maturing",IF(AND(U188="Yes",Y188&gt;0),"Yes","No"))</x:f>
        <x:v>No</x:v>
      </x:c>
      <x:c r="AB188" s="253" t="str">
        <x:f>IF(W188="No","Maturing",IF(AND(U188="Yes",Z188&gt;0),"Yes","No"))</x:f>
        <x:v>No</x:v>
      </x:c>
      <x:c r="AC188" s="265" t="n">
        <x:v>723.3</x:v>
      </x:c>
      <x:c r="AD188" s="265" t="n">
        <x:v>736.61</x:v>
      </x:c>
      <x:c r="AE188" s="271" t="str"/>
      <x:c r="AF188" s="274" t="str">
        <x:v>Not validated - no control/holdout</x:v>
      </x:c>
      <x:c r="AG188" s="277" t="str">
        <x:v>Recovered execution only; assignment date and unclaimed-offer denominator unavailable</x:v>
      </x:c>
    </x:row>
    <x:row r="189">
      <x:c r="A189" s="252" t="str">
        <x:v>33902781</x:v>
      </x:c>
      <x:c r="B189" s="253" t="str">
        <x:v>WS1</x:v>
      </x:c>
      <x:c r="C189" s="253" t="str">
        <x:v>MB8</x:v>
      </x:c>
      <x:c r="D189" s="262" t="n">
        <x:v>46128.22577546296</x:v>
      </x:c>
      <x:c r="E189" s="259" t="n">
        <x:v>46128.166666666664</x:v>
      </x:c>
      <x:c r="F189" s="253" t="str">
        <x:v>856604</x:v>
      </x:c>
      <x:c r="G189" s="253" t="str">
        <x:v>hwings79</x:v>
      </x:c>
      <x:c r="H189" s="253" t="str">
        <x:v>Yes</x:v>
      </x:c>
      <x:c r="I189" s="253" t="str">
        <x:v>Claire</x:v>
      </x:c>
      <x:c r="J189" s="253" t="str">
        <x:v>Claire</x:v>
      </x:c>
      <x:c r="K189" s="259" t="n">
        <x:v>45887.166666666664</x:v>
      </x:c>
      <x:c r="L189" s="268" t="str">
        <x:f>IFERROR(VLOOKUP(I189,'Handler-Team Map'!$A$7:$C$17,2,FALSE),"")</x:f>
      </x:c>
      <x:c r="M189" s="268" t="str">
        <x:f>IFERROR(VLOOKUP(I189,'Handler-Team Map'!$A$7:$C$17,3,FALSE),"")</x:f>
      </x:c>
      <x:c r="N189" s="274" t="str">
        <x:v>FT_VM_DEP1000_GET500_2X</x:v>
      </x:c>
      <x:c r="O189" s="274" t="str">
        <x:v>VIP BONUS - Deposit 1000 Get 500 - 2x TO</x:v>
      </x:c>
      <x:c r="P189" s="274" t="str">
        <x:v>DepositBonus</x:v>
      </x:c>
      <x:c r="Q189" s="274" t="str">
        <x:v>Approved</x:v>
      </x:c>
      <x:c r="R189" s="265" t="n">
        <x:v>500</x:v>
      </x:c>
      <x:c r="S189" s="253" t="str">
        <x:v>Yes</x:v>
      </x:c>
      <x:c r="T189" s="265" t="n">
        <x:v>40850</x:v>
      </x:c>
      <x:c r="U189" s="253" t="str">
        <x:f>IF(AND(S189="Yes",T189=0),"Yes","No")</x:f>
        <x:v>No</x:v>
      </x:c>
      <x:c r="V189" s="253" t="str">
        <x:v>Yes</x:v>
      </x:c>
      <x:c r="W189" s="253" t="str">
        <x:v>Yes</x:v>
      </x:c>
      <x:c r="X189" s="259" t="n">
        <x:v>46128.166666666664</x:v>
      </x:c>
      <x:c r="Y189" s="265" t="n">
        <x:v>4390</x:v>
      </x:c>
      <x:c r="Z189" s="265" t="n">
        <x:v>17590</x:v>
      </x:c>
      <x:c r="AA189" s="253" t="str">
        <x:f>IF(V189="No","Maturing",IF(AND(U189="Yes",Y189&gt;0),"Yes","No"))</x:f>
        <x:v>No</x:v>
      </x:c>
      <x:c r="AB189" s="253" t="str">
        <x:f>IF(W189="No","Maturing",IF(AND(U189="Yes",Z189&gt;0),"Yes","No"))</x:f>
        <x:v>No</x:v>
      </x:c>
      <x:c r="AC189" s="265" t="n">
        <x:v>432.56</x:v>
      </x:c>
      <x:c r="AD189" s="265" t="n">
        <x:v>11886.77</x:v>
      </x:c>
      <x:c r="AE189" s="271" t="str"/>
      <x:c r="AF189" s="274" t="str">
        <x:v>Not validated - no control/holdout</x:v>
      </x:c>
      <x:c r="AG189" s="277" t="str">
        <x:v>Recovered execution only; assignment date and unclaimed-offer denominator unavailable</x:v>
      </x:c>
    </x:row>
    <x:row r="190">
      <x:c r="A190" s="252" t="str">
        <x:v>33903048</x:v>
      </x:c>
      <x:c r="B190" s="253" t="str">
        <x:v>WS1</x:v>
      </x:c>
      <x:c r="C190" s="253" t="str">
        <x:v>MB8</x:v>
      </x:c>
      <x:c r="D190" s="262" t="n">
        <x:v>46128.28023148148</x:v>
      </x:c>
      <x:c r="E190" s="259" t="n">
        <x:v>46128.166666666664</x:v>
      </x:c>
      <x:c r="F190" s="253" t="str">
        <x:v>772894</x:v>
      </x:c>
      <x:c r="G190" s="253" t="str">
        <x:v>anuar531</x:v>
      </x:c>
      <x:c r="H190" s="253" t="str">
        <x:v>Yes</x:v>
      </x:c>
      <x:c r="I190" s="253" t="str">
        <x:v>Claire</x:v>
      </x:c>
      <x:c r="J190" s="253" t="str">
        <x:v>Claire</x:v>
      </x:c>
      <x:c r="K190" s="259" t="n">
        <x:v>45659.166666666664</x:v>
      </x:c>
      <x:c r="L190" s="268" t="str">
        <x:f>IFERROR(VLOOKUP(I190,'Handler-Team Map'!$A$7:$C$17,2,FALSE),"")</x:f>
      </x:c>
      <x:c r="M190" s="268" t="str">
        <x:f>IFERROR(VLOOKUP(I190,'Handler-Team Map'!$A$7:$C$17,3,FALSE),"")</x:f>
      </x:c>
      <x:c r="N190" s="274" t="str">
        <x:v>FT_VM_DEP1000_GET500_5X</x:v>
      </x:c>
      <x:c r="O190" s="274" t="str">
        <x:v>VIP BONUS - Deposit 1000 Get 500 - 5x TO</x:v>
      </x:c>
      <x:c r="P190" s="274" t="str">
        <x:v>DepositBonus</x:v>
      </x:c>
      <x:c r="Q190" s="274" t="str">
        <x:v>Approved</x:v>
      </x:c>
      <x:c r="R190" s="265" t="n">
        <x:v>500</x:v>
      </x:c>
      <x:c r="S190" s="253" t="str">
        <x:v>Yes</x:v>
      </x:c>
      <x:c r="T190" s="265" t="n">
        <x:v>6552</x:v>
      </x:c>
      <x:c r="U190" s="253" t="str">
        <x:f>IF(AND(S190="Yes",T190=0),"Yes","No")</x:f>
        <x:v>No</x:v>
      </x:c>
      <x:c r="V190" s="253" t="str">
        <x:v>Yes</x:v>
      </x:c>
      <x:c r="W190" s="253" t="str">
        <x:v>Yes</x:v>
      </x:c>
      <x:c r="X190" s="259" t="n">
        <x:v>46128.166666666664</x:v>
      </x:c>
      <x:c r="Y190" s="265" t="n">
        <x:v>2291</x:v>
      </x:c>
      <x:c r="Z190" s="265" t="n">
        <x:v>5986</x:v>
      </x:c>
      <x:c r="AA190" s="253" t="str">
        <x:f>IF(V190="No","Maturing",IF(AND(U190="Yes",Y190&gt;0),"Yes","No"))</x:f>
        <x:v>No</x:v>
      </x:c>
      <x:c r="AB190" s="253" t="str">
        <x:f>IF(W190="No","Maturing",IF(AND(U190="Yes",Z190&gt;0),"Yes","No"))</x:f>
        <x:v>No</x:v>
      </x:c>
      <x:c r="AC190" s="265" t="n">
        <x:v>1994.42</x:v>
      </x:c>
      <x:c r="AD190" s="265" t="n">
        <x:v>4789.92</x:v>
      </x:c>
      <x:c r="AE190" s="271" t="str"/>
      <x:c r="AF190" s="274" t="str">
        <x:v>Not validated - no control/holdout</x:v>
      </x:c>
      <x:c r="AG190" s="277" t="str">
        <x:v>Recovered execution only; assignment date and unclaimed-offer denominator unavailable</x:v>
      </x:c>
    </x:row>
    <x:row r="191">
      <x:c r="A191" s="252" t="str">
        <x:v>33903747</x:v>
      </x:c>
      <x:c r="B191" s="253" t="str">
        <x:v>WS1</x:v>
      </x:c>
      <x:c r="C191" s="253" t="str">
        <x:v>MB8</x:v>
      </x:c>
      <x:c r="D191" s="262" t="n">
        <x:v>46128.3878125</x:v>
      </x:c>
      <x:c r="E191" s="259" t="n">
        <x:v>46128.166666666664</x:v>
      </x:c>
      <x:c r="F191" s="253" t="str">
        <x:v>592123</x:v>
      </x:c>
      <x:c r="G191" s="253" t="str">
        <x:v>Tiger222</x:v>
      </x:c>
      <x:c r="H191" s="253" t="str">
        <x:v>Yes</x:v>
      </x:c>
      <x:c r="I191" s="253" t="str"/>
      <x:c r="J191" s="253" t="str"/>
      <x:c r="K191" s="259"/>
      <x:c r="L191" s="268" t="str">
        <x:f>IFERROR(VLOOKUP(I191,'Handler-Team Map'!$A$7:$C$17,2,FALSE),"")</x:f>
      </x:c>
      <x:c r="M191" s="268" t="str">
        <x:f>IFERROR(VLOOKUP(I191,'Handler-Team Map'!$A$7:$C$17,3,FALSE),"")</x:f>
      </x:c>
      <x:c r="N191" s="274" t="str">
        <x:v>FT_VM_DEP1000_GET800_2X</x:v>
      </x:c>
      <x:c r="O191" s="274" t="str">
        <x:v>VIP BONUS - Deposit 1000 Get 800 - 2x TO</x:v>
      </x:c>
      <x:c r="P191" s="274" t="str">
        <x:v>DepositBonus</x:v>
      </x:c>
      <x:c r="Q191" s="274" t="str">
        <x:v>Approved</x:v>
      </x:c>
      <x:c r="R191" s="265" t="n">
        <x:v>800</x:v>
      </x:c>
      <x:c r="S191" s="253" t="str">
        <x:v>Yes</x:v>
      </x:c>
      <x:c r="T191" s="265" t="n">
        <x:v>0</x:v>
      </x:c>
      <x:c r="U191" s="253" t="str">
        <x:f>IF(AND(S191="Yes",T191=0),"Yes","No")</x:f>
        <x:v>Yes</x:v>
      </x:c>
      <x:c r="V191" s="253" t="str">
        <x:v>Yes</x:v>
      </x:c>
      <x:c r="W191" s="253" t="str">
        <x:v>Yes</x:v>
      </x:c>
      <x:c r="X191" s="259" t="n">
        <x:v>46128.166666666664</x:v>
      </x:c>
      <x:c r="Y191" s="265" t="n">
        <x:v>9800</x:v>
      </x:c>
      <x:c r="Z191" s="265" t="n">
        <x:v>14800</x:v>
      </x:c>
      <x:c r="AA191" s="253" t="str">
        <x:f>IF(V191="No","Maturing",IF(AND(U191="Yes",Y191&gt;0),"Yes","No"))</x:f>
        <x:v>Yes</x:v>
      </x:c>
      <x:c r="AB191" s="253" t="str">
        <x:f>IF(W191="No","Maturing",IF(AND(U191="Yes",Z191&gt;0),"Yes","No"))</x:f>
        <x:v>Yes</x:v>
      </x:c>
      <x:c r="AC191" s="265" t="n">
        <x:v>-3896.8</x:v>
      </x:c>
      <x:c r="AD191" s="265" t="n">
        <x:v>740.01</x:v>
      </x:c>
      <x:c r="AE191" s="271" t="str"/>
      <x:c r="AF191" s="274" t="str">
        <x:v>Not validated - no control/holdout</x:v>
      </x:c>
      <x:c r="AG191" s="277" t="str">
        <x:v>Recovered execution only; assignment date and unclaimed-offer denominator unavailable</x:v>
      </x:c>
    </x:row>
    <x:row r="192">
      <x:c r="A192" s="252" t="str">
        <x:v>33903986</x:v>
      </x:c>
      <x:c r="B192" s="253" t="str">
        <x:v>WS1</x:v>
      </x:c>
      <x:c r="C192" s="253" t="str">
        <x:v>MB8</x:v>
      </x:c>
      <x:c r="D192" s="262" t="n">
        <x:v>46128.41324074074</x:v>
      </x:c>
      <x:c r="E192" s="259" t="n">
        <x:v>46128.166666666664</x:v>
      </x:c>
      <x:c r="F192" s="253" t="str">
        <x:v>755684</x:v>
      </x:c>
      <x:c r="G192" s="253" t="str">
        <x:v>Jie888</x:v>
      </x:c>
      <x:c r="H192" s="253" t="str">
        <x:v>Yes</x:v>
      </x:c>
      <x:c r="I192" s="253" t="str"/>
      <x:c r="J192" s="253" t="str"/>
      <x:c r="K192" s="259"/>
      <x:c r="L192" s="268" t="str">
        <x:f>IFERROR(VLOOKUP(I192,'Handler-Team Map'!$A$7:$C$17,2,FALSE),"")</x:f>
      </x:c>
      <x:c r="M192" s="268" t="str">
        <x:f>IFERROR(VLOOKUP(I192,'Handler-Team Map'!$A$7:$C$17,3,FALSE),"")</x:f>
      </x:c>
      <x:c r="N192" s="274" t="str">
        <x:v>FT_VM_DEP800_GET400_2X</x:v>
      </x:c>
      <x:c r="O192" s="274" t="str">
        <x:v>VIP BONUS - Deposit 800 Get 400 - 2x TO</x:v>
      </x:c>
      <x:c r="P192" s="274" t="str">
        <x:v>DepositBonus</x:v>
      </x:c>
      <x:c r="Q192" s="274" t="str">
        <x:v>Approved</x:v>
      </x:c>
      <x:c r="R192" s="265" t="n">
        <x:v>400</x:v>
      </x:c>
      <x:c r="S192" s="253" t="str">
        <x:v>Yes</x:v>
      </x:c>
      <x:c r="T192" s="265" t="n">
        <x:v>0</x:v>
      </x:c>
      <x:c r="U192" s="253" t="str">
        <x:f>IF(AND(S192="Yes",T192=0),"Yes","No")</x:f>
        <x:v>Yes</x:v>
      </x:c>
      <x:c r="V192" s="253" t="str">
        <x:v>Yes</x:v>
      </x:c>
      <x:c r="W192" s="253" t="str">
        <x:v>Yes</x:v>
      </x:c>
      <x:c r="X192" s="259" t="n">
        <x:v>46128.166666666664</x:v>
      </x:c>
      <x:c r="Y192" s="265" t="n">
        <x:v>800</x:v>
      </x:c>
      <x:c r="Z192" s="265" t="n">
        <x:v>800</x:v>
      </x:c>
      <x:c r="AA192" s="253" t="str">
        <x:f>IF(V192="No","Maturing",IF(AND(U192="Yes",Y192&gt;0),"Yes","No"))</x:f>
        <x:v>Yes</x:v>
      </x:c>
      <x:c r="AB192" s="253" t="str">
        <x:f>IF(W192="No","Maturing",IF(AND(U192="Yes",Z192&gt;0),"Yes","No"))</x:f>
        <x:v>Yes</x:v>
      </x:c>
      <x:c r="AC192" s="265" t="n">
        <x:v>-1179.48</x:v>
      </x:c>
      <x:c r="AD192" s="265" t="n">
        <x:v>-1146.98</x:v>
      </x:c>
      <x:c r="AE192" s="271" t="str"/>
      <x:c r="AF192" s="274" t="str">
        <x:v>Not validated - no control/holdout</x:v>
      </x:c>
      <x:c r="AG192" s="277" t="str">
        <x:v>Recovered execution only; assignment date and unclaimed-offer denominator unavailable</x:v>
      </x:c>
    </x:row>
    <x:row r="193">
      <x:c r="A193" s="252" t="str">
        <x:v>33904205</x:v>
      </x:c>
      <x:c r="B193" s="253" t="str">
        <x:v>WS1</x:v>
      </x:c>
      <x:c r="C193" s="253" t="str">
        <x:v>MB8</x:v>
      </x:c>
      <x:c r="D193" s="262" t="n">
        <x:v>46128.433171296296</x:v>
      </x:c>
      <x:c r="E193" s="259" t="n">
        <x:v>46128.166666666664</x:v>
      </x:c>
      <x:c r="F193" s="253" t="str">
        <x:v>657847</x:v>
      </x:c>
      <x:c r="G193" s="253" t="str">
        <x:v>Nippon</x:v>
      </x:c>
      <x:c r="H193" s="253" t="str">
        <x:v>Yes</x:v>
      </x:c>
      <x:c r="I193" s="253" t="str">
        <x:v>Tammy</x:v>
      </x:c>
      <x:c r="J193" s="253" t="str">
        <x:v>Tammy</x:v>
      </x:c>
      <x:c r="K193" s="259" t="n">
        <x:v>45951.166666666664</x:v>
      </x:c>
      <x:c r="L193" s="268" t="str">
        <x:f>IFERROR(VLOOKUP(I193,'Handler-Team Map'!$A$7:$C$17,2,FALSE),"")</x:f>
      </x:c>
      <x:c r="M193" s="268" t="str">
        <x:f>IFERROR(VLOOKUP(I193,'Handler-Team Map'!$A$7:$C$17,3,FALSE),"")</x:f>
      </x:c>
      <x:c r="N193" s="274" t="str">
        <x:v>FT_VM_DEP600_GET200_5X</x:v>
      </x:c>
      <x:c r="O193" s="274" t="str">
        <x:v>VIP BONUS - Deposit 600 Get 200 - 5x TO</x:v>
      </x:c>
      <x:c r="P193" s="274" t="str">
        <x:v>DepositBonus</x:v>
      </x:c>
      <x:c r="Q193" s="274" t="str">
        <x:v>Approved</x:v>
      </x:c>
      <x:c r="R193" s="265" t="n">
        <x:v>200</x:v>
      </x:c>
      <x:c r="S193" s="253" t="str">
        <x:v>Yes</x:v>
      </x:c>
      <x:c r="T193" s="265" t="n">
        <x:v>5211.3</x:v>
      </x:c>
      <x:c r="U193" s="253" t="str">
        <x:f>IF(AND(S193="Yes",T193=0),"Yes","No")</x:f>
        <x:v>No</x:v>
      </x:c>
      <x:c r="V193" s="253" t="str">
        <x:v>Yes</x:v>
      </x:c>
      <x:c r="W193" s="253" t="str">
        <x:v>Yes</x:v>
      </x:c>
      <x:c r="X193" s="259" t="n">
        <x:v>46128.166666666664</x:v>
      </x:c>
      <x:c r="Y193" s="265" t="n">
        <x:v>7058</x:v>
      </x:c>
      <x:c r="Z193" s="265" t="n">
        <x:v>10498</x:v>
      </x:c>
      <x:c r="AA193" s="253" t="str">
        <x:f>IF(V193="No","Maturing",IF(AND(U193="Yes",Y193&gt;0),"Yes","No"))</x:f>
        <x:v>No</x:v>
      </x:c>
      <x:c r="AB193" s="253" t="str">
        <x:f>IF(W193="No","Maturing",IF(AND(U193="Yes",Z193&gt;0),"Yes","No"))</x:f>
        <x:v>No</x:v>
      </x:c>
      <x:c r="AC193" s="265" t="n">
        <x:v>-874.88</x:v>
      </x:c>
      <x:c r="AD193" s="265" t="n">
        <x:v>1297.94</x:v>
      </x:c>
      <x:c r="AE193" s="271" t="str"/>
      <x:c r="AF193" s="274" t="str">
        <x:v>Not validated - no control/holdout</x:v>
      </x:c>
      <x:c r="AG193" s="277" t="str">
        <x:v>Recovered execution only; assignment date and unclaimed-offer denominator unavailable</x:v>
      </x:c>
    </x:row>
    <x:row r="194">
      <x:c r="A194" s="252" t="str">
        <x:v>33904668</x:v>
      </x:c>
      <x:c r="B194" s="253" t="str">
        <x:v>WS1</x:v>
      </x:c>
      <x:c r="C194" s="253" t="str">
        <x:v>MB8</x:v>
      </x:c>
      <x:c r="D194" s="262" t="n">
        <x:v>46128.47388888889</x:v>
      </x:c>
      <x:c r="E194" s="259" t="n">
        <x:v>46128.166666666664</x:v>
      </x:c>
      <x:c r="F194" s="253" t="str">
        <x:v>405339</x:v>
      </x:c>
      <x:c r="G194" s="253" t="str">
        <x:v>Azuarniss96</x:v>
      </x:c>
      <x:c r="H194" s="253" t="str">
        <x:v>Yes</x:v>
      </x:c>
      <x:c r="I194" s="253" t="str">
        <x:v>Elda</x:v>
      </x:c>
      <x:c r="J194" s="253" t="str">
        <x:v>Elda</x:v>
      </x:c>
      <x:c r="K194" s="259" t="n">
        <x:v>45659.166666666664</x:v>
      </x:c>
      <x:c r="L194" s="268" t="str">
        <x:f>IFERROR(VLOOKUP(I194,'Handler-Team Map'!$A$7:$C$17,2,FALSE),"")</x:f>
      </x:c>
      <x:c r="M194" s="268" t="str">
        <x:f>IFERROR(VLOOKUP(I194,'Handler-Team Map'!$A$7:$C$17,3,FALSE),"")</x:f>
      </x:c>
      <x:c r="N194" s="274" t="str">
        <x:v>FT_VM_DEP1000_GET700_2X</x:v>
      </x:c>
      <x:c r="O194" s="274" t="str">
        <x:v>VIP BONUS - Deposit 1000 Get 700 - 2x TO</x:v>
      </x:c>
      <x:c r="P194" s="274" t="str">
        <x:v>DepositBonus</x:v>
      </x:c>
      <x:c r="Q194" s="274" t="str">
        <x:v>Approved</x:v>
      </x:c>
      <x:c r="R194" s="265" t="n">
        <x:v>700</x:v>
      </x:c>
      <x:c r="S194" s="253" t="str">
        <x:v>Yes</x:v>
      </x:c>
      <x:c r="T194" s="265" t="n">
        <x:v>175919</x:v>
      </x:c>
      <x:c r="U194" s="253" t="str">
        <x:f>IF(AND(S194="Yes",T194=0),"Yes","No")</x:f>
        <x:v>No</x:v>
      </x:c>
      <x:c r="V194" s="253" t="str">
        <x:v>Yes</x:v>
      </x:c>
      <x:c r="W194" s="253" t="str">
        <x:v>Yes</x:v>
      </x:c>
      <x:c r="X194" s="259" t="n">
        <x:v>46128.166666666664</x:v>
      </x:c>
      <x:c r="Y194" s="265" t="n">
        <x:v>39226</x:v>
      </x:c>
      <x:c r="Z194" s="265" t="n">
        <x:v>59456</x:v>
      </x:c>
      <x:c r="AA194" s="253" t="str">
        <x:f>IF(V194="No","Maturing",IF(AND(U194="Yes",Y194&gt;0),"Yes","No"))</x:f>
        <x:v>No</x:v>
      </x:c>
      <x:c r="AB194" s="253" t="str">
        <x:f>IF(W194="No","Maturing",IF(AND(U194="Yes",Z194&gt;0),"Yes","No"))</x:f>
        <x:v>No</x:v>
      </x:c>
      <x:c r="AC194" s="265" t="n">
        <x:v>10644.99</x:v>
      </x:c>
      <x:c r="AD194" s="265" t="n">
        <x:v>15589.21</x:v>
      </x:c>
      <x:c r="AE194" s="271" t="str"/>
      <x:c r="AF194" s="274" t="str">
        <x:v>Not validated - no control/holdout</x:v>
      </x:c>
      <x:c r="AG194" s="277" t="str">
        <x:v>Recovered execution only; assignment date and unclaimed-offer denominator unavailable</x:v>
      </x:c>
    </x:row>
    <x:row r="195">
      <x:c r="A195" s="252" t="str">
        <x:v>33904922</x:v>
      </x:c>
      <x:c r="B195" s="253" t="str">
        <x:v>WS1</x:v>
      </x:c>
      <x:c r="C195" s="253" t="str">
        <x:v>MB8</x:v>
      </x:c>
      <x:c r="D195" s="262" t="n">
        <x:v>46128.49958333333</x:v>
      </x:c>
      <x:c r="E195" s="259" t="n">
        <x:v>46128.166666666664</x:v>
      </x:c>
      <x:c r="F195" s="253" t="str">
        <x:v>294448</x:v>
      </x:c>
      <x:c r="G195" s="253" t="str">
        <x:v>ausbrown88</x:v>
      </x:c>
      <x:c r="H195" s="253" t="str">
        <x:v>Yes</x:v>
      </x:c>
      <x:c r="I195" s="253" t="str">
        <x:v>zhen</x:v>
      </x:c>
      <x:c r="J195" s="253" t="str">
        <x:v>zhen</x:v>
      </x:c>
      <x:c r="K195" s="259" t="n">
        <x:v>45880.166666666664</x:v>
      </x:c>
      <x:c r="L195" s="268" t="str">
        <x:f>IFERROR(VLOOKUP(I195,'Handler-Team Map'!$A$7:$C$17,2,FALSE),"")</x:f>
      </x:c>
      <x:c r="M195" s="268" t="str">
        <x:f>IFERROR(VLOOKUP(I195,'Handler-Team Map'!$A$7:$C$17,3,FALSE),"")</x:f>
      </x:c>
      <x:c r="N195" s="274" t="str">
        <x:v>FT_VM_DEP800_GET400_2X</x:v>
      </x:c>
      <x:c r="O195" s="274" t="str">
        <x:v>VIP BONUS - Deposit 800 Get 400 - 2x TO</x:v>
      </x:c>
      <x:c r="P195" s="274" t="str">
        <x:v>DepositBonus</x:v>
      </x:c>
      <x:c r="Q195" s="274" t="str">
        <x:v>Approved</x:v>
      </x:c>
      <x:c r="R195" s="265" t="n">
        <x:v>400</x:v>
      </x:c>
      <x:c r="S195" s="253" t="str">
        <x:v>Yes</x:v>
      </x:c>
      <x:c r="T195" s="265" t="n">
        <x:v>3170</x:v>
      </x:c>
      <x:c r="U195" s="253" t="str">
        <x:f>IF(AND(S195="Yes",T195=0),"Yes","No")</x:f>
        <x:v>No</x:v>
      </x:c>
      <x:c r="V195" s="253" t="str">
        <x:v>Yes</x:v>
      </x:c>
      <x:c r="W195" s="253" t="str">
        <x:v>Yes</x:v>
      </x:c>
      <x:c r="X195" s="259" t="n">
        <x:v>46128.166666666664</x:v>
      </x:c>
      <x:c r="Y195" s="265" t="n">
        <x:v>14770</x:v>
      </x:c>
      <x:c r="Z195" s="265" t="n">
        <x:v>15970</x:v>
      </x:c>
      <x:c r="AA195" s="253" t="str">
        <x:f>IF(V195="No","Maturing",IF(AND(U195="Yes",Y195&gt;0),"Yes","No"))</x:f>
        <x:v>No</x:v>
      </x:c>
      <x:c r="AB195" s="253" t="str">
        <x:f>IF(W195="No","Maturing",IF(AND(U195="Yes",Z195&gt;0),"Yes","No"))</x:f>
        <x:v>No</x:v>
      </x:c>
      <x:c r="AC195" s="265" t="n">
        <x:v>-5462.97</x:v>
      </x:c>
      <x:c r="AD195" s="265" t="n">
        <x:v>-4957.83</x:v>
      </x:c>
      <x:c r="AE195" s="271" t="str"/>
      <x:c r="AF195" s="274" t="str">
        <x:v>Not validated - no control/holdout</x:v>
      </x:c>
      <x:c r="AG195" s="277" t="str">
        <x:v>Recovered execution only; assignment date and unclaimed-offer denominator unavailable</x:v>
      </x:c>
    </x:row>
    <x:row r="196">
      <x:c r="A196" s="252" t="str">
        <x:v>33905369</x:v>
      </x:c>
      <x:c r="B196" s="253" t="str">
        <x:v>WS1</x:v>
      </x:c>
      <x:c r="C196" s="253" t="str">
        <x:v>MB8</x:v>
      </x:c>
      <x:c r="D196" s="262" t="n">
        <x:v>46128.53659722222</x:v>
      </x:c>
      <x:c r="E196" s="259" t="n">
        <x:v>46128.166666666664</x:v>
      </x:c>
      <x:c r="F196" s="253" t="str">
        <x:v>1201273</x:v>
      </x:c>
      <x:c r="G196" s="253" t="str">
        <x:v>Go5208</x:v>
      </x:c>
      <x:c r="H196" s="253" t="str">
        <x:v>Yes</x:v>
      </x:c>
      <x:c r="I196" s="253" t="str"/>
      <x:c r="J196" s="253" t="str"/>
      <x:c r="K196" s="259"/>
      <x:c r="L196" s="268" t="str">
        <x:f>IFERROR(VLOOKUP(I196,'Handler-Team Map'!$A$7:$C$17,2,FALSE),"")</x:f>
      </x:c>
      <x:c r="M196" s="268" t="str">
        <x:f>IFERROR(VLOOKUP(I196,'Handler-Team Map'!$A$7:$C$17,3,FALSE),"")</x:f>
      </x:c>
      <x:c r="N196" s="274" t="str">
        <x:v>FT_VM_DEP600_GET200_5X</x:v>
      </x:c>
      <x:c r="O196" s="274" t="str">
        <x:v>VIP BONUS - Deposit 600 Get 200 - 5x TO</x:v>
      </x:c>
      <x:c r="P196" s="274" t="str">
        <x:v>DepositBonus</x:v>
      </x:c>
      <x:c r="Q196" s="274" t="str">
        <x:v>Approved</x:v>
      </x:c>
      <x:c r="R196" s="265" t="n">
        <x:v>200</x:v>
      </x:c>
      <x:c r="S196" s="253" t="str">
        <x:v>Yes</x:v>
      </x:c>
      <x:c r="T196" s="265" t="n">
        <x:v>3230</x:v>
      </x:c>
      <x:c r="U196" s="253" t="str">
        <x:f>IF(AND(S196="Yes",T196=0),"Yes","No")</x:f>
        <x:v>No</x:v>
      </x:c>
      <x:c r="V196" s="253" t="str">
        <x:v>Yes</x:v>
      </x:c>
      <x:c r="W196" s="253" t="str">
        <x:v>Yes</x:v>
      </x:c>
      <x:c r="X196" s="259" t="n">
        <x:v>46128.166666666664</x:v>
      </x:c>
      <x:c r="Y196" s="265" t="n">
        <x:v>1300</x:v>
      </x:c>
      <x:c r="Z196" s="265" t="n">
        <x:v>2900</x:v>
      </x:c>
      <x:c r="AA196" s="253" t="str">
        <x:f>IF(V196="No","Maturing",IF(AND(U196="Yes",Y196&gt;0),"Yes","No"))</x:f>
        <x:v>No</x:v>
      </x:c>
      <x:c r="AB196" s="253" t="str">
        <x:f>IF(W196="No","Maturing",IF(AND(U196="Yes",Z196&gt;0),"Yes","No"))</x:f>
        <x:v>No</x:v>
      </x:c>
      <x:c r="AC196" s="265" t="n">
        <x:v>1300</x:v>
      </x:c>
      <x:c r="AD196" s="265" t="n">
        <x:v>2149.97</x:v>
      </x:c>
      <x:c r="AE196" s="271" t="str"/>
      <x:c r="AF196" s="274" t="str">
        <x:v>Not validated - no control/holdout</x:v>
      </x:c>
      <x:c r="AG196" s="277" t="str">
        <x:v>Recovered execution only; assignment date and unclaimed-offer denominator unavailable</x:v>
      </x:c>
    </x:row>
    <x:row r="197">
      <x:c r="A197" s="252" t="str">
        <x:v>33905882</x:v>
      </x:c>
      <x:c r="B197" s="253" t="str">
        <x:v>WS1</x:v>
      </x:c>
      <x:c r="C197" s="253" t="str">
        <x:v>MB8</x:v>
      </x:c>
      <x:c r="D197" s="262" t="n">
        <x:v>46128.580879629626</x:v>
      </x:c>
      <x:c r="E197" s="259" t="n">
        <x:v>46128.166666666664</x:v>
      </x:c>
      <x:c r="F197" s="253" t="str">
        <x:v>1196230</x:v>
      </x:c>
      <x:c r="G197" s="253" t="str">
        <x:v>yongkiat19218</x:v>
      </x:c>
      <x:c r="H197" s="253" t="str">
        <x:v>Yes</x:v>
      </x:c>
      <x:c r="I197" s="253" t="str"/>
      <x:c r="J197" s="253" t="str"/>
      <x:c r="K197" s="259"/>
      <x:c r="L197" s="268" t="str">
        <x:f>IFERROR(VLOOKUP(I197,'Handler-Team Map'!$A$7:$C$17,2,FALSE),"")</x:f>
      </x:c>
      <x:c r="M197" s="268" t="str">
        <x:f>IFERROR(VLOOKUP(I197,'Handler-Team Map'!$A$7:$C$17,3,FALSE),"")</x:f>
      </x:c>
      <x:c r="N197" s="274" t="str">
        <x:v>FT_VM_DEP600_GET200_5X</x:v>
      </x:c>
      <x:c r="O197" s="274" t="str">
        <x:v>VIP BONUS - Deposit 600 Get 200 - 5x TO</x:v>
      </x:c>
      <x:c r="P197" s="274" t="str">
        <x:v>DepositBonus</x:v>
      </x:c>
      <x:c r="Q197" s="274" t="str">
        <x:v>Approved</x:v>
      </x:c>
      <x:c r="R197" s="265" t="n">
        <x:v>200</x:v>
      </x:c>
      <x:c r="S197" s="253" t="str">
        <x:v>Yes</x:v>
      </x:c>
      <x:c r="T197" s="265" t="n">
        <x:v>50</x:v>
      </x:c>
      <x:c r="U197" s="253" t="str">
        <x:f>IF(AND(S197="Yes",T197=0),"Yes","No")</x:f>
        <x:v>No</x:v>
      </x:c>
      <x:c r="V197" s="253" t="str">
        <x:v>Yes</x:v>
      </x:c>
      <x:c r="W197" s="253" t="str">
        <x:v>Yes</x:v>
      </x:c>
      <x:c r="X197" s="259" t="n">
        <x:v>46128.166666666664</x:v>
      </x:c>
      <x:c r="Y197" s="265" t="n">
        <x:v>900</x:v>
      </x:c>
      <x:c r="Z197" s="265" t="n">
        <x:v>900</x:v>
      </x:c>
      <x:c r="AA197" s="253" t="str">
        <x:f>IF(V197="No","Maturing",IF(AND(U197="Yes",Y197&gt;0),"Yes","No"))</x:f>
        <x:v>No</x:v>
      </x:c>
      <x:c r="AB197" s="253" t="str">
        <x:f>IF(W197="No","Maturing",IF(AND(U197="Yes",Z197&gt;0),"Yes","No"))</x:f>
        <x:v>No</x:v>
      </x:c>
      <x:c r="AC197" s="265" t="n">
        <x:v>595.69</x:v>
      </x:c>
      <x:c r="AD197" s="265" t="n">
        <x:v>595.68</x:v>
      </x:c>
      <x:c r="AE197" s="271" t="str"/>
      <x:c r="AF197" s="274" t="str">
        <x:v>Not validated - no control/holdout</x:v>
      </x:c>
      <x:c r="AG197" s="277" t="str">
        <x:v>Recovered execution only; assignment date and unclaimed-offer denominator unavailable</x:v>
      </x:c>
    </x:row>
    <x:row r="198">
      <x:c r="A198" s="252" t="str">
        <x:v>33908618</x:v>
      </x:c>
      <x:c r="B198" s="253" t="str">
        <x:v>WS1</x:v>
      </x:c>
      <x:c r="C198" s="253" t="str">
        <x:v>MB8</x:v>
      </x:c>
      <x:c r="D198" s="262" t="n">
        <x:v>46128.7715625</x:v>
      </x:c>
      <x:c r="E198" s="259" t="n">
        <x:v>46128.166666666664</x:v>
      </x:c>
      <x:c r="F198" s="253" t="str">
        <x:v>847103</x:v>
      </x:c>
      <x:c r="G198" s="253" t="str">
        <x:v>Many08</x:v>
      </x:c>
      <x:c r="H198" s="253" t="str">
        <x:v>Yes</x:v>
      </x:c>
      <x:c r="I198" s="253" t="str">
        <x:v>Elda</x:v>
      </x:c>
      <x:c r="J198" s="253" t="str">
        <x:v>Elda</x:v>
      </x:c>
      <x:c r="K198" s="259" t="n">
        <x:v>45887.166666666664</x:v>
      </x:c>
      <x:c r="L198" s="268" t="str">
        <x:f>IFERROR(VLOOKUP(I198,'Handler-Team Map'!$A$7:$C$17,2,FALSE),"")</x:f>
      </x:c>
      <x:c r="M198" s="268" t="str">
        <x:f>IFERROR(VLOOKUP(I198,'Handler-Team Map'!$A$7:$C$17,3,FALSE),"")</x:f>
      </x:c>
      <x:c r="N198" s="274" t="str">
        <x:v>FT_VM_DEP1000_GET500_5X</x:v>
      </x:c>
      <x:c r="O198" s="274" t="str">
        <x:v>VIP BONUS - Deposit 1000 Get 500 - 5x TO</x:v>
      </x:c>
      <x:c r="P198" s="274" t="str">
        <x:v>DepositBonus</x:v>
      </x:c>
      <x:c r="Q198" s="274" t="str">
        <x:v>Approved</x:v>
      </x:c>
      <x:c r="R198" s="265" t="n">
        <x:v>500</x:v>
      </x:c>
      <x:c r="S198" s="253" t="str">
        <x:v>Yes</x:v>
      </x:c>
      <x:c r="T198" s="265" t="n">
        <x:v>53470</x:v>
      </x:c>
      <x:c r="U198" s="253" t="str">
        <x:f>IF(AND(S198="Yes",T198=0),"Yes","No")</x:f>
        <x:v>No</x:v>
      </x:c>
      <x:c r="V198" s="253" t="str">
        <x:v>Yes</x:v>
      </x:c>
      <x:c r="W198" s="253" t="str">
        <x:v>Yes</x:v>
      </x:c>
      <x:c r="X198" s="259" t="n">
        <x:v>46128.166666666664</x:v>
      </x:c>
      <x:c r="Y198" s="265" t="n">
        <x:v>10700</x:v>
      </x:c>
      <x:c r="Z198" s="265" t="n">
        <x:v>22300</x:v>
      </x:c>
      <x:c r="AA198" s="253" t="str">
        <x:f>IF(V198="No","Maturing",IF(AND(U198="Yes",Y198&gt;0),"Yes","No"))</x:f>
        <x:v>No</x:v>
      </x:c>
      <x:c r="AB198" s="253" t="str">
        <x:f>IF(W198="No","Maturing",IF(AND(U198="Yes",Z198&gt;0),"Yes","No"))</x:f>
        <x:v>No</x:v>
      </x:c>
      <x:c r="AC198" s="265" t="n">
        <x:v>8448.63</x:v>
      </x:c>
      <x:c r="AD198" s="265" t="n">
        <x:v>12463.07</x:v>
      </x:c>
      <x:c r="AE198" s="271" t="str"/>
      <x:c r="AF198" s="274" t="str">
        <x:v>Not validated - no control/holdout</x:v>
      </x:c>
      <x:c r="AG198" s="277" t="str">
        <x:v>Recovered execution only; assignment date and unclaimed-offer denominator unavailable</x:v>
      </x:c>
    </x:row>
    <x:row r="199">
      <x:c r="A199" s="252" t="str">
        <x:v>33909847</x:v>
      </x:c>
      <x:c r="B199" s="253" t="str">
        <x:v>WS1</x:v>
      </x:c>
      <x:c r="C199" s="253" t="str">
        <x:v>MB8</x:v>
      </x:c>
      <x:c r="D199" s="262" t="n">
        <x:v>46128.85469907407</x:v>
      </x:c>
      <x:c r="E199" s="259" t="n">
        <x:v>46128.166666666664</x:v>
      </x:c>
      <x:c r="F199" s="253" t="str">
        <x:v>808631</x:v>
      </x:c>
      <x:c r="G199" s="253" t="str">
        <x:v>Mrbosss</x:v>
      </x:c>
      <x:c r="H199" s="253" t="str">
        <x:v>Yes</x:v>
      </x:c>
      <x:c r="I199" s="253" t="str"/>
      <x:c r="J199" s="253" t="str"/>
      <x:c r="K199" s="259"/>
      <x:c r="L199" s="268" t="str">
        <x:f>IFERROR(VLOOKUP(I199,'Handler-Team Map'!$A$7:$C$17,2,FALSE),"")</x:f>
      </x:c>
      <x:c r="M199" s="268" t="str">
        <x:f>IFERROR(VLOOKUP(I199,'Handler-Team Map'!$A$7:$C$17,3,FALSE),"")</x:f>
      </x:c>
      <x:c r="N199" s="274" t="str">
        <x:v>FT_VM_DEP1000_GET700_1X</x:v>
      </x:c>
      <x:c r="O199" s="274" t="str">
        <x:v>VIP BONUS - Deposit 1000 Get 700 - 1x TO</x:v>
      </x:c>
      <x:c r="P199" s="274" t="str">
        <x:v>DepositBonus</x:v>
      </x:c>
      <x:c r="Q199" s="274" t="str">
        <x:v>Approved</x:v>
      </x:c>
      <x:c r="R199" s="265" t="n">
        <x:v>700</x:v>
      </x:c>
      <x:c r="S199" s="253" t="str">
        <x:v>Yes</x:v>
      </x:c>
      <x:c r="T199" s="265" t="n">
        <x:v>51084.38</x:v>
      </x:c>
      <x:c r="U199" s="253" t="str">
        <x:f>IF(AND(S199="Yes",T199=0),"Yes","No")</x:f>
        <x:v>No</x:v>
      </x:c>
      <x:c r="V199" s="253" t="str">
        <x:v>Yes</x:v>
      </x:c>
      <x:c r="W199" s="253" t="str">
        <x:v>Yes</x:v>
      </x:c>
      <x:c r="X199" s="259" t="n">
        <x:v>46128.166666666664</x:v>
      </x:c>
      <x:c r="Y199" s="265" t="n">
        <x:v>41666.66</x:v>
      </x:c>
      <x:c r="Z199" s="265" t="n">
        <x:v>72833.66</x:v>
      </x:c>
      <x:c r="AA199" s="253" t="str">
        <x:f>IF(V199="No","Maturing",IF(AND(U199="Yes",Y199&gt;0),"Yes","No"))</x:f>
        <x:v>No</x:v>
      </x:c>
      <x:c r="AB199" s="253" t="str">
        <x:f>IF(W199="No","Maturing",IF(AND(U199="Yes",Z199&gt;0),"Yes","No"))</x:f>
        <x:v>No</x:v>
      </x:c>
      <x:c r="AC199" s="265" t="n">
        <x:v>31667.48</x:v>
      </x:c>
      <x:c r="AD199" s="265" t="n">
        <x:v>62159.74</x:v>
      </x:c>
      <x:c r="AE199" s="271" t="str"/>
      <x:c r="AF199" s="274" t="str">
        <x:v>Not validated - no control/holdout</x:v>
      </x:c>
      <x:c r="AG199" s="277" t="str">
        <x:v>Recovered execution only; assignment date and unclaimed-offer denominator unavailable</x:v>
      </x:c>
    </x:row>
    <x:row r="200">
      <x:c r="A200" s="252" t="str">
        <x:v>33909920</x:v>
      </x:c>
      <x:c r="B200" s="253" t="str">
        <x:v>WS1</x:v>
      </x:c>
      <x:c r="C200" s="253" t="str">
        <x:v>MB8</x:v>
      </x:c>
      <x:c r="D200" s="262" t="n">
        <x:v>46128.85943287037</x:v>
      </x:c>
      <x:c r="E200" s="259" t="n">
        <x:v>46128.166666666664</x:v>
      </x:c>
      <x:c r="F200" s="253" t="str">
        <x:v>1041414</x:v>
      </x:c>
      <x:c r="G200" s="253" t="str">
        <x:v>Kaizy91</x:v>
      </x:c>
      <x:c r="H200" s="253" t="str">
        <x:v>Yes</x:v>
      </x:c>
      <x:c r="I200" s="253" t="str">
        <x:v>Tammy</x:v>
      </x:c>
      <x:c r="J200" s="253" t="str">
        <x:v>Tammy</x:v>
      </x:c>
      <x:c r="K200" s="259" t="n">
        <x:v>45951.166666666664</x:v>
      </x:c>
      <x:c r="L200" s="268" t="str">
        <x:f>IFERROR(VLOOKUP(I200,'Handler-Team Map'!$A$7:$C$17,2,FALSE),"")</x:f>
      </x:c>
      <x:c r="M200" s="268" t="str">
        <x:f>IFERROR(VLOOKUP(I200,'Handler-Team Map'!$A$7:$C$17,3,FALSE),"")</x:f>
      </x:c>
      <x:c r="N200" s="274" t="str">
        <x:v>FT_VM_DEP1000_GET500_5X</x:v>
      </x:c>
      <x:c r="O200" s="274" t="str">
        <x:v>VIP BONUS - Deposit 1000 Get 500 - 5x TO</x:v>
      </x:c>
      <x:c r="P200" s="274" t="str">
        <x:v>DepositBonus</x:v>
      </x:c>
      <x:c r="Q200" s="274" t="str">
        <x:v>Approved</x:v>
      </x:c>
      <x:c r="R200" s="265" t="n">
        <x:v>500</x:v>
      </x:c>
      <x:c r="S200" s="253" t="str">
        <x:v>Yes</x:v>
      </x:c>
      <x:c r="T200" s="265" t="n">
        <x:v>2750</x:v>
      </x:c>
      <x:c r="U200" s="253" t="str">
        <x:f>IF(AND(S200="Yes",T200=0),"Yes","No")</x:f>
        <x:v>No</x:v>
      </x:c>
      <x:c r="V200" s="253" t="str">
        <x:v>Yes</x:v>
      </x:c>
      <x:c r="W200" s="253" t="str">
        <x:v>Yes</x:v>
      </x:c>
      <x:c r="X200" s="259" t="n">
        <x:v>46128.166666666664</x:v>
      </x:c>
      <x:c r="Y200" s="265" t="n">
        <x:v>2800</x:v>
      </x:c>
      <x:c r="Z200" s="265" t="n">
        <x:v>4863</x:v>
      </x:c>
      <x:c r="AA200" s="253" t="str">
        <x:f>IF(V200="No","Maturing",IF(AND(U200="Yes",Y200&gt;0),"Yes","No"))</x:f>
        <x:v>No</x:v>
      </x:c>
      <x:c r="AB200" s="253" t="str">
        <x:f>IF(W200="No","Maturing",IF(AND(U200="Yes",Z200&gt;0),"Yes","No"))</x:f>
        <x:v>No</x:v>
      </x:c>
      <x:c r="AC200" s="265" t="n">
        <x:v>-2209.61</x:v>
      </x:c>
      <x:c r="AD200" s="265" t="n">
        <x:v>-137.79</x:v>
      </x:c>
      <x:c r="AE200" s="271" t="str"/>
      <x:c r="AF200" s="274" t="str">
        <x:v>Not validated - no control/holdout</x:v>
      </x:c>
      <x:c r="AG200" s="277" t="str">
        <x:v>Recovered execution only; assignment date and unclaimed-offer denominator unavailable</x:v>
      </x:c>
    </x:row>
    <x:row r="201">
      <x:c r="A201" s="252" t="str">
        <x:v>33911511</x:v>
      </x:c>
      <x:c r="B201" s="253" t="str">
        <x:v>WS1</x:v>
      </x:c>
      <x:c r="C201" s="253" t="str">
        <x:v>MB8</x:v>
      </x:c>
      <x:c r="D201" s="262" t="n">
        <x:v>46128.94013888889</x:v>
      </x:c>
      <x:c r="E201" s="259" t="n">
        <x:v>46128.166666666664</x:v>
      </x:c>
      <x:c r="F201" s="253" t="str">
        <x:v>596032</x:v>
      </x:c>
      <x:c r="G201" s="253" t="str">
        <x:v>Selvalives</x:v>
      </x:c>
      <x:c r="H201" s="253" t="str">
        <x:v>Yes</x:v>
      </x:c>
      <x:c r="I201" s="253" t="str">
        <x:v>Elda</x:v>
      </x:c>
      <x:c r="J201" s="253" t="str">
        <x:v>Elda</x:v>
      </x:c>
      <x:c r="K201" s="259" t="n">
        <x:v>45659.166666666664</x:v>
      </x:c>
      <x:c r="L201" s="268" t="str">
        <x:f>IFERROR(VLOOKUP(I201,'Handler-Team Map'!$A$7:$C$17,2,FALSE),"")</x:f>
      </x:c>
      <x:c r="M201" s="268" t="str">
        <x:f>IFERROR(VLOOKUP(I201,'Handler-Team Map'!$A$7:$C$17,3,FALSE),"")</x:f>
      </x:c>
      <x:c r="N201" s="274" t="str">
        <x:v>FT_VM_DEP300_GET100_5X</x:v>
      </x:c>
      <x:c r="O201" s="274" t="str">
        <x:v>VIP BONUS - Deposit 300 Get 100 - 5x TO</x:v>
      </x:c>
      <x:c r="P201" s="274" t="str">
        <x:v>DepositBonus</x:v>
      </x:c>
      <x:c r="Q201" s="274" t="str">
        <x:v>Approved</x:v>
      </x:c>
      <x:c r="R201" s="265" t="n">
        <x:v>100</x:v>
      </x:c>
      <x:c r="S201" s="253" t="str">
        <x:v>Yes</x:v>
      </x:c>
      <x:c r="T201" s="265" t="n">
        <x:v>26500</x:v>
      </x:c>
      <x:c r="U201" s="253" t="str">
        <x:f>IF(AND(S201="Yes",T201=0),"Yes","No")</x:f>
        <x:v>No</x:v>
      </x:c>
      <x:c r="V201" s="253" t="str">
        <x:v>Yes</x:v>
      </x:c>
      <x:c r="W201" s="253" t="str">
        <x:v>Yes</x:v>
      </x:c>
      <x:c r="X201" s="259" t="n">
        <x:v>46128.166666666664</x:v>
      </x:c>
      <x:c r="Y201" s="265" t="n">
        <x:v>300</x:v>
      </x:c>
      <x:c r="Z201" s="265" t="n">
        <x:v>2300</x:v>
      </x:c>
      <x:c r="AA201" s="253" t="str">
        <x:f>IF(V201="No","Maturing",IF(AND(U201="Yes",Y201&gt;0),"Yes","No"))</x:f>
        <x:v>No</x:v>
      </x:c>
      <x:c r="AB201" s="253" t="str">
        <x:f>IF(W201="No","Maturing",IF(AND(U201="Yes",Z201&gt;0),"Yes","No"))</x:f>
        <x:v>No</x:v>
      </x:c>
      <x:c r="AC201" s="265" t="n">
        <x:v>291.12</x:v>
      </x:c>
      <x:c r="AD201" s="265" t="n">
        <x:v>1304.38</x:v>
      </x:c>
      <x:c r="AE201" s="271" t="str"/>
      <x:c r="AF201" s="274" t="str">
        <x:v>Not validated - no control/holdout</x:v>
      </x:c>
      <x:c r="AG201" s="277" t="str">
        <x:v>Recovered execution only; assignment date and unclaimed-offer denominator unavailable</x:v>
      </x:c>
    </x:row>
    <x:row r="202">
      <x:c r="A202" s="252" t="str">
        <x:v>33911536</x:v>
      </x:c>
      <x:c r="B202" s="253" t="str">
        <x:v>WS1</x:v>
      </x:c>
      <x:c r="C202" s="253" t="str">
        <x:v>MB8</x:v>
      </x:c>
      <x:c r="D202" s="262" t="n">
        <x:v>46128.94106481481</x:v>
      </x:c>
      <x:c r="E202" s="259" t="n">
        <x:v>46128.166666666664</x:v>
      </x:c>
      <x:c r="F202" s="253" t="str">
        <x:v>1190013</x:v>
      </x:c>
      <x:c r="G202" s="253" t="str">
        <x:v>Seong9723</x:v>
      </x:c>
      <x:c r="H202" s="253" t="str">
        <x:v>Yes</x:v>
      </x:c>
      <x:c r="I202" s="253" t="str"/>
      <x:c r="J202" s="253" t="str"/>
      <x:c r="K202" s="259"/>
      <x:c r="L202" s="268" t="str">
        <x:f>IFERROR(VLOOKUP(I202,'Handler-Team Map'!$A$7:$C$17,2,FALSE),"")</x:f>
      </x:c>
      <x:c r="M202" s="268" t="str">
        <x:f>IFERROR(VLOOKUP(I202,'Handler-Team Map'!$A$7:$C$17,3,FALSE),"")</x:f>
      </x:c>
      <x:c r="N202" s="274" t="str">
        <x:v>FT_VM_DEP700_GET300_2X</x:v>
      </x:c>
      <x:c r="O202" s="274" t="str">
        <x:v>VIP BONUS - Deposit 700 Get 300 - 2x TO</x:v>
      </x:c>
      <x:c r="P202" s="274" t="str">
        <x:v>DepositBonus</x:v>
      </x:c>
      <x:c r="Q202" s="274" t="str">
        <x:v>Approved</x:v>
      </x:c>
      <x:c r="R202" s="265" t="n">
        <x:v>300</x:v>
      </x:c>
      <x:c r="S202" s="253" t="str">
        <x:v>Yes</x:v>
      </x:c>
      <x:c r="T202" s="265" t="n">
        <x:v>9035</x:v>
      </x:c>
      <x:c r="U202" s="253" t="str">
        <x:f>IF(AND(S202="Yes",T202=0),"Yes","No")</x:f>
        <x:v>No</x:v>
      </x:c>
      <x:c r="V202" s="253" t="str">
        <x:v>Yes</x:v>
      </x:c>
      <x:c r="W202" s="253" t="str">
        <x:v>Yes</x:v>
      </x:c>
      <x:c r="X202" s="259" t="n">
        <x:v>46128.166666666664</x:v>
      </x:c>
      <x:c r="Y202" s="265" t="n">
        <x:v>700</x:v>
      </x:c>
      <x:c r="Z202" s="265" t="n">
        <x:v>700</x:v>
      </x:c>
      <x:c r="AA202" s="253" t="str">
        <x:f>IF(V202="No","Maturing",IF(AND(U202="Yes",Y202&gt;0),"Yes","No"))</x:f>
        <x:v>No</x:v>
      </x:c>
      <x:c r="AB202" s="253" t="str">
        <x:f>IF(W202="No","Maturing",IF(AND(U202="Yes",Z202&gt;0),"Yes","No"))</x:f>
        <x:v>No</x:v>
      </x:c>
      <x:c r="AC202" s="265" t="n">
        <x:v>700</x:v>
      </x:c>
      <x:c r="AD202" s="265" t="n">
        <x:v>700</x:v>
      </x:c>
      <x:c r="AE202" s="271" t="str"/>
      <x:c r="AF202" s="274" t="str">
        <x:v>Not validated - no control/holdout</x:v>
      </x:c>
      <x:c r="AG202" s="277" t="str">
        <x:v>Recovered execution only; assignment date and unclaimed-offer denominator unavailable</x:v>
      </x:c>
    </x:row>
    <x:row r="203">
      <x:c r="A203" s="252" t="str">
        <x:v>33911992</x:v>
      </x:c>
      <x:c r="B203" s="253" t="str">
        <x:v>WS1</x:v>
      </x:c>
      <x:c r="C203" s="253" t="str">
        <x:v>MB8</x:v>
      </x:c>
      <x:c r="D203" s="262" t="n">
        <x:v>46128.961805555555</x:v>
      </x:c>
      <x:c r="E203" s="259" t="n">
        <x:v>46128.166666666664</x:v>
      </x:c>
      <x:c r="F203" s="253" t="str">
        <x:v>108627</x:v>
      </x:c>
      <x:c r="G203" s="253" t="str">
        <x:v>aliceliang84</x:v>
      </x:c>
      <x:c r="H203" s="253" t="str">
        <x:v>Yes</x:v>
      </x:c>
      <x:c r="I203" s="253" t="str">
        <x:v>Serene</x:v>
      </x:c>
      <x:c r="J203" s="253" t="str">
        <x:v>Serene</x:v>
      </x:c>
      <x:c r="K203" s="259" t="n">
        <x:v>45831.166666666664</x:v>
      </x:c>
      <x:c r="L203" s="268" t="str">
        <x:f>IFERROR(VLOOKUP(I203,'Handler-Team Map'!$A$7:$C$17,2,FALSE),"")</x:f>
      </x:c>
      <x:c r="M203" s="268" t="str">
        <x:f>IFERROR(VLOOKUP(I203,'Handler-Team Map'!$A$7:$C$17,3,FALSE),"")</x:f>
      </x:c>
      <x:c r="N203" s="274" t="str">
        <x:v>FT_VM_DEP1000_GET800_2X</x:v>
      </x:c>
      <x:c r="O203" s="274" t="str">
        <x:v>VIP BONUS - Deposit 1000 Get 800 - 2x TO</x:v>
      </x:c>
      <x:c r="P203" s="274" t="str">
        <x:v>DepositBonus</x:v>
      </x:c>
      <x:c r="Q203" s="274" t="str">
        <x:v>Approved</x:v>
      </x:c>
      <x:c r="R203" s="265" t="n">
        <x:v>800</x:v>
      </x:c>
      <x:c r="S203" s="253" t="str">
        <x:v>Yes</x:v>
      </x:c>
      <x:c r="T203" s="265" t="n">
        <x:v>1000</x:v>
      </x:c>
      <x:c r="U203" s="253" t="str">
        <x:f>IF(AND(S203="Yes",T203=0),"Yes","No")</x:f>
        <x:v>No</x:v>
      </x:c>
      <x:c r="V203" s="253" t="str">
        <x:v>Yes</x:v>
      </x:c>
      <x:c r="W203" s="253" t="str">
        <x:v>Yes</x:v>
      </x:c>
      <x:c r="X203" s="259" t="n">
        <x:v>46128.166666666664</x:v>
      </x:c>
      <x:c r="Y203" s="265" t="n">
        <x:v>1000</x:v>
      </x:c>
      <x:c r="Z203" s="265" t="n">
        <x:v>1000</x:v>
      </x:c>
      <x:c r="AA203" s="253" t="str">
        <x:f>IF(V203="No","Maturing",IF(AND(U203="Yes",Y203&gt;0),"Yes","No"))</x:f>
        <x:v>No</x:v>
      </x:c>
      <x:c r="AB203" s="253" t="str">
        <x:f>IF(W203="No","Maturing",IF(AND(U203="Yes",Z203&gt;0),"Yes","No"))</x:f>
        <x:v>No</x:v>
      </x:c>
      <x:c r="AC203" s="265" t="n">
        <x:v>-1302.96</x:v>
      </x:c>
      <x:c r="AD203" s="265" t="n">
        <x:v>-1302.96</x:v>
      </x:c>
      <x:c r="AE203" s="271" t="str"/>
      <x:c r="AF203" s="274" t="str">
        <x:v>Not validated - no control/holdout</x:v>
      </x:c>
      <x:c r="AG203" s="277" t="str">
        <x:v>Recovered execution only; assignment date and unclaimed-offer denominator unavailable</x:v>
      </x:c>
    </x:row>
    <x:row r="204">
      <x:c r="A204" s="252" t="str">
        <x:v>33914094</x:v>
      </x:c>
      <x:c r="B204" s="253" t="str">
        <x:v>WS1</x:v>
      </x:c>
      <x:c r="C204" s="253" t="str">
        <x:v>MB8</x:v>
      </x:c>
      <x:c r="D204" s="262" t="n">
        <x:v>46129.053761574076</x:v>
      </x:c>
      <x:c r="E204" s="259" t="n">
        <x:v>46129.166666666664</x:v>
      </x:c>
      <x:c r="F204" s="253" t="str">
        <x:v>564867</x:v>
      </x:c>
      <x:c r="G204" s="253" t="str">
        <x:v>Nageen</x:v>
      </x:c>
      <x:c r="H204" s="253" t="str">
        <x:v>Yes</x:v>
      </x:c>
      <x:c r="I204" s="253" t="str">
        <x:v>Claire</x:v>
      </x:c>
      <x:c r="J204" s="253" t="str">
        <x:v>Claire</x:v>
      </x:c>
      <x:c r="K204" s="259" t="n">
        <x:v>45659.166666666664</x:v>
      </x:c>
      <x:c r="L204" s="268" t="str">
        <x:f>IFERROR(VLOOKUP(I204,'Handler-Team Map'!$A$7:$C$17,2,FALSE),"")</x:f>
      </x:c>
      <x:c r="M204" s="268" t="str">
        <x:f>IFERROR(VLOOKUP(I204,'Handler-Team Map'!$A$7:$C$17,3,FALSE),"")</x:f>
      </x:c>
      <x:c r="N204" s="274" t="str">
        <x:v>FT_VM_DEP1200_GET600_1X</x:v>
      </x:c>
      <x:c r="O204" s="274" t="str">
        <x:v>VIP BONUS - Deposit 1200 Get 600 - 1x TO</x:v>
      </x:c>
      <x:c r="P204" s="274" t="str">
        <x:v>DepositBonus</x:v>
      </x:c>
      <x:c r="Q204" s="274" t="str">
        <x:v>Approved</x:v>
      </x:c>
      <x:c r="R204" s="265" t="n">
        <x:v>600</x:v>
      </x:c>
      <x:c r="S204" s="253" t="str">
        <x:v>Yes</x:v>
      </x:c>
      <x:c r="T204" s="265" t="n">
        <x:v>84870.8</x:v>
      </x:c>
      <x:c r="U204" s="253" t="str">
        <x:f>IF(AND(S204="Yes",T204=0),"Yes","No")</x:f>
        <x:v>No</x:v>
      </x:c>
      <x:c r="V204" s="253" t="str">
        <x:v>Yes</x:v>
      </x:c>
      <x:c r="W204" s="253" t="str">
        <x:v>Yes</x:v>
      </x:c>
      <x:c r="X204" s="259" t="n">
        <x:v>46129.166666666664</x:v>
      </x:c>
      <x:c r="Y204" s="265" t="n">
        <x:v>16456</x:v>
      </x:c>
      <x:c r="Z204" s="265" t="n">
        <x:v>28567</x:v>
      </x:c>
      <x:c r="AA204" s="253" t="str">
        <x:f>IF(V204="No","Maturing",IF(AND(U204="Yes",Y204&gt;0),"Yes","No"))</x:f>
        <x:v>No</x:v>
      </x:c>
      <x:c r="AB204" s="253" t="str">
        <x:f>IF(W204="No","Maturing",IF(AND(U204="Yes",Z204&gt;0),"Yes","No"))</x:f>
        <x:v>No</x:v>
      </x:c>
      <x:c r="AC204" s="265" t="n">
        <x:v>-3838.81</x:v>
      </x:c>
      <x:c r="AD204" s="265" t="n">
        <x:v>954.87</x:v>
      </x:c>
      <x:c r="AE204" s="271" t="str"/>
      <x:c r="AF204" s="274" t="str">
        <x:v>Not validated - no control/holdout</x:v>
      </x:c>
      <x:c r="AG204" s="277" t="str">
        <x:v>Recovered execution only; assignment date and unclaimed-offer denominator unavailable</x:v>
      </x:c>
    </x:row>
    <x:row r="205">
      <x:c r="A205" s="252" t="str">
        <x:v>33915716</x:v>
      </x:c>
      <x:c r="B205" s="253" t="str">
        <x:v>WS1</x:v>
      </x:c>
      <x:c r="C205" s="253" t="str">
        <x:v>MB8</x:v>
      </x:c>
      <x:c r="D205" s="262" t="n">
        <x:v>46129.18239583333</x:v>
      </x:c>
      <x:c r="E205" s="259" t="n">
        <x:v>46129.166666666664</x:v>
      </x:c>
      <x:c r="F205" s="253" t="str">
        <x:v>422328</x:v>
      </x:c>
      <x:c r="G205" s="253" t="str">
        <x:v>yap5643</x:v>
      </x:c>
      <x:c r="H205" s="253" t="str">
        <x:v>Yes</x:v>
      </x:c>
      <x:c r="I205" s="253" t="str">
        <x:v>Claire</x:v>
      </x:c>
      <x:c r="J205" s="253" t="str">
        <x:v>Claire</x:v>
      </x:c>
      <x:c r="K205" s="259" t="n">
        <x:v>45659.166666666664</x:v>
      </x:c>
      <x:c r="L205" s="268" t="str">
        <x:f>IFERROR(VLOOKUP(I205,'Handler-Team Map'!$A$7:$C$17,2,FALSE),"")</x:f>
      </x:c>
      <x:c r="M205" s="268" t="str">
        <x:f>IFERROR(VLOOKUP(I205,'Handler-Team Map'!$A$7:$C$17,3,FALSE),"")</x:f>
      </x:c>
      <x:c r="N205" s="274" t="str">
        <x:v>FT_VM_DEP1000_GET500_5X</x:v>
      </x:c>
      <x:c r="O205" s="274" t="str">
        <x:v>VIP BONUS - Deposit 1000 Get 500 - 5x TO</x:v>
      </x:c>
      <x:c r="P205" s="274" t="str">
        <x:v>DepositBonus</x:v>
      </x:c>
      <x:c r="Q205" s="274" t="str">
        <x:v>Approved</x:v>
      </x:c>
      <x:c r="R205" s="265" t="n">
        <x:v>500</x:v>
      </x:c>
      <x:c r="S205" s="253" t="str">
        <x:v>Yes</x:v>
      </x:c>
      <x:c r="T205" s="265" t="n">
        <x:v>489350</x:v>
      </x:c>
      <x:c r="U205" s="253" t="str">
        <x:f>IF(AND(S205="Yes",T205=0),"Yes","No")</x:f>
        <x:v>No</x:v>
      </x:c>
      <x:c r="V205" s="253" t="str">
        <x:v>Yes</x:v>
      </x:c>
      <x:c r="W205" s="253" t="str">
        <x:v>Yes</x:v>
      </x:c>
      <x:c r="X205" s="259" t="n">
        <x:v>46129.166666666664</x:v>
      </x:c>
      <x:c r="Y205" s="265" t="n">
        <x:v>42500</x:v>
      </x:c>
      <x:c r="Z205" s="265" t="n">
        <x:v>82800</x:v>
      </x:c>
      <x:c r="AA205" s="253" t="str">
        <x:f>IF(V205="No","Maturing",IF(AND(U205="Yes",Y205&gt;0),"Yes","No"))</x:f>
        <x:v>No</x:v>
      </x:c>
      <x:c r="AB205" s="253" t="str">
        <x:f>IF(W205="No","Maturing",IF(AND(U205="Yes",Z205&gt;0),"Yes","No"))</x:f>
        <x:v>No</x:v>
      </x:c>
      <x:c r="AC205" s="265" t="n">
        <x:v>42465.45</x:v>
      </x:c>
      <x:c r="AD205" s="265" t="n">
        <x:v>81981.42</x:v>
      </x:c>
      <x:c r="AE205" s="271" t="str"/>
      <x:c r="AF205" s="274" t="str">
        <x:v>Not validated - no control/holdout</x:v>
      </x:c>
      <x:c r="AG205" s="277" t="str">
        <x:v>Recovered execution only; assignment date and unclaimed-offer denominator unavailable</x:v>
      </x:c>
    </x:row>
    <x:row r="206">
      <x:c r="A206" s="252" t="str">
        <x:v>33916293</x:v>
      </x:c>
      <x:c r="B206" s="253" t="str">
        <x:v>WS1</x:v>
      </x:c>
      <x:c r="C206" s="253" t="str">
        <x:v>MB8</x:v>
      </x:c>
      <x:c r="D206" s="262" t="n">
        <x:v>46129.287152777775</x:v>
      </x:c>
      <x:c r="E206" s="259" t="n">
        <x:v>46129.166666666664</x:v>
      </x:c>
      <x:c r="F206" s="253" t="str">
        <x:v>685663</x:v>
      </x:c>
      <x:c r="G206" s="253" t="str">
        <x:v>Cristian98</x:v>
      </x:c>
      <x:c r="H206" s="253" t="str">
        <x:v>Yes</x:v>
      </x:c>
      <x:c r="I206" s="253" t="str">
        <x:v>Elda</x:v>
      </x:c>
      <x:c r="J206" s="253" t="str">
        <x:v>Elda</x:v>
      </x:c>
      <x:c r="K206" s="259" t="n">
        <x:v>45790.166666666664</x:v>
      </x:c>
      <x:c r="L206" s="268" t="str">
        <x:f>IFERROR(VLOOKUP(I206,'Handler-Team Map'!$A$7:$C$17,2,FALSE),"")</x:f>
      </x:c>
      <x:c r="M206" s="268" t="str">
        <x:f>IFERROR(VLOOKUP(I206,'Handler-Team Map'!$A$7:$C$17,3,FALSE),"")</x:f>
      </x:c>
      <x:c r="N206" s="274" t="str">
        <x:v>FT_VM_DEP1000_GET500_5X</x:v>
      </x:c>
      <x:c r="O206" s="274" t="str">
        <x:v>VIP BONUS - Deposit 1000 Get 500 - 5x TO</x:v>
      </x:c>
      <x:c r="P206" s="274" t="str">
        <x:v>DepositBonus</x:v>
      </x:c>
      <x:c r="Q206" s="274" t="str">
        <x:v>Approved</x:v>
      </x:c>
      <x:c r="R206" s="265" t="n">
        <x:v>500</x:v>
      </x:c>
      <x:c r="S206" s="253" t="str">
        <x:v>Yes</x:v>
      </x:c>
      <x:c r="T206" s="265" t="n">
        <x:v>17396</x:v>
      </x:c>
      <x:c r="U206" s="253" t="str">
        <x:f>IF(AND(S206="Yes",T206=0),"Yes","No")</x:f>
        <x:v>No</x:v>
      </x:c>
      <x:c r="V206" s="253" t="str">
        <x:v>Yes</x:v>
      </x:c>
      <x:c r="W206" s="253" t="str">
        <x:v>Yes</x:v>
      </x:c>
      <x:c r="X206" s="259" t="n">
        <x:v>46129.166666666664</x:v>
      </x:c>
      <x:c r="Y206" s="265" t="n">
        <x:v>17789</x:v>
      </x:c>
      <x:c r="Z206" s="265" t="n">
        <x:v>24948</x:v>
      </x:c>
      <x:c r="AA206" s="253" t="str">
        <x:f>IF(V206="No","Maturing",IF(AND(U206="Yes",Y206&gt;0),"Yes","No"))</x:f>
        <x:v>No</x:v>
      </x:c>
      <x:c r="AB206" s="253" t="str">
        <x:f>IF(W206="No","Maturing",IF(AND(U206="Yes",Z206&gt;0),"Yes","No"))</x:f>
        <x:v>No</x:v>
      </x:c>
      <x:c r="AC206" s="265" t="n">
        <x:v>8816.06</x:v>
      </x:c>
      <x:c r="AD206" s="265" t="n">
        <x:v>14426.76</x:v>
      </x:c>
      <x:c r="AE206" s="271" t="str"/>
      <x:c r="AF206" s="274" t="str">
        <x:v>Not validated - no control/holdout</x:v>
      </x:c>
      <x:c r="AG206" s="277" t="str">
        <x:v>Recovered execution only; assignment date and unclaimed-offer denominator unavailable</x:v>
      </x:c>
    </x:row>
    <x:row r="207">
      <x:c r="A207" s="252" t="str">
        <x:v>33917663</x:v>
      </x:c>
      <x:c r="B207" s="253" t="str">
        <x:v>WS1</x:v>
      </x:c>
      <x:c r="C207" s="253" t="str">
        <x:v>MB8</x:v>
      </x:c>
      <x:c r="D207" s="262" t="n">
        <x:v>46129.45888888889</x:v>
      </x:c>
      <x:c r="E207" s="259" t="n">
        <x:v>46129.166666666664</x:v>
      </x:c>
      <x:c r="F207" s="253" t="str">
        <x:v>834759</x:v>
      </x:c>
      <x:c r="G207" s="253" t="str">
        <x:v>chenyeow</x:v>
      </x:c>
      <x:c r="H207" s="253" t="str">
        <x:v>Yes</x:v>
      </x:c>
      <x:c r="I207" s="253" t="str">
        <x:v>zhen</x:v>
      </x:c>
      <x:c r="J207" s="253" t="str">
        <x:v>zhen</x:v>
      </x:c>
      <x:c r="K207" s="259" t="n">
        <x:v>45922.166666666664</x:v>
      </x:c>
      <x:c r="L207" s="268" t="str">
        <x:f>IFERROR(VLOOKUP(I207,'Handler-Team Map'!$A$7:$C$17,2,FALSE),"")</x:f>
      </x:c>
      <x:c r="M207" s="268" t="str">
        <x:f>IFERROR(VLOOKUP(I207,'Handler-Team Map'!$A$7:$C$17,3,FALSE),"")</x:f>
      </x:c>
      <x:c r="N207" s="274" t="str">
        <x:v>FT_VM_DEP1000_GET500_5X</x:v>
      </x:c>
      <x:c r="O207" s="274" t="str">
        <x:v>VIP BONUS - Deposit 1000 Get 500 - 5x TO</x:v>
      </x:c>
      <x:c r="P207" s="274" t="str">
        <x:v>DepositBonus</x:v>
      </x:c>
      <x:c r="Q207" s="274" t="str">
        <x:v>Approved</x:v>
      </x:c>
      <x:c r="R207" s="265" t="n">
        <x:v>500</x:v>
      </x:c>
      <x:c r="S207" s="253" t="str">
        <x:v>Yes</x:v>
      </x:c>
      <x:c r="T207" s="265" t="n">
        <x:v>4000</x:v>
      </x:c>
      <x:c r="U207" s="253" t="str">
        <x:f>IF(AND(S207="Yes",T207=0),"Yes","No")</x:f>
        <x:v>No</x:v>
      </x:c>
      <x:c r="V207" s="253" t="str">
        <x:v>Yes</x:v>
      </x:c>
      <x:c r="W207" s="253" t="str">
        <x:v>Yes</x:v>
      </x:c>
      <x:c r="X207" s="259" t="n">
        <x:v>46129.166666666664</x:v>
      </x:c>
      <x:c r="Y207" s="265" t="n">
        <x:v>1000</x:v>
      </x:c>
      <x:c r="Z207" s="265" t="n">
        <x:v>1000</x:v>
      </x:c>
      <x:c r="AA207" s="253" t="str">
        <x:f>IF(V207="No","Maturing",IF(AND(U207="Yes",Y207&gt;0),"Yes","No"))</x:f>
        <x:v>No</x:v>
      </x:c>
      <x:c r="AB207" s="253" t="str">
        <x:f>IF(W207="No","Maturing",IF(AND(U207="Yes",Z207&gt;0),"Yes","No"))</x:f>
        <x:v>No</x:v>
      </x:c>
      <x:c r="AC207" s="265" t="n">
        <x:v>1004.51</x:v>
      </x:c>
      <x:c r="AD207" s="265" t="n">
        <x:v>1004.51</x:v>
      </x:c>
      <x:c r="AE207" s="271" t="str"/>
      <x:c r="AF207" s="274" t="str">
        <x:v>Not validated - no control/holdout</x:v>
      </x:c>
      <x:c r="AG207" s="277" t="str">
        <x:v>Recovered execution only; assignment date and unclaimed-offer denominator unavailable</x:v>
      </x:c>
    </x:row>
    <x:row r="208">
      <x:c r="A208" s="252" t="str">
        <x:v>33917768</x:v>
      </x:c>
      <x:c r="B208" s="253" t="str">
        <x:v>WS1</x:v>
      </x:c>
      <x:c r="C208" s="253" t="str">
        <x:v>MB8</x:v>
      </x:c>
      <x:c r="D208" s="262" t="n">
        <x:v>46129.468668981484</x:v>
      </x:c>
      <x:c r="E208" s="259" t="n">
        <x:v>46129.166666666664</x:v>
      </x:c>
      <x:c r="F208" s="253" t="str">
        <x:v>40741</x:v>
      </x:c>
      <x:c r="G208" s="253" t="str">
        <x:v>Gemaunting</x:v>
      </x:c>
      <x:c r="H208" s="253" t="str">
        <x:v>Yes</x:v>
      </x:c>
      <x:c r="I208" s="253" t="str">
        <x:v>Tammy</x:v>
      </x:c>
      <x:c r="J208" s="253" t="str">
        <x:v>Tammy</x:v>
      </x:c>
      <x:c r="K208" s="259" t="n">
        <x:v>45951.166666666664</x:v>
      </x:c>
      <x:c r="L208" s="268" t="str">
        <x:f>IFERROR(VLOOKUP(I208,'Handler-Team Map'!$A$7:$C$17,2,FALSE),"")</x:f>
      </x:c>
      <x:c r="M208" s="268" t="str">
        <x:f>IFERROR(VLOOKUP(I208,'Handler-Team Map'!$A$7:$C$17,3,FALSE),"")</x:f>
      </x:c>
      <x:c r="N208" s="274" t="str">
        <x:v>FT_VM_DEP1000_GET500_5X</x:v>
      </x:c>
      <x:c r="O208" s="274" t="str">
        <x:v>VIP BONUS - Deposit 1000 Get 500 - 5x TO</x:v>
      </x:c>
      <x:c r="P208" s="274" t="str">
        <x:v>DepositBonus</x:v>
      </x:c>
      <x:c r="Q208" s="274" t="str">
        <x:v>Approved</x:v>
      </x:c>
      <x:c r="R208" s="265" t="n">
        <x:v>500</x:v>
      </x:c>
      <x:c r="S208" s="253" t="str">
        <x:v>Yes</x:v>
      </x:c>
      <x:c r="T208" s="265" t="n">
        <x:v>3502</x:v>
      </x:c>
      <x:c r="U208" s="253" t="str">
        <x:f>IF(AND(S208="Yes",T208=0),"Yes","No")</x:f>
        <x:v>No</x:v>
      </x:c>
      <x:c r="V208" s="253" t="str">
        <x:v>Yes</x:v>
      </x:c>
      <x:c r="W208" s="253" t="str">
        <x:v>Yes</x:v>
      </x:c>
      <x:c r="X208" s="259" t="n">
        <x:v>46129.166666666664</x:v>
      </x:c>
      <x:c r="Y208" s="265" t="n">
        <x:v>1000</x:v>
      </x:c>
      <x:c r="Z208" s="265" t="n">
        <x:v>5730</x:v>
      </x:c>
      <x:c r="AA208" s="253" t="str">
        <x:f>IF(V208="No","Maturing",IF(AND(U208="Yes",Y208&gt;0),"Yes","No"))</x:f>
        <x:v>No</x:v>
      </x:c>
      <x:c r="AB208" s="253" t="str">
        <x:f>IF(W208="No","Maturing",IF(AND(U208="Yes",Z208&gt;0),"Yes","No"))</x:f>
        <x:v>No</x:v>
      </x:c>
      <x:c r="AC208" s="265" t="n">
        <x:v>954.43</x:v>
      </x:c>
      <x:c r="AD208" s="265" t="n">
        <x:v>-821.91</x:v>
      </x:c>
      <x:c r="AE208" s="271" t="str"/>
      <x:c r="AF208" s="274" t="str">
        <x:v>Not validated - no control/holdout</x:v>
      </x:c>
      <x:c r="AG208" s="277" t="str">
        <x:v>Recovered execution only; assignment date and unclaimed-offer denominator unavailable</x:v>
      </x:c>
    </x:row>
    <x:row r="209">
      <x:c r="A209" s="252" t="str">
        <x:v>33917818</x:v>
      </x:c>
      <x:c r="B209" s="253" t="str">
        <x:v>WS1</x:v>
      </x:c>
      <x:c r="C209" s="253" t="str">
        <x:v>MB8</x:v>
      </x:c>
      <x:c r="D209" s="262" t="n">
        <x:v>46129.4753125</x:v>
      </x:c>
      <x:c r="E209" s="259" t="n">
        <x:v>46129.166666666664</x:v>
      </x:c>
      <x:c r="F209" s="253" t="str">
        <x:v>215824</x:v>
      </x:c>
      <x:c r="G209" s="253" t="str">
        <x:v>Dellsam333</x:v>
      </x:c>
      <x:c r="H209" s="253" t="str">
        <x:v>Yes</x:v>
      </x:c>
      <x:c r="I209" s="253" t="str">
        <x:v>Claire</x:v>
      </x:c>
      <x:c r="J209" s="253" t="str">
        <x:v>Claire</x:v>
      </x:c>
      <x:c r="K209" s="259" t="n">
        <x:v>45659.166666666664</x:v>
      </x:c>
      <x:c r="L209" s="268" t="str">
        <x:f>IFERROR(VLOOKUP(I209,'Handler-Team Map'!$A$7:$C$17,2,FALSE),"")</x:f>
      </x:c>
      <x:c r="M209" s="268" t="str">
        <x:f>IFERROR(VLOOKUP(I209,'Handler-Team Map'!$A$7:$C$17,3,FALSE),"")</x:f>
      </x:c>
      <x:c r="N209" s="274" t="str">
        <x:v>FT_VM_DEP1000_GET800_2X</x:v>
      </x:c>
      <x:c r="O209" s="274" t="str">
        <x:v>VIP BONUS - Deposit 1000 Get 800 - 2x TO</x:v>
      </x:c>
      <x:c r="P209" s="274" t="str">
        <x:v>DepositBonus</x:v>
      </x:c>
      <x:c r="Q209" s="274" t="str">
        <x:v>Approved</x:v>
      </x:c>
      <x:c r="R209" s="265" t="n">
        <x:v>800</x:v>
      </x:c>
      <x:c r="S209" s="253" t="str">
        <x:v>Yes</x:v>
      </x:c>
      <x:c r="T209" s="265" t="n">
        <x:v>1100</x:v>
      </x:c>
      <x:c r="U209" s="253" t="str">
        <x:f>IF(AND(S209="Yes",T209=0),"Yes","No")</x:f>
        <x:v>No</x:v>
      </x:c>
      <x:c r="V209" s="253" t="str">
        <x:v>Yes</x:v>
      </x:c>
      <x:c r="W209" s="253" t="str">
        <x:v>Yes</x:v>
      </x:c>
      <x:c r="X209" s="259" t="n">
        <x:v>46129.166666666664</x:v>
      </x:c>
      <x:c r="Y209" s="265" t="n">
        <x:v>1000</x:v>
      </x:c>
      <x:c r="Z209" s="265" t="n">
        <x:v>1000</x:v>
      </x:c>
      <x:c r="AA209" s="253" t="str">
        <x:f>IF(V209="No","Maturing",IF(AND(U209="Yes",Y209&gt;0),"Yes","No"))</x:f>
        <x:v>No</x:v>
      </x:c>
      <x:c r="AB209" s="253" t="str">
        <x:f>IF(W209="No","Maturing",IF(AND(U209="Yes",Z209&gt;0),"Yes","No"))</x:f>
        <x:v>No</x:v>
      </x:c>
      <x:c r="AC209" s="265" t="n">
        <x:v>990.02</x:v>
      </x:c>
      <x:c r="AD209" s="265" t="n">
        <x:v>990.02</x:v>
      </x:c>
      <x:c r="AE209" s="271" t="str"/>
      <x:c r="AF209" s="274" t="str">
        <x:v>Not validated - no control/holdout</x:v>
      </x:c>
      <x:c r="AG209" s="277" t="str">
        <x:v>Recovered execution only; assignment date and unclaimed-offer denominator unavailable</x:v>
      </x:c>
    </x:row>
    <x:row r="210">
      <x:c r="A210" s="252" t="str">
        <x:v>33918430</x:v>
      </x:c>
      <x:c r="B210" s="253" t="str">
        <x:v>WS1</x:v>
      </x:c>
      <x:c r="C210" s="253" t="str">
        <x:v>MB8</x:v>
      </x:c>
      <x:c r="D210" s="262" t="n">
        <x:v>46129.52989583334</x:v>
      </x:c>
      <x:c r="E210" s="259" t="n">
        <x:v>46129.166666666664</x:v>
      </x:c>
      <x:c r="F210" s="253" t="str">
        <x:v>158072</x:v>
      </x:c>
      <x:c r="G210" s="253" t="str">
        <x:v>jackycheng7</x:v>
      </x:c>
      <x:c r="H210" s="253" t="str">
        <x:v>Yes</x:v>
      </x:c>
      <x:c r="I210" s="253" t="str"/>
      <x:c r="J210" s="253" t="str"/>
      <x:c r="K210" s="259"/>
      <x:c r="L210" s="268" t="str">
        <x:f>IFERROR(VLOOKUP(I210,'Handler-Team Map'!$A$7:$C$17,2,FALSE),"")</x:f>
      </x:c>
      <x:c r="M210" s="268" t="str">
        <x:f>IFERROR(VLOOKUP(I210,'Handler-Team Map'!$A$7:$C$17,3,FALSE),"")</x:f>
      </x:c>
      <x:c r="N210" s="274" t="str">
        <x:v>FT_VM_DEP700_GET300_2X</x:v>
      </x:c>
      <x:c r="O210" s="274" t="str">
        <x:v>VIP BONUS - Deposit 700 Get 300 - 2x TO</x:v>
      </x:c>
      <x:c r="P210" s="274" t="str">
        <x:v>DepositBonus</x:v>
      </x:c>
      <x:c r="Q210" s="274" t="str">
        <x:v>Approved</x:v>
      </x:c>
      <x:c r="R210" s="265" t="n">
        <x:v>300</x:v>
      </x:c>
      <x:c r="S210" s="253" t="str">
        <x:v>Yes</x:v>
      </x:c>
      <x:c r="T210" s="265" t="n">
        <x:v>1200</x:v>
      </x:c>
      <x:c r="U210" s="253" t="str">
        <x:f>IF(AND(S210="Yes",T210=0),"Yes","No")</x:f>
        <x:v>No</x:v>
      </x:c>
      <x:c r="V210" s="253" t="str">
        <x:v>Yes</x:v>
      </x:c>
      <x:c r="W210" s="253" t="str">
        <x:v>Yes</x:v>
      </x:c>
      <x:c r="X210" s="259" t="n">
        <x:v>46129.166666666664</x:v>
      </x:c>
      <x:c r="Y210" s="265" t="n">
        <x:v>900</x:v>
      </x:c>
      <x:c r="Z210" s="265" t="n">
        <x:v>1000</x:v>
      </x:c>
      <x:c r="AA210" s="253" t="str">
        <x:f>IF(V210="No","Maturing",IF(AND(U210="Yes",Y210&gt;0),"Yes","No"))</x:f>
        <x:v>No</x:v>
      </x:c>
      <x:c r="AB210" s="253" t="str">
        <x:f>IF(W210="No","Maturing",IF(AND(U210="Yes",Z210&gt;0),"Yes","No"))</x:f>
        <x:v>No</x:v>
      </x:c>
      <x:c r="AC210" s="265" t="n">
        <x:v>-307.32</x:v>
      </x:c>
      <x:c r="AD210" s="265" t="n">
        <x:v>-196.42</x:v>
      </x:c>
      <x:c r="AE210" s="271" t="str"/>
      <x:c r="AF210" s="274" t="str">
        <x:v>Not validated - no control/holdout</x:v>
      </x:c>
      <x:c r="AG210" s="277" t="str">
        <x:v>Recovered execution only; assignment date and unclaimed-offer denominator unavailable</x:v>
      </x:c>
    </x:row>
    <x:row r="211">
      <x:c r="A211" s="252" t="str">
        <x:v>33918923</x:v>
      </x:c>
      <x:c r="B211" s="253" t="str">
        <x:v>WS1</x:v>
      </x:c>
      <x:c r="C211" s="253" t="str">
        <x:v>MB8</x:v>
      </x:c>
      <x:c r="D211" s="262" t="n">
        <x:v>46129.56402777778</x:v>
      </x:c>
      <x:c r="E211" s="259" t="n">
        <x:v>46129.166666666664</x:v>
      </x:c>
      <x:c r="F211" s="253" t="str">
        <x:v>1110473</x:v>
      </x:c>
      <x:c r="G211" s="253" t="str">
        <x:v>AlexTingSieSing</x:v>
      </x:c>
      <x:c r="H211" s="253" t="str">
        <x:v>Yes</x:v>
      </x:c>
      <x:c r="I211" s="253" t="str">
        <x:v>zhen</x:v>
      </x:c>
      <x:c r="J211" s="253" t="str">
        <x:v>zhen</x:v>
      </x:c>
      <x:c r="K211" s="259" t="n">
        <x:v>45922.166666666664</x:v>
      </x:c>
      <x:c r="L211" s="268" t="str">
        <x:f>IFERROR(VLOOKUP(I211,'Handler-Team Map'!$A$7:$C$17,2,FALSE),"")</x:f>
      </x:c>
      <x:c r="M211" s="268" t="str">
        <x:f>IFERROR(VLOOKUP(I211,'Handler-Team Map'!$A$7:$C$17,3,FALSE),"")</x:f>
      </x:c>
      <x:c r="N211" s="274" t="str">
        <x:v>FT_VM_DEP1000_GET800_2X</x:v>
      </x:c>
      <x:c r="O211" s="274" t="str">
        <x:v>VIP BONUS - Deposit 1000 Get 800 - 2x TO</x:v>
      </x:c>
      <x:c r="P211" s="274" t="str">
        <x:v>DepositBonus</x:v>
      </x:c>
      <x:c r="Q211" s="274" t="str">
        <x:v>Approved</x:v>
      </x:c>
      <x:c r="R211" s="265" t="n">
        <x:v>800</x:v>
      </x:c>
      <x:c r="S211" s="253" t="str">
        <x:v>Yes</x:v>
      </x:c>
      <x:c r="T211" s="265" t="n">
        <x:v>1000</x:v>
      </x:c>
      <x:c r="U211" s="253" t="str">
        <x:f>IF(AND(S211="Yes",T211=0),"Yes","No")</x:f>
        <x:v>No</x:v>
      </x:c>
      <x:c r="V211" s="253" t="str">
        <x:v>Yes</x:v>
      </x:c>
      <x:c r="W211" s="253" t="str">
        <x:v>Yes</x:v>
      </x:c>
      <x:c r="X211" s="259" t="n">
        <x:v>46129.166666666664</x:v>
      </x:c>
      <x:c r="Y211" s="265" t="n">
        <x:v>1200</x:v>
      </x:c>
      <x:c r="Z211" s="265" t="n">
        <x:v>1200</x:v>
      </x:c>
      <x:c r="AA211" s="253" t="str">
        <x:f>IF(V211="No","Maturing",IF(AND(U211="Yes",Y211&gt;0),"Yes","No"))</x:f>
        <x:v>No</x:v>
      </x:c>
      <x:c r="AB211" s="253" t="str">
        <x:f>IF(W211="No","Maturing",IF(AND(U211="Yes",Z211&gt;0),"Yes","No"))</x:f>
        <x:v>No</x:v>
      </x:c>
      <x:c r="AC211" s="265" t="n">
        <x:v>-1299.99</x:v>
      </x:c>
      <x:c r="AD211" s="265" t="n">
        <x:v>-1307.42</x:v>
      </x:c>
      <x:c r="AE211" s="271" t="str"/>
      <x:c r="AF211" s="274" t="str">
        <x:v>Not validated - no control/holdout</x:v>
      </x:c>
      <x:c r="AG211" s="277" t="str">
        <x:v>Recovered execution only; assignment date and unclaimed-offer denominator unavailable</x:v>
      </x:c>
    </x:row>
    <x:row r="212">
      <x:c r="A212" s="252" t="str">
        <x:v>33918951</x:v>
      </x:c>
      <x:c r="B212" s="253" t="str">
        <x:v>WS1</x:v>
      </x:c>
      <x:c r="C212" s="253" t="str">
        <x:v>MB8</x:v>
      </x:c>
      <x:c r="D212" s="262" t="n">
        <x:v>46129.565405092595</x:v>
      </x:c>
      <x:c r="E212" s="259" t="n">
        <x:v>46129.166666666664</x:v>
      </x:c>
      <x:c r="F212" s="253" t="str">
        <x:v>815519</x:v>
      </x:c>
      <x:c r="G212" s="253" t="str">
        <x:v>Mac1228</x:v>
      </x:c>
      <x:c r="H212" s="253" t="str">
        <x:v>Yes</x:v>
      </x:c>
      <x:c r="I212" s="253" t="str">
        <x:v>Tammy</x:v>
      </x:c>
      <x:c r="J212" s="253" t="str">
        <x:v>Tammy</x:v>
      </x:c>
      <x:c r="K212" s="259" t="n">
        <x:v>45951.166666666664</x:v>
      </x:c>
      <x:c r="L212" s="268" t="str">
        <x:f>IFERROR(VLOOKUP(I212,'Handler-Team Map'!$A$7:$C$17,2,FALSE),"")</x:f>
      </x:c>
      <x:c r="M212" s="268" t="str">
        <x:f>IFERROR(VLOOKUP(I212,'Handler-Team Map'!$A$7:$C$17,3,FALSE),"")</x:f>
      </x:c>
      <x:c r="N212" s="274" t="str">
        <x:v>FT_VM_DEP1000_GET500_5X</x:v>
      </x:c>
      <x:c r="O212" s="274" t="str">
        <x:v>VIP BONUS - Deposit 1000 Get 500 - 5x TO</x:v>
      </x:c>
      <x:c r="P212" s="274" t="str">
        <x:v>DepositBonus</x:v>
      </x:c>
      <x:c r="Q212" s="274" t="str">
        <x:v>Approved</x:v>
      </x:c>
      <x:c r="R212" s="265" t="n">
        <x:v>500</x:v>
      </x:c>
      <x:c r="S212" s="253" t="str">
        <x:v>Yes</x:v>
      </x:c>
      <x:c r="T212" s="265" t="n">
        <x:v>27600</x:v>
      </x:c>
      <x:c r="U212" s="253" t="str">
        <x:f>IF(AND(S212="Yes",T212=0),"Yes","No")</x:f>
        <x:v>No</x:v>
      </x:c>
      <x:c r="V212" s="253" t="str">
        <x:v>Yes</x:v>
      </x:c>
      <x:c r="W212" s="253" t="str">
        <x:v>Yes</x:v>
      </x:c>
      <x:c r="X212" s="259" t="n">
        <x:v>46129.166666666664</x:v>
      </x:c>
      <x:c r="Y212" s="265" t="n">
        <x:v>1600</x:v>
      </x:c>
      <x:c r="Z212" s="265" t="n">
        <x:v>3700</x:v>
      </x:c>
      <x:c r="AA212" s="253" t="str">
        <x:f>IF(V212="No","Maturing",IF(AND(U212="Yes",Y212&gt;0),"Yes","No"))</x:f>
        <x:v>No</x:v>
      </x:c>
      <x:c r="AB212" s="253" t="str">
        <x:f>IF(W212="No","Maturing",IF(AND(U212="Yes",Z212&gt;0),"Yes","No"))</x:f>
        <x:v>No</x:v>
      </x:c>
      <x:c r="AC212" s="265" t="n">
        <x:v>1592.14</x:v>
      </x:c>
      <x:c r="AD212" s="265" t="n">
        <x:v>3673.34</x:v>
      </x:c>
      <x:c r="AE212" s="271" t="str"/>
      <x:c r="AF212" s="274" t="str">
        <x:v>Not validated - no control/holdout</x:v>
      </x:c>
      <x:c r="AG212" s="277" t="str">
        <x:v>Recovered execution only; assignment date and unclaimed-offer denominator unavailable</x:v>
      </x:c>
    </x:row>
    <x:row r="213">
      <x:c r="A213" s="252" t="str">
        <x:v>33919631</x:v>
      </x:c>
      <x:c r="B213" s="253" t="str">
        <x:v>WS1</x:v>
      </x:c>
      <x:c r="C213" s="253" t="str">
        <x:v>MB8</x:v>
      </x:c>
      <x:c r="D213" s="262" t="n">
        <x:v>46129.62458333333</x:v>
      </x:c>
      <x:c r="E213" s="259" t="n">
        <x:v>46129.166666666664</x:v>
      </x:c>
      <x:c r="F213" s="253" t="str">
        <x:v>302345</x:v>
      </x:c>
      <x:c r="G213" s="253" t="str">
        <x:v>bujiangfatt</x:v>
      </x:c>
      <x:c r="H213" s="253" t="str">
        <x:v>Yes</x:v>
      </x:c>
      <x:c r="I213" s="253" t="str">
        <x:v>Elda</x:v>
      </x:c>
      <x:c r="J213" s="253" t="str">
        <x:v>Elda</x:v>
      </x:c>
      <x:c r="K213" s="259" t="n">
        <x:v>45659.166666666664</x:v>
      </x:c>
      <x:c r="L213" s="268" t="str">
        <x:f>IFERROR(VLOOKUP(I213,'Handler-Team Map'!$A$7:$C$17,2,FALSE),"")</x:f>
      </x:c>
      <x:c r="M213" s="268" t="str">
        <x:f>IFERROR(VLOOKUP(I213,'Handler-Team Map'!$A$7:$C$17,3,FALSE),"")</x:f>
      </x:c>
      <x:c r="N213" s="274" t="str">
        <x:v>FT_VM_DEP1000_GET500_5X</x:v>
      </x:c>
      <x:c r="O213" s="274" t="str">
        <x:v>VIP BONUS - Deposit 1000 Get 500 - 5x TO</x:v>
      </x:c>
      <x:c r="P213" s="274" t="str">
        <x:v>DepositBonus</x:v>
      </x:c>
      <x:c r="Q213" s="274" t="str">
        <x:v>Approved</x:v>
      </x:c>
      <x:c r="R213" s="265" t="n">
        <x:v>500</x:v>
      </x:c>
      <x:c r="S213" s="253" t="str">
        <x:v>Yes</x:v>
      </x:c>
      <x:c r="T213" s="265" t="n">
        <x:v>9350</x:v>
      </x:c>
      <x:c r="U213" s="253" t="str">
        <x:f>IF(AND(S213="Yes",T213=0),"Yes","No")</x:f>
        <x:v>No</x:v>
      </x:c>
      <x:c r="V213" s="253" t="str">
        <x:v>Yes</x:v>
      </x:c>
      <x:c r="W213" s="253" t="str">
        <x:v>Yes</x:v>
      </x:c>
      <x:c r="X213" s="259" t="n">
        <x:v>46129.166666666664</x:v>
      </x:c>
      <x:c r="Y213" s="265" t="n">
        <x:v>7930</x:v>
      </x:c>
      <x:c r="Z213" s="265" t="n">
        <x:v>9930</x:v>
      </x:c>
      <x:c r="AA213" s="253" t="str">
        <x:f>IF(V213="No","Maturing",IF(AND(U213="Yes",Y213&gt;0),"Yes","No"))</x:f>
        <x:v>No</x:v>
      </x:c>
      <x:c r="AB213" s="253" t="str">
        <x:f>IF(W213="No","Maturing",IF(AND(U213="Yes",Z213&gt;0),"Yes","No"))</x:f>
        <x:v>No</x:v>
      </x:c>
      <x:c r="AC213" s="265" t="n">
        <x:v>5380.88</x:v>
      </x:c>
      <x:c r="AD213" s="265" t="n">
        <x:v>7380.7</x:v>
      </x:c>
      <x:c r="AE213" s="271" t="str"/>
      <x:c r="AF213" s="274" t="str">
        <x:v>Not validated - no control/holdout</x:v>
      </x:c>
      <x:c r="AG213" s="277" t="str">
        <x:v>Recovered execution only; assignment date and unclaimed-offer denominator unavailable</x:v>
      </x:c>
    </x:row>
    <x:row r="214">
      <x:c r="A214" s="252" t="str">
        <x:v>33920569</x:v>
      </x:c>
      <x:c r="B214" s="253" t="str">
        <x:v>WS1</x:v>
      </x:c>
      <x:c r="C214" s="253" t="str">
        <x:v>MB8</x:v>
      </x:c>
      <x:c r="D214" s="262" t="n">
        <x:v>46129.68475694444</x:v>
      </x:c>
      <x:c r="E214" s="259" t="n">
        <x:v>46129.166666666664</x:v>
      </x:c>
      <x:c r="F214" s="253" t="str">
        <x:v>335410</x:v>
      </x:c>
      <x:c r="G214" s="253" t="str">
        <x:v>Joe6866</x:v>
      </x:c>
      <x:c r="H214" s="253" t="str">
        <x:v>Yes</x:v>
      </x:c>
      <x:c r="I214" s="253" t="str">
        <x:v>Elda</x:v>
      </x:c>
      <x:c r="J214" s="253" t="str">
        <x:v>Elda</x:v>
      </x:c>
      <x:c r="K214" s="259" t="n">
        <x:v>45659.166666666664</x:v>
      </x:c>
      <x:c r="L214" s="268" t="str">
        <x:f>IFERROR(VLOOKUP(I214,'Handler-Team Map'!$A$7:$C$17,2,FALSE),"")</x:f>
      </x:c>
      <x:c r="M214" s="268" t="str">
        <x:f>IFERROR(VLOOKUP(I214,'Handler-Team Map'!$A$7:$C$17,3,FALSE),"")</x:f>
      </x:c>
      <x:c r="N214" s="274" t="str">
        <x:v>FT_VM_DEP600_GET200_5X</x:v>
      </x:c>
      <x:c r="O214" s="274" t="str">
        <x:v>VIP BONUS - Deposit 600 Get 200 - 5x TO</x:v>
      </x:c>
      <x:c r="P214" s="274" t="str">
        <x:v>DepositBonus</x:v>
      </x:c>
      <x:c r="Q214" s="274" t="str">
        <x:v>Approved</x:v>
      </x:c>
      <x:c r="R214" s="265" t="n">
        <x:v>200</x:v>
      </x:c>
      <x:c r="S214" s="253" t="str">
        <x:v>Yes</x:v>
      </x:c>
      <x:c r="T214" s="265" t="n">
        <x:v>16118</x:v>
      </x:c>
      <x:c r="U214" s="253" t="str">
        <x:f>IF(AND(S214="Yes",T214=0),"Yes","No")</x:f>
        <x:v>No</x:v>
      </x:c>
      <x:c r="V214" s="253" t="str">
        <x:v>Yes</x:v>
      </x:c>
      <x:c r="W214" s="253" t="str">
        <x:v>Yes</x:v>
      </x:c>
      <x:c r="X214" s="259" t="n">
        <x:v>46129.166666666664</x:v>
      </x:c>
      <x:c r="Y214" s="265" t="n">
        <x:v>6950</x:v>
      </x:c>
      <x:c r="Z214" s="265" t="n">
        <x:v>7722</x:v>
      </x:c>
      <x:c r="AA214" s="253" t="str">
        <x:f>IF(V214="No","Maturing",IF(AND(U214="Yes",Y214&gt;0),"Yes","No"))</x:f>
        <x:v>No</x:v>
      </x:c>
      <x:c r="AB214" s="253" t="str">
        <x:f>IF(W214="No","Maturing",IF(AND(U214="Yes",Z214&gt;0),"Yes","No"))</x:f>
        <x:v>No</x:v>
      </x:c>
      <x:c r="AC214" s="265" t="n">
        <x:v>-2045.14</x:v>
      </x:c>
      <x:c r="AD214" s="265" t="n">
        <x:v>-1574.43</x:v>
      </x:c>
      <x:c r="AE214" s="271" t="str"/>
      <x:c r="AF214" s="274" t="str">
        <x:v>Not validated - no control/holdout</x:v>
      </x:c>
      <x:c r="AG214" s="277" t="str">
        <x:v>Recovered execution only; assignment date and unclaimed-offer denominator unavailable</x:v>
      </x:c>
    </x:row>
    <x:row r="215">
      <x:c r="A215" s="252" t="str">
        <x:v>33921527</x:v>
      </x:c>
      <x:c r="B215" s="253" t="str">
        <x:v>WS1</x:v>
      </x:c>
      <x:c r="C215" s="253" t="str">
        <x:v>MB8</x:v>
      </x:c>
      <x:c r="D215" s="262" t="n">
        <x:v>46129.74055555555</x:v>
      </x:c>
      <x:c r="E215" s="259" t="n">
        <x:v>46129.166666666664</x:v>
      </x:c>
      <x:c r="F215" s="253" t="str">
        <x:v>773588</x:v>
      </x:c>
      <x:c r="G215" s="253" t="str">
        <x:v>sengxinzhuang</x:v>
      </x:c>
      <x:c r="H215" s="253" t="str">
        <x:v>Yes</x:v>
      </x:c>
      <x:c r="I215" s="253" t="str">
        <x:v>zhen</x:v>
      </x:c>
      <x:c r="J215" s="253" t="str">
        <x:v>zhen</x:v>
      </x:c>
      <x:c r="K215" s="259" t="n">
        <x:v>45922.166666666664</x:v>
      </x:c>
      <x:c r="L215" s="268" t="str">
        <x:f>IFERROR(VLOOKUP(I215,'Handler-Team Map'!$A$7:$C$17,2,FALSE),"")</x:f>
      </x:c>
      <x:c r="M215" s="268" t="str">
        <x:f>IFERROR(VLOOKUP(I215,'Handler-Team Map'!$A$7:$C$17,3,FALSE),"")</x:f>
      </x:c>
      <x:c r="N215" s="274" t="str">
        <x:v>FT_VM_DEP1000_GET500_5X</x:v>
      </x:c>
      <x:c r="O215" s="274" t="str">
        <x:v>VIP BONUS - Deposit 1000 Get 500 - 5x TO</x:v>
      </x:c>
      <x:c r="P215" s="274" t="str">
        <x:v>DepositBonus</x:v>
      </x:c>
      <x:c r="Q215" s="274" t="str">
        <x:v>Approved</x:v>
      </x:c>
      <x:c r="R215" s="265" t="n">
        <x:v>500</x:v>
      </x:c>
      <x:c r="S215" s="253" t="str">
        <x:v>Yes</x:v>
      </x:c>
      <x:c r="T215" s="265" t="n">
        <x:v>2100</x:v>
      </x:c>
      <x:c r="U215" s="253" t="str">
        <x:f>IF(AND(S215="Yes",T215=0),"Yes","No")</x:f>
        <x:v>No</x:v>
      </x:c>
      <x:c r="V215" s="253" t="str">
        <x:v>Yes</x:v>
      </x:c>
      <x:c r="W215" s="253" t="str">
        <x:v>Yes</x:v>
      </x:c>
      <x:c r="X215" s="259" t="n">
        <x:v>46129.166666666664</x:v>
      </x:c>
      <x:c r="Y215" s="265" t="n">
        <x:v>2000</x:v>
      </x:c>
      <x:c r="Z215" s="265" t="n">
        <x:v>3500</x:v>
      </x:c>
      <x:c r="AA215" s="253" t="str">
        <x:f>IF(V215="No","Maturing",IF(AND(U215="Yes",Y215&gt;0),"Yes","No"))</x:f>
        <x:v>No</x:v>
      </x:c>
      <x:c r="AB215" s="253" t="str">
        <x:f>IF(W215="No","Maturing",IF(AND(U215="Yes",Z215&gt;0),"Yes","No"))</x:f>
        <x:v>No</x:v>
      </x:c>
      <x:c r="AC215" s="265" t="n">
        <x:v>1980.01</x:v>
      </x:c>
      <x:c r="AD215" s="265" t="n">
        <x:v>3386.23</x:v>
      </x:c>
      <x:c r="AE215" s="271" t="str"/>
      <x:c r="AF215" s="274" t="str">
        <x:v>Not validated - no control/holdout</x:v>
      </x:c>
      <x:c r="AG215" s="277" t="str">
        <x:v>Recovered execution only; assignment date and unclaimed-offer denominator unavailable</x:v>
      </x:c>
    </x:row>
    <x:row r="216">
      <x:c r="A216" s="252" t="str">
        <x:v>33921559</x:v>
      </x:c>
      <x:c r="B216" s="253" t="str">
        <x:v>WS1</x:v>
      </x:c>
      <x:c r="C216" s="253" t="str">
        <x:v>MB8</x:v>
      </x:c>
      <x:c r="D216" s="262" t="n">
        <x:v>46129.74234953704</x:v>
      </x:c>
      <x:c r="E216" s="259" t="n">
        <x:v>46129.166666666664</x:v>
      </x:c>
      <x:c r="F216" s="253" t="str">
        <x:v>635105</x:v>
      </x:c>
      <x:c r="G216" s="253" t="str">
        <x:v>Jason9494</x:v>
      </x:c>
      <x:c r="H216" s="253" t="str">
        <x:v>Yes</x:v>
      </x:c>
      <x:c r="I216" s="253" t="str">
        <x:v>Claire</x:v>
      </x:c>
      <x:c r="J216" s="253" t="str">
        <x:v>Claire</x:v>
      </x:c>
      <x:c r="K216" s="259" t="n">
        <x:v>45790.166666666664</x:v>
      </x:c>
      <x:c r="L216" s="268" t="str">
        <x:f>IFERROR(VLOOKUP(I216,'Handler-Team Map'!$A$7:$C$17,2,FALSE),"")</x:f>
      </x:c>
      <x:c r="M216" s="268" t="str">
        <x:f>IFERROR(VLOOKUP(I216,'Handler-Team Map'!$A$7:$C$17,3,FALSE),"")</x:f>
      </x:c>
      <x:c r="N216" s="274" t="str">
        <x:v>FT_VM_DEP1000_GET500_5X</x:v>
      </x:c>
      <x:c r="O216" s="274" t="str">
        <x:v>VIP BONUS - Deposit 1000 Get 500 - 5x TO</x:v>
      </x:c>
      <x:c r="P216" s="274" t="str">
        <x:v>DepositBonus</x:v>
      </x:c>
      <x:c r="Q216" s="274" t="str">
        <x:v>Approved</x:v>
      </x:c>
      <x:c r="R216" s="265" t="n">
        <x:v>500</x:v>
      </x:c>
      <x:c r="S216" s="253" t="str">
        <x:v>Yes</x:v>
      </x:c>
      <x:c r="T216" s="265" t="n">
        <x:v>600</x:v>
      </x:c>
      <x:c r="U216" s="253" t="str">
        <x:f>IF(AND(S216="Yes",T216=0),"Yes","No")</x:f>
        <x:v>No</x:v>
      </x:c>
      <x:c r="V216" s="253" t="str">
        <x:v>Yes</x:v>
      </x:c>
      <x:c r="W216" s="253" t="str">
        <x:v>Yes</x:v>
      </x:c>
      <x:c r="X216" s="259" t="n">
        <x:v>46129.166666666664</x:v>
      </x:c>
      <x:c r="Y216" s="265" t="n">
        <x:v>1000</x:v>
      </x:c>
      <x:c r="Z216" s="265" t="n">
        <x:v>1000</x:v>
      </x:c>
      <x:c r="AA216" s="253" t="str">
        <x:f>IF(V216="No","Maturing",IF(AND(U216="Yes",Y216&gt;0),"Yes","No"))</x:f>
        <x:v>No</x:v>
      </x:c>
      <x:c r="AB216" s="253" t="str">
        <x:f>IF(W216="No","Maturing",IF(AND(U216="Yes",Z216&gt;0),"Yes","No"))</x:f>
        <x:v>No</x:v>
      </x:c>
      <x:c r="AC216" s="265" t="n">
        <x:v>987.77</x:v>
      </x:c>
      <x:c r="AD216" s="265" t="n">
        <x:v>987.77</x:v>
      </x:c>
      <x:c r="AE216" s="271" t="str"/>
      <x:c r="AF216" s="274" t="str">
        <x:v>Not validated - no control/holdout</x:v>
      </x:c>
      <x:c r="AG216" s="277" t="str">
        <x:v>Recovered execution only; assignment date and unclaimed-offer denominator unavailable</x:v>
      </x:c>
    </x:row>
    <x:row r="217">
      <x:c r="A217" s="252" t="str">
        <x:v>33921935</x:v>
      </x:c>
      <x:c r="B217" s="253" t="str">
        <x:v>WS1</x:v>
      </x:c>
      <x:c r="C217" s="253" t="str">
        <x:v>MB8</x:v>
      </x:c>
      <x:c r="D217" s="262" t="n">
        <x:v>46129.768159722225</x:v>
      </x:c>
      <x:c r="E217" s="259" t="n">
        <x:v>46129.166666666664</x:v>
      </x:c>
      <x:c r="F217" s="253" t="str">
        <x:v>934695</x:v>
      </x:c>
      <x:c r="G217" s="253" t="str">
        <x:v>Wil123</x:v>
      </x:c>
      <x:c r="H217" s="253" t="str">
        <x:v>Yes</x:v>
      </x:c>
      <x:c r="I217" s="253" t="str">
        <x:v>Claire</x:v>
      </x:c>
      <x:c r="J217" s="253" t="str">
        <x:v>Claire</x:v>
      </x:c>
      <x:c r="K217" s="259" t="n">
        <x:v>45659.166666666664</x:v>
      </x:c>
      <x:c r="L217" s="268" t="str">
        <x:f>IFERROR(VLOOKUP(I217,'Handler-Team Map'!$A$7:$C$17,2,FALSE),"")</x:f>
      </x:c>
      <x:c r="M217" s="268" t="str">
        <x:f>IFERROR(VLOOKUP(I217,'Handler-Team Map'!$A$7:$C$17,3,FALSE),"")</x:f>
      </x:c>
      <x:c r="N217" s="274" t="str">
        <x:v>FT_VM_DEP1000_GET800_2X</x:v>
      </x:c>
      <x:c r="O217" s="274" t="str">
        <x:v>VIP BONUS - Deposit 1000 Get 800 - 2x TO</x:v>
      </x:c>
      <x:c r="P217" s="274" t="str">
        <x:v>DepositBonus</x:v>
      </x:c>
      <x:c r="Q217" s="274" t="str">
        <x:v>Approved</x:v>
      </x:c>
      <x:c r="R217" s="265" t="n">
        <x:v>800</x:v>
      </x:c>
      <x:c r="S217" s="253" t="str">
        <x:v>Yes</x:v>
      </x:c>
      <x:c r="T217" s="265" t="n">
        <x:v>280</x:v>
      </x:c>
      <x:c r="U217" s="253" t="str">
        <x:f>IF(AND(S217="Yes",T217=0),"Yes","No")</x:f>
        <x:v>No</x:v>
      </x:c>
      <x:c r="V217" s="253" t="str">
        <x:v>Yes</x:v>
      </x:c>
      <x:c r="W217" s="253" t="str">
        <x:v>Yes</x:v>
      </x:c>
      <x:c r="X217" s="259" t="n">
        <x:v>46129.166666666664</x:v>
      </x:c>
      <x:c r="Y217" s="265" t="n">
        <x:v>2900</x:v>
      </x:c>
      <x:c r="Z217" s="265" t="n">
        <x:v>2900</x:v>
      </x:c>
      <x:c r="AA217" s="253" t="str">
        <x:f>IF(V217="No","Maturing",IF(AND(U217="Yes",Y217&gt;0),"Yes","No"))</x:f>
        <x:v>No</x:v>
      </x:c>
      <x:c r="AB217" s="253" t="str">
        <x:f>IF(W217="No","Maturing",IF(AND(U217="Yes",Z217&gt;0),"Yes","No"))</x:f>
        <x:v>No</x:v>
      </x:c>
      <x:c r="AC217" s="265" t="n">
        <x:v>1818.48</x:v>
      </x:c>
      <x:c r="AD217" s="265" t="n">
        <x:v>1818.48</x:v>
      </x:c>
      <x:c r="AE217" s="271" t="str"/>
      <x:c r="AF217" s="274" t="str">
        <x:v>Not validated - no control/holdout</x:v>
      </x:c>
      <x:c r="AG217" s="277" t="str">
        <x:v>Recovered execution only; assignment date and unclaimed-offer denominator unavailable</x:v>
      </x:c>
    </x:row>
    <x:row r="218">
      <x:c r="A218" s="252" t="str">
        <x:v>33922991</x:v>
      </x:c>
      <x:c r="B218" s="253" t="str">
        <x:v>WS1</x:v>
      </x:c>
      <x:c r="C218" s="253" t="str">
        <x:v>MB8</x:v>
      </x:c>
      <x:c r="D218" s="262" t="n">
        <x:v>46129.846979166665</x:v>
      </x:c>
      <x:c r="E218" s="259" t="n">
        <x:v>46129.166666666664</x:v>
      </x:c>
      <x:c r="F218" s="253" t="str">
        <x:v>794663</x:v>
      </x:c>
      <x:c r="G218" s="253" t="str">
        <x:v>lonkoko888</x:v>
      </x:c>
      <x:c r="H218" s="253" t="str">
        <x:v>Yes</x:v>
      </x:c>
      <x:c r="I218" s="253" t="str"/>
      <x:c r="J218" s="253" t="str"/>
      <x:c r="K218" s="259"/>
      <x:c r="L218" s="268" t="str">
        <x:f>IFERROR(VLOOKUP(I218,'Handler-Team Map'!$A$7:$C$17,2,FALSE),"")</x:f>
      </x:c>
      <x:c r="M218" s="268" t="str">
        <x:f>IFERROR(VLOOKUP(I218,'Handler-Team Map'!$A$7:$C$17,3,FALSE),"")</x:f>
      </x:c>
      <x:c r="N218" s="274" t="str">
        <x:v>FT_VM_DEP700_GET300_2X</x:v>
      </x:c>
      <x:c r="O218" s="274" t="str">
        <x:v>VIP BONUS - Deposit 700 Get 300 - 2x TO</x:v>
      </x:c>
      <x:c r="P218" s="274" t="str">
        <x:v>DepositBonus</x:v>
      </x:c>
      <x:c r="Q218" s="274" t="str">
        <x:v>Approved</x:v>
      </x:c>
      <x:c r="R218" s="265" t="n">
        <x:v>300</x:v>
      </x:c>
      <x:c r="S218" s="253" t="str">
        <x:v>Yes</x:v>
      </x:c>
      <x:c r="T218" s="265" t="n">
        <x:v>100</x:v>
      </x:c>
      <x:c r="U218" s="253" t="str">
        <x:f>IF(AND(S218="Yes",T218=0),"Yes","No")</x:f>
        <x:v>No</x:v>
      </x:c>
      <x:c r="V218" s="253" t="str">
        <x:v>Yes</x:v>
      </x:c>
      <x:c r="W218" s="253" t="str">
        <x:v>Yes</x:v>
      </x:c>
      <x:c r="X218" s="259" t="n">
        <x:v>46129.166666666664</x:v>
      </x:c>
      <x:c r="Y218" s="265" t="n">
        <x:v>950</x:v>
      </x:c>
      <x:c r="Z218" s="265" t="n">
        <x:v>1050</x:v>
      </x:c>
      <x:c r="AA218" s="253" t="str">
        <x:f>IF(V218="No","Maturing",IF(AND(U218="Yes",Y218&gt;0),"Yes","No"))</x:f>
        <x:v>No</x:v>
      </x:c>
      <x:c r="AB218" s="253" t="str">
        <x:f>IF(W218="No","Maturing",IF(AND(U218="Yes",Z218&gt;0),"Yes","No"))</x:f>
        <x:v>No</x:v>
      </x:c>
      <x:c r="AC218" s="265" t="n">
        <x:v>-290</x:v>
      </x:c>
      <x:c r="AD218" s="265" t="n">
        <x:v>-190.04</x:v>
      </x:c>
      <x:c r="AE218" s="271" t="str"/>
      <x:c r="AF218" s="274" t="str">
        <x:v>Not validated - no control/holdout</x:v>
      </x:c>
      <x:c r="AG218" s="277" t="str">
        <x:v>Recovered execution only; assignment date and unclaimed-offer denominator unavailable</x:v>
      </x:c>
    </x:row>
    <x:row r="219">
      <x:c r="A219" s="252" t="str">
        <x:v>33924627</x:v>
      </x:c>
      <x:c r="B219" s="253" t="str">
        <x:v>WS1</x:v>
      </x:c>
      <x:c r="C219" s="253" t="str">
        <x:v>MB8</x:v>
      </x:c>
      <x:c r="D219" s="262" t="n">
        <x:v>46129.940474537034</x:v>
      </x:c>
      <x:c r="E219" s="259" t="n">
        <x:v>46129.166666666664</x:v>
      </x:c>
      <x:c r="F219" s="253" t="str">
        <x:v>605081</x:v>
      </x:c>
      <x:c r="G219" s="253" t="str">
        <x:v>xxdra</x:v>
      </x:c>
      <x:c r="H219" s="253" t="str">
        <x:v>Yes</x:v>
      </x:c>
      <x:c r="I219" s="253" t="str">
        <x:v>Mikki</x:v>
      </x:c>
      <x:c r="J219" s="253" t="str">
        <x:v>Mikki</x:v>
      </x:c>
      <x:c r="K219" s="259" t="n">
        <x:v>45993.166666666664</x:v>
      </x:c>
      <x:c r="L219" s="268" t="str">
        <x:f>IFERROR(VLOOKUP(I219,'Handler-Team Map'!$A$7:$C$17,2,FALSE),"")</x:f>
      </x:c>
      <x:c r="M219" s="268" t="str">
        <x:f>IFERROR(VLOOKUP(I219,'Handler-Team Map'!$A$7:$C$17,3,FALSE),"")</x:f>
      </x:c>
      <x:c r="N219" s="274" t="str">
        <x:v>FT_VM_DEP1000_GET500_5X</x:v>
      </x:c>
      <x:c r="O219" s="274" t="str">
        <x:v>VIP BONUS - Deposit 1000 Get 500 - 5x TO</x:v>
      </x:c>
      <x:c r="P219" s="274" t="str">
        <x:v>DepositBonus</x:v>
      </x:c>
      <x:c r="Q219" s="274" t="str">
        <x:v>Approved</x:v>
      </x:c>
      <x:c r="R219" s="265" t="n">
        <x:v>500</x:v>
      </x:c>
      <x:c r="S219" s="253" t="str">
        <x:v>Yes</x:v>
      </x:c>
      <x:c r="T219" s="265" t="n">
        <x:v>12684</x:v>
      </x:c>
      <x:c r="U219" s="253" t="str">
        <x:f>IF(AND(S219="Yes",T219=0),"Yes","No")</x:f>
        <x:v>No</x:v>
      </x:c>
      <x:c r="V219" s="253" t="str">
        <x:v>Yes</x:v>
      </x:c>
      <x:c r="W219" s="253" t="str">
        <x:v>Yes</x:v>
      </x:c>
      <x:c r="X219" s="259" t="n">
        <x:v>46129.166666666664</x:v>
      </x:c>
      <x:c r="Y219" s="265" t="n">
        <x:v>4040</x:v>
      </x:c>
      <x:c r="Z219" s="265" t="n">
        <x:v>5590</x:v>
      </x:c>
      <x:c r="AA219" s="253" t="str">
        <x:f>IF(V219="No","Maturing",IF(AND(U219="Yes",Y219&gt;0),"Yes","No"))</x:f>
        <x:v>No</x:v>
      </x:c>
      <x:c r="AB219" s="253" t="str">
        <x:f>IF(W219="No","Maturing",IF(AND(U219="Yes",Z219&gt;0),"Yes","No"))</x:f>
        <x:v>No</x:v>
      </x:c>
      <x:c r="AC219" s="265" t="n">
        <x:v>475.64</x:v>
      </x:c>
      <x:c r="AD219" s="265" t="n">
        <x:v>1730.48</x:v>
      </x:c>
      <x:c r="AE219" s="271" t="str"/>
      <x:c r="AF219" s="274" t="str">
        <x:v>Not validated - no control/holdout</x:v>
      </x:c>
      <x:c r="AG219" s="277" t="str">
        <x:v>Recovered execution only; assignment date and unclaimed-offer denominator unavailable</x:v>
      </x:c>
    </x:row>
    <x:row r="220">
      <x:c r="A220" s="252" t="str">
        <x:v>33926606</x:v>
      </x:c>
      <x:c r="B220" s="253" t="str">
        <x:v>WS1</x:v>
      </x:c>
      <x:c r="C220" s="253" t="str">
        <x:v>MB8</x:v>
      </x:c>
      <x:c r="D220" s="262" t="n">
        <x:v>46130.041400462964</x:v>
      </x:c>
      <x:c r="E220" s="259" t="n">
        <x:v>46130.166666666664</x:v>
      </x:c>
      <x:c r="F220" s="253" t="str">
        <x:v>564867</x:v>
      </x:c>
      <x:c r="G220" s="253" t="str">
        <x:v>Nageen</x:v>
      </x:c>
      <x:c r="H220" s="253" t="str">
        <x:v>Yes</x:v>
      </x:c>
      <x:c r="I220" s="253" t="str">
        <x:v>Claire</x:v>
      </x:c>
      <x:c r="J220" s="253" t="str">
        <x:v>Claire</x:v>
      </x:c>
      <x:c r="K220" s="259" t="n">
        <x:v>45659.166666666664</x:v>
      </x:c>
      <x:c r="L220" s="268" t="str">
        <x:f>IFERROR(VLOOKUP(I220,'Handler-Team Map'!$A$7:$C$17,2,FALSE),"")</x:f>
      </x:c>
      <x:c r="M220" s="268" t="str">
        <x:f>IFERROR(VLOOKUP(I220,'Handler-Team Map'!$A$7:$C$17,3,FALSE),"")</x:f>
      </x:c>
      <x:c r="N220" s="274" t="str">
        <x:v>FT_VM_DEP1000_GET500_5X</x:v>
      </x:c>
      <x:c r="O220" s="274" t="str">
        <x:v>VIP BONUS - Deposit 1000 Get 500 - 5x TO</x:v>
      </x:c>
      <x:c r="P220" s="274" t="str">
        <x:v>DepositBonus</x:v>
      </x:c>
      <x:c r="Q220" s="274" t="str">
        <x:v>Approved</x:v>
      </x:c>
      <x:c r="R220" s="265" t="n">
        <x:v>500</x:v>
      </x:c>
      <x:c r="S220" s="253" t="str">
        <x:v>Yes</x:v>
      </x:c>
      <x:c r="T220" s="265" t="n">
        <x:v>84320.8</x:v>
      </x:c>
      <x:c r="U220" s="253" t="str">
        <x:f>IF(AND(S220="Yes",T220=0),"Yes","No")</x:f>
        <x:v>No</x:v>
      </x:c>
      <x:c r="V220" s="253" t="str">
        <x:v>Yes</x:v>
      </x:c>
      <x:c r="W220" s="253" t="str">
        <x:v>Yes</x:v>
      </x:c>
      <x:c r="X220" s="259" t="n">
        <x:v>46130.166666666664</x:v>
      </x:c>
      <x:c r="Y220" s="265" t="n">
        <x:v>14506</x:v>
      </x:c>
      <x:c r="Z220" s="265" t="n">
        <x:v>26617</x:v>
      </x:c>
      <x:c r="AA220" s="253" t="str">
        <x:f>IF(V220="No","Maturing",IF(AND(U220="Yes",Y220&gt;0),"Yes","No"))</x:f>
        <x:v>No</x:v>
      </x:c>
      <x:c r="AB220" s="253" t="str">
        <x:f>IF(W220="No","Maturing",IF(AND(U220="Yes",Z220&gt;0),"Yes","No"))</x:f>
        <x:v>No</x:v>
      </x:c>
      <x:c r="AC220" s="265" t="n">
        <x:v>11582.61</x:v>
      </x:c>
      <x:c r="AD220" s="265" t="n">
        <x:v>14362.29</x:v>
      </x:c>
      <x:c r="AE220" s="271" t="str"/>
      <x:c r="AF220" s="274" t="str">
        <x:v>Not validated - no control/holdout</x:v>
      </x:c>
      <x:c r="AG220" s="277" t="str">
        <x:v>Recovered execution only; assignment date and unclaimed-offer denominator unavailable</x:v>
      </x:c>
    </x:row>
    <x:row r="221">
      <x:c r="A221" s="252" t="str">
        <x:v>33930374</x:v>
      </x:c>
      <x:c r="B221" s="253" t="str">
        <x:v>WS1</x:v>
      </x:c>
      <x:c r="C221" s="253" t="str">
        <x:v>MB8</x:v>
      </x:c>
      <x:c r="D221" s="262" t="n">
        <x:v>46130.50309027778</x:v>
      </x:c>
      <x:c r="E221" s="259" t="n">
        <x:v>46130.166666666664</x:v>
      </x:c>
      <x:c r="F221" s="253" t="str">
        <x:v>419229</x:v>
      </x:c>
      <x:c r="G221" s="253" t="str">
        <x:v>ZERO99</x:v>
      </x:c>
      <x:c r="H221" s="253" t="str">
        <x:v>Yes</x:v>
      </x:c>
      <x:c r="I221" s="253" t="str">
        <x:v>Elda</x:v>
      </x:c>
      <x:c r="J221" s="253" t="str">
        <x:v>Elda</x:v>
      </x:c>
      <x:c r="K221" s="259" t="n">
        <x:v>45659.166666666664</x:v>
      </x:c>
      <x:c r="L221" s="268" t="str">
        <x:f>IFERROR(VLOOKUP(I221,'Handler-Team Map'!$A$7:$C$17,2,FALSE),"")</x:f>
      </x:c>
      <x:c r="M221" s="268" t="str">
        <x:f>IFERROR(VLOOKUP(I221,'Handler-Team Map'!$A$7:$C$17,3,FALSE),"")</x:f>
      </x:c>
      <x:c r="N221" s="274" t="str">
        <x:v>FT_VM_DEP1000_GET800_2X</x:v>
      </x:c>
      <x:c r="O221" s="274" t="str">
        <x:v>VIP BONUS - Deposit 1000 Get 800 - 2x TO</x:v>
      </x:c>
      <x:c r="P221" s="274" t="str">
        <x:v>DepositBonus</x:v>
      </x:c>
      <x:c r="Q221" s="274" t="str">
        <x:v>Approved</x:v>
      </x:c>
      <x:c r="R221" s="265" t="n">
        <x:v>800</x:v>
      </x:c>
      <x:c r="S221" s="253" t="str">
        <x:v>Yes</x:v>
      </x:c>
      <x:c r="T221" s="265" t="n">
        <x:v>15900</x:v>
      </x:c>
      <x:c r="U221" s="253" t="str">
        <x:f>IF(AND(S221="Yes",T221=0),"Yes","No")</x:f>
        <x:v>No</x:v>
      </x:c>
      <x:c r="V221" s="253" t="str">
        <x:v>Yes</x:v>
      </x:c>
      <x:c r="W221" s="253" t="str">
        <x:v>Yes</x:v>
      </x:c>
      <x:c r="X221" s="259" t="n">
        <x:v>46130.166666666664</x:v>
      </x:c>
      <x:c r="Y221" s="265" t="n">
        <x:v>1000</x:v>
      </x:c>
      <x:c r="Z221" s="265" t="n">
        <x:v>5000</x:v>
      </x:c>
      <x:c r="AA221" s="253" t="str">
        <x:f>IF(V221="No","Maturing",IF(AND(U221="Yes",Y221&gt;0),"Yes","No"))</x:f>
        <x:v>No</x:v>
      </x:c>
      <x:c r="AB221" s="253" t="str">
        <x:f>IF(W221="No","Maturing",IF(AND(U221="Yes",Z221&gt;0),"Yes","No"))</x:f>
        <x:v>No</x:v>
      </x:c>
      <x:c r="AC221" s="265" t="n">
        <x:v>749.28</x:v>
      </x:c>
      <x:c r="AD221" s="265" t="n">
        <x:v>-1362.05</x:v>
      </x:c>
      <x:c r="AE221" s="271" t="str"/>
      <x:c r="AF221" s="274" t="str">
        <x:v>Not validated - no control/holdout</x:v>
      </x:c>
      <x:c r="AG221" s="277" t="str">
        <x:v>Recovered execution only; assignment date and unclaimed-offer denominator unavailable</x:v>
      </x:c>
    </x:row>
    <x:row r="222">
      <x:c r="A222" s="252" t="str">
        <x:v>33930737</x:v>
      </x:c>
      <x:c r="B222" s="253" t="str">
        <x:v>WS1</x:v>
      </x:c>
      <x:c r="C222" s="253" t="str">
        <x:v>MB8</x:v>
      </x:c>
      <x:c r="D222" s="262" t="n">
        <x:v>46130.53927083333</x:v>
      </x:c>
      <x:c r="E222" s="259" t="n">
        <x:v>46130.166666666664</x:v>
      </x:c>
      <x:c r="F222" s="253" t="str">
        <x:v>433845</x:v>
      </x:c>
      <x:c r="G222" s="253" t="str">
        <x:v>aderson124</x:v>
      </x:c>
      <x:c r="H222" s="253" t="str">
        <x:v>Yes</x:v>
      </x:c>
      <x:c r="I222" s="253" t="str">
        <x:v>Sheena</x:v>
      </x:c>
      <x:c r="J222" s="253" t="str">
        <x:v>Sheena</x:v>
      </x:c>
      <x:c r="K222" s="259" t="n">
        <x:v>45852.166666666664</x:v>
      </x:c>
      <x:c r="L222" s="268" t="str">
        <x:f>IFERROR(VLOOKUP(I222,'Handler-Team Map'!$A$7:$C$17,2,FALSE),"")</x:f>
      </x:c>
      <x:c r="M222" s="268" t="str">
        <x:f>IFERROR(VLOOKUP(I222,'Handler-Team Map'!$A$7:$C$17,3,FALSE),"")</x:f>
      </x:c>
      <x:c r="N222" s="274" t="str">
        <x:v>FT_VM_DEP1000_GET500_5X</x:v>
      </x:c>
      <x:c r="O222" s="274" t="str">
        <x:v>VIP BONUS - Deposit 1000 Get 500 - 5x TO</x:v>
      </x:c>
      <x:c r="P222" s="274" t="str">
        <x:v>DepositBonus</x:v>
      </x:c>
      <x:c r="Q222" s="274" t="str">
        <x:v>Approved</x:v>
      </x:c>
      <x:c r="R222" s="265" t="n">
        <x:v>500</x:v>
      </x:c>
      <x:c r="S222" s="253" t="str">
        <x:v>Yes</x:v>
      </x:c>
      <x:c r="T222" s="265" t="n">
        <x:v>47018</x:v>
      </x:c>
      <x:c r="U222" s="253" t="str">
        <x:f>IF(AND(S222="Yes",T222=0),"Yes","No")</x:f>
        <x:v>No</x:v>
      </x:c>
      <x:c r="V222" s="253" t="str">
        <x:v>Yes</x:v>
      </x:c>
      <x:c r="W222" s="253" t="str">
        <x:v>Yes</x:v>
      </x:c>
      <x:c r="X222" s="259" t="n">
        <x:v>46130.166666666664</x:v>
      </x:c>
      <x:c r="Y222" s="265" t="n">
        <x:v>18000</x:v>
      </x:c>
      <x:c r="Z222" s="265" t="n">
        <x:v>26900</x:v>
      </x:c>
      <x:c r="AA222" s="253" t="str">
        <x:f>IF(V222="No","Maturing",IF(AND(U222="Yes",Y222&gt;0),"Yes","No"))</x:f>
        <x:v>No</x:v>
      </x:c>
      <x:c r="AB222" s="253" t="str">
        <x:f>IF(W222="No","Maturing",IF(AND(U222="Yes",Z222&gt;0),"Yes","No"))</x:f>
        <x:v>No</x:v>
      </x:c>
      <x:c r="AC222" s="265" t="n">
        <x:v>16126.1</x:v>
      </x:c>
      <x:c r="AD222" s="265" t="n">
        <x:v>24997.61</x:v>
      </x:c>
      <x:c r="AE222" s="271" t="str"/>
      <x:c r="AF222" s="274" t="str">
        <x:v>Not validated - no control/holdout</x:v>
      </x:c>
      <x:c r="AG222" s="277" t="str">
        <x:v>Recovered execution only; assignment date and unclaimed-offer denominator unavailable</x:v>
      </x:c>
    </x:row>
    <x:row r="223">
      <x:c r="A223" s="252" t="str">
        <x:v>33930994</x:v>
      </x:c>
      <x:c r="B223" s="253" t="str">
        <x:v>WS1</x:v>
      </x:c>
      <x:c r="C223" s="253" t="str">
        <x:v>MB8</x:v>
      </x:c>
      <x:c r="D223" s="262" t="n">
        <x:v>46130.566724537035</x:v>
      </x:c>
      <x:c r="E223" s="259" t="n">
        <x:v>46130.166666666664</x:v>
      </x:c>
      <x:c r="F223" s="253" t="str">
        <x:v>605081</x:v>
      </x:c>
      <x:c r="G223" s="253" t="str">
        <x:v>xxdra</x:v>
      </x:c>
      <x:c r="H223" s="253" t="str">
        <x:v>Yes</x:v>
      </x:c>
      <x:c r="I223" s="253" t="str">
        <x:v>Mikki</x:v>
      </x:c>
      <x:c r="J223" s="253" t="str">
        <x:v>Mikki</x:v>
      </x:c>
      <x:c r="K223" s="259" t="n">
        <x:v>45993.166666666664</x:v>
      </x:c>
      <x:c r="L223" s="268" t="str">
        <x:f>IFERROR(VLOOKUP(I223,'Handler-Team Map'!$A$7:$C$17,2,FALSE),"")</x:f>
      </x:c>
      <x:c r="M223" s="268" t="str">
        <x:f>IFERROR(VLOOKUP(I223,'Handler-Team Map'!$A$7:$C$17,3,FALSE),"")</x:f>
      </x:c>
      <x:c r="N223" s="274" t="str">
        <x:v>FT_VM_DEP1000_GET500_5X</x:v>
      </x:c>
      <x:c r="O223" s="274" t="str">
        <x:v>VIP BONUS - Deposit 1000 Get 500 - 5x TO</x:v>
      </x:c>
      <x:c r="P223" s="274" t="str">
        <x:v>DepositBonus</x:v>
      </x:c>
      <x:c r="Q223" s="274" t="str">
        <x:v>Approved</x:v>
      </x:c>
      <x:c r="R223" s="265" t="n">
        <x:v>500</x:v>
      </x:c>
      <x:c r="S223" s="253" t="str">
        <x:v>Yes</x:v>
      </x:c>
      <x:c r="T223" s="265" t="n">
        <x:v>13684</x:v>
      </x:c>
      <x:c r="U223" s="253" t="str">
        <x:f>IF(AND(S223="Yes",T223=0),"Yes","No")</x:f>
        <x:v>No</x:v>
      </x:c>
      <x:c r="V223" s="253" t="str">
        <x:v>Yes</x:v>
      </x:c>
      <x:c r="W223" s="253" t="str">
        <x:v>Yes</x:v>
      </x:c>
      <x:c r="X223" s="259" t="n">
        <x:v>46130.166666666664</x:v>
      </x:c>
      <x:c r="Y223" s="265" t="n">
        <x:v>3040</x:v>
      </x:c>
      <x:c r="Z223" s="265" t="n">
        <x:v>4590</x:v>
      </x:c>
      <x:c r="AA223" s="253" t="str">
        <x:f>IF(V223="No","Maturing",IF(AND(U223="Yes",Y223&gt;0),"Yes","No"))</x:f>
        <x:v>No</x:v>
      </x:c>
      <x:c r="AB223" s="253" t="str">
        <x:f>IF(W223="No","Maturing",IF(AND(U223="Yes",Z223&gt;0),"Yes","No"))</x:f>
        <x:v>No</x:v>
      </x:c>
      <x:c r="AC223" s="265" t="n">
        <x:v>475.32</x:v>
      </x:c>
      <x:c r="AD223" s="265" t="n">
        <x:v>1770.66</x:v>
      </x:c>
      <x:c r="AE223" s="271" t="str"/>
      <x:c r="AF223" s="274" t="str">
        <x:v>Not validated - no control/holdout</x:v>
      </x:c>
      <x:c r="AG223" s="277" t="str">
        <x:v>Recovered execution only; assignment date and unclaimed-offer denominator unavailable</x:v>
      </x:c>
    </x:row>
    <x:row r="224">
      <x:c r="A224" s="252" t="str">
        <x:v>33940356</x:v>
      </x:c>
      <x:c r="B224" s="253" t="str">
        <x:v>WS1</x:v>
      </x:c>
      <x:c r="C224" s="253" t="str">
        <x:v>MB8</x:v>
      </x:c>
      <x:c r="D224" s="262" t="n">
        <x:v>46131.196608796294</x:v>
      </x:c>
      <x:c r="E224" s="259" t="n">
        <x:v>46131.166666666664</x:v>
      </x:c>
      <x:c r="F224" s="253" t="str">
        <x:v>897055</x:v>
      </x:c>
      <x:c r="G224" s="253" t="str">
        <x:v>Rahmanaden95</x:v>
      </x:c>
      <x:c r="H224" s="253" t="str">
        <x:v>Yes</x:v>
      </x:c>
      <x:c r="I224" s="253" t="str"/>
      <x:c r="J224" s="253" t="str"/>
      <x:c r="K224" s="259"/>
      <x:c r="L224" s="268" t="str">
        <x:f>IFERROR(VLOOKUP(I224,'Handler-Team Map'!$A$7:$C$17,2,FALSE),"")</x:f>
      </x:c>
      <x:c r="M224" s="268" t="str">
        <x:f>IFERROR(VLOOKUP(I224,'Handler-Team Map'!$A$7:$C$17,3,FALSE),"")</x:f>
      </x:c>
      <x:c r="N224" s="274" t="str">
        <x:v>FT_VM_DEP1000_GET700_2X</x:v>
      </x:c>
      <x:c r="O224" s="274" t="str">
        <x:v>VIP BONUS - Deposit 1000 Get 700 - 2x TO</x:v>
      </x:c>
      <x:c r="P224" s="274" t="str">
        <x:v>DepositBonus</x:v>
      </x:c>
      <x:c r="Q224" s="274" t="str">
        <x:v>Approved</x:v>
      </x:c>
      <x:c r="R224" s="265" t="n">
        <x:v>700</x:v>
      </x:c>
      <x:c r="S224" s="253" t="str">
        <x:v>Yes</x:v>
      </x:c>
      <x:c r="T224" s="265" t="n">
        <x:v>0</x:v>
      </x:c>
      <x:c r="U224" s="253" t="str">
        <x:f>IF(AND(S224="Yes",T224=0),"Yes","No")</x:f>
        <x:v>Yes</x:v>
      </x:c>
      <x:c r="V224" s="253" t="str">
        <x:v>Yes</x:v>
      </x:c>
      <x:c r="W224" s="253" t="str">
        <x:v>Yes</x:v>
      </x:c>
      <x:c r="X224" s="259" t="n">
        <x:v>46131.166666666664</x:v>
      </x:c>
      <x:c r="Y224" s="265" t="n">
        <x:v>1000</x:v>
      </x:c>
      <x:c r="Z224" s="265" t="n">
        <x:v>1000</x:v>
      </x:c>
      <x:c r="AA224" s="253" t="str">
        <x:f>IF(V224="No","Maturing",IF(AND(U224="Yes",Y224&gt;0),"Yes","No"))</x:f>
        <x:v>Yes</x:v>
      </x:c>
      <x:c r="AB224" s="253" t="str">
        <x:f>IF(W224="No","Maturing",IF(AND(U224="Yes",Z224&gt;0),"Yes","No"))</x:f>
        <x:v>Yes</x:v>
      </x:c>
      <x:c r="AC224" s="265" t="n">
        <x:v>999.95</x:v>
      </x:c>
      <x:c r="AD224" s="265" t="n">
        <x:v>999.95</x:v>
      </x:c>
      <x:c r="AE224" s="271" t="str"/>
      <x:c r="AF224" s="274" t="str">
        <x:v>Not validated - no control/holdout</x:v>
      </x:c>
      <x:c r="AG224" s="277" t="str">
        <x:v>Recovered execution only; assignment date and unclaimed-offer denominator unavailable</x:v>
      </x:c>
    </x:row>
    <x:row r="225">
      <x:c r="A225" s="252" t="str">
        <x:v>33940383</x:v>
      </x:c>
      <x:c r="B225" s="253" t="str">
        <x:v>WS1</x:v>
      </x:c>
      <x:c r="C225" s="253" t="str">
        <x:v>MB8</x:v>
      </x:c>
      <x:c r="D225" s="262" t="n">
        <x:v>46131.20428240741</x:v>
      </x:c>
      <x:c r="E225" s="259" t="n">
        <x:v>46131.166666666664</x:v>
      </x:c>
      <x:c r="F225" s="253" t="str">
        <x:v>242044</x:v>
      </x:c>
      <x:c r="G225" s="253" t="str">
        <x:v>michaellining</x:v>
      </x:c>
      <x:c r="H225" s="253" t="str">
        <x:v>Yes</x:v>
      </x:c>
      <x:c r="I225" s="253" t="str">
        <x:v>Claire</x:v>
      </x:c>
      <x:c r="J225" s="253" t="str">
        <x:v>Claire</x:v>
      </x:c>
      <x:c r="K225" s="259" t="n">
        <x:v>45659.166666666664</x:v>
      </x:c>
      <x:c r="L225" s="268" t="str">
        <x:f>IFERROR(VLOOKUP(I225,'Handler-Team Map'!$A$7:$C$17,2,FALSE),"")</x:f>
      </x:c>
      <x:c r="M225" s="268" t="str">
        <x:f>IFERROR(VLOOKUP(I225,'Handler-Team Map'!$A$7:$C$17,3,FALSE),"")</x:f>
      </x:c>
      <x:c r="N225" s="274" t="str">
        <x:v>FT_VM_DEP300_GET100_5X</x:v>
      </x:c>
      <x:c r="O225" s="274" t="str">
        <x:v>VIP BONUS - Deposit 300 Get 100 - 5x TO</x:v>
      </x:c>
      <x:c r="P225" s="274" t="str">
        <x:v>DepositBonus</x:v>
      </x:c>
      <x:c r="Q225" s="274" t="str">
        <x:v>Approved</x:v>
      </x:c>
      <x:c r="R225" s="265" t="n">
        <x:v>100</x:v>
      </x:c>
      <x:c r="S225" s="253" t="str">
        <x:v>Yes</x:v>
      </x:c>
      <x:c r="T225" s="265" t="n">
        <x:v>46559</x:v>
      </x:c>
      <x:c r="U225" s="253" t="str">
        <x:f>IF(AND(S225="Yes",T225=0),"Yes","No")</x:f>
        <x:v>No</x:v>
      </x:c>
      <x:c r="V225" s="253" t="str">
        <x:v>Yes</x:v>
      </x:c>
      <x:c r="W225" s="253" t="str">
        <x:v>Yes</x:v>
      </x:c>
      <x:c r="X225" s="259" t="n">
        <x:v>46131.166666666664</x:v>
      </x:c>
      <x:c r="Y225" s="265" t="n">
        <x:v>9708</x:v>
      </x:c>
      <x:c r="Z225" s="265" t="n">
        <x:v>24203</x:v>
      </x:c>
      <x:c r="AA225" s="253" t="str">
        <x:f>IF(V225="No","Maturing",IF(AND(U225="Yes",Y225&gt;0),"Yes","No"))</x:f>
        <x:v>No</x:v>
      </x:c>
      <x:c r="AB225" s="253" t="str">
        <x:f>IF(W225="No","Maturing",IF(AND(U225="Yes",Z225&gt;0),"Yes","No"))</x:f>
        <x:v>No</x:v>
      </x:c>
      <x:c r="AC225" s="265" t="n">
        <x:v>1246</x:v>
      </x:c>
      <x:c r="AD225" s="265" t="n">
        <x:v>2320.39</x:v>
      </x:c>
      <x:c r="AE225" s="271" t="str"/>
      <x:c r="AF225" s="274" t="str">
        <x:v>Not validated - no control/holdout</x:v>
      </x:c>
      <x:c r="AG225" s="277" t="str">
        <x:v>Recovered execution only; assignment date and unclaimed-offer denominator unavailable</x:v>
      </x:c>
    </x:row>
    <x:row r="226">
      <x:c r="A226" s="252" t="str">
        <x:v>33944766</x:v>
      </x:c>
      <x:c r="B226" s="253" t="str">
        <x:v>WS1</x:v>
      </x:c>
      <x:c r="C226" s="253" t="str">
        <x:v>MB8</x:v>
      </x:c>
      <x:c r="D226" s="262" t="n">
        <x:v>46131.71891203704</x:v>
      </x:c>
      <x:c r="E226" s="259" t="n">
        <x:v>46131.166666666664</x:v>
      </x:c>
      <x:c r="F226" s="253" t="str">
        <x:v>498901</x:v>
      </x:c>
      <x:c r="G226" s="253" t="str">
        <x:v>Aril0193839898</x:v>
      </x:c>
      <x:c r="H226" s="253" t="str">
        <x:v>Yes</x:v>
      </x:c>
      <x:c r="I226" s="253" t="str"/>
      <x:c r="J226" s="253" t="str"/>
      <x:c r="K226" s="259"/>
      <x:c r="L226" s="268" t="str">
        <x:f>IFERROR(VLOOKUP(I226,'Handler-Team Map'!$A$7:$C$17,2,FALSE),"")</x:f>
      </x:c>
      <x:c r="M226" s="268" t="str">
        <x:f>IFERROR(VLOOKUP(I226,'Handler-Team Map'!$A$7:$C$17,3,FALSE),"")</x:f>
      </x:c>
      <x:c r="N226" s="274" t="str">
        <x:v>FT_VM_DEP1000_GET700_2X</x:v>
      </x:c>
      <x:c r="O226" s="274" t="str">
        <x:v>VIP BONUS - Deposit 1000 Get 700 - 2x TO</x:v>
      </x:c>
      <x:c r="P226" s="274" t="str">
        <x:v>DepositBonus</x:v>
      </x:c>
      <x:c r="Q226" s="274" t="str">
        <x:v>Approved</x:v>
      </x:c>
      <x:c r="R226" s="265" t="n">
        <x:v>700</x:v>
      </x:c>
      <x:c r="S226" s="253" t="str">
        <x:v>Yes</x:v>
      </x:c>
      <x:c r="T226" s="265" t="n">
        <x:v>2300</x:v>
      </x:c>
      <x:c r="U226" s="253" t="str">
        <x:f>IF(AND(S226="Yes",T226=0),"Yes","No")</x:f>
        <x:v>No</x:v>
      </x:c>
      <x:c r="V226" s="253" t="str">
        <x:v>Yes</x:v>
      </x:c>
      <x:c r="W226" s="253" t="str">
        <x:v>Yes</x:v>
      </x:c>
      <x:c r="X226" s="259" t="n">
        <x:v>46131.166666666664</x:v>
      </x:c>
      <x:c r="Y226" s="265" t="n">
        <x:v>2500</x:v>
      </x:c>
      <x:c r="Z226" s="265" t="n">
        <x:v>11780.66</x:v>
      </x:c>
      <x:c r="AA226" s="253" t="str">
        <x:f>IF(V226="No","Maturing",IF(AND(U226="Yes",Y226&gt;0),"Yes","No"))</x:f>
        <x:v>No</x:v>
      </x:c>
      <x:c r="AB226" s="253" t="str">
        <x:f>IF(W226="No","Maturing",IF(AND(U226="Yes",Z226&gt;0),"Yes","No"))</x:f>
        <x:v>No</x:v>
      </x:c>
      <x:c r="AC226" s="265" t="n">
        <x:v>519.09</x:v>
      </x:c>
      <x:c r="AD226" s="265" t="n">
        <x:v>7505.05</x:v>
      </x:c>
      <x:c r="AE226" s="271" t="str"/>
      <x:c r="AF226" s="274" t="str">
        <x:v>Not validated - no control/holdout</x:v>
      </x:c>
      <x:c r="AG226" s="277" t="str">
        <x:v>Recovered execution only; assignment date and unclaimed-offer denominator unavailable</x:v>
      </x:c>
    </x:row>
    <x:row r="227">
      <x:c r="A227" s="252" t="str">
        <x:v>33947713</x:v>
      </x:c>
      <x:c r="B227" s="253" t="str">
        <x:v>WS1</x:v>
      </x:c>
      <x:c r="C227" s="253" t="str">
        <x:v>MB8</x:v>
      </x:c>
      <x:c r="D227" s="262" t="n">
        <x:v>46131.94204861111</x:v>
      </x:c>
      <x:c r="E227" s="259" t="n">
        <x:v>46131.166666666664</x:v>
      </x:c>
      <x:c r="F227" s="253" t="str">
        <x:v>78785</x:v>
      </x:c>
      <x:c r="G227" s="253" t="str">
        <x:v>Rainchoong</x:v>
      </x:c>
      <x:c r="H227" s="253" t="str">
        <x:v>Yes</x:v>
      </x:c>
      <x:c r="I227" s="253" t="str">
        <x:v>Jiahui</x:v>
      </x:c>
      <x:c r="J227" s="253" t="str">
        <x:v>Jiahui</x:v>
      </x:c>
      <x:c r="K227" s="259" t="n">
        <x:v>45811.166666666664</x:v>
      </x:c>
      <x:c r="L227" s="268" t="str">
        <x:f>IFERROR(VLOOKUP(I227,'Handler-Team Map'!$A$7:$C$17,2,FALSE),"")</x:f>
      </x:c>
      <x:c r="M227" s="268" t="str">
        <x:f>IFERROR(VLOOKUP(I227,'Handler-Team Map'!$A$7:$C$17,3,FALSE),"")</x:f>
      </x:c>
      <x:c r="N227" s="274" t="str">
        <x:v>FT_VM_DEP300_GET100_5X</x:v>
      </x:c>
      <x:c r="O227" s="274" t="str">
        <x:v>VIP BONUS - Deposit 300 Get 100 - 5x TO</x:v>
      </x:c>
      <x:c r="P227" s="274" t="str">
        <x:v>DepositBonus</x:v>
      </x:c>
      <x:c r="Q227" s="274" t="str">
        <x:v>Approved</x:v>
      </x:c>
      <x:c r="R227" s="265" t="n">
        <x:v>100</x:v>
      </x:c>
      <x:c r="S227" s="253" t="str">
        <x:v>Yes</x:v>
      </x:c>
      <x:c r="T227" s="265" t="n">
        <x:v>33150</x:v>
      </x:c>
      <x:c r="U227" s="253" t="str">
        <x:f>IF(AND(S227="Yes",T227=0),"Yes","No")</x:f>
        <x:v>No</x:v>
      </x:c>
      <x:c r="V227" s="253" t="str">
        <x:v>Yes</x:v>
      </x:c>
      <x:c r="W227" s="253" t="str">
        <x:v>Yes</x:v>
      </x:c>
      <x:c r="X227" s="259" t="n">
        <x:v>46131.166666666664</x:v>
      </x:c>
      <x:c r="Y227" s="265" t="n">
        <x:v>6800</x:v>
      </x:c>
      <x:c r="Z227" s="265" t="n">
        <x:v>12450</x:v>
      </x:c>
      <x:c r="AA227" s="253" t="str">
        <x:f>IF(V227="No","Maturing",IF(AND(U227="Yes",Y227&gt;0),"Yes","No"))</x:f>
        <x:v>No</x:v>
      </x:c>
      <x:c r="AB227" s="253" t="str">
        <x:f>IF(W227="No","Maturing",IF(AND(U227="Yes",Z227&gt;0),"Yes","No"))</x:f>
        <x:v>No</x:v>
      </x:c>
      <x:c r="AC227" s="265" t="n">
        <x:v>6205.79</x:v>
      </x:c>
      <x:c r="AD227" s="265" t="n">
        <x:v>5443.42</x:v>
      </x:c>
      <x:c r="AE227" s="271" t="str"/>
      <x:c r="AF227" s="274" t="str">
        <x:v>Not validated - no control/holdout</x:v>
      </x:c>
      <x:c r="AG227" s="277" t="str">
        <x:v>Recovered execution only; assignment date and unclaimed-offer denominator unavailable</x:v>
      </x:c>
    </x:row>
    <x:row r="228">
      <x:c r="A228" s="252" t="str">
        <x:v>33949378</x:v>
      </x:c>
      <x:c r="B228" s="253" t="str">
        <x:v>WS1</x:v>
      </x:c>
      <x:c r="C228" s="253" t="str">
        <x:v>MB8</x:v>
      </x:c>
      <x:c r="D228" s="262" t="n">
        <x:v>46132.03927083333</x:v>
      </x:c>
      <x:c r="E228" s="259" t="n">
        <x:v>46132.166666666664</x:v>
      </x:c>
      <x:c r="F228" s="253" t="str">
        <x:v>570706</x:v>
      </x:c>
      <x:c r="G228" s="253" t="str">
        <x:v>Soh890922</x:v>
      </x:c>
      <x:c r="H228" s="253" t="str">
        <x:v>Yes</x:v>
      </x:c>
      <x:c r="I228" s="253" t="str"/>
      <x:c r="J228" s="253" t="str"/>
      <x:c r="K228" s="259"/>
      <x:c r="L228" s="268" t="str">
        <x:f>IFERROR(VLOOKUP(I228,'Handler-Team Map'!$A$7:$C$17,2,FALSE),"")</x:f>
      </x:c>
      <x:c r="M228" s="268" t="str">
        <x:f>IFERROR(VLOOKUP(I228,'Handler-Team Map'!$A$7:$C$17,3,FALSE),"")</x:f>
      </x:c>
      <x:c r="N228" s="274" t="str">
        <x:v>FT_VM_DEP600_GET200_5X</x:v>
      </x:c>
      <x:c r="O228" s="274" t="str">
        <x:v>VIP BONUS - Deposit 600 Get 200 - 5x TO</x:v>
      </x:c>
      <x:c r="P228" s="274" t="str">
        <x:v>DepositBonus</x:v>
      </x:c>
      <x:c r="Q228" s="274" t="str">
        <x:v>Approved</x:v>
      </x:c>
      <x:c r="R228" s="265" t="n">
        <x:v>200</x:v>
      </x:c>
      <x:c r="S228" s="253" t="str">
        <x:v>Yes</x:v>
      </x:c>
      <x:c r="T228" s="265" t="n">
        <x:v>1300</x:v>
      </x:c>
      <x:c r="U228" s="253" t="str">
        <x:f>IF(AND(S228="Yes",T228=0),"Yes","No")</x:f>
        <x:v>No</x:v>
      </x:c>
      <x:c r="V228" s="253" t="str">
        <x:v>Yes</x:v>
      </x:c>
      <x:c r="W228" s="253" t="str">
        <x:v>Yes</x:v>
      </x:c>
      <x:c r="X228" s="259" t="n">
        <x:v>46132.166666666664</x:v>
      </x:c>
      <x:c r="Y228" s="265" t="n">
        <x:v>1750</x:v>
      </x:c>
      <x:c r="Z228" s="265" t="n">
        <x:v>1950</x:v>
      </x:c>
      <x:c r="AA228" s="253" t="str">
        <x:f>IF(V228="No","Maturing",IF(AND(U228="Yes",Y228&gt;0),"Yes","No"))</x:f>
        <x:v>No</x:v>
      </x:c>
      <x:c r="AB228" s="253" t="str">
        <x:f>IF(W228="No","Maturing",IF(AND(U228="Yes",Z228&gt;0),"Yes","No"))</x:f>
        <x:v>No</x:v>
      </x:c>
      <x:c r="AC228" s="265" t="n">
        <x:v>-3550.23</x:v>
      </x:c>
      <x:c r="AD228" s="265" t="n">
        <x:v>-3349.93</x:v>
      </x:c>
      <x:c r="AE228" s="271" t="str"/>
      <x:c r="AF228" s="274" t="str">
        <x:v>Not validated - no control/holdout</x:v>
      </x:c>
      <x:c r="AG228" s="277" t="str">
        <x:v>Recovered execution only; assignment date and unclaimed-offer denominator unavailable</x:v>
      </x:c>
    </x:row>
    <x:row r="229">
      <x:c r="A229" s="252" t="str">
        <x:v>33951949</x:v>
      </x:c>
      <x:c r="B229" s="253" t="str">
        <x:v>WS1</x:v>
      </x:c>
      <x:c r="C229" s="253" t="str">
        <x:v>MB8</x:v>
      </x:c>
      <x:c r="D229" s="262" t="n">
        <x:v>46132.44862268519</x:v>
      </x:c>
      <x:c r="E229" s="259" t="n">
        <x:v>46132.166666666664</x:v>
      </x:c>
      <x:c r="F229" s="253" t="str">
        <x:v>647351</x:v>
      </x:c>
      <x:c r="G229" s="253" t="str">
        <x:v>Zairan</x:v>
      </x:c>
      <x:c r="H229" s="253" t="str">
        <x:v>Yes</x:v>
      </x:c>
      <x:c r="I229" s="253" t="str"/>
      <x:c r="J229" s="253" t="str"/>
      <x:c r="K229" s="259"/>
      <x:c r="L229" s="268" t="str">
        <x:f>IFERROR(VLOOKUP(I229,'Handler-Team Map'!$A$7:$C$17,2,FALSE),"")</x:f>
      </x:c>
      <x:c r="M229" s="268" t="str">
        <x:f>IFERROR(VLOOKUP(I229,'Handler-Team Map'!$A$7:$C$17,3,FALSE),"")</x:f>
      </x:c>
      <x:c r="N229" s="274" t="str">
        <x:v>FT_VM_DEP600_GET200_5X</x:v>
      </x:c>
      <x:c r="O229" s="274" t="str">
        <x:v>VIP BONUS - Deposit 600 Get 200 - 5x TO</x:v>
      </x:c>
      <x:c r="P229" s="274" t="str">
        <x:v>DepositBonus</x:v>
      </x:c>
      <x:c r="Q229" s="274" t="str">
        <x:v>Approved</x:v>
      </x:c>
      <x:c r="R229" s="265" t="n">
        <x:v>200</x:v>
      </x:c>
      <x:c r="S229" s="253" t="str">
        <x:v>Yes</x:v>
      </x:c>
      <x:c r="T229" s="265" t="n">
        <x:v>2499.01</x:v>
      </x:c>
      <x:c r="U229" s="253" t="str">
        <x:f>IF(AND(S229="Yes",T229=0),"Yes","No")</x:f>
        <x:v>No</x:v>
      </x:c>
      <x:c r="V229" s="253" t="str">
        <x:v>Yes</x:v>
      </x:c>
      <x:c r="W229" s="253" t="str">
        <x:v>Yes</x:v>
      </x:c>
      <x:c r="X229" s="259" t="n">
        <x:v>46132.166666666664</x:v>
      </x:c>
      <x:c r="Y229" s="265" t="n">
        <x:v>700</x:v>
      </x:c>
      <x:c r="Z229" s="265" t="n">
        <x:v>932</x:v>
      </x:c>
      <x:c r="AA229" s="253" t="str">
        <x:f>IF(V229="No","Maturing",IF(AND(U229="Yes",Y229&gt;0),"Yes","No"))</x:f>
        <x:v>No</x:v>
      </x:c>
      <x:c r="AB229" s="253" t="str">
        <x:f>IF(W229="No","Maturing",IF(AND(U229="Yes",Z229&gt;0),"Yes","No"))</x:f>
        <x:v>No</x:v>
      </x:c>
      <x:c r="AC229" s="265" t="n">
        <x:v>-3305.26</x:v>
      </x:c>
      <x:c r="AD229" s="265" t="n">
        <x:v>-4273.91</x:v>
      </x:c>
      <x:c r="AE229" s="271" t="str"/>
      <x:c r="AF229" s="274" t="str">
        <x:v>Not validated - no control/holdout</x:v>
      </x:c>
      <x:c r="AG229" s="277" t="str">
        <x:v>Recovered execution only; assignment date and unclaimed-offer denominator unavailable</x:v>
      </x:c>
    </x:row>
    <x:row r="230">
      <x:c r="A230" s="252" t="str">
        <x:v>33952417</x:v>
      </x:c>
      <x:c r="B230" s="253" t="str">
        <x:v>WS1</x:v>
      </x:c>
      <x:c r="C230" s="253" t="str">
        <x:v>MB8</x:v>
      </x:c>
      <x:c r="D230" s="262" t="n">
        <x:v>46132.50645833334</x:v>
      </x:c>
      <x:c r="E230" s="259" t="n">
        <x:v>46132.166666666664</x:v>
      </x:c>
      <x:c r="F230" s="253" t="str">
        <x:v>406955</x:v>
      </x:c>
      <x:c r="G230" s="253" t="str">
        <x:v>calvin322</x:v>
      </x:c>
      <x:c r="H230" s="253" t="str">
        <x:v>Yes</x:v>
      </x:c>
      <x:c r="I230" s="253" t="str">
        <x:v>Jiahui</x:v>
      </x:c>
      <x:c r="J230" s="253" t="str">
        <x:v>Jiahui</x:v>
      </x:c>
      <x:c r="K230" s="259" t="n">
        <x:v>46090.166666666664</x:v>
      </x:c>
      <x:c r="L230" s="268" t="str">
        <x:f>IFERROR(VLOOKUP(I230,'Handler-Team Map'!$A$7:$C$17,2,FALSE),"")</x:f>
      </x:c>
      <x:c r="M230" s="268" t="str">
        <x:f>IFERROR(VLOOKUP(I230,'Handler-Team Map'!$A$7:$C$17,3,FALSE),"")</x:f>
      </x:c>
      <x:c r="N230" s="274" t="str">
        <x:v>FT_VM_DEP1000_GET1000_1X</x:v>
      </x:c>
      <x:c r="O230" s="274" t="str">
        <x:v>VIP BONUS - Deposit 1000 Get 1000 - 1x TO</x:v>
      </x:c>
      <x:c r="P230" s="274" t="str">
        <x:v>DepositBonus</x:v>
      </x:c>
      <x:c r="Q230" s="274" t="str">
        <x:v>Approved</x:v>
      </x:c>
      <x:c r="R230" s="265" t="n">
        <x:v>1000</x:v>
      </x:c>
      <x:c r="S230" s="253" t="str">
        <x:v>Yes</x:v>
      </x:c>
      <x:c r="T230" s="265" t="n">
        <x:v>35000</x:v>
      </x:c>
      <x:c r="U230" s="253" t="str">
        <x:f>IF(AND(S230="Yes",T230=0),"Yes","No")</x:f>
        <x:v>No</x:v>
      </x:c>
      <x:c r="V230" s="253" t="str">
        <x:v>Yes</x:v>
      </x:c>
      <x:c r="W230" s="253" t="str">
        <x:v>Yes</x:v>
      </x:c>
      <x:c r="X230" s="259" t="n">
        <x:v>46132.166666666664</x:v>
      </x:c>
      <x:c r="Y230" s="265" t="n">
        <x:v>1000</x:v>
      </x:c>
      <x:c r="Z230" s="265" t="n">
        <x:v>1000</x:v>
      </x:c>
      <x:c r="AA230" s="253" t="str">
        <x:f>IF(V230="No","Maturing",IF(AND(U230="Yes",Y230&gt;0),"Yes","No"))</x:f>
        <x:v>No</x:v>
      </x:c>
      <x:c r="AB230" s="253" t="str">
        <x:f>IF(W230="No","Maturing",IF(AND(U230="Yes",Z230&gt;0),"Yes","No"))</x:f>
        <x:v>No</x:v>
      </x:c>
      <x:c r="AC230" s="265" t="n">
        <x:v>-3945.41</x:v>
      </x:c>
      <x:c r="AD230" s="265" t="n">
        <x:v>-3945.41</x:v>
      </x:c>
      <x:c r="AE230" s="271" t="str"/>
      <x:c r="AF230" s="274" t="str">
        <x:v>Not validated - no control/holdout</x:v>
      </x:c>
      <x:c r="AG230" s="277" t="str">
        <x:v>Recovered execution only; assignment date and unclaimed-offer denominator unavailable</x:v>
      </x:c>
    </x:row>
    <x:row r="231">
      <x:c r="A231" s="252" t="str">
        <x:v>33952704</x:v>
      </x:c>
      <x:c r="B231" s="253" t="str">
        <x:v>WS1</x:v>
      </x:c>
      <x:c r="C231" s="253" t="str">
        <x:v>MB8</x:v>
      </x:c>
      <x:c r="D231" s="262" t="n">
        <x:v>46132.536886574075</x:v>
      </x:c>
      <x:c r="E231" s="259" t="n">
        <x:v>46132.166666666664</x:v>
      </x:c>
      <x:c r="F231" s="253" t="str">
        <x:v>1055034</x:v>
      </x:c>
      <x:c r="G231" s="253" t="str">
        <x:v>khaimitsuki</x:v>
      </x:c>
      <x:c r="H231" s="253" t="str">
        <x:v>Yes</x:v>
      </x:c>
      <x:c r="I231" s="253" t="str"/>
      <x:c r="J231" s="253" t="str"/>
      <x:c r="K231" s="259"/>
      <x:c r="L231" s="268" t="str">
        <x:f>IFERROR(VLOOKUP(I231,'Handler-Team Map'!$A$7:$C$17,2,FALSE),"")</x:f>
      </x:c>
      <x:c r="M231" s="268" t="str">
        <x:f>IFERROR(VLOOKUP(I231,'Handler-Team Map'!$A$7:$C$17,3,FALSE),"")</x:f>
      </x:c>
      <x:c r="N231" s="274" t="str">
        <x:v>FT_VM_DEP800_GET400_2X</x:v>
      </x:c>
      <x:c r="O231" s="274" t="str">
        <x:v>VIP BONUS - Deposit 800 Get 400 - 2x TO</x:v>
      </x:c>
      <x:c r="P231" s="274" t="str">
        <x:v>DepositBonus</x:v>
      </x:c>
      <x:c r="Q231" s="274" t="str">
        <x:v>Approved</x:v>
      </x:c>
      <x:c r="R231" s="265" t="n">
        <x:v>400</x:v>
      </x:c>
      <x:c r="S231" s="253" t="str">
        <x:v>Yes</x:v>
      </x:c>
      <x:c r="T231" s="265" t="n">
        <x:v>3363</x:v>
      </x:c>
      <x:c r="U231" s="253" t="str">
        <x:f>IF(AND(S231="Yes",T231=0),"Yes","No")</x:f>
        <x:v>No</x:v>
      </x:c>
      <x:c r="V231" s="253" t="str">
        <x:v>Yes</x:v>
      </x:c>
      <x:c r="W231" s="253" t="str">
        <x:v>Yes</x:v>
      </x:c>
      <x:c r="X231" s="259" t="n">
        <x:v>46132.166666666664</x:v>
      </x:c>
      <x:c r="Y231" s="265" t="n">
        <x:v>7535</x:v>
      </x:c>
      <x:c r="Z231" s="265" t="n">
        <x:v>7745</x:v>
      </x:c>
      <x:c r="AA231" s="253" t="str">
        <x:f>IF(V231="No","Maturing",IF(AND(U231="Yes",Y231&gt;0),"Yes","No"))</x:f>
        <x:v>No</x:v>
      </x:c>
      <x:c r="AB231" s="253" t="str">
        <x:f>IF(W231="No","Maturing",IF(AND(U231="Yes",Z231&gt;0),"Yes","No"))</x:f>
        <x:v>No</x:v>
      </x:c>
      <x:c r="AC231" s="265" t="n">
        <x:v>6464.81</x:v>
      </x:c>
      <x:c r="AD231" s="265" t="n">
        <x:v>6674.62</x:v>
      </x:c>
      <x:c r="AE231" s="271" t="str"/>
      <x:c r="AF231" s="274" t="str">
        <x:v>Not validated - no control/holdout</x:v>
      </x:c>
      <x:c r="AG231" s="277" t="str">
        <x:v>Recovered execution only; assignment date and unclaimed-offer denominator unavailable</x:v>
      </x:c>
    </x:row>
    <x:row r="232">
      <x:c r="A232" s="252" t="str">
        <x:v>33953547</x:v>
      </x:c>
      <x:c r="B232" s="253" t="str">
        <x:v>WS1</x:v>
      </x:c>
      <x:c r="C232" s="253" t="str">
        <x:v>MB8</x:v>
      </x:c>
      <x:c r="D232" s="262" t="n">
        <x:v>46132.620671296296</x:v>
      </x:c>
      <x:c r="E232" s="259" t="n">
        <x:v>46132.166666666664</x:v>
      </x:c>
      <x:c r="F232" s="253" t="str">
        <x:v>269339</x:v>
      </x:c>
      <x:c r="G232" s="253" t="str">
        <x:v>Gohan123</x:v>
      </x:c>
      <x:c r="H232" s="253" t="str">
        <x:v>Yes</x:v>
      </x:c>
      <x:c r="I232" s="253" t="str">
        <x:v>zhen</x:v>
      </x:c>
      <x:c r="J232" s="253" t="str">
        <x:v>zhen</x:v>
      </x:c>
      <x:c r="K232" s="259" t="n">
        <x:v>45985.166666666664</x:v>
      </x:c>
      <x:c r="L232" s="268" t="str">
        <x:f>IFERROR(VLOOKUP(I232,'Handler-Team Map'!$A$7:$C$17,2,FALSE),"")</x:f>
      </x:c>
      <x:c r="M232" s="268" t="str">
        <x:f>IFERROR(VLOOKUP(I232,'Handler-Team Map'!$A$7:$C$17,3,FALSE),"")</x:f>
      </x:c>
      <x:c r="N232" s="274" t="str">
        <x:v>FT_VM_DEP300_GET100_5X</x:v>
      </x:c>
      <x:c r="O232" s="274" t="str">
        <x:v>VIP BONUS - Deposit 300 Get 100 - 5x TO</x:v>
      </x:c>
      <x:c r="P232" s="274" t="str">
        <x:v>DepositBonus</x:v>
      </x:c>
      <x:c r="Q232" s="274" t="str">
        <x:v>Approved</x:v>
      </x:c>
      <x:c r="R232" s="265" t="n">
        <x:v>100</x:v>
      </x:c>
      <x:c r="S232" s="253" t="str">
        <x:v>Yes</x:v>
      </x:c>
      <x:c r="T232" s="265" t="n">
        <x:v>69110</x:v>
      </x:c>
      <x:c r="U232" s="253" t="str">
        <x:f>IF(AND(S232="Yes",T232=0),"Yes","No")</x:f>
        <x:v>No</x:v>
      </x:c>
      <x:c r="V232" s="253" t="str">
        <x:v>Yes</x:v>
      </x:c>
      <x:c r="W232" s="253" t="str">
        <x:v>Yes</x:v>
      </x:c>
      <x:c r="X232" s="259" t="n">
        <x:v>46132.166666666664</x:v>
      </x:c>
      <x:c r="Y232" s="265" t="n">
        <x:v>15970</x:v>
      </x:c>
      <x:c r="Z232" s="265" t="n">
        <x:v>26520</x:v>
      </x:c>
      <x:c r="AA232" s="253" t="str">
        <x:f>IF(V232="No","Maturing",IF(AND(U232="Yes",Y232&gt;0),"Yes","No"))</x:f>
        <x:v>No</x:v>
      </x:c>
      <x:c r="AB232" s="253" t="str">
        <x:f>IF(W232="No","Maturing",IF(AND(U232="Yes",Z232&gt;0),"Yes","No"))</x:f>
        <x:v>No</x:v>
      </x:c>
      <x:c r="AC232" s="265" t="n">
        <x:v>16097.89</x:v>
      </x:c>
      <x:c r="AD232" s="265" t="n">
        <x:v>26570.76</x:v>
      </x:c>
      <x:c r="AE232" s="271" t="str"/>
      <x:c r="AF232" s="274" t="str">
        <x:v>Not validated - no control/holdout</x:v>
      </x:c>
      <x:c r="AG232" s="277" t="str">
        <x:v>Recovered execution only; assignment date and unclaimed-offer denominator unavailable</x:v>
      </x:c>
    </x:row>
    <x:row r="233">
      <x:c r="A233" s="252" t="str">
        <x:v>33954263</x:v>
      </x:c>
      <x:c r="B233" s="253" t="str">
        <x:v>WS1</x:v>
      </x:c>
      <x:c r="C233" s="253" t="str">
        <x:v>MB8</x:v>
      </x:c>
      <x:c r="D233" s="262" t="n">
        <x:v>46132.679872685185</x:v>
      </x:c>
      <x:c r="E233" s="259" t="n">
        <x:v>46132.166666666664</x:v>
      </x:c>
      <x:c r="F233" s="253" t="str">
        <x:v>827371</x:v>
      </x:c>
      <x:c r="G233" s="253" t="str">
        <x:v>marc187</x:v>
      </x:c>
      <x:c r="H233" s="253" t="str">
        <x:v>Yes</x:v>
      </x:c>
      <x:c r="I233" s="253" t="str">
        <x:v>Claire</x:v>
      </x:c>
      <x:c r="J233" s="253" t="str">
        <x:v>Claire</x:v>
      </x:c>
      <x:c r="K233" s="259" t="n">
        <x:v>45755.166666666664</x:v>
      </x:c>
      <x:c r="L233" s="268" t="str">
        <x:f>IFERROR(VLOOKUP(I233,'Handler-Team Map'!$A$7:$C$17,2,FALSE),"")</x:f>
      </x:c>
      <x:c r="M233" s="268" t="str">
        <x:f>IFERROR(VLOOKUP(I233,'Handler-Team Map'!$A$7:$C$17,3,FALSE),"")</x:f>
      </x:c>
      <x:c r="N233" s="274" t="str">
        <x:v>FT_VM_DEP1000_GET1000_2X</x:v>
      </x:c>
      <x:c r="O233" s="274" t="str">
        <x:v>VIP BONUS - Deposit 1000 Get 1000 - 2x TO</x:v>
      </x:c>
      <x:c r="P233" s="274" t="str">
        <x:v>DepositBonus</x:v>
      </x:c>
      <x:c r="Q233" s="274" t="str">
        <x:v>Approved</x:v>
      </x:c>
      <x:c r="R233" s="265" t="n">
        <x:v>1000</x:v>
      </x:c>
      <x:c r="S233" s="253" t="str">
        <x:v>Yes</x:v>
      </x:c>
      <x:c r="T233" s="265" t="n">
        <x:v>1578721.32</x:v>
      </x:c>
      <x:c r="U233" s="253" t="str">
        <x:f>IF(AND(S233="Yes",T233=0),"Yes","No")</x:f>
        <x:v>No</x:v>
      </x:c>
      <x:c r="V233" s="253" t="str">
        <x:v>Yes</x:v>
      </x:c>
      <x:c r="W233" s="253" t="str">
        <x:v>Yes</x:v>
      </x:c>
      <x:c r="X233" s="259" t="n">
        <x:v>46132.166666666664</x:v>
      </x:c>
      <x:c r="Y233" s="265" t="n">
        <x:v>391353.08</x:v>
      </x:c>
      <x:c r="Z233" s="265" t="n">
        <x:v>840541.28</x:v>
      </x:c>
      <x:c r="AA233" s="253" t="str">
        <x:f>IF(V233="No","Maturing",IF(AND(U233="Yes",Y233&gt;0),"Yes","No"))</x:f>
        <x:v>No</x:v>
      </x:c>
      <x:c r="AB233" s="253" t="str">
        <x:f>IF(W233="No","Maturing",IF(AND(U233="Yes",Z233&gt;0),"Yes","No"))</x:f>
        <x:v>No</x:v>
      </x:c>
      <x:c r="AC233" s="265" t="n">
        <x:v>70560.42</x:v>
      </x:c>
      <x:c r="AD233" s="265" t="n">
        <x:v>169498.96</x:v>
      </x:c>
      <x:c r="AE233" s="271" t="str"/>
      <x:c r="AF233" s="274" t="str">
        <x:v>Not validated - no control/holdout</x:v>
      </x:c>
      <x:c r="AG233" s="277" t="str">
        <x:v>Recovered execution only; assignment date and unclaimed-offer denominator unavailable</x:v>
      </x:c>
    </x:row>
    <x:row r="234">
      <x:c r="A234" s="252" t="str">
        <x:v>33954269</x:v>
      </x:c>
      <x:c r="B234" s="253" t="str">
        <x:v>WS1</x:v>
      </x:c>
      <x:c r="C234" s="253" t="str">
        <x:v>MB8</x:v>
      </x:c>
      <x:c r="D234" s="262" t="n">
        <x:v>46132.68069444445</x:v>
      </x:c>
      <x:c r="E234" s="259" t="n">
        <x:v>46132.166666666664</x:v>
      </x:c>
      <x:c r="F234" s="253" t="str">
        <x:v>195813</x:v>
      </x:c>
      <x:c r="G234" s="253" t="str">
        <x:v>Veq5774</x:v>
      </x:c>
      <x:c r="H234" s="253" t="str">
        <x:v>Yes</x:v>
      </x:c>
      <x:c r="I234" s="253" t="str">
        <x:v>Elda</x:v>
      </x:c>
      <x:c r="J234" s="253" t="str">
        <x:v>Elda</x:v>
      </x:c>
      <x:c r="K234" s="259" t="n">
        <x:v>45659.166666666664</x:v>
      </x:c>
      <x:c r="L234" s="268" t="str">
        <x:f>IFERROR(VLOOKUP(I234,'Handler-Team Map'!$A$7:$C$17,2,FALSE),"")</x:f>
      </x:c>
      <x:c r="M234" s="268" t="str">
        <x:f>IFERROR(VLOOKUP(I234,'Handler-Team Map'!$A$7:$C$17,3,FALSE),"")</x:f>
      </x:c>
      <x:c r="N234" s="274" t="str">
        <x:v>FT_VM_DEP1000_GET1000_1X</x:v>
      </x:c>
      <x:c r="O234" s="274" t="str">
        <x:v>VIP BONUS - Deposit 1000 Get 1000 - 1x TO</x:v>
      </x:c>
      <x:c r="P234" s="274" t="str">
        <x:v>DepositBonus</x:v>
      </x:c>
      <x:c r="Q234" s="274" t="str">
        <x:v>Approved</x:v>
      </x:c>
      <x:c r="R234" s="265" t="n">
        <x:v>1000</x:v>
      </x:c>
      <x:c r="S234" s="253" t="str">
        <x:v>Yes</x:v>
      </x:c>
      <x:c r="T234" s="265" t="n">
        <x:v>317580</x:v>
      </x:c>
      <x:c r="U234" s="253" t="str">
        <x:f>IF(AND(S234="Yes",T234=0),"Yes","No")</x:f>
        <x:v>No</x:v>
      </x:c>
      <x:c r="V234" s="253" t="str">
        <x:v>Yes</x:v>
      </x:c>
      <x:c r="W234" s="253" t="str">
        <x:v>Yes</x:v>
      </x:c>
      <x:c r="X234" s="259" t="n">
        <x:v>46132.166666666664</x:v>
      </x:c>
      <x:c r="Y234" s="265" t="n">
        <x:v>32974</x:v>
      </x:c>
      <x:c r="Z234" s="265" t="n">
        <x:v>55963</x:v>
      </x:c>
      <x:c r="AA234" s="253" t="str">
        <x:f>IF(V234="No","Maturing",IF(AND(U234="Yes",Y234&gt;0),"Yes","No"))</x:f>
        <x:v>No</x:v>
      </x:c>
      <x:c r="AB234" s="253" t="str">
        <x:f>IF(W234="No","Maturing",IF(AND(U234="Yes",Z234&gt;0),"Yes","No"))</x:f>
        <x:v>No</x:v>
      </x:c>
      <x:c r="AC234" s="265" t="n">
        <x:v>28345.95</x:v>
      </x:c>
      <x:c r="AD234" s="265" t="n">
        <x:v>55838.34</x:v>
      </x:c>
      <x:c r="AE234" s="271" t="str"/>
      <x:c r="AF234" s="274" t="str">
        <x:v>Not validated - no control/holdout</x:v>
      </x:c>
      <x:c r="AG234" s="277" t="str">
        <x:v>Recovered execution only; assignment date and unclaimed-offer denominator unavailable</x:v>
      </x:c>
    </x:row>
    <x:row r="235">
      <x:c r="A235" s="252" t="str">
        <x:v>33954455</x:v>
      </x:c>
      <x:c r="B235" s="253" t="str">
        <x:v>WS1</x:v>
      </x:c>
      <x:c r="C235" s="253" t="str">
        <x:v>MB8</x:v>
      </x:c>
      <x:c r="D235" s="262" t="n">
        <x:v>46132.69462962963</x:v>
      </x:c>
      <x:c r="E235" s="259" t="n">
        <x:v>46132.166666666664</x:v>
      </x:c>
      <x:c r="F235" s="253" t="str">
        <x:v>605081</x:v>
      </x:c>
      <x:c r="G235" s="253" t="str">
        <x:v>xxdra</x:v>
      </x:c>
      <x:c r="H235" s="253" t="str">
        <x:v>Yes</x:v>
      </x:c>
      <x:c r="I235" s="253" t="str">
        <x:v>Mikki</x:v>
      </x:c>
      <x:c r="J235" s="253" t="str">
        <x:v>Mikki</x:v>
      </x:c>
      <x:c r="K235" s="259" t="n">
        <x:v>45993.166666666664</x:v>
      </x:c>
      <x:c r="L235" s="268" t="str">
        <x:f>IFERROR(VLOOKUP(I235,'Handler-Team Map'!$A$7:$C$17,2,FALSE),"")</x:f>
      </x:c>
      <x:c r="M235" s="268" t="str">
        <x:f>IFERROR(VLOOKUP(I235,'Handler-Team Map'!$A$7:$C$17,3,FALSE),"")</x:f>
      </x:c>
      <x:c r="N235" s="274" t="str">
        <x:v>FT_VM_DEP1000_GET500_5X</x:v>
      </x:c>
      <x:c r="O235" s="274" t="str">
        <x:v>VIP BONUS - Deposit 1000 Get 500 - 5x TO</x:v>
      </x:c>
      <x:c r="P235" s="274" t="str">
        <x:v>DepositBonus</x:v>
      </x:c>
      <x:c r="Q235" s="274" t="str">
        <x:v>Approved</x:v>
      </x:c>
      <x:c r="R235" s="265" t="n">
        <x:v>500</x:v>
      </x:c>
      <x:c r="S235" s="253" t="str">
        <x:v>Yes</x:v>
      </x:c>
      <x:c r="T235" s="265" t="n">
        <x:v>14984</x:v>
      </x:c>
      <x:c r="U235" s="253" t="str">
        <x:f>IF(AND(S235="Yes",T235=0),"Yes","No")</x:f>
        <x:v>No</x:v>
      </x:c>
      <x:c r="V235" s="253" t="str">
        <x:v>Yes</x:v>
      </x:c>
      <x:c r="W235" s="253" t="str">
        <x:v>Yes</x:v>
      </x:c>
      <x:c r="X235" s="259" t="n">
        <x:v>46132.166666666664</x:v>
      </x:c>
      <x:c r="Y235" s="265" t="n">
        <x:v>2810</x:v>
      </x:c>
      <x:c r="Z235" s="265" t="n">
        <x:v>4290</x:v>
      </x:c>
      <x:c r="AA235" s="253" t="str">
        <x:f>IF(V235="No","Maturing",IF(AND(U235="Yes",Y235&gt;0),"Yes","No"))</x:f>
        <x:v>No</x:v>
      </x:c>
      <x:c r="AB235" s="253" t="str">
        <x:f>IF(W235="No","Maturing",IF(AND(U235="Yes",Z235&gt;0),"Yes","No"))</x:f>
        <x:v>No</x:v>
      </x:c>
      <x:c r="AC235" s="265" t="n">
        <x:v>2181.23</x:v>
      </x:c>
      <x:c r="AD235" s="265" t="n">
        <x:v>1870.65</x:v>
      </x:c>
      <x:c r="AE235" s="271" t="str"/>
      <x:c r="AF235" s="274" t="str">
        <x:v>Not validated - no control/holdout</x:v>
      </x:c>
      <x:c r="AG235" s="277" t="str">
        <x:v>Recovered execution only; assignment date and unclaimed-offer denominator unavailable</x:v>
      </x:c>
    </x:row>
    <x:row r="236">
      <x:c r="A236" s="252" t="str">
        <x:v>33954768</x:v>
      </x:c>
      <x:c r="B236" s="253" t="str">
        <x:v>WS1</x:v>
      </x:c>
      <x:c r="C236" s="253" t="str">
        <x:v>MB8</x:v>
      </x:c>
      <x:c r="D236" s="262" t="n">
        <x:v>46132.71854166667</x:v>
      </x:c>
      <x:c r="E236" s="259" t="n">
        <x:v>46132.166666666664</x:v>
      </x:c>
      <x:c r="F236" s="253" t="str">
        <x:v>938720</x:v>
      </x:c>
      <x:c r="G236" s="253" t="str">
        <x:v>Sutheshkumar</x:v>
      </x:c>
      <x:c r="H236" s="253" t="str">
        <x:v>Yes</x:v>
      </x:c>
      <x:c r="I236" s="253" t="str">
        <x:v>Tammy</x:v>
      </x:c>
      <x:c r="J236" s="253" t="str">
        <x:v>Tammy</x:v>
      </x:c>
      <x:c r="K236" s="259" t="n">
        <x:v>45951.166666666664</x:v>
      </x:c>
      <x:c r="L236" s="268" t="str">
        <x:f>IFERROR(VLOOKUP(I236,'Handler-Team Map'!$A$7:$C$17,2,FALSE),"")</x:f>
      </x:c>
      <x:c r="M236" s="268" t="str">
        <x:f>IFERROR(VLOOKUP(I236,'Handler-Team Map'!$A$7:$C$17,3,FALSE),"")</x:f>
      </x:c>
      <x:c r="N236" s="274" t="str">
        <x:v>FT_VM_DEP150_GET50_5X</x:v>
      </x:c>
      <x:c r="O236" s="274" t="str">
        <x:v>VIP BONUS - Deposit 150 Get 50 - 5x TO</x:v>
      </x:c>
      <x:c r="P236" s="274" t="str">
        <x:v>DepositBonus</x:v>
      </x:c>
      <x:c r="Q236" s="274" t="str">
        <x:v>Approved</x:v>
      </x:c>
      <x:c r="R236" s="265" t="n">
        <x:v>50</x:v>
      </x:c>
      <x:c r="S236" s="253" t="str">
        <x:v>Yes</x:v>
      </x:c>
      <x:c r="T236" s="265" t="n">
        <x:v>85036.5</x:v>
      </x:c>
      <x:c r="U236" s="253" t="str">
        <x:f>IF(AND(S236="Yes",T236=0),"Yes","No")</x:f>
        <x:v>No</x:v>
      </x:c>
      <x:c r="V236" s="253" t="str">
        <x:v>Yes</x:v>
      </x:c>
      <x:c r="W236" s="253" t="str">
        <x:v>Yes</x:v>
      </x:c>
      <x:c r="X236" s="259" t="n">
        <x:v>46132.166666666664</x:v>
      </x:c>
      <x:c r="Y236" s="265" t="n">
        <x:v>32716</x:v>
      </x:c>
      <x:c r="Z236" s="265" t="n">
        <x:v>50513</x:v>
      </x:c>
      <x:c r="AA236" s="253" t="str">
        <x:f>IF(V236="No","Maturing",IF(AND(U236="Yes",Y236&gt;0),"Yes","No"))</x:f>
        <x:v>No</x:v>
      </x:c>
      <x:c r="AB236" s="253" t="str">
        <x:f>IF(W236="No","Maturing",IF(AND(U236="Yes",Z236&gt;0),"Yes","No"))</x:f>
        <x:v>No</x:v>
      </x:c>
      <x:c r="AC236" s="265" t="n">
        <x:v>7048.6</x:v>
      </x:c>
      <x:c r="AD236" s="265" t="n">
        <x:v>19376.04</x:v>
      </x:c>
      <x:c r="AE236" s="271" t="str"/>
      <x:c r="AF236" s="274" t="str">
        <x:v>Not validated - no control/holdout</x:v>
      </x:c>
      <x:c r="AG236" s="277" t="str">
        <x:v>Recovered execution only; assignment date and unclaimed-offer denominator unavailable</x:v>
      </x:c>
    </x:row>
    <x:row r="237">
      <x:c r="A237" s="252" t="str">
        <x:v>33954767</x:v>
      </x:c>
      <x:c r="B237" s="253" t="str">
        <x:v>WS1</x:v>
      </x:c>
      <x:c r="C237" s="253" t="str">
        <x:v>MB8</x:v>
      </x:c>
      <x:c r="D237" s="262" t="n">
        <x:v>46132.71878472222</x:v>
      </x:c>
      <x:c r="E237" s="259" t="n">
        <x:v>46132.166666666664</x:v>
      </x:c>
      <x:c r="F237" s="253" t="str">
        <x:v>38910</x:v>
      </x:c>
      <x:c r="G237" s="253" t="str">
        <x:v>Snowy2kaki</x:v>
      </x:c>
      <x:c r="H237" s="253" t="str">
        <x:v>Yes</x:v>
      </x:c>
      <x:c r="I237" s="253" t="str">
        <x:v>Claire</x:v>
      </x:c>
      <x:c r="J237" s="253" t="str">
        <x:v>Claire</x:v>
      </x:c>
      <x:c r="K237" s="259" t="n">
        <x:v>45659.166666666664</x:v>
      </x:c>
      <x:c r="L237" s="268" t="str">
        <x:f>IFERROR(VLOOKUP(I237,'Handler-Team Map'!$A$7:$C$17,2,FALSE),"")</x:f>
      </x:c>
      <x:c r="M237" s="268" t="str">
        <x:f>IFERROR(VLOOKUP(I237,'Handler-Team Map'!$A$7:$C$17,3,FALSE),"")</x:f>
      </x:c>
      <x:c r="N237" s="274" t="str">
        <x:v>FT_VM_DEP1000_GET700_1X</x:v>
      </x:c>
      <x:c r="O237" s="274" t="str">
        <x:v>VIP BONUS - Deposit 1000 Get 700 - 1x TO</x:v>
      </x:c>
      <x:c r="P237" s="274" t="str">
        <x:v>DepositBonus</x:v>
      </x:c>
      <x:c r="Q237" s="274" t="str">
        <x:v>Approved</x:v>
      </x:c>
      <x:c r="R237" s="265" t="n">
        <x:v>700</x:v>
      </x:c>
      <x:c r="S237" s="253" t="str">
        <x:v>Yes</x:v>
      </x:c>
      <x:c r="T237" s="265" t="n">
        <x:v>63000</x:v>
      </x:c>
      <x:c r="U237" s="253" t="str">
        <x:f>IF(AND(S237="Yes",T237=0),"Yes","No")</x:f>
        <x:v>No</x:v>
      </x:c>
      <x:c r="V237" s="253" t="str">
        <x:v>Yes</x:v>
      </x:c>
      <x:c r="W237" s="253" t="str">
        <x:v>Yes</x:v>
      </x:c>
      <x:c r="X237" s="259" t="n">
        <x:v>46132.166666666664</x:v>
      </x:c>
      <x:c r="Y237" s="265" t="n">
        <x:v>63800</x:v>
      </x:c>
      <x:c r="Z237" s="265" t="n">
        <x:v>78700</x:v>
      </x:c>
      <x:c r="AA237" s="253" t="str">
        <x:f>IF(V237="No","Maturing",IF(AND(U237="Yes",Y237&gt;0),"Yes","No"))</x:f>
        <x:v>No</x:v>
      </x:c>
      <x:c r="AB237" s="253" t="str">
        <x:f>IF(W237="No","Maturing",IF(AND(U237="Yes",Z237&gt;0),"Yes","No"))</x:f>
        <x:v>No</x:v>
      </x:c>
      <x:c r="AC237" s="265" t="n">
        <x:v>64200.18</x:v>
      </x:c>
      <x:c r="AD237" s="265" t="n">
        <x:v>79130.81</x:v>
      </x:c>
      <x:c r="AE237" s="271" t="str"/>
      <x:c r="AF237" s="274" t="str">
        <x:v>Not validated - no control/holdout</x:v>
      </x:c>
      <x:c r="AG237" s="277" t="str">
        <x:v>Recovered execution only; assignment date and unclaimed-offer denominator unavailable</x:v>
      </x:c>
    </x:row>
    <x:row r="238">
      <x:c r="A238" s="252" t="str">
        <x:v>33954959</x:v>
      </x:c>
      <x:c r="B238" s="253" t="str">
        <x:v>WS1</x:v>
      </x:c>
      <x:c r="C238" s="253" t="str">
        <x:v>MB8</x:v>
      </x:c>
      <x:c r="D238" s="262" t="n">
        <x:v>46132.739074074074</x:v>
      </x:c>
      <x:c r="E238" s="259" t="n">
        <x:v>46132.166666666664</x:v>
      </x:c>
      <x:c r="F238" s="253" t="str">
        <x:v>444377</x:v>
      </x:c>
      <x:c r="G238" s="253" t="str">
        <x:v>Selva030487</x:v>
      </x:c>
      <x:c r="H238" s="253" t="str">
        <x:v>Yes</x:v>
      </x:c>
      <x:c r="I238" s="253" t="str">
        <x:v>Sheena</x:v>
      </x:c>
      <x:c r="J238" s="253" t="str">
        <x:v>Sheena</x:v>
      </x:c>
      <x:c r="K238" s="259" t="n">
        <x:v>46090.166666666664</x:v>
      </x:c>
      <x:c r="L238" s="268" t="str">
        <x:f>IFERROR(VLOOKUP(I238,'Handler-Team Map'!$A$7:$C$17,2,FALSE),"")</x:f>
      </x:c>
      <x:c r="M238" s="268" t="str">
        <x:f>IFERROR(VLOOKUP(I238,'Handler-Team Map'!$A$7:$C$17,3,FALSE),"")</x:f>
      </x:c>
      <x:c r="N238" s="274" t="str">
        <x:v>FT_VM_DEP150_GET50_5X</x:v>
      </x:c>
      <x:c r="O238" s="274" t="str">
        <x:v>VIP BONUS - Deposit 150 Get 50 - 5x TO</x:v>
      </x:c>
      <x:c r="P238" s="274" t="str">
        <x:v>DepositBonus</x:v>
      </x:c>
      <x:c r="Q238" s="274" t="str">
        <x:v>Approved</x:v>
      </x:c>
      <x:c r="R238" s="265" t="n">
        <x:v>50</x:v>
      </x:c>
      <x:c r="S238" s="253" t="str">
        <x:v>Yes</x:v>
      </x:c>
      <x:c r="T238" s="265" t="n">
        <x:v>13590</x:v>
      </x:c>
      <x:c r="U238" s="253" t="str">
        <x:f>IF(AND(S238="Yes",T238=0),"Yes","No")</x:f>
        <x:v>No</x:v>
      </x:c>
      <x:c r="V238" s="253" t="str">
        <x:v>Yes</x:v>
      </x:c>
      <x:c r="W238" s="253" t="str">
        <x:v>Yes</x:v>
      </x:c>
      <x:c r="X238" s="259" t="n">
        <x:v>46132.166666666664</x:v>
      </x:c>
      <x:c r="Y238" s="265" t="n">
        <x:v>9360</x:v>
      </x:c>
      <x:c r="Z238" s="265" t="n">
        <x:v>21310</x:v>
      </x:c>
      <x:c r="AA238" s="253" t="str">
        <x:f>IF(V238="No","Maturing",IF(AND(U238="Yes",Y238&gt;0),"Yes","No"))</x:f>
        <x:v>No</x:v>
      </x:c>
      <x:c r="AB238" s="253" t="str">
        <x:f>IF(W238="No","Maturing",IF(AND(U238="Yes",Z238&gt;0),"Yes","No"))</x:f>
        <x:v>No</x:v>
      </x:c>
      <x:c r="AC238" s="265" t="n">
        <x:v>1359.93</x:v>
      </x:c>
      <x:c r="AD238" s="265" t="n">
        <x:v>809.57</x:v>
      </x:c>
      <x:c r="AE238" s="271" t="str"/>
      <x:c r="AF238" s="274" t="str">
        <x:v>Not validated - no control/holdout</x:v>
      </x:c>
      <x:c r="AG238" s="277" t="str">
        <x:v>Recovered execution only; assignment date and unclaimed-offer denominator unavailable</x:v>
      </x:c>
    </x:row>
    <x:row r="239">
      <x:c r="A239" s="252" t="str">
        <x:v>33955594</x:v>
      </x:c>
      <x:c r="B239" s="253" t="str">
        <x:v>WS1</x:v>
      </x:c>
      <x:c r="C239" s="253" t="str">
        <x:v>MB8</x:v>
      </x:c>
      <x:c r="D239" s="262" t="n">
        <x:v>46132.786145833335</x:v>
      </x:c>
      <x:c r="E239" s="259" t="n">
        <x:v>46132.166666666664</x:v>
      </x:c>
      <x:c r="F239" s="253" t="str">
        <x:v>580807</x:v>
      </x:c>
      <x:c r="G239" s="253" t="str">
        <x:v>Ams1202</x:v>
      </x:c>
      <x:c r="H239" s="253" t="str">
        <x:v>Yes</x:v>
      </x:c>
      <x:c r="I239" s="253" t="str">
        <x:v>Claire</x:v>
      </x:c>
      <x:c r="J239" s="253" t="str">
        <x:v>Claire</x:v>
      </x:c>
      <x:c r="K239" s="259" t="n">
        <x:v>45659.166666666664</x:v>
      </x:c>
      <x:c r="L239" s="268" t="str">
        <x:f>IFERROR(VLOOKUP(I239,'Handler-Team Map'!$A$7:$C$17,2,FALSE),"")</x:f>
      </x:c>
      <x:c r="M239" s="268" t="str">
        <x:f>IFERROR(VLOOKUP(I239,'Handler-Team Map'!$A$7:$C$17,3,FALSE),"")</x:f>
      </x:c>
      <x:c r="N239" s="274" t="str">
        <x:v>FT_VM_DEP800_GET400_2X</x:v>
      </x:c>
      <x:c r="O239" s="274" t="str">
        <x:v>VIP BONUS - Deposit 800 Get 400 - 2x TO</x:v>
      </x:c>
      <x:c r="P239" s="274" t="str">
        <x:v>DepositBonus</x:v>
      </x:c>
      <x:c r="Q239" s="274" t="str">
        <x:v>Approved</x:v>
      </x:c>
      <x:c r="R239" s="265" t="n">
        <x:v>400</x:v>
      </x:c>
      <x:c r="S239" s="253" t="str">
        <x:v>Yes</x:v>
      </x:c>
      <x:c r="T239" s="265" t="n">
        <x:v>116730</x:v>
      </x:c>
      <x:c r="U239" s="253" t="str">
        <x:f>IF(AND(S239="Yes",T239=0),"Yes","No")</x:f>
        <x:v>No</x:v>
      </x:c>
      <x:c r="V239" s="253" t="str">
        <x:v>Yes</x:v>
      </x:c>
      <x:c r="W239" s="253" t="str">
        <x:v>Yes</x:v>
      </x:c>
      <x:c r="X239" s="259" t="n">
        <x:v>46132.166666666664</x:v>
      </x:c>
      <x:c r="Y239" s="265" t="n">
        <x:v>26530</x:v>
      </x:c>
      <x:c r="Z239" s="265" t="n">
        <x:v>50280</x:v>
      </x:c>
      <x:c r="AA239" s="253" t="str">
        <x:f>IF(V239="No","Maturing",IF(AND(U239="Yes",Y239&gt;0),"Yes","No"))</x:f>
        <x:v>No</x:v>
      </x:c>
      <x:c r="AB239" s="253" t="str">
        <x:f>IF(W239="No","Maturing",IF(AND(U239="Yes",Z239&gt;0),"Yes","No"))</x:f>
        <x:v>No</x:v>
      </x:c>
      <x:c r="AC239" s="265" t="n">
        <x:v>16030.75</x:v>
      </x:c>
      <x:c r="AD239" s="265" t="n">
        <x:v>21282.46</x:v>
      </x:c>
      <x:c r="AE239" s="271" t="str"/>
      <x:c r="AF239" s="274" t="str">
        <x:v>Not validated - no control/holdout</x:v>
      </x:c>
      <x:c r="AG239" s="277" t="str">
        <x:v>Recovered execution only; assignment date and unclaimed-offer denominator unavailable</x:v>
      </x:c>
    </x:row>
    <x:row r="240">
      <x:c r="A240" s="252" t="str">
        <x:v>33956279</x:v>
      </x:c>
      <x:c r="B240" s="253" t="str">
        <x:v>WS1</x:v>
      </x:c>
      <x:c r="C240" s="253" t="str">
        <x:v>MB8</x:v>
      </x:c>
      <x:c r="D240" s="262" t="n">
        <x:v>46132.83436342593</x:v>
      </x:c>
      <x:c r="E240" s="259" t="n">
        <x:v>46132.166666666664</x:v>
      </x:c>
      <x:c r="F240" s="253" t="str">
        <x:v>306733</x:v>
      </x:c>
      <x:c r="G240" s="253" t="str">
        <x:v>HC5140</x:v>
      </x:c>
      <x:c r="H240" s="253" t="str">
        <x:v>Yes</x:v>
      </x:c>
      <x:c r="I240" s="253" t="str">
        <x:v>Claire</x:v>
      </x:c>
      <x:c r="J240" s="253" t="str">
        <x:v>Claire</x:v>
      </x:c>
      <x:c r="K240" s="259" t="n">
        <x:v>45659.166666666664</x:v>
      </x:c>
      <x:c r="L240" s="268" t="str">
        <x:f>IFERROR(VLOOKUP(I240,'Handler-Team Map'!$A$7:$C$17,2,FALSE),"")</x:f>
      </x:c>
      <x:c r="M240" s="268" t="str">
        <x:f>IFERROR(VLOOKUP(I240,'Handler-Team Map'!$A$7:$C$17,3,FALSE),"")</x:f>
      </x:c>
      <x:c r="N240" s="274" t="str">
        <x:v>FT_VM_DEP1000_GET500_5X</x:v>
      </x:c>
      <x:c r="O240" s="274" t="str">
        <x:v>VIP BONUS - Deposit 1000 Get 500 - 5x TO</x:v>
      </x:c>
      <x:c r="P240" s="274" t="str">
        <x:v>DepositBonus</x:v>
      </x:c>
      <x:c r="Q240" s="274" t="str">
        <x:v>Approved</x:v>
      </x:c>
      <x:c r="R240" s="265" t="n">
        <x:v>500</x:v>
      </x:c>
      <x:c r="S240" s="253" t="str">
        <x:v>Yes</x:v>
      </x:c>
      <x:c r="T240" s="265" t="n">
        <x:v>132296</x:v>
      </x:c>
      <x:c r="U240" s="253" t="str">
        <x:f>IF(AND(S240="Yes",T240=0),"Yes","No")</x:f>
        <x:v>No</x:v>
      </x:c>
      <x:c r="V240" s="253" t="str">
        <x:v>Yes</x:v>
      </x:c>
      <x:c r="W240" s="253" t="str">
        <x:v>Yes</x:v>
      </x:c>
      <x:c r="X240" s="259" t="n">
        <x:v>46132.166666666664</x:v>
      </x:c>
      <x:c r="Y240" s="265" t="n">
        <x:v>15320</x:v>
      </x:c>
      <x:c r="Z240" s="265" t="n">
        <x:v>56432</x:v>
      </x:c>
      <x:c r="AA240" s="253" t="str">
        <x:f>IF(V240="No","Maturing",IF(AND(U240="Yes",Y240&gt;0),"Yes","No"))</x:f>
        <x:v>No</x:v>
      </x:c>
      <x:c r="AB240" s="253" t="str">
        <x:f>IF(W240="No","Maturing",IF(AND(U240="Yes",Z240&gt;0),"Yes","No"))</x:f>
        <x:v>No</x:v>
      </x:c>
      <x:c r="AC240" s="265" t="n">
        <x:v>-1360.11</x:v>
      </x:c>
      <x:c r="AD240" s="265" t="n">
        <x:v>568.02</x:v>
      </x:c>
      <x:c r="AE240" s="271" t="str"/>
      <x:c r="AF240" s="274" t="str">
        <x:v>Not validated - no control/holdout</x:v>
      </x:c>
      <x:c r="AG240" s="277" t="str">
        <x:v>Recovered execution only; assignment date and unclaimed-offer denominator unavailable</x:v>
      </x:c>
    </x:row>
    <x:row r="241">
      <x:c r="A241" s="252" t="str">
        <x:v>33956307</x:v>
      </x:c>
      <x:c r="B241" s="253" t="str">
        <x:v>WS1</x:v>
      </x:c>
      <x:c r="C241" s="253" t="str">
        <x:v>MB8</x:v>
      </x:c>
      <x:c r="D241" s="262" t="n">
        <x:v>46132.83574074074</x:v>
      </x:c>
      <x:c r="E241" s="259" t="n">
        <x:v>46132.166666666664</x:v>
      </x:c>
      <x:c r="F241" s="253" t="str">
        <x:v>401057</x:v>
      </x:c>
      <x:c r="G241" s="253" t="str">
        <x:v>discus71</x:v>
      </x:c>
      <x:c r="H241" s="253" t="str">
        <x:v>Yes</x:v>
      </x:c>
      <x:c r="I241" s="253" t="str">
        <x:v>zhen</x:v>
      </x:c>
      <x:c r="J241" s="253" t="str">
        <x:v>zhen</x:v>
      </x:c>
      <x:c r="K241" s="259" t="n">
        <x:v>45922.166666666664</x:v>
      </x:c>
      <x:c r="L241" s="268" t="str">
        <x:f>IFERROR(VLOOKUP(I241,'Handler-Team Map'!$A$7:$C$17,2,FALSE),"")</x:f>
      </x:c>
      <x:c r="M241" s="268" t="str">
        <x:f>IFERROR(VLOOKUP(I241,'Handler-Team Map'!$A$7:$C$17,3,FALSE),"")</x:f>
      </x:c>
      <x:c r="N241" s="274" t="str">
        <x:v>FT_VM_DEP1000_GET700_2X</x:v>
      </x:c>
      <x:c r="O241" s="274" t="str">
        <x:v>VIP BONUS - Deposit 1000 Get 700 - 2x TO</x:v>
      </x:c>
      <x:c r="P241" s="274" t="str">
        <x:v>DepositBonus</x:v>
      </x:c>
      <x:c r="Q241" s="274" t="str">
        <x:v>Approved</x:v>
      </x:c>
      <x:c r="R241" s="265" t="n">
        <x:v>700</x:v>
      </x:c>
      <x:c r="S241" s="253" t="str">
        <x:v>Yes</x:v>
      </x:c>
      <x:c r="T241" s="265" t="n">
        <x:v>1400</x:v>
      </x:c>
      <x:c r="U241" s="253" t="str">
        <x:f>IF(AND(S241="Yes",T241=0),"Yes","No")</x:f>
        <x:v>No</x:v>
      </x:c>
      <x:c r="V241" s="253" t="str">
        <x:v>Yes</x:v>
      </x:c>
      <x:c r="W241" s="253" t="str">
        <x:v>Yes</x:v>
      </x:c>
      <x:c r="X241" s="259" t="n">
        <x:v>46132.166666666664</x:v>
      </x:c>
      <x:c r="Y241" s="265" t="n">
        <x:v>1000</x:v>
      </x:c>
      <x:c r="Z241" s="265" t="n">
        <x:v>1000</x:v>
      </x:c>
      <x:c r="AA241" s="253" t="str">
        <x:f>IF(V241="No","Maturing",IF(AND(U241="Yes",Y241&gt;0),"Yes","No"))</x:f>
        <x:v>No</x:v>
      </x:c>
      <x:c r="AB241" s="253" t="str">
        <x:f>IF(W241="No","Maturing",IF(AND(U241="Yes",Z241&gt;0),"Yes","No"))</x:f>
        <x:v>No</x:v>
      </x:c>
      <x:c r="AC241" s="265" t="n">
        <x:v>-1262.89</x:v>
      </x:c>
      <x:c r="AD241" s="265" t="n">
        <x:v>-1262.89</x:v>
      </x:c>
      <x:c r="AE241" s="271" t="str"/>
      <x:c r="AF241" s="274" t="str">
        <x:v>Not validated - no control/holdout</x:v>
      </x:c>
      <x:c r="AG241" s="277" t="str">
        <x:v>Recovered execution only; assignment date and unclaimed-offer denominator unavailable</x:v>
      </x:c>
    </x:row>
    <x:row r="242">
      <x:c r="A242" s="252" t="str">
        <x:v>33956456</x:v>
      </x:c>
      <x:c r="B242" s="253" t="str">
        <x:v>WS1</x:v>
      </x:c>
      <x:c r="C242" s="253" t="str">
        <x:v>MB8</x:v>
      </x:c>
      <x:c r="D242" s="262" t="n">
        <x:v>46132.8465625</x:v>
      </x:c>
      <x:c r="E242" s="259" t="n">
        <x:v>46132.166666666664</x:v>
      </x:c>
      <x:c r="F242" s="253" t="str">
        <x:v>587646</x:v>
      </x:c>
      <x:c r="G242" s="253" t="str">
        <x:v>arilrich</x:v>
      </x:c>
      <x:c r="H242" s="253" t="str">
        <x:v>Yes</x:v>
      </x:c>
      <x:c r="I242" s="253" t="str">
        <x:v>Christy</x:v>
      </x:c>
      <x:c r="J242" s="253" t="str">
        <x:v>Christy</x:v>
      </x:c>
      <x:c r="K242" s="259" t="n">
        <x:v>45831.166666666664</x:v>
      </x:c>
      <x:c r="L242" s="268" t="str">
        <x:f>IFERROR(VLOOKUP(I242,'Handler-Team Map'!$A$7:$C$17,2,FALSE),"")</x:f>
      </x:c>
      <x:c r="M242" s="268" t="str">
        <x:f>IFERROR(VLOOKUP(I242,'Handler-Team Map'!$A$7:$C$17,3,FALSE),"")</x:f>
      </x:c>
      <x:c r="N242" s="274" t="str">
        <x:v>FT_VM_DEP1000_GET500_5X</x:v>
      </x:c>
      <x:c r="O242" s="274" t="str">
        <x:v>VIP BONUS - Deposit 1000 Get 500 - 5x TO</x:v>
      </x:c>
      <x:c r="P242" s="274" t="str">
        <x:v>DepositBonus</x:v>
      </x:c>
      <x:c r="Q242" s="274" t="str">
        <x:v>Approved</x:v>
      </x:c>
      <x:c r="R242" s="265" t="n">
        <x:v>500</x:v>
      </x:c>
      <x:c r="S242" s="253" t="str">
        <x:v>Yes</x:v>
      </x:c>
      <x:c r="T242" s="265" t="n">
        <x:v>7353</x:v>
      </x:c>
      <x:c r="U242" s="253" t="str">
        <x:f>IF(AND(S242="Yes",T242=0),"Yes","No")</x:f>
        <x:v>No</x:v>
      </x:c>
      <x:c r="V242" s="253" t="str">
        <x:v>Yes</x:v>
      </x:c>
      <x:c r="W242" s="253" t="str">
        <x:v>Yes</x:v>
      </x:c>
      <x:c r="X242" s="259" t="n">
        <x:v>46132.166666666664</x:v>
      </x:c>
      <x:c r="Y242" s="265" t="n">
        <x:v>7120</x:v>
      </x:c>
      <x:c r="Z242" s="265" t="n">
        <x:v>8420</x:v>
      </x:c>
      <x:c r="AA242" s="253" t="str">
        <x:f>IF(V242="No","Maturing",IF(AND(U242="Yes",Y242&gt;0),"Yes","No"))</x:f>
        <x:v>No</x:v>
      </x:c>
      <x:c r="AB242" s="253" t="str">
        <x:f>IF(W242="No","Maturing",IF(AND(U242="Yes",Z242&gt;0),"Yes","No"))</x:f>
        <x:v>No</x:v>
      </x:c>
      <x:c r="AC242" s="265" t="n">
        <x:v>-2458</x:v>
      </x:c>
      <x:c r="AD242" s="265" t="n">
        <x:v>-1253.25</x:v>
      </x:c>
      <x:c r="AE242" s="271" t="str"/>
      <x:c r="AF242" s="274" t="str">
        <x:v>Not validated - no control/holdout</x:v>
      </x:c>
      <x:c r="AG242" s="277" t="str">
        <x:v>Recovered execution only; assignment date and unclaimed-offer denominator unavailable</x:v>
      </x:c>
    </x:row>
    <x:row r="243">
      <x:c r="A243" s="252" t="str">
        <x:v>33957224</x:v>
      </x:c>
      <x:c r="B243" s="253" t="str">
        <x:v>WS1</x:v>
      </x:c>
      <x:c r="C243" s="253" t="str">
        <x:v>MB8</x:v>
      </x:c>
      <x:c r="D243" s="262" t="n">
        <x:v>46132.89386574074</x:v>
      </x:c>
      <x:c r="E243" s="259" t="n">
        <x:v>46132.166666666664</x:v>
      </x:c>
      <x:c r="F243" s="253" t="str">
        <x:v>405339</x:v>
      </x:c>
      <x:c r="G243" s="253" t="str">
        <x:v>Azuarniss96</x:v>
      </x:c>
      <x:c r="H243" s="253" t="str">
        <x:v>Yes</x:v>
      </x:c>
      <x:c r="I243" s="253" t="str">
        <x:v>Elda</x:v>
      </x:c>
      <x:c r="J243" s="253" t="str">
        <x:v>Elda</x:v>
      </x:c>
      <x:c r="K243" s="259" t="n">
        <x:v>45659.166666666664</x:v>
      </x:c>
      <x:c r="L243" s="268" t="str">
        <x:f>IFERROR(VLOOKUP(I243,'Handler-Team Map'!$A$7:$C$17,2,FALSE),"")</x:f>
      </x:c>
      <x:c r="M243" s="268" t="str">
        <x:f>IFERROR(VLOOKUP(I243,'Handler-Team Map'!$A$7:$C$17,3,FALSE),"")</x:f>
      </x:c>
      <x:c r="N243" s="274" t="str">
        <x:v>FT_VM_DEP700_GET300_2X</x:v>
      </x:c>
      <x:c r="O243" s="274" t="str">
        <x:v>VIP BONUS - Deposit 700 Get 300 - 2x TO</x:v>
      </x:c>
      <x:c r="P243" s="274" t="str">
        <x:v>DepositBonus</x:v>
      </x:c>
      <x:c r="Q243" s="274" t="str">
        <x:v>Approved</x:v>
      </x:c>
      <x:c r="R243" s="265" t="n">
        <x:v>300</x:v>
      </x:c>
      <x:c r="S243" s="253" t="str">
        <x:v>Yes</x:v>
      </x:c>
      <x:c r="T243" s="265" t="n">
        <x:v>201127</x:v>
      </x:c>
      <x:c r="U243" s="253" t="str">
        <x:f>IF(AND(S243="Yes",T243=0),"Yes","No")</x:f>
        <x:v>No</x:v>
      </x:c>
      <x:c r="V243" s="253" t="str">
        <x:v>Yes</x:v>
      </x:c>
      <x:c r="W243" s="253" t="str">
        <x:v>Yes</x:v>
      </x:c>
      <x:c r="X243" s="259" t="n">
        <x:v>46132.166666666664</x:v>
      </x:c>
      <x:c r="Y243" s="265" t="n">
        <x:v>11804</x:v>
      </x:c>
      <x:c r="Z243" s="265" t="n">
        <x:v>41944</x:v>
      </x:c>
      <x:c r="AA243" s="253" t="str">
        <x:f>IF(V243="No","Maturing",IF(AND(U243="Yes",Y243&gt;0),"Yes","No"))</x:f>
        <x:v>No</x:v>
      </x:c>
      <x:c r="AB243" s="253" t="str">
        <x:f>IF(W243="No","Maturing",IF(AND(U243="Yes",Z243&gt;0),"Yes","No"))</x:f>
        <x:v>No</x:v>
      </x:c>
      <x:c r="AC243" s="265" t="n">
        <x:v>5341.45</x:v>
      </x:c>
      <x:c r="AD243" s="265" t="n">
        <x:v>6148.42</x:v>
      </x:c>
      <x:c r="AE243" s="271" t="str"/>
      <x:c r="AF243" s="274" t="str">
        <x:v>Not validated - no control/holdout</x:v>
      </x:c>
      <x:c r="AG243" s="277" t="str">
        <x:v>Recovered execution only; assignment date and unclaimed-offer denominator unavailable</x:v>
      </x:c>
    </x:row>
    <x:row r="244">
      <x:c r="A244" s="252" t="str">
        <x:v>33957368</x:v>
      </x:c>
      <x:c r="B244" s="253" t="str">
        <x:v>WS1</x:v>
      </x:c>
      <x:c r="C244" s="253" t="str">
        <x:v>MB8</x:v>
      </x:c>
      <x:c r="D244" s="262" t="n">
        <x:v>46132.90321759259</x:v>
      </x:c>
      <x:c r="E244" s="259" t="n">
        <x:v>46132.166666666664</x:v>
      </x:c>
      <x:c r="F244" s="253" t="str">
        <x:v>847103</x:v>
      </x:c>
      <x:c r="G244" s="253" t="str">
        <x:v>Many08</x:v>
      </x:c>
      <x:c r="H244" s="253" t="str">
        <x:v>Yes</x:v>
      </x:c>
      <x:c r="I244" s="253" t="str">
        <x:v>Elda</x:v>
      </x:c>
      <x:c r="J244" s="253" t="str">
        <x:v>Elda</x:v>
      </x:c>
      <x:c r="K244" s="259" t="n">
        <x:v>45887.166666666664</x:v>
      </x:c>
      <x:c r="L244" s="268" t="str">
        <x:f>IFERROR(VLOOKUP(I244,'Handler-Team Map'!$A$7:$C$17,2,FALSE),"")</x:f>
      </x:c>
      <x:c r="M244" s="268" t="str">
        <x:f>IFERROR(VLOOKUP(I244,'Handler-Team Map'!$A$7:$C$17,3,FALSE),"")</x:f>
      </x:c>
      <x:c r="N244" s="274" t="str">
        <x:v>FT_VM_DEP700_GET300_2X</x:v>
      </x:c>
      <x:c r="O244" s="274" t="str">
        <x:v>VIP BONUS - Deposit 700 Get 300 - 2x TO</x:v>
      </x:c>
      <x:c r="P244" s="274" t="str">
        <x:v>DepositBonus</x:v>
      </x:c>
      <x:c r="Q244" s="274" t="str">
        <x:v>Approved</x:v>
      </x:c>
      <x:c r="R244" s="265" t="n">
        <x:v>300</x:v>
      </x:c>
      <x:c r="S244" s="253" t="str">
        <x:v>Yes</x:v>
      </x:c>
      <x:c r="T244" s="265" t="n">
        <x:v>56230</x:v>
      </x:c>
      <x:c r="U244" s="253" t="str">
        <x:f>IF(AND(S244="Yes",T244=0),"Yes","No")</x:f>
        <x:v>No</x:v>
      </x:c>
      <x:c r="V244" s="253" t="str">
        <x:v>Yes</x:v>
      </x:c>
      <x:c r="W244" s="253" t="str">
        <x:v>Yes</x:v>
      </x:c>
      <x:c r="X244" s="259" t="n">
        <x:v>46132.166666666664</x:v>
      </x:c>
      <x:c r="Y244" s="265" t="n">
        <x:v>14400</x:v>
      </x:c>
      <x:c r="Z244" s="265" t="n">
        <x:v>18900</x:v>
      </x:c>
      <x:c r="AA244" s="253" t="str">
        <x:f>IF(V244="No","Maturing",IF(AND(U244="Yes",Y244&gt;0),"Yes","No"))</x:f>
        <x:v>No</x:v>
      </x:c>
      <x:c r="AB244" s="253" t="str">
        <x:f>IF(W244="No","Maturing",IF(AND(U244="Yes",Z244&gt;0),"Yes","No"))</x:f>
        <x:v>No</x:v>
      </x:c>
      <x:c r="AC244" s="265" t="n">
        <x:v>6743.65</x:v>
      </x:c>
      <x:c r="AD244" s="265" t="n">
        <x:v>10918.39</x:v>
      </x:c>
      <x:c r="AE244" s="271" t="str"/>
      <x:c r="AF244" s="274" t="str">
        <x:v>Not validated - no control/holdout</x:v>
      </x:c>
      <x:c r="AG244" s="277" t="str">
        <x:v>Recovered execution only; assignment date and unclaimed-offer denominator unavailable</x:v>
      </x:c>
    </x:row>
    <x:row r="245">
      <x:c r="A245" s="252" t="str">
        <x:v>33957405</x:v>
      </x:c>
      <x:c r="B245" s="253" t="str">
        <x:v>WS1</x:v>
      </x:c>
      <x:c r="C245" s="253" t="str">
        <x:v>MB8</x:v>
      </x:c>
      <x:c r="D245" s="262" t="n">
        <x:v>46132.9053587963</x:v>
      </x:c>
      <x:c r="E245" s="259" t="n">
        <x:v>46132.166666666664</x:v>
      </x:c>
      <x:c r="F245" s="253" t="str">
        <x:v>422328</x:v>
      </x:c>
      <x:c r="G245" s="253" t="str">
        <x:v>yap5643</x:v>
      </x:c>
      <x:c r="H245" s="253" t="str">
        <x:v>Yes</x:v>
      </x:c>
      <x:c r="I245" s="253" t="str">
        <x:v>Claire</x:v>
      </x:c>
      <x:c r="J245" s="253" t="str">
        <x:v>Claire</x:v>
      </x:c>
      <x:c r="K245" s="259" t="n">
        <x:v>45659.166666666664</x:v>
      </x:c>
      <x:c r="L245" s="268" t="str">
        <x:f>IFERROR(VLOOKUP(I245,'Handler-Team Map'!$A$7:$C$17,2,FALSE),"")</x:f>
      </x:c>
      <x:c r="M245" s="268" t="str">
        <x:f>IFERROR(VLOOKUP(I245,'Handler-Team Map'!$A$7:$C$17,3,FALSE),"")</x:f>
      </x:c>
      <x:c r="N245" s="274" t="str">
        <x:v>FT_VM_DEP1000_GET1000_2X</x:v>
      </x:c>
      <x:c r="O245" s="274" t="str">
        <x:v>VIP BONUS - Deposit 1000 Get 1000 - 2x TO</x:v>
      </x:c>
      <x:c r="P245" s="274" t="str">
        <x:v>DepositBonus</x:v>
      </x:c>
      <x:c r="Q245" s="274" t="str">
        <x:v>Approved</x:v>
      </x:c>
      <x:c r="R245" s="265" t="n">
        <x:v>1000</x:v>
      </x:c>
      <x:c r="S245" s="253" t="str">
        <x:v>Yes</x:v>
      </x:c>
      <x:c r="T245" s="265" t="n">
        <x:v>481350</x:v>
      </x:c>
      <x:c r="U245" s="253" t="str">
        <x:f>IF(AND(S245="Yes",T245=0),"Yes","No")</x:f>
        <x:v>No</x:v>
      </x:c>
      <x:c r="V245" s="253" t="str">
        <x:v>Yes</x:v>
      </x:c>
      <x:c r="W245" s="253" t="str">
        <x:v>Yes</x:v>
      </x:c>
      <x:c r="X245" s="259" t="n">
        <x:v>46132.166666666664</x:v>
      </x:c>
      <x:c r="Y245" s="265" t="n">
        <x:v>48000</x:v>
      </x:c>
      <x:c r="Z245" s="265" t="n">
        <x:v>97600</x:v>
      </x:c>
      <x:c r="AA245" s="253" t="str">
        <x:f>IF(V245="No","Maturing",IF(AND(U245="Yes",Y245&gt;0),"Yes","No"))</x:f>
        <x:v>No</x:v>
      </x:c>
      <x:c r="AB245" s="253" t="str">
        <x:f>IF(W245="No","Maturing",IF(AND(U245="Yes",Z245&gt;0),"Yes","No"))</x:f>
        <x:v>No</x:v>
      </x:c>
      <x:c r="AC245" s="265" t="n">
        <x:v>47230.92</x:v>
      </x:c>
      <x:c r="AD245" s="265" t="n">
        <x:v>96203.84</x:v>
      </x:c>
      <x:c r="AE245" s="271" t="str"/>
      <x:c r="AF245" s="274" t="str">
        <x:v>Not validated - no control/holdout</x:v>
      </x:c>
      <x:c r="AG245" s="277" t="str">
        <x:v>Recovered execution only; assignment date and unclaimed-offer denominator unavailable</x:v>
      </x:c>
    </x:row>
    <x:row r="246">
      <x:c r="A246" s="252" t="str">
        <x:v>33957533</x:v>
      </x:c>
      <x:c r="B246" s="253" t="str">
        <x:v>WS1</x:v>
      </x:c>
      <x:c r="C246" s="253" t="str">
        <x:v>MB8</x:v>
      </x:c>
      <x:c r="D246" s="262" t="n">
        <x:v>46132.915</x:v>
      </x:c>
      <x:c r="E246" s="259" t="n">
        <x:v>46132.166666666664</x:v>
      </x:c>
      <x:c r="F246" s="253" t="str">
        <x:v>113180</x:v>
      </x:c>
      <x:c r="G246" s="253" t="str">
        <x:v>Hazel</x:v>
      </x:c>
      <x:c r="H246" s="253" t="str">
        <x:v>Yes</x:v>
      </x:c>
      <x:c r="I246" s="253" t="str">
        <x:v>Serene</x:v>
      </x:c>
      <x:c r="J246" s="253" t="str">
        <x:v>Serene</x:v>
      </x:c>
      <x:c r="K246" s="259" t="n">
        <x:v>45831.166666666664</x:v>
      </x:c>
      <x:c r="L246" s="268" t="str">
        <x:f>IFERROR(VLOOKUP(I246,'Handler-Team Map'!$A$7:$C$17,2,FALSE),"")</x:f>
      </x:c>
      <x:c r="M246" s="268" t="str">
        <x:f>IFERROR(VLOOKUP(I246,'Handler-Team Map'!$A$7:$C$17,3,FALSE),"")</x:f>
      </x:c>
      <x:c r="N246" s="274" t="str">
        <x:v>FT_VM_DEP1000_GET500_5X</x:v>
      </x:c>
      <x:c r="O246" s="274" t="str">
        <x:v>VIP BONUS - Deposit 1000 Get 500 - 5x TO</x:v>
      </x:c>
      <x:c r="P246" s="274" t="str">
        <x:v>DepositBonus</x:v>
      </x:c>
      <x:c r="Q246" s="274" t="str">
        <x:v>Approved</x:v>
      </x:c>
      <x:c r="R246" s="265" t="n">
        <x:v>500</x:v>
      </x:c>
      <x:c r="S246" s="253" t="str">
        <x:v>Yes</x:v>
      </x:c>
      <x:c r="T246" s="265" t="n">
        <x:v>3000</x:v>
      </x:c>
      <x:c r="U246" s="253" t="str">
        <x:f>IF(AND(S246="Yes",T246=0),"Yes","No")</x:f>
        <x:v>No</x:v>
      </x:c>
      <x:c r="V246" s="253" t="str">
        <x:v>Yes</x:v>
      </x:c>
      <x:c r="W246" s="253" t="str">
        <x:v>Yes</x:v>
      </x:c>
      <x:c r="X246" s="259" t="n">
        <x:v>46132.166666666664</x:v>
      </x:c>
      <x:c r="Y246" s="265" t="n">
        <x:v>2000</x:v>
      </x:c>
      <x:c r="Z246" s="265" t="n">
        <x:v>3000</x:v>
      </x:c>
      <x:c r="AA246" s="253" t="str">
        <x:f>IF(V246="No","Maturing",IF(AND(U246="Yes",Y246&gt;0),"Yes","No"))</x:f>
        <x:v>No</x:v>
      </x:c>
      <x:c r="AB246" s="253" t="str">
        <x:f>IF(W246="No","Maturing",IF(AND(U246="Yes",Z246&gt;0),"Yes","No"))</x:f>
        <x:v>No</x:v>
      </x:c>
      <x:c r="AC246" s="265" t="n">
        <x:v>1903.52</x:v>
      </x:c>
      <x:c r="AD246" s="265" t="n">
        <x:v>573.48</x:v>
      </x:c>
      <x:c r="AE246" s="271" t="str"/>
      <x:c r="AF246" s="274" t="str">
        <x:v>Not validated - no control/holdout</x:v>
      </x:c>
      <x:c r="AG246" s="277" t="str">
        <x:v>Recovered execution only; assignment date and unclaimed-offer denominator unavailable</x:v>
      </x:c>
    </x:row>
    <x:row r="247">
      <x:c r="A247" s="252" t="str">
        <x:v>33957710</x:v>
      </x:c>
      <x:c r="B247" s="253" t="str">
        <x:v>WS1</x:v>
      </x:c>
      <x:c r="C247" s="253" t="str">
        <x:v>MB8</x:v>
      </x:c>
      <x:c r="D247" s="262" t="n">
        <x:v>46132.92506944444</x:v>
      </x:c>
      <x:c r="E247" s="259" t="n">
        <x:v>46132.166666666664</x:v>
      </x:c>
      <x:c r="F247" s="253" t="str">
        <x:v>279079</x:v>
      </x:c>
      <x:c r="G247" s="253" t="str">
        <x:v>Cricket8</x:v>
      </x:c>
      <x:c r="H247" s="253" t="str">
        <x:v>Yes</x:v>
      </x:c>
      <x:c r="I247" s="253" t="str">
        <x:v>Claire</x:v>
      </x:c>
      <x:c r="J247" s="253" t="str">
        <x:v>Claire</x:v>
      </x:c>
      <x:c r="K247" s="259" t="n">
        <x:v>45659.166666666664</x:v>
      </x:c>
      <x:c r="L247" s="268" t="str">
        <x:f>IFERROR(VLOOKUP(I247,'Handler-Team Map'!$A$7:$C$17,2,FALSE),"")</x:f>
      </x:c>
      <x:c r="M247" s="268" t="str">
        <x:f>IFERROR(VLOOKUP(I247,'Handler-Team Map'!$A$7:$C$17,3,FALSE),"")</x:f>
      </x:c>
      <x:c r="N247" s="274" t="str">
        <x:v>FT_VM_DEP800_GET400_1X</x:v>
      </x:c>
      <x:c r="O247" s="274" t="str">
        <x:v>VIP BONUS - Deposit 800 Get 400 - 1x TO</x:v>
      </x:c>
      <x:c r="P247" s="274" t="str">
        <x:v>DepositBonus</x:v>
      </x:c>
      <x:c r="Q247" s="274" t="str">
        <x:v>Approved</x:v>
      </x:c>
      <x:c r="R247" s="265" t="n">
        <x:v>400</x:v>
      </x:c>
      <x:c r="S247" s="253" t="str">
        <x:v>Yes</x:v>
      </x:c>
      <x:c r="T247" s="265" t="n">
        <x:v>62539.5</x:v>
      </x:c>
      <x:c r="U247" s="253" t="str">
        <x:f>IF(AND(S247="Yes",T247=0),"Yes","No")</x:f>
        <x:v>No</x:v>
      </x:c>
      <x:c r="V247" s="253" t="str">
        <x:v>Yes</x:v>
      </x:c>
      <x:c r="W247" s="253" t="str">
        <x:v>Yes</x:v>
      </x:c>
      <x:c r="X247" s="259" t="n">
        <x:v>46132.166666666664</x:v>
      </x:c>
      <x:c r="Y247" s="265" t="n">
        <x:v>70296.5</x:v>
      </x:c>
      <x:c r="Z247" s="265" t="n">
        <x:v>71696.5</x:v>
      </x:c>
      <x:c r="AA247" s="253" t="str">
        <x:f>IF(V247="No","Maturing",IF(AND(U247="Yes",Y247&gt;0),"Yes","No"))</x:f>
        <x:v>No</x:v>
      </x:c>
      <x:c r="AB247" s="253" t="str">
        <x:f>IF(W247="No","Maturing",IF(AND(U247="Yes",Z247&gt;0),"Yes","No"))</x:f>
        <x:v>No</x:v>
      </x:c>
      <x:c r="AC247" s="265" t="n">
        <x:v>-5522.65</x:v>
      </x:c>
      <x:c r="AD247" s="265" t="n">
        <x:v>-6224.18</x:v>
      </x:c>
      <x:c r="AE247" s="271" t="str"/>
      <x:c r="AF247" s="274" t="str">
        <x:v>Not validated - no control/holdout</x:v>
      </x:c>
      <x:c r="AG247" s="277" t="str">
        <x:v>Recovered execution only; assignment date and unclaimed-offer denominator unavailable</x:v>
      </x:c>
    </x:row>
    <x:row r="248">
      <x:c r="A248" s="252" t="str">
        <x:v>33958278</x:v>
      </x:c>
      <x:c r="B248" s="253" t="str">
        <x:v>WS1</x:v>
      </x:c>
      <x:c r="C248" s="253" t="str">
        <x:v>MB8</x:v>
      </x:c>
      <x:c r="D248" s="262" t="n">
        <x:v>46132.952997685185</x:v>
      </x:c>
      <x:c r="E248" s="259" t="n">
        <x:v>46132.166666666664</x:v>
      </x:c>
      <x:c r="F248" s="253" t="str">
        <x:v>685663</x:v>
      </x:c>
      <x:c r="G248" s="253" t="str">
        <x:v>Cristian98</x:v>
      </x:c>
      <x:c r="H248" s="253" t="str">
        <x:v>Yes</x:v>
      </x:c>
      <x:c r="I248" s="253" t="str">
        <x:v>Elda</x:v>
      </x:c>
      <x:c r="J248" s="253" t="str">
        <x:v>Elda</x:v>
      </x:c>
      <x:c r="K248" s="259" t="n">
        <x:v>45790.166666666664</x:v>
      </x:c>
      <x:c r="L248" s="268" t="str">
        <x:f>IFERROR(VLOOKUP(I248,'Handler-Team Map'!$A$7:$C$17,2,FALSE),"")</x:f>
      </x:c>
      <x:c r="M248" s="268" t="str">
        <x:f>IFERROR(VLOOKUP(I248,'Handler-Team Map'!$A$7:$C$17,3,FALSE),"")</x:f>
      </x:c>
      <x:c r="N248" s="274" t="str">
        <x:v>FT_VM_DEP1000_GET500_5X</x:v>
      </x:c>
      <x:c r="O248" s="274" t="str">
        <x:v>VIP BONUS - Deposit 1000 Get 500 - 5x TO</x:v>
      </x:c>
      <x:c r="P248" s="274" t="str">
        <x:v>DepositBonus</x:v>
      </x:c>
      <x:c r="Q248" s="274" t="str">
        <x:v>Approved</x:v>
      </x:c>
      <x:c r="R248" s="265" t="n">
        <x:v>500</x:v>
      </x:c>
      <x:c r="S248" s="253" t="str">
        <x:v>Yes</x:v>
      </x:c>
      <x:c r="T248" s="265" t="n">
        <x:v>23997</x:v>
      </x:c>
      <x:c r="U248" s="253" t="str">
        <x:f>IF(AND(S248="Yes",T248=0),"Yes","No")</x:f>
        <x:v>No</x:v>
      </x:c>
      <x:c r="V248" s="253" t="str">
        <x:v>Yes</x:v>
      </x:c>
      <x:c r="W248" s="253" t="str">
        <x:v>Yes</x:v>
      </x:c>
      <x:c r="X248" s="259" t="n">
        <x:v>46132.166666666664</x:v>
      </x:c>
      <x:c r="Y248" s="265" t="n">
        <x:v>12289</x:v>
      </x:c>
      <x:c r="Z248" s="265" t="n">
        <x:v>20024</x:v>
      </x:c>
      <x:c r="AA248" s="253" t="str">
        <x:f>IF(V248="No","Maturing",IF(AND(U248="Yes",Y248&gt;0),"Yes","No"))</x:f>
        <x:v>No</x:v>
      </x:c>
      <x:c r="AB248" s="253" t="str">
        <x:f>IF(W248="No","Maturing",IF(AND(U248="Yes",Z248&gt;0),"Yes","No"))</x:f>
        <x:v>No</x:v>
      </x:c>
      <x:c r="AC248" s="265" t="n">
        <x:v>8530.23</x:v>
      </x:c>
      <x:c r="AD248" s="265" t="n">
        <x:v>15435.96</x:v>
      </x:c>
      <x:c r="AE248" s="271" t="str"/>
      <x:c r="AF248" s="274" t="str">
        <x:v>Not validated - no control/holdout</x:v>
      </x:c>
      <x:c r="AG248" s="277" t="str">
        <x:v>Recovered execution only; assignment date and unclaimed-offer denominator unavailable</x:v>
      </x:c>
    </x:row>
    <x:row r="249">
      <x:c r="A249" s="252" t="str">
        <x:v>33958492</x:v>
      </x:c>
      <x:c r="B249" s="253" t="str">
        <x:v>WS1</x:v>
      </x:c>
      <x:c r="C249" s="253" t="str">
        <x:v>MB8</x:v>
      </x:c>
      <x:c r="D249" s="262" t="n">
        <x:v>46132.963900462964</x:v>
      </x:c>
      <x:c r="E249" s="259" t="n">
        <x:v>46132.166666666664</x:v>
      </x:c>
      <x:c r="F249" s="253" t="str">
        <x:v>496140</x:v>
      </x:c>
      <x:c r="G249" s="253" t="str">
        <x:v>Vaathiraid22</x:v>
      </x:c>
      <x:c r="H249" s="253" t="str">
        <x:v>Yes</x:v>
      </x:c>
      <x:c r="I249" s="253" t="str">
        <x:v>Claire</x:v>
      </x:c>
      <x:c r="J249" s="253" t="str">
        <x:v>Claire</x:v>
      </x:c>
      <x:c r="K249" s="259" t="n">
        <x:v>45659.166666666664</x:v>
      </x:c>
      <x:c r="L249" s="268" t="str">
        <x:f>IFERROR(VLOOKUP(I249,'Handler-Team Map'!$A$7:$C$17,2,FALSE),"")</x:f>
      </x:c>
      <x:c r="M249" s="268" t="str">
        <x:f>IFERROR(VLOOKUP(I249,'Handler-Team Map'!$A$7:$C$17,3,FALSE),"")</x:f>
      </x:c>
      <x:c r="N249" s="274" t="str">
        <x:v>FT_VM_DEP300_GET100_2X</x:v>
      </x:c>
      <x:c r="O249" s="274" t="str">
        <x:v>VIP BONUS - Deposit 300 Get 100 - 2x TO</x:v>
      </x:c>
      <x:c r="P249" s="274" t="str">
        <x:v>DepositBonus</x:v>
      </x:c>
      <x:c r="Q249" s="274" t="str">
        <x:v>Approved</x:v>
      </x:c>
      <x:c r="R249" s="265" t="n">
        <x:v>100</x:v>
      </x:c>
      <x:c r="S249" s="253" t="str">
        <x:v>Yes</x:v>
      </x:c>
      <x:c r="T249" s="265" t="n">
        <x:v>26571.98</x:v>
      </x:c>
      <x:c r="U249" s="253" t="str">
        <x:f>IF(AND(S249="Yes",T249=0),"Yes","No")</x:f>
        <x:v>No</x:v>
      </x:c>
      <x:c r="V249" s="253" t="str">
        <x:v>Yes</x:v>
      </x:c>
      <x:c r="W249" s="253" t="str">
        <x:v>Yes</x:v>
      </x:c>
      <x:c r="X249" s="259" t="n">
        <x:v>46132.166666666664</x:v>
      </x:c>
      <x:c r="Y249" s="265" t="n">
        <x:v>6970</x:v>
      </x:c>
      <x:c r="Z249" s="265" t="n">
        <x:v>10800</x:v>
      </x:c>
      <x:c r="AA249" s="253" t="str">
        <x:f>IF(V249="No","Maturing",IF(AND(U249="Yes",Y249&gt;0),"Yes","No"))</x:f>
        <x:v>No</x:v>
      </x:c>
      <x:c r="AB249" s="253" t="str">
        <x:f>IF(W249="No","Maturing",IF(AND(U249="Yes",Z249&gt;0),"Yes","No"))</x:f>
        <x:v>No</x:v>
      </x:c>
      <x:c r="AC249" s="265" t="n">
        <x:v>-1134.48</x:v>
      </x:c>
      <x:c r="AD249" s="265" t="n">
        <x:v>2696.63</x:v>
      </x:c>
      <x:c r="AE249" s="271" t="str"/>
      <x:c r="AF249" s="274" t="str">
        <x:v>Not validated - no control/holdout</x:v>
      </x:c>
      <x:c r="AG249" s="277" t="str">
        <x:v>Recovered execution only; assignment date and unclaimed-offer denominator unavailable</x:v>
      </x:c>
    </x:row>
    <x:row r="250">
      <x:c r="A250" s="252" t="str">
        <x:v>33959119</x:v>
      </x:c>
      <x:c r="B250" s="253" t="str">
        <x:v>WS1</x:v>
      </x:c>
      <x:c r="C250" s="253" t="str">
        <x:v>MB8</x:v>
      </x:c>
      <x:c r="D250" s="262" t="n">
        <x:v>46132.99025462963</x:v>
      </x:c>
      <x:c r="E250" s="259" t="n">
        <x:v>46132.166666666664</x:v>
      </x:c>
      <x:c r="F250" s="253" t="str">
        <x:v>657847</x:v>
      </x:c>
      <x:c r="G250" s="253" t="str">
        <x:v>Nippon</x:v>
      </x:c>
      <x:c r="H250" s="253" t="str">
        <x:v>Yes</x:v>
      </x:c>
      <x:c r="I250" s="253" t="str">
        <x:v>Tammy</x:v>
      </x:c>
      <x:c r="J250" s="253" t="str">
        <x:v>Tammy</x:v>
      </x:c>
      <x:c r="K250" s="259" t="n">
        <x:v>45951.166666666664</x:v>
      </x:c>
      <x:c r="L250" s="268" t="str">
        <x:f>IFERROR(VLOOKUP(I250,'Handler-Team Map'!$A$7:$C$17,2,FALSE),"")</x:f>
      </x:c>
      <x:c r="M250" s="268" t="str">
        <x:f>IFERROR(VLOOKUP(I250,'Handler-Team Map'!$A$7:$C$17,3,FALSE),"")</x:f>
      </x:c>
      <x:c r="N250" s="274" t="str">
        <x:v>FT_VM_DEP300_GET100_5X</x:v>
      </x:c>
      <x:c r="O250" s="274" t="str">
        <x:v>VIP BONUS - Deposit 300 Get 100 - 5x TO</x:v>
      </x:c>
      <x:c r="P250" s="274" t="str">
        <x:v>DepositBonus</x:v>
      </x:c>
      <x:c r="Q250" s="274" t="str">
        <x:v>Approved</x:v>
      </x:c>
      <x:c r="R250" s="265" t="n">
        <x:v>100</x:v>
      </x:c>
      <x:c r="S250" s="253" t="str">
        <x:v>Yes</x:v>
      </x:c>
      <x:c r="T250" s="265" t="n">
        <x:v>10619.3</x:v>
      </x:c>
      <x:c r="U250" s="253" t="str">
        <x:f>IF(AND(S250="Yes",T250=0),"Yes","No")</x:f>
        <x:v>No</x:v>
      </x:c>
      <x:c r="V250" s="253" t="str">
        <x:v>Yes</x:v>
      </x:c>
      <x:c r="W250" s="253" t="str">
        <x:v>Yes</x:v>
      </x:c>
      <x:c r="X250" s="259" t="n">
        <x:v>46132.166666666664</x:v>
      </x:c>
      <x:c r="Y250" s="265" t="n">
        <x:v>4380</x:v>
      </x:c>
      <x:c r="Z250" s="265" t="n">
        <x:v>5588</x:v>
      </x:c>
      <x:c r="AA250" s="253" t="str">
        <x:f>IF(V250="No","Maturing",IF(AND(U250="Yes",Y250&gt;0),"Yes","No"))</x:f>
        <x:v>No</x:v>
      </x:c>
      <x:c r="AB250" s="253" t="str">
        <x:f>IF(W250="No","Maturing",IF(AND(U250="Yes",Z250&gt;0),"Yes","No"))</x:f>
        <x:v>No</x:v>
      </x:c>
      <x:c r="AC250" s="265" t="n">
        <x:v>-2650.11</x:v>
      </x:c>
      <x:c r="AD250" s="265" t="n">
        <x:v>-1420.64</x:v>
      </x:c>
      <x:c r="AE250" s="271" t="str"/>
      <x:c r="AF250" s="274" t="str">
        <x:v>Not validated - no control/holdout</x:v>
      </x:c>
      <x:c r="AG250" s="277" t="str">
        <x:v>Recovered execution only; assignment date and unclaimed-offer denominator unavailable</x:v>
      </x:c>
    </x:row>
    <x:row r="251">
      <x:c r="A251" s="252" t="str">
        <x:v>33959174</x:v>
      </x:c>
      <x:c r="B251" s="253" t="str">
        <x:v>WS1</x:v>
      </x:c>
      <x:c r="C251" s="253" t="str">
        <x:v>MB8</x:v>
      </x:c>
      <x:c r="D251" s="262" t="n">
        <x:v>46132.99371527778</x:v>
      </x:c>
      <x:c r="E251" s="259" t="n">
        <x:v>46132.166666666664</x:v>
      </x:c>
      <x:c r="F251" s="253" t="str">
        <x:v>302345</x:v>
      </x:c>
      <x:c r="G251" s="253" t="str">
        <x:v>bujiangfatt</x:v>
      </x:c>
      <x:c r="H251" s="253" t="str">
        <x:v>Yes</x:v>
      </x:c>
      <x:c r="I251" s="253" t="str">
        <x:v>Elda</x:v>
      </x:c>
      <x:c r="J251" s="253" t="str">
        <x:v>Elda</x:v>
      </x:c>
      <x:c r="K251" s="259" t="n">
        <x:v>45659.166666666664</x:v>
      </x:c>
      <x:c r="L251" s="268" t="str">
        <x:f>IFERROR(VLOOKUP(I251,'Handler-Team Map'!$A$7:$C$17,2,FALSE),"")</x:f>
      </x:c>
      <x:c r="M251" s="268" t="str">
        <x:f>IFERROR(VLOOKUP(I251,'Handler-Team Map'!$A$7:$C$17,3,FALSE),"")</x:f>
      </x:c>
      <x:c r="N251" s="274" t="str">
        <x:v>FT_VM_DEP1000_GET500_5X</x:v>
      </x:c>
      <x:c r="O251" s="274" t="str">
        <x:v>VIP BONUS - Deposit 1000 Get 500 - 5x TO</x:v>
      </x:c>
      <x:c r="P251" s="274" t="str">
        <x:v>DepositBonus</x:v>
      </x:c>
      <x:c r="Q251" s="274" t="str">
        <x:v>Approved</x:v>
      </x:c>
      <x:c r="R251" s="265" t="n">
        <x:v>500</x:v>
      </x:c>
      <x:c r="S251" s="253" t="str">
        <x:v>Yes</x:v>
      </x:c>
      <x:c r="T251" s="265" t="n">
        <x:v>14480</x:v>
      </x:c>
      <x:c r="U251" s="253" t="str">
        <x:f>IF(AND(S251="Yes",T251=0),"Yes","No")</x:f>
        <x:v>No</x:v>
      </x:c>
      <x:c r="V251" s="253" t="str">
        <x:v>Yes</x:v>
      </x:c>
      <x:c r="W251" s="253" t="str">
        <x:v>Yes</x:v>
      </x:c>
      <x:c r="X251" s="259" t="n">
        <x:v>46132.166666666664</x:v>
      </x:c>
      <x:c r="Y251" s="265" t="n">
        <x:v>2800</x:v>
      </x:c>
      <x:c r="Z251" s="265" t="n">
        <x:v>13350</x:v>
      </x:c>
      <x:c r="AA251" s="253" t="str">
        <x:f>IF(V251="No","Maturing",IF(AND(U251="Yes",Y251&gt;0),"Yes","No"))</x:f>
        <x:v>No</x:v>
      </x:c>
      <x:c r="AB251" s="253" t="str">
        <x:f>IF(W251="No","Maturing",IF(AND(U251="Yes",Z251&gt;0),"Yes","No"))</x:f>
        <x:v>No</x:v>
      </x:c>
      <x:c r="AC251" s="265" t="n">
        <x:v>4321.2</x:v>
      </x:c>
      <x:c r="AD251" s="265" t="n">
        <x:v>14899.19</x:v>
      </x:c>
      <x:c r="AE251" s="271" t="str"/>
      <x:c r="AF251" s="274" t="str">
        <x:v>Not validated - no control/holdout</x:v>
      </x:c>
      <x:c r="AG251" s="277" t="str">
        <x:v>Recovered execution only; assignment date and unclaimed-offer denominator unavailable</x:v>
      </x:c>
    </x:row>
    <x:row r="252">
      <x:c r="A252" s="252" t="str">
        <x:v>33959240</x:v>
      </x:c>
      <x:c r="B252" s="253" t="str">
        <x:v>WS1</x:v>
      </x:c>
      <x:c r="C252" s="253" t="str">
        <x:v>MB8</x:v>
      </x:c>
      <x:c r="D252" s="262" t="n">
        <x:v>46132.995729166665</x:v>
      </x:c>
      <x:c r="E252" s="259" t="n">
        <x:v>46132.166666666664</x:v>
      </x:c>
      <x:c r="F252" s="253" t="str">
        <x:v>808641</x:v>
      </x:c>
      <x:c r="G252" s="253" t="str">
        <x:v>manlisa75</x:v>
      </x:c>
      <x:c r="H252" s="253" t="str">
        <x:v>Yes</x:v>
      </x:c>
      <x:c r="I252" s="253" t="str">
        <x:v>Kam</x:v>
      </x:c>
      <x:c r="J252" s="253" t="str">
        <x:v>Kam</x:v>
      </x:c>
      <x:c r="K252" s="259" t="n">
        <x:v>45817.166666666664</x:v>
      </x:c>
      <x:c r="L252" s="268" t="str">
        <x:f>IFERROR(VLOOKUP(I252,'Handler-Team Map'!$A$7:$C$17,2,FALSE),"")</x:f>
      </x:c>
      <x:c r="M252" s="268" t="str">
        <x:f>IFERROR(VLOOKUP(I252,'Handler-Team Map'!$A$7:$C$17,3,FALSE),"")</x:f>
      </x:c>
      <x:c r="N252" s="274" t="str">
        <x:v>FT_VM_DEP1000_GET500_5X</x:v>
      </x:c>
      <x:c r="O252" s="274" t="str">
        <x:v>VIP BONUS - Deposit 1000 Get 500 - 5x TO</x:v>
      </x:c>
      <x:c r="P252" s="274" t="str">
        <x:v>DepositBonus</x:v>
      </x:c>
      <x:c r="Q252" s="274" t="str">
        <x:v>Approved</x:v>
      </x:c>
      <x:c r="R252" s="265" t="n">
        <x:v>500</x:v>
      </x:c>
      <x:c r="S252" s="253" t="str">
        <x:v>Yes</x:v>
      </x:c>
      <x:c r="T252" s="265" t="n">
        <x:v>496860</x:v>
      </x:c>
      <x:c r="U252" s="253" t="str">
        <x:f>IF(AND(S252="Yes",T252=0),"Yes","No")</x:f>
        <x:v>No</x:v>
      </x:c>
      <x:c r="V252" s="253" t="str">
        <x:v>Yes</x:v>
      </x:c>
      <x:c r="W252" s="253" t="str">
        <x:v>Yes</x:v>
      </x:c>
      <x:c r="X252" s="259" t="n">
        <x:v>46132.166666666664</x:v>
      </x:c>
      <x:c r="Y252" s="265" t="n">
        <x:v>66700</x:v>
      </x:c>
      <x:c r="Z252" s="265" t="n">
        <x:v>91400</x:v>
      </x:c>
      <x:c r="AA252" s="253" t="str">
        <x:f>IF(V252="No","Maturing",IF(AND(U252="Yes",Y252&gt;0),"Yes","No"))</x:f>
        <x:v>No</x:v>
      </x:c>
      <x:c r="AB252" s="253" t="str">
        <x:f>IF(W252="No","Maturing",IF(AND(U252="Yes",Z252&gt;0),"Yes","No"))</x:f>
        <x:v>No</x:v>
      </x:c>
      <x:c r="AC252" s="265" t="n">
        <x:v>3014.61</x:v>
      </x:c>
      <x:c r="AD252" s="265" t="n">
        <x:v>23705.12</x:v>
      </x:c>
      <x:c r="AE252" s="271" t="str"/>
      <x:c r="AF252" s="274" t="str">
        <x:v>Not validated - no control/holdout</x:v>
      </x:c>
      <x:c r="AG252" s="277" t="str">
        <x:v>Recovered execution only; assignment date and unclaimed-offer denominator unavailable</x:v>
      </x:c>
    </x:row>
    <x:row r="253">
      <x:c r="A253" s="252" t="str">
        <x:v>33961876</x:v>
      </x:c>
      <x:c r="B253" s="253" t="str">
        <x:v>WS1</x:v>
      </x:c>
      <x:c r="C253" s="253" t="str">
        <x:v>MB8</x:v>
      </x:c>
      <x:c r="D253" s="262" t="n">
        <x:v>46133.26802083333</x:v>
      </x:c>
      <x:c r="E253" s="259" t="n">
        <x:v>46133.166666666664</x:v>
      </x:c>
      <x:c r="F253" s="253" t="str">
        <x:v>228125</x:v>
      </x:c>
      <x:c r="G253" s="253" t="str">
        <x:v>Hanapi241165</x:v>
      </x:c>
      <x:c r="H253" s="253" t="str">
        <x:v>Yes</x:v>
      </x:c>
      <x:c r="I253" s="253" t="str">
        <x:v>Elda</x:v>
      </x:c>
      <x:c r="J253" s="253" t="str">
        <x:v>Elda</x:v>
      </x:c>
      <x:c r="K253" s="259" t="n">
        <x:v>45659.166666666664</x:v>
      </x:c>
      <x:c r="L253" s="268" t="str">
        <x:f>IFERROR(VLOOKUP(I253,'Handler-Team Map'!$A$7:$C$17,2,FALSE),"")</x:f>
      </x:c>
      <x:c r="M253" s="268" t="str">
        <x:f>IFERROR(VLOOKUP(I253,'Handler-Team Map'!$A$7:$C$17,3,FALSE),"")</x:f>
      </x:c>
      <x:c r="N253" s="274" t="str">
        <x:v>FT_VM_DEP150_GET50_5X</x:v>
      </x:c>
      <x:c r="O253" s="274" t="str">
        <x:v>VIP BONUS - Deposit 150 Get 50 - 5x TO</x:v>
      </x:c>
      <x:c r="P253" s="274" t="str">
        <x:v>DepositBonus</x:v>
      </x:c>
      <x:c r="Q253" s="274" t="str">
        <x:v>Approved</x:v>
      </x:c>
      <x:c r="R253" s="265" t="n">
        <x:v>50</x:v>
      </x:c>
      <x:c r="S253" s="253" t="str">
        <x:v>Yes</x:v>
      </x:c>
      <x:c r="T253" s="265" t="n">
        <x:v>14650</x:v>
      </x:c>
      <x:c r="U253" s="253" t="str">
        <x:f>IF(AND(S253="Yes",T253=0),"Yes","No")</x:f>
        <x:v>No</x:v>
      </x:c>
      <x:c r="V253" s="253" t="str">
        <x:v>Yes</x:v>
      </x:c>
      <x:c r="W253" s="253" t="str">
        <x:v>Yes</x:v>
      </x:c>
      <x:c r="X253" s="259" t="n">
        <x:v>46133.166666666664</x:v>
      </x:c>
      <x:c r="Y253" s="265" t="n">
        <x:v>2450</x:v>
      </x:c>
      <x:c r="Z253" s="265" t="n">
        <x:v>4450</x:v>
      </x:c>
      <x:c r="AA253" s="253" t="str">
        <x:f>IF(V253="No","Maturing",IF(AND(U253="Yes",Y253&gt;0),"Yes","No"))</x:f>
        <x:v>No</x:v>
      </x:c>
      <x:c r="AB253" s="253" t="str">
        <x:f>IF(W253="No","Maturing",IF(AND(U253="Yes",Z253&gt;0),"Yes","No"))</x:f>
        <x:v>No</x:v>
      </x:c>
      <x:c r="AC253" s="265" t="n">
        <x:v>-852.52</x:v>
      </x:c>
      <x:c r="AD253" s="265" t="n">
        <x:v>-1924.13</x:v>
      </x:c>
      <x:c r="AE253" s="271" t="str"/>
      <x:c r="AF253" s="274" t="str">
        <x:v>Not validated - no control/holdout</x:v>
      </x:c>
      <x:c r="AG253" s="277" t="str">
        <x:v>Recovered execution only; assignment date and unclaimed-offer denominator unavailable</x:v>
      </x:c>
    </x:row>
    <x:row r="254">
      <x:c r="A254" s="252" t="str">
        <x:v>33962856</x:v>
      </x:c>
      <x:c r="B254" s="253" t="str">
        <x:v>WS1</x:v>
      </x:c>
      <x:c r="C254" s="253" t="str">
        <x:v>MB8</x:v>
      </x:c>
      <x:c r="D254" s="262" t="n">
        <x:v>46133.43053240741</x:v>
      </x:c>
      <x:c r="E254" s="259" t="n">
        <x:v>46133.166666666664</x:v>
      </x:c>
      <x:c r="F254" s="253" t="str">
        <x:v>1180835</x:v>
      </x:c>
      <x:c r="G254" s="253" t="str">
        <x:v>wong8867</x:v>
      </x:c>
      <x:c r="H254" s="253" t="str">
        <x:v>Yes</x:v>
      </x:c>
      <x:c r="I254" s="253" t="str">
        <x:v>Jiahui</x:v>
      </x:c>
      <x:c r="J254" s="253" t="str">
        <x:v>Jiahui</x:v>
      </x:c>
      <x:c r="K254" s="259" t="n">
        <x:v>45993.166666666664</x:v>
      </x:c>
      <x:c r="L254" s="268" t="str">
        <x:f>IFERROR(VLOOKUP(I254,'Handler-Team Map'!$A$7:$C$17,2,FALSE),"")</x:f>
      </x:c>
      <x:c r="M254" s="268" t="str">
        <x:f>IFERROR(VLOOKUP(I254,'Handler-Team Map'!$A$7:$C$17,3,FALSE),"")</x:f>
      </x:c>
      <x:c r="N254" s="274" t="str">
        <x:v>FT_VM_DEP150_GET50_5X</x:v>
      </x:c>
      <x:c r="O254" s="274" t="str">
        <x:v>VIP BONUS - Deposit 150 Get 50 - 5x TO</x:v>
      </x:c>
      <x:c r="P254" s="274" t="str">
        <x:v>DepositBonus</x:v>
      </x:c>
      <x:c r="Q254" s="274" t="str">
        <x:v>Approved</x:v>
      </x:c>
      <x:c r="R254" s="265" t="n">
        <x:v>50</x:v>
      </x:c>
      <x:c r="S254" s="253" t="str">
        <x:v>Yes</x:v>
      </x:c>
      <x:c r="T254" s="265" t="n">
        <x:v>28370.03</x:v>
      </x:c>
      <x:c r="U254" s="253" t="str">
        <x:f>IF(AND(S254="Yes",T254=0),"Yes","No")</x:f>
        <x:v>No</x:v>
      </x:c>
      <x:c r="V254" s="253" t="str">
        <x:v>Yes</x:v>
      </x:c>
      <x:c r="W254" s="253" t="str">
        <x:v>Yes</x:v>
      </x:c>
      <x:c r="X254" s="259" t="n">
        <x:v>46133.166666666664</x:v>
      </x:c>
      <x:c r="Y254" s="265" t="n">
        <x:v>10457.76</x:v>
      </x:c>
      <x:c r="Z254" s="265" t="n">
        <x:v>20057.29</x:v>
      </x:c>
      <x:c r="AA254" s="253" t="str">
        <x:f>IF(V254="No","Maturing",IF(AND(U254="Yes",Y254&gt;0),"Yes","No"))</x:f>
        <x:v>No</x:v>
      </x:c>
      <x:c r="AB254" s="253" t="str">
        <x:f>IF(W254="No","Maturing",IF(AND(U254="Yes",Z254&gt;0),"Yes","No"))</x:f>
        <x:v>No</x:v>
      </x:c>
      <x:c r="AC254" s="265" t="n">
        <x:v>-4010.24</x:v>
      </x:c>
      <x:c r="AD254" s="265" t="n">
        <x:v>-510.71</x:v>
      </x:c>
      <x:c r="AE254" s="271" t="str"/>
      <x:c r="AF254" s="274" t="str">
        <x:v>Not validated - no control/holdout</x:v>
      </x:c>
      <x:c r="AG254" s="277" t="str">
        <x:v>Recovered execution only; assignment date and unclaimed-offer denominator unavailable</x:v>
      </x:c>
    </x:row>
    <x:row r="255">
      <x:c r="A255" s="252" t="str">
        <x:v>33963669</x:v>
      </x:c>
      <x:c r="B255" s="253" t="str">
        <x:v>WS1</x:v>
      </x:c>
      <x:c r="C255" s="253" t="str">
        <x:v>MB8</x:v>
      </x:c>
      <x:c r="D255" s="262" t="n">
        <x:v>46133.51899305556</x:v>
      </x:c>
      <x:c r="E255" s="259" t="n">
        <x:v>46133.166666666664</x:v>
      </x:c>
      <x:c r="F255" s="253" t="str">
        <x:v>771769</x:v>
      </x:c>
      <x:c r="G255" s="253" t="str">
        <x:v>bladegeneration</x:v>
      </x:c>
      <x:c r="H255" s="253" t="str">
        <x:v>Yes</x:v>
      </x:c>
      <x:c r="I255" s="253" t="str">
        <x:v>Elda</x:v>
      </x:c>
      <x:c r="J255" s="253" t="str">
        <x:v>Elda</x:v>
      </x:c>
      <x:c r="K255" s="259" t="n">
        <x:v>45659.166666666664</x:v>
      </x:c>
      <x:c r="L255" s="268" t="str">
        <x:f>IFERROR(VLOOKUP(I255,'Handler-Team Map'!$A$7:$C$17,2,FALSE),"")</x:f>
      </x:c>
      <x:c r="M255" s="268" t="str">
        <x:f>IFERROR(VLOOKUP(I255,'Handler-Team Map'!$A$7:$C$17,3,FALSE),"")</x:f>
      </x:c>
      <x:c r="N255" s="274" t="str">
        <x:v>FT_VM_DEP1000_GET1000_2X</x:v>
      </x:c>
      <x:c r="O255" s="274" t="str">
        <x:v>VIP BONUS - Deposit 1000 Get 1000 - 2x TO</x:v>
      </x:c>
      <x:c r="P255" s="274" t="str">
        <x:v>DepositBonus</x:v>
      </x:c>
      <x:c r="Q255" s="274" t="str">
        <x:v>Approved</x:v>
      </x:c>
      <x:c r="R255" s="265" t="n">
        <x:v>1000</x:v>
      </x:c>
      <x:c r="S255" s="253" t="str">
        <x:v>Yes</x:v>
      </x:c>
      <x:c r="T255" s="265" t="n">
        <x:v>679190</x:v>
      </x:c>
      <x:c r="U255" s="253" t="str">
        <x:f>IF(AND(S255="Yes",T255=0),"Yes","No")</x:f>
        <x:v>No</x:v>
      </x:c>
      <x:c r="V255" s="253" t="str">
        <x:v>Yes</x:v>
      </x:c>
      <x:c r="W255" s="253" t="str">
        <x:v>Yes</x:v>
      </x:c>
      <x:c r="X255" s="259" t="n">
        <x:v>46133.166666666664</x:v>
      </x:c>
      <x:c r="Y255" s="265" t="n">
        <x:v>2500</x:v>
      </x:c>
      <x:c r="Z255" s="265" t="n">
        <x:v>6245</x:v>
      </x:c>
      <x:c r="AA255" s="253" t="str">
        <x:f>IF(V255="No","Maturing",IF(AND(U255="Yes",Y255&gt;0),"Yes","No"))</x:f>
        <x:v>No</x:v>
      </x:c>
      <x:c r="AB255" s="253" t="str">
        <x:f>IF(W255="No","Maturing",IF(AND(U255="Yes",Z255&gt;0),"Yes","No"))</x:f>
        <x:v>No</x:v>
      </x:c>
      <x:c r="AC255" s="265" t="n">
        <x:v>2502.06</x:v>
      </x:c>
      <x:c r="AD255" s="265" t="n">
        <x:v>6091.91</x:v>
      </x:c>
      <x:c r="AE255" s="271" t="str"/>
      <x:c r="AF255" s="274" t="str">
        <x:v>Not validated - no control/holdout</x:v>
      </x:c>
      <x:c r="AG255" s="277" t="str">
        <x:v>Recovered execution only; assignment date and unclaimed-offer denominator unavailable</x:v>
      </x:c>
    </x:row>
    <x:row r="256">
      <x:c r="A256" s="252" t="str">
        <x:v>33963761</x:v>
      </x:c>
      <x:c r="B256" s="253" t="str">
        <x:v>WS1</x:v>
      </x:c>
      <x:c r="C256" s="253" t="str">
        <x:v>MB8</x:v>
      </x:c>
      <x:c r="D256" s="262" t="n">
        <x:v>46133.529027777775</x:v>
      </x:c>
      <x:c r="E256" s="259" t="n">
        <x:v>46133.166666666664</x:v>
      </x:c>
      <x:c r="F256" s="253" t="str">
        <x:v>433845</x:v>
      </x:c>
      <x:c r="G256" s="253" t="str">
        <x:v>aderson124</x:v>
      </x:c>
      <x:c r="H256" s="253" t="str">
        <x:v>Yes</x:v>
      </x:c>
      <x:c r="I256" s="253" t="str">
        <x:v>Sheena</x:v>
      </x:c>
      <x:c r="J256" s="253" t="str">
        <x:v>Sheena</x:v>
      </x:c>
      <x:c r="K256" s="259" t="n">
        <x:v>45852.166666666664</x:v>
      </x:c>
      <x:c r="L256" s="268" t="str">
        <x:f>IFERROR(VLOOKUP(I256,'Handler-Team Map'!$A$7:$C$17,2,FALSE),"")</x:f>
      </x:c>
      <x:c r="M256" s="268" t="str">
        <x:f>IFERROR(VLOOKUP(I256,'Handler-Team Map'!$A$7:$C$17,3,FALSE),"")</x:f>
      </x:c>
      <x:c r="N256" s="274" t="str">
        <x:v>FT_VM_DEP1000_GET500_5X</x:v>
      </x:c>
      <x:c r="O256" s="274" t="str">
        <x:v>VIP BONUS - Deposit 1000 Get 500 - 5x TO</x:v>
      </x:c>
      <x:c r="P256" s="274" t="str">
        <x:v>DepositBonus</x:v>
      </x:c>
      <x:c r="Q256" s="274" t="str">
        <x:v>Approved</x:v>
      </x:c>
      <x:c r="R256" s="265" t="n">
        <x:v>500</x:v>
      </x:c>
      <x:c r="S256" s="253" t="str">
        <x:v>Yes</x:v>
      </x:c>
      <x:c r="T256" s="265" t="n">
        <x:v>52018</x:v>
      </x:c>
      <x:c r="U256" s="253" t="str">
        <x:f>IF(AND(S256="Yes",T256=0),"Yes","No")</x:f>
        <x:v>No</x:v>
      </x:c>
      <x:c r="V256" s="253" t="str">
        <x:v>Yes</x:v>
      </x:c>
      <x:c r="W256" s="253" t="str">
        <x:v>Yes</x:v>
      </x:c>
      <x:c r="X256" s="259" t="n">
        <x:v>46133.166666666664</x:v>
      </x:c>
      <x:c r="Y256" s="265" t="n">
        <x:v>12000</x:v>
      </x:c>
      <x:c r="Z256" s="265" t="n">
        <x:v>25620</x:v>
      </x:c>
      <x:c r="AA256" s="253" t="str">
        <x:f>IF(V256="No","Maturing",IF(AND(U256="Yes",Y256&gt;0),"Yes","No"))</x:f>
        <x:v>No</x:v>
      </x:c>
      <x:c r="AB256" s="253" t="str">
        <x:f>IF(W256="No","Maturing",IF(AND(U256="Yes",Z256&gt;0),"Yes","No"))</x:f>
        <x:v>No</x:v>
      </x:c>
      <x:c r="AC256" s="265" t="n">
        <x:v>6860.13</x:v>
      </x:c>
      <x:c r="AD256" s="265" t="n">
        <x:v>20492.93</x:v>
      </x:c>
      <x:c r="AE256" s="271" t="str"/>
      <x:c r="AF256" s="274" t="str">
        <x:v>Not validated - no control/holdout</x:v>
      </x:c>
      <x:c r="AG256" s="277" t="str">
        <x:v>Recovered execution only; assignment date and unclaimed-offer denominator unavailable</x:v>
      </x:c>
    </x:row>
    <x:row r="257">
      <x:c r="A257" s="252" t="str">
        <x:v>33963972</x:v>
      </x:c>
      <x:c r="B257" s="253" t="str">
        <x:v>WS1</x:v>
      </x:c>
      <x:c r="C257" s="253" t="str">
        <x:v>MB8</x:v>
      </x:c>
      <x:c r="D257" s="262" t="n">
        <x:v>46133.55284722222</x:v>
      </x:c>
      <x:c r="E257" s="259" t="n">
        <x:v>46133.166666666664</x:v>
      </x:c>
      <x:c r="F257" s="253" t="str">
        <x:v>997788</x:v>
      </x:c>
      <x:c r="G257" s="253" t="str">
        <x:v>hbk960309</x:v>
      </x:c>
      <x:c r="H257" s="253" t="str">
        <x:v>Yes</x:v>
      </x:c>
      <x:c r="I257" s="253" t="str">
        <x:v>Serene</x:v>
      </x:c>
      <x:c r="J257" s="253" t="str">
        <x:v>Serene</x:v>
      </x:c>
      <x:c r="K257" s="259" t="n">
        <x:v>46090.166666666664</x:v>
      </x:c>
      <x:c r="L257" s="268" t="str">
        <x:f>IFERROR(VLOOKUP(I257,'Handler-Team Map'!$A$7:$C$17,2,FALSE),"")</x:f>
      </x:c>
      <x:c r="M257" s="268" t="str">
        <x:f>IFERROR(VLOOKUP(I257,'Handler-Team Map'!$A$7:$C$17,3,FALSE),"")</x:f>
      </x:c>
      <x:c r="N257" s="274" t="str">
        <x:v>FT_VM_DEP700_GET300_2X</x:v>
      </x:c>
      <x:c r="O257" s="274" t="str">
        <x:v>VIP BONUS - Deposit 700 Get 300 - 2x TO</x:v>
      </x:c>
      <x:c r="P257" s="274" t="str">
        <x:v>DepositBonus</x:v>
      </x:c>
      <x:c r="Q257" s="274" t="str">
        <x:v>Approved</x:v>
      </x:c>
      <x:c r="R257" s="265" t="n">
        <x:v>300</x:v>
      </x:c>
      <x:c r="S257" s="253" t="str">
        <x:v>Yes</x:v>
      </x:c>
      <x:c r="T257" s="265" t="n">
        <x:v>6300</x:v>
      </x:c>
      <x:c r="U257" s="253" t="str">
        <x:f>IF(AND(S257="Yes",T257=0),"Yes","No")</x:f>
        <x:v>No</x:v>
      </x:c>
      <x:c r="V257" s="253" t="str">
        <x:v>Yes</x:v>
      </x:c>
      <x:c r="W257" s="253" t="str">
        <x:v>Yes</x:v>
      </x:c>
      <x:c r="X257" s="259" t="n">
        <x:v>46133.166666666664</x:v>
      </x:c>
      <x:c r="Y257" s="265" t="n">
        <x:v>700</x:v>
      </x:c>
      <x:c r="Z257" s="265" t="n">
        <x:v>7500</x:v>
      </x:c>
      <x:c r="AA257" s="253" t="str">
        <x:f>IF(V257="No","Maturing",IF(AND(U257="Yes",Y257&gt;0),"Yes","No"))</x:f>
        <x:v>No</x:v>
      </x:c>
      <x:c r="AB257" s="253" t="str">
        <x:f>IF(W257="No","Maturing",IF(AND(U257="Yes",Z257&gt;0),"Yes","No"))</x:f>
        <x:v>No</x:v>
      </x:c>
      <x:c r="AC257" s="265" t="n">
        <x:v>-99.8</x:v>
      </x:c>
      <x:c r="AD257" s="265" t="n">
        <x:v>394.08</x:v>
      </x:c>
      <x:c r="AE257" s="271" t="str"/>
      <x:c r="AF257" s="274" t="str">
        <x:v>Not validated - no control/holdout</x:v>
      </x:c>
      <x:c r="AG257" s="277" t="str">
        <x:v>Recovered execution only; assignment date and unclaimed-offer denominator unavailable</x:v>
      </x:c>
    </x:row>
    <x:row r="258">
      <x:c r="A258" s="252" t="str">
        <x:v>33964083</x:v>
      </x:c>
      <x:c r="B258" s="253" t="str">
        <x:v>WS1</x:v>
      </x:c>
      <x:c r="C258" s="253" t="str">
        <x:v>MB8</x:v>
      </x:c>
      <x:c r="D258" s="262" t="n">
        <x:v>46133.56244212963</x:v>
      </x:c>
      <x:c r="E258" s="259" t="n">
        <x:v>46133.166666666664</x:v>
      </x:c>
      <x:c r="F258" s="253" t="str">
        <x:v>741706</x:v>
      </x:c>
      <x:c r="G258" s="253" t="str">
        <x:v>lkc7602</x:v>
      </x:c>
      <x:c r="H258" s="253" t="str">
        <x:v>Yes</x:v>
      </x:c>
      <x:c r="I258" s="253" t="str">
        <x:v>Kam</x:v>
      </x:c>
      <x:c r="J258" s="253" t="str">
        <x:v>Kam</x:v>
      </x:c>
      <x:c r="K258" s="259" t="n">
        <x:v>45951.166666666664</x:v>
      </x:c>
      <x:c r="L258" s="268" t="str">
        <x:f>IFERROR(VLOOKUP(I258,'Handler-Team Map'!$A$7:$C$17,2,FALSE),"")</x:f>
      </x:c>
      <x:c r="M258" s="268" t="str">
        <x:f>IFERROR(VLOOKUP(I258,'Handler-Team Map'!$A$7:$C$17,3,FALSE),"")</x:f>
      </x:c>
      <x:c r="N258" s="274" t="str">
        <x:v>FT_VM_DEP1000_GET500_5X</x:v>
      </x:c>
      <x:c r="O258" s="274" t="str">
        <x:v>VIP BONUS - Deposit 1000 Get 500 - 5x TO</x:v>
      </x:c>
      <x:c r="P258" s="274" t="str">
        <x:v>DepositBonus</x:v>
      </x:c>
      <x:c r="Q258" s="274" t="str">
        <x:v>Approved</x:v>
      </x:c>
      <x:c r="R258" s="265" t="n">
        <x:v>500</x:v>
      </x:c>
      <x:c r="S258" s="253" t="str">
        <x:v>Yes</x:v>
      </x:c>
      <x:c r="T258" s="265" t="n">
        <x:v>12450</x:v>
      </x:c>
      <x:c r="U258" s="253" t="str">
        <x:f>IF(AND(S258="Yes",T258=0),"Yes","No")</x:f>
        <x:v>No</x:v>
      </x:c>
      <x:c r="V258" s="253" t="str">
        <x:v>Yes</x:v>
      </x:c>
      <x:c r="W258" s="253" t="str">
        <x:v>Yes</x:v>
      </x:c>
      <x:c r="X258" s="259" t="n">
        <x:v>46133.166666666664</x:v>
      </x:c>
      <x:c r="Y258" s="265" t="n">
        <x:v>4000</x:v>
      </x:c>
      <x:c r="Z258" s="265" t="n">
        <x:v>6500</x:v>
      </x:c>
      <x:c r="AA258" s="253" t="str">
        <x:f>IF(V258="No","Maturing",IF(AND(U258="Yes",Y258&gt;0),"Yes","No"))</x:f>
        <x:v>No</x:v>
      </x:c>
      <x:c r="AB258" s="253" t="str">
        <x:f>IF(W258="No","Maturing",IF(AND(U258="Yes",Z258&gt;0),"Yes","No"))</x:f>
        <x:v>No</x:v>
      </x:c>
      <x:c r="AC258" s="265" t="n">
        <x:v>-7057.13</x:v>
      </x:c>
      <x:c r="AD258" s="265" t="n">
        <x:v>-5173.17</x:v>
      </x:c>
      <x:c r="AE258" s="271" t="str"/>
      <x:c r="AF258" s="274" t="str">
        <x:v>Not validated - no control/holdout</x:v>
      </x:c>
      <x:c r="AG258" s="277" t="str">
        <x:v>Recovered execution only; assignment date and unclaimed-offer denominator unavailable</x:v>
      </x:c>
    </x:row>
    <x:row r="259">
      <x:c r="A259" s="252" t="str">
        <x:v>33964067</x:v>
      </x:c>
      <x:c r="B259" s="253" t="str">
        <x:v>WS1</x:v>
      </x:c>
      <x:c r="C259" s="253" t="str">
        <x:v>MB8</x:v>
      </x:c>
      <x:c r="D259" s="262" t="n">
        <x:v>46133.56298611111</x:v>
      </x:c>
      <x:c r="E259" s="259" t="n">
        <x:v>46133.166666666664</x:v>
      </x:c>
      <x:c r="F259" s="253" t="str">
        <x:v>444567</x:v>
      </x:c>
      <x:c r="G259" s="253" t="str">
        <x:v>siti779</x:v>
      </x:c>
      <x:c r="H259" s="253" t="str">
        <x:v>Yes</x:v>
      </x:c>
      <x:c r="I259" s="253" t="str"/>
      <x:c r="J259" s="253" t="str"/>
      <x:c r="K259" s="259"/>
      <x:c r="L259" s="268" t="str">
        <x:f>IFERROR(VLOOKUP(I259,'Handler-Team Map'!$A$7:$C$17,2,FALSE),"")</x:f>
      </x:c>
      <x:c r="M259" s="268" t="str">
        <x:f>IFERROR(VLOOKUP(I259,'Handler-Team Map'!$A$7:$C$17,3,FALSE),"")</x:f>
      </x:c>
      <x:c r="N259" s="274" t="str">
        <x:v>FT_VM_DEP1000_GET700_1X</x:v>
      </x:c>
      <x:c r="O259" s="274" t="str">
        <x:v>VIP BONUS - Deposit 1000 Get 700 - 1x TO</x:v>
      </x:c>
      <x:c r="P259" s="274" t="str">
        <x:v>DepositBonus</x:v>
      </x:c>
      <x:c r="Q259" s="274" t="str">
        <x:v>Approved</x:v>
      </x:c>
      <x:c r="R259" s="265" t="n">
        <x:v>700</x:v>
      </x:c>
      <x:c r="S259" s="253" t="str">
        <x:v>Yes</x:v>
      </x:c>
      <x:c r="T259" s="265" t="n">
        <x:v>0</x:v>
      </x:c>
      <x:c r="U259" s="253" t="str">
        <x:f>IF(AND(S259="Yes",T259=0),"Yes","No")</x:f>
        <x:v>Yes</x:v>
      </x:c>
      <x:c r="V259" s="253" t="str">
        <x:v>Yes</x:v>
      </x:c>
      <x:c r="W259" s="253" t="str">
        <x:v>Yes</x:v>
      </x:c>
      <x:c r="X259" s="259" t="n">
        <x:v>46133.166666666664</x:v>
      </x:c>
      <x:c r="Y259" s="265" t="n">
        <x:v>1350</x:v>
      </x:c>
      <x:c r="Z259" s="265" t="n">
        <x:v>1350</x:v>
      </x:c>
      <x:c r="AA259" s="253" t="str">
        <x:f>IF(V259="No","Maturing",IF(AND(U259="Yes",Y259&gt;0),"Yes","No"))</x:f>
        <x:v>Yes</x:v>
      </x:c>
      <x:c r="AB259" s="253" t="str">
        <x:f>IF(W259="No","Maturing",IF(AND(U259="Yes",Z259&gt;0),"Yes","No"))</x:f>
        <x:v>Yes</x:v>
      </x:c>
      <x:c r="AC259" s="265" t="n">
        <x:v>-947.1</x:v>
      </x:c>
      <x:c r="AD259" s="265" t="n">
        <x:v>-947.35</x:v>
      </x:c>
      <x:c r="AE259" s="271" t="str"/>
      <x:c r="AF259" s="274" t="str">
        <x:v>Not validated - no control/holdout</x:v>
      </x:c>
      <x:c r="AG259" s="277" t="str">
        <x:v>Recovered execution only; assignment date and unclaimed-offer denominator unavailable</x:v>
      </x:c>
    </x:row>
    <x:row r="260">
      <x:c r="A260" s="252" t="str">
        <x:v>33964180</x:v>
      </x:c>
      <x:c r="B260" s="253" t="str">
        <x:v>WS1</x:v>
      </x:c>
      <x:c r="C260" s="253" t="str">
        <x:v>MB8</x:v>
      </x:c>
      <x:c r="D260" s="262" t="n">
        <x:v>46133.57224537037</x:v>
      </x:c>
      <x:c r="E260" s="259" t="n">
        <x:v>46133.166666666664</x:v>
      </x:c>
      <x:c r="F260" s="253" t="str">
        <x:v>660486</x:v>
      </x:c>
      <x:c r="G260" s="253" t="str">
        <x:v>jrao83</x:v>
      </x:c>
      <x:c r="H260" s="253" t="str">
        <x:v>Yes</x:v>
      </x:c>
      <x:c r="I260" s="253" t="str">
        <x:v>Kam</x:v>
      </x:c>
      <x:c r="J260" s="253" t="str">
        <x:v>Kam</x:v>
      </x:c>
      <x:c r="K260" s="259" t="n">
        <x:v>45951.166666666664</x:v>
      </x:c>
      <x:c r="L260" s="268" t="str">
        <x:f>IFERROR(VLOOKUP(I260,'Handler-Team Map'!$A$7:$C$17,2,FALSE),"")</x:f>
      </x:c>
      <x:c r="M260" s="268" t="str">
        <x:f>IFERROR(VLOOKUP(I260,'Handler-Team Map'!$A$7:$C$17,3,FALSE),"")</x:f>
      </x:c>
      <x:c r="N260" s="274" t="str">
        <x:v>FT_VM_DEP1000_GET500_1X</x:v>
      </x:c>
      <x:c r="O260" s="274" t="str">
        <x:v>VIP BONUS - Deposit 1000 Get 500 - 1x TO</x:v>
      </x:c>
      <x:c r="P260" s="274" t="str">
        <x:v>DepositBonus</x:v>
      </x:c>
      <x:c r="Q260" s="274" t="str">
        <x:v>Approved</x:v>
      </x:c>
      <x:c r="R260" s="265" t="n">
        <x:v>500</x:v>
      </x:c>
      <x:c r="S260" s="253" t="str">
        <x:v>Yes</x:v>
      </x:c>
      <x:c r="T260" s="265" t="n">
        <x:v>0</x:v>
      </x:c>
      <x:c r="U260" s="253" t="str">
        <x:f>IF(AND(S260="Yes",T260=0),"Yes","No")</x:f>
        <x:v>Yes</x:v>
      </x:c>
      <x:c r="V260" s="253" t="str">
        <x:v>Yes</x:v>
      </x:c>
      <x:c r="W260" s="253" t="str">
        <x:v>Yes</x:v>
      </x:c>
      <x:c r="X260" s="259" t="n">
        <x:v>46133.166666666664</x:v>
      </x:c>
      <x:c r="Y260" s="265" t="n">
        <x:v>1000</x:v>
      </x:c>
      <x:c r="Z260" s="265" t="n">
        <x:v>1000</x:v>
      </x:c>
      <x:c r="AA260" s="253" t="str">
        <x:f>IF(V260="No","Maturing",IF(AND(U260="Yes",Y260&gt;0),"Yes","No"))</x:f>
        <x:v>Yes</x:v>
      </x:c>
      <x:c r="AB260" s="253" t="str">
        <x:f>IF(W260="No","Maturing",IF(AND(U260="Yes",Z260&gt;0),"Yes","No"))</x:f>
        <x:v>Yes</x:v>
      </x:c>
      <x:c r="AC260" s="265" t="n">
        <x:v>1031.08</x:v>
      </x:c>
      <x:c r="AD260" s="265" t="n">
        <x:v>1033.58</x:v>
      </x:c>
      <x:c r="AE260" s="271" t="str"/>
      <x:c r="AF260" s="274" t="str">
        <x:v>Not validated - no control/holdout</x:v>
      </x:c>
      <x:c r="AG260" s="277" t="str">
        <x:v>Recovered execution only; assignment date and unclaimed-offer denominator unavailable</x:v>
      </x:c>
    </x:row>
    <x:row r="261">
      <x:c r="A261" s="252" t="str">
        <x:v>33965046</x:v>
      </x:c>
      <x:c r="B261" s="253" t="str">
        <x:v>WS1</x:v>
      </x:c>
      <x:c r="C261" s="253" t="str">
        <x:v>MB8</x:v>
      </x:c>
      <x:c r="D261" s="262" t="n">
        <x:v>46133.64775462963</x:v>
      </x:c>
      <x:c r="E261" s="259" t="n">
        <x:v>46133.166666666664</x:v>
      </x:c>
      <x:c r="F261" s="253" t="str">
        <x:v>490833</x:v>
      </x:c>
      <x:c r="G261" s="253" t="str">
        <x:v>norhaza</x:v>
      </x:c>
      <x:c r="H261" s="253" t="str">
        <x:v>Yes</x:v>
      </x:c>
      <x:c r="I261" s="253" t="str">
        <x:v>zhen</x:v>
      </x:c>
      <x:c r="J261" s="253" t="str">
        <x:v>zhen</x:v>
      </x:c>
      <x:c r="K261" s="259" t="n">
        <x:v>46090.166666666664</x:v>
      </x:c>
      <x:c r="L261" s="268" t="str">
        <x:f>IFERROR(VLOOKUP(I261,'Handler-Team Map'!$A$7:$C$17,2,FALSE),"")</x:f>
      </x:c>
      <x:c r="M261" s="268" t="str">
        <x:f>IFERROR(VLOOKUP(I261,'Handler-Team Map'!$A$7:$C$17,3,FALSE),"")</x:f>
      </x:c>
      <x:c r="N261" s="274" t="str">
        <x:v>FT_VM_DEP300_GET100_5X</x:v>
      </x:c>
      <x:c r="O261" s="274" t="str">
        <x:v>VIP BONUS - Deposit 300 Get 100 - 5x TO</x:v>
      </x:c>
      <x:c r="P261" s="274" t="str">
        <x:v>DepositBonus</x:v>
      </x:c>
      <x:c r="Q261" s="274" t="str">
        <x:v>Approved</x:v>
      </x:c>
      <x:c r="R261" s="265" t="n">
        <x:v>100</x:v>
      </x:c>
      <x:c r="S261" s="253" t="str">
        <x:v>Yes</x:v>
      </x:c>
      <x:c r="T261" s="265" t="n">
        <x:v>44323</x:v>
      </x:c>
      <x:c r="U261" s="253" t="str">
        <x:f>IF(AND(S261="Yes",T261=0),"Yes","No")</x:f>
        <x:v>No</x:v>
      </x:c>
      <x:c r="V261" s="253" t="str">
        <x:v>Yes</x:v>
      </x:c>
      <x:c r="W261" s="253" t="str">
        <x:v>Yes</x:v>
      </x:c>
      <x:c r="X261" s="259" t="n">
        <x:v>46133.166666666664</x:v>
      </x:c>
      <x:c r="Y261" s="265" t="n">
        <x:v>300</x:v>
      </x:c>
      <x:c r="Z261" s="265" t="n">
        <x:v>1035</x:v>
      </x:c>
      <x:c r="AA261" s="253" t="str">
        <x:f>IF(V261="No","Maturing",IF(AND(U261="Yes",Y261&gt;0),"Yes","No"))</x:f>
        <x:v>No</x:v>
      </x:c>
      <x:c r="AB261" s="253" t="str">
        <x:f>IF(W261="No","Maturing",IF(AND(U261="Yes",Z261&gt;0),"Yes","No"))</x:f>
        <x:v>No</x:v>
      </x:c>
      <x:c r="AC261" s="265" t="n">
        <x:v>300.25</x:v>
      </x:c>
      <x:c r="AD261" s="265" t="n">
        <x:v>1034.96</x:v>
      </x:c>
      <x:c r="AE261" s="271" t="str"/>
      <x:c r="AF261" s="274" t="str">
        <x:v>Not validated - no control/holdout</x:v>
      </x:c>
      <x:c r="AG261" s="277" t="str">
        <x:v>Recovered execution only; assignment date and unclaimed-offer denominator unavailable</x:v>
      </x:c>
    </x:row>
    <x:row r="262">
      <x:c r="A262" s="252" t="str">
        <x:v>33965126</x:v>
      </x:c>
      <x:c r="B262" s="253" t="str">
        <x:v>WS1</x:v>
      </x:c>
      <x:c r="C262" s="253" t="str">
        <x:v>MB8</x:v>
      </x:c>
      <x:c r="D262" s="262" t="n">
        <x:v>46133.65703703704</x:v>
      </x:c>
      <x:c r="E262" s="259" t="n">
        <x:v>46133.166666666664</x:v>
      </x:c>
      <x:c r="F262" s="253" t="str">
        <x:v>529225</x:v>
      </x:c>
      <x:c r="G262" s="253" t="str">
        <x:v>frankylow86</x:v>
      </x:c>
      <x:c r="H262" s="253" t="str">
        <x:v>Yes</x:v>
      </x:c>
      <x:c r="I262" s="253" t="str">
        <x:v>Claire</x:v>
      </x:c>
      <x:c r="J262" s="253" t="str">
        <x:v>Claire</x:v>
      </x:c>
      <x:c r="K262" s="259" t="n">
        <x:v>45659.166666666664</x:v>
      </x:c>
      <x:c r="L262" s="268" t="str">
        <x:f>IFERROR(VLOOKUP(I262,'Handler-Team Map'!$A$7:$C$17,2,FALSE),"")</x:f>
      </x:c>
      <x:c r="M262" s="268" t="str">
        <x:f>IFERROR(VLOOKUP(I262,'Handler-Team Map'!$A$7:$C$17,3,FALSE),"")</x:f>
      </x:c>
      <x:c r="N262" s="274" t="str">
        <x:v>FT_VM_DEP800_GET400_2X</x:v>
      </x:c>
      <x:c r="O262" s="274" t="str">
        <x:v>VIP BONUS - Deposit 800 Get 400 - 2x TO</x:v>
      </x:c>
      <x:c r="P262" s="274" t="str">
        <x:v>DepositBonus</x:v>
      </x:c>
      <x:c r="Q262" s="274" t="str">
        <x:v>Approved</x:v>
      </x:c>
      <x:c r="R262" s="265" t="n">
        <x:v>400</x:v>
      </x:c>
      <x:c r="S262" s="253" t="str">
        <x:v>Yes</x:v>
      </x:c>
      <x:c r="T262" s="265" t="n">
        <x:v>57018</x:v>
      </x:c>
      <x:c r="U262" s="253" t="str">
        <x:f>IF(AND(S262="Yes",T262=0),"Yes","No")</x:f>
        <x:v>No</x:v>
      </x:c>
      <x:c r="V262" s="253" t="str">
        <x:v>Yes</x:v>
      </x:c>
      <x:c r="W262" s="253" t="str">
        <x:v>Yes</x:v>
      </x:c>
      <x:c r="X262" s="259" t="n">
        <x:v>46133.166666666664</x:v>
      </x:c>
      <x:c r="Y262" s="265" t="n">
        <x:v>13813</x:v>
      </x:c>
      <x:c r="Z262" s="265" t="n">
        <x:v>21753</x:v>
      </x:c>
      <x:c r="AA262" s="253" t="str">
        <x:f>IF(V262="No","Maturing",IF(AND(U262="Yes",Y262&gt;0),"Yes","No"))</x:f>
        <x:v>No</x:v>
      </x:c>
      <x:c r="AB262" s="253" t="str">
        <x:f>IF(W262="No","Maturing",IF(AND(U262="Yes",Z262&gt;0),"Yes","No"))</x:f>
        <x:v>No</x:v>
      </x:c>
      <x:c r="AC262" s="265" t="n">
        <x:v>11513.52</x:v>
      </x:c>
      <x:c r="AD262" s="265" t="n">
        <x:v>13458.52</x:v>
      </x:c>
      <x:c r="AE262" s="271" t="str"/>
      <x:c r="AF262" s="274" t="str">
        <x:v>Not validated - no control/holdout</x:v>
      </x:c>
      <x:c r="AG262" s="277" t="str">
        <x:v>Recovered execution only; assignment date and unclaimed-offer denominator unavailable</x:v>
      </x:c>
    </x:row>
    <x:row r="263">
      <x:c r="A263" s="252" t="str">
        <x:v>33966225</x:v>
      </x:c>
      <x:c r="B263" s="253" t="str">
        <x:v>WS1</x:v>
      </x:c>
      <x:c r="C263" s="253" t="str">
        <x:v>MB8</x:v>
      </x:c>
      <x:c r="D263" s="262" t="n">
        <x:v>46133.73681712963</x:v>
      </x:c>
      <x:c r="E263" s="259" t="n">
        <x:v>46133.166666666664</x:v>
      </x:c>
      <x:c r="F263" s="253" t="str">
        <x:v>663490</x:v>
      </x:c>
      <x:c r="G263" s="253" t="str">
        <x:v>Arsenal9968</x:v>
      </x:c>
      <x:c r="H263" s="253" t="str">
        <x:v>Yes</x:v>
      </x:c>
      <x:c r="I263" s="253" t="str">
        <x:v>Claire</x:v>
      </x:c>
      <x:c r="J263" s="253" t="str">
        <x:v>Claire</x:v>
      </x:c>
      <x:c r="K263" s="259" t="n">
        <x:v>45659.166666666664</x:v>
      </x:c>
      <x:c r="L263" s="268" t="str">
        <x:f>IFERROR(VLOOKUP(I263,'Handler-Team Map'!$A$7:$C$17,2,FALSE),"")</x:f>
      </x:c>
      <x:c r="M263" s="268" t="str">
        <x:f>IFERROR(VLOOKUP(I263,'Handler-Team Map'!$A$7:$C$17,3,FALSE),"")</x:f>
      </x:c>
      <x:c r="N263" s="274" t="str">
        <x:v>FT_VM_DEP600_GET200_5X</x:v>
      </x:c>
      <x:c r="O263" s="274" t="str">
        <x:v>VIP BONUS - Deposit 600 Get 200 - 5x TO</x:v>
      </x:c>
      <x:c r="P263" s="274" t="str">
        <x:v>DepositBonus</x:v>
      </x:c>
      <x:c r="Q263" s="274" t="str">
        <x:v>Approved</x:v>
      </x:c>
      <x:c r="R263" s="265" t="n">
        <x:v>200</x:v>
      </x:c>
      <x:c r="S263" s="253" t="str">
        <x:v>Yes</x:v>
      </x:c>
      <x:c r="T263" s="265" t="n">
        <x:v>89723</x:v>
      </x:c>
      <x:c r="U263" s="253" t="str">
        <x:f>IF(AND(S263="Yes",T263=0),"Yes","No")</x:f>
        <x:v>No</x:v>
      </x:c>
      <x:c r="V263" s="253" t="str">
        <x:v>Yes</x:v>
      </x:c>
      <x:c r="W263" s="253" t="str">
        <x:v>Yes</x:v>
      </x:c>
      <x:c r="X263" s="259" t="n">
        <x:v>46133.166666666664</x:v>
      </x:c>
      <x:c r="Y263" s="265" t="n">
        <x:v>35270</x:v>
      </x:c>
      <x:c r="Z263" s="265" t="n">
        <x:v>51515</x:v>
      </x:c>
      <x:c r="AA263" s="253" t="str">
        <x:f>IF(V263="No","Maturing",IF(AND(U263="Yes",Y263&gt;0),"Yes","No"))</x:f>
        <x:v>No</x:v>
      </x:c>
      <x:c r="AB263" s="253" t="str">
        <x:f>IF(W263="No","Maturing",IF(AND(U263="Yes",Z263&gt;0),"Yes","No"))</x:f>
        <x:v>No</x:v>
      </x:c>
      <x:c r="AC263" s="265" t="n">
        <x:v>-6890.11</x:v>
      </x:c>
      <x:c r="AD263" s="265" t="n">
        <x:v>-2145.03</x:v>
      </x:c>
      <x:c r="AE263" s="271" t="str"/>
      <x:c r="AF263" s="274" t="str">
        <x:v>Not validated - no control/holdout</x:v>
      </x:c>
      <x:c r="AG263" s="277" t="str">
        <x:v>Recovered execution only; assignment date and unclaimed-offer denominator unavailable</x:v>
      </x:c>
    </x:row>
    <x:row r="264">
      <x:c r="A264" s="252" t="str">
        <x:v>33966585</x:v>
      </x:c>
      <x:c r="B264" s="253" t="str">
        <x:v>WS1</x:v>
      </x:c>
      <x:c r="C264" s="253" t="str">
        <x:v>MB8</x:v>
      </x:c>
      <x:c r="D264" s="262" t="n">
        <x:v>46133.762453703705</x:v>
      </x:c>
      <x:c r="E264" s="259" t="n">
        <x:v>46133.166666666664</x:v>
      </x:c>
      <x:c r="F264" s="253" t="str">
        <x:v>1079990</x:v>
      </x:c>
      <x:c r="G264" s="253" t="str">
        <x:v>Ayidsepang</x:v>
      </x:c>
      <x:c r="H264" s="253" t="str">
        <x:v>Yes</x:v>
      </x:c>
      <x:c r="I264" s="253" t="str"/>
      <x:c r="J264" s="253" t="str"/>
      <x:c r="K264" s="259"/>
      <x:c r="L264" s="268" t="str">
        <x:f>IFERROR(VLOOKUP(I264,'Handler-Team Map'!$A$7:$C$17,2,FALSE),"")</x:f>
      </x:c>
      <x:c r="M264" s="268" t="str">
        <x:f>IFERROR(VLOOKUP(I264,'Handler-Team Map'!$A$7:$C$17,3,FALSE),"")</x:f>
      </x:c>
      <x:c r="N264" s="274" t="str">
        <x:v>FT_VM_DEP1000_GET700_1X</x:v>
      </x:c>
      <x:c r="O264" s="274" t="str">
        <x:v>VIP BONUS - Deposit 1000 Get 700 - 1x TO</x:v>
      </x:c>
      <x:c r="P264" s="274" t="str">
        <x:v>DepositBonus</x:v>
      </x:c>
      <x:c r="Q264" s="274" t="str">
        <x:v>Approved</x:v>
      </x:c>
      <x:c r="R264" s="265" t="n">
        <x:v>700</x:v>
      </x:c>
      <x:c r="S264" s="253" t="str">
        <x:v>Yes</x:v>
      </x:c>
      <x:c r="T264" s="265" t="n">
        <x:v>930</x:v>
      </x:c>
      <x:c r="U264" s="253" t="str">
        <x:f>IF(AND(S264="Yes",T264=0),"Yes","No")</x:f>
        <x:v>No</x:v>
      </x:c>
      <x:c r="V264" s="253" t="str">
        <x:v>Yes</x:v>
      </x:c>
      <x:c r="W264" s="253" t="str">
        <x:v>Yes</x:v>
      </x:c>
      <x:c r="X264" s="259" t="n">
        <x:v>46133.166666666664</x:v>
      </x:c>
      <x:c r="Y264" s="265" t="n">
        <x:v>2760</x:v>
      </x:c>
      <x:c r="Z264" s="265" t="n">
        <x:v>4230</x:v>
      </x:c>
      <x:c r="AA264" s="253" t="str">
        <x:f>IF(V264="No","Maturing",IF(AND(U264="Yes",Y264&gt;0),"Yes","No"))</x:f>
        <x:v>No</x:v>
      </x:c>
      <x:c r="AB264" s="253" t="str">
        <x:f>IF(W264="No","Maturing",IF(AND(U264="Yes",Z264&gt;0),"Yes","No"))</x:f>
        <x:v>No</x:v>
      </x:c>
      <x:c r="AC264" s="265" t="n">
        <x:v>-1721.65</x:v>
      </x:c>
      <x:c r="AD264" s="265" t="n">
        <x:v>-532.85</x:v>
      </x:c>
      <x:c r="AE264" s="271" t="str"/>
      <x:c r="AF264" s="274" t="str">
        <x:v>Not validated - no control/holdout</x:v>
      </x:c>
      <x:c r="AG264" s="277" t="str">
        <x:v>Recovered execution only; assignment date and unclaimed-offer denominator unavailable</x:v>
      </x:c>
    </x:row>
    <x:row r="265">
      <x:c r="A265" s="252" t="str">
        <x:v>33967195</x:v>
      </x:c>
      <x:c r="B265" s="253" t="str">
        <x:v>WS1</x:v>
      </x:c>
      <x:c r="C265" s="253" t="str">
        <x:v>MB8</x:v>
      </x:c>
      <x:c r="D265" s="262" t="n">
        <x:v>46133.80903935185</x:v>
      </x:c>
      <x:c r="E265" s="259" t="n">
        <x:v>46133.166666666664</x:v>
      </x:c>
      <x:c r="F265" s="253" t="str">
        <x:v>586899</x:v>
      </x:c>
      <x:c r="G265" s="253" t="str">
        <x:v>Edy619</x:v>
      </x:c>
      <x:c r="H265" s="253" t="str">
        <x:v>Yes</x:v>
      </x:c>
      <x:c r="I265" s="253" t="str">
        <x:v>Christy</x:v>
      </x:c>
      <x:c r="J265" s="253" t="str">
        <x:v>Christy</x:v>
      </x:c>
      <x:c r="K265" s="259" t="n">
        <x:v>45831.166666666664</x:v>
      </x:c>
      <x:c r="L265" s="268" t="str">
        <x:f>IFERROR(VLOOKUP(I265,'Handler-Team Map'!$A$7:$C$17,2,FALSE),"")</x:f>
      </x:c>
      <x:c r="M265" s="268" t="str">
        <x:f>IFERROR(VLOOKUP(I265,'Handler-Team Map'!$A$7:$C$17,3,FALSE),"")</x:f>
      </x:c>
      <x:c r="N265" s="274" t="str">
        <x:v>FT_VM_DEP1000_GET700_1X</x:v>
      </x:c>
      <x:c r="O265" s="274" t="str">
        <x:v>VIP BONUS - Deposit 1000 Get 700 - 1x TO</x:v>
      </x:c>
      <x:c r="P265" s="274" t="str">
        <x:v>DepositBonus</x:v>
      </x:c>
      <x:c r="Q265" s="274" t="str">
        <x:v>Approved</x:v>
      </x:c>
      <x:c r="R265" s="265" t="n">
        <x:v>700</x:v>
      </x:c>
      <x:c r="S265" s="253" t="str">
        <x:v>Yes</x:v>
      </x:c>
      <x:c r="T265" s="265" t="n">
        <x:v>0</x:v>
      </x:c>
      <x:c r="U265" s="253" t="str">
        <x:f>IF(AND(S265="Yes",T265=0),"Yes","No")</x:f>
        <x:v>Yes</x:v>
      </x:c>
      <x:c r="V265" s="253" t="str">
        <x:v>Yes</x:v>
      </x:c>
      <x:c r="W265" s="253" t="str">
        <x:v>Yes</x:v>
      </x:c>
      <x:c r="X265" s="259" t="n">
        <x:v>46133.166666666664</x:v>
      </x:c>
      <x:c r="Y265" s="265" t="n">
        <x:v>1030</x:v>
      </x:c>
      <x:c r="Z265" s="265" t="n">
        <x:v>1030</x:v>
      </x:c>
      <x:c r="AA265" s="253" t="str">
        <x:f>IF(V265="No","Maturing",IF(AND(U265="Yes",Y265&gt;0),"Yes","No"))</x:f>
        <x:v>Yes</x:v>
      </x:c>
      <x:c r="AB265" s="253" t="str">
        <x:f>IF(W265="No","Maturing",IF(AND(U265="Yes",Z265&gt;0),"Yes","No"))</x:f>
        <x:v>Yes</x:v>
      </x:c>
      <x:c r="AC265" s="265" t="n">
        <x:v>-1428.97</x:v>
      </x:c>
      <x:c r="AD265" s="265" t="n">
        <x:v>-1428.97</x:v>
      </x:c>
      <x:c r="AE265" s="271" t="str"/>
      <x:c r="AF265" s="274" t="str">
        <x:v>Not validated - no control/holdout</x:v>
      </x:c>
      <x:c r="AG265" s="277" t="str">
        <x:v>Recovered execution only; assignment date and unclaimed-offer denominator unavailable</x:v>
      </x:c>
    </x:row>
    <x:row r="266">
      <x:c r="A266" s="252" t="str">
        <x:v>33967378</x:v>
      </x:c>
      <x:c r="B266" s="253" t="str">
        <x:v>WS1</x:v>
      </x:c>
      <x:c r="C266" s="253" t="str">
        <x:v>MB8</x:v>
      </x:c>
      <x:c r="D266" s="262" t="n">
        <x:v>46133.82287037037</x:v>
      </x:c>
      <x:c r="E266" s="259" t="n">
        <x:v>46133.166666666664</x:v>
      </x:c>
      <x:c r="F266" s="253" t="str">
        <x:v>869594</x:v>
      </x:c>
      <x:c r="G266" s="253" t="str">
        <x:v>Tiam1688</x:v>
      </x:c>
      <x:c r="H266" s="253" t="str">
        <x:v>Yes</x:v>
      </x:c>
      <x:c r="I266" s="253" t="str"/>
      <x:c r="J266" s="253" t="str"/>
      <x:c r="K266" s="259"/>
      <x:c r="L266" s="268" t="str">
        <x:f>IFERROR(VLOOKUP(I266,'Handler-Team Map'!$A$7:$C$17,2,FALSE),"")</x:f>
      </x:c>
      <x:c r="M266" s="268" t="str">
        <x:f>IFERROR(VLOOKUP(I266,'Handler-Team Map'!$A$7:$C$17,3,FALSE),"")</x:f>
      </x:c>
      <x:c r="N266" s="274" t="str">
        <x:v>FT_VM_DEP700_GET300_2X</x:v>
      </x:c>
      <x:c r="O266" s="274" t="str">
        <x:v>VIP BONUS - Deposit 700 Get 300 - 2x TO</x:v>
      </x:c>
      <x:c r="P266" s="274" t="str">
        <x:v>DepositBonus</x:v>
      </x:c>
      <x:c r="Q266" s="274" t="str">
        <x:v>Approved</x:v>
      </x:c>
      <x:c r="R266" s="265" t="n">
        <x:v>300</x:v>
      </x:c>
      <x:c r="S266" s="253" t="str">
        <x:v>Yes</x:v>
      </x:c>
      <x:c r="T266" s="265" t="n">
        <x:v>600</x:v>
      </x:c>
      <x:c r="U266" s="253" t="str">
        <x:f>IF(AND(S266="Yes",T266=0),"Yes","No")</x:f>
        <x:v>No</x:v>
      </x:c>
      <x:c r="V266" s="253" t="str">
        <x:v>Yes</x:v>
      </x:c>
      <x:c r="W266" s="253" t="str">
        <x:v>Yes</x:v>
      </x:c>
      <x:c r="X266" s="259" t="n">
        <x:v>46133.166666666664</x:v>
      </x:c>
      <x:c r="Y266" s="265" t="n">
        <x:v>870</x:v>
      </x:c>
      <x:c r="Z266" s="265" t="n">
        <x:v>3450</x:v>
      </x:c>
      <x:c r="AA266" s="253" t="str">
        <x:f>IF(V266="No","Maturing",IF(AND(U266="Yes",Y266&gt;0),"Yes","No"))</x:f>
        <x:v>No</x:v>
      </x:c>
      <x:c r="AB266" s="253" t="str">
        <x:f>IF(W266="No","Maturing",IF(AND(U266="Yes",Z266&gt;0),"Yes","No"))</x:f>
        <x:v>No</x:v>
      </x:c>
      <x:c r="AC266" s="265" t="n">
        <x:v>869.83</x:v>
      </x:c>
      <x:c r="AD266" s="265" t="n">
        <x:v>3450.02</x:v>
      </x:c>
      <x:c r="AE266" s="271" t="str"/>
      <x:c r="AF266" s="274" t="str">
        <x:v>Not validated - no control/holdout</x:v>
      </x:c>
      <x:c r="AG266" s="277" t="str">
        <x:v>Recovered execution only; assignment date and unclaimed-offer denominator unavailable</x:v>
      </x:c>
    </x:row>
    <x:row r="267">
      <x:c r="A267" s="252" t="str">
        <x:v>33967652</x:v>
      </x:c>
      <x:c r="B267" s="253" t="str">
        <x:v>WS1</x:v>
      </x:c>
      <x:c r="C267" s="253" t="str">
        <x:v>MB8</x:v>
      </x:c>
      <x:c r="D267" s="262" t="n">
        <x:v>46133.84101851852</x:v>
      </x:c>
      <x:c r="E267" s="259" t="n">
        <x:v>46133.166666666664</x:v>
      </x:c>
      <x:c r="F267" s="253" t="str">
        <x:v>1169879</x:v>
      </x:c>
      <x:c r="G267" s="253" t="str">
        <x:v>limcheeeng6980</x:v>
      </x:c>
      <x:c r="H267" s="253" t="str">
        <x:v>Yes</x:v>
      </x:c>
      <x:c r="I267" s="253" t="str">
        <x:v>Tammy</x:v>
      </x:c>
      <x:c r="J267" s="253" t="str">
        <x:v>Tammy</x:v>
      </x:c>
      <x:c r="K267" s="259" t="n">
        <x:v>45951.166666666664</x:v>
      </x:c>
      <x:c r="L267" s="268" t="str">
        <x:f>IFERROR(VLOOKUP(I267,'Handler-Team Map'!$A$7:$C$17,2,FALSE),"")</x:f>
      </x:c>
      <x:c r="M267" s="268" t="str">
        <x:f>IFERROR(VLOOKUP(I267,'Handler-Team Map'!$A$7:$C$17,3,FALSE),"")</x:f>
      </x:c>
      <x:c r="N267" s="274" t="str">
        <x:v>FT_VM_DEP700_GET300_2X</x:v>
      </x:c>
      <x:c r="O267" s="274" t="str">
        <x:v>VIP BONUS - Deposit 700 Get 300 - 2x TO</x:v>
      </x:c>
      <x:c r="P267" s="274" t="str">
        <x:v>DepositBonus</x:v>
      </x:c>
      <x:c r="Q267" s="274" t="str">
        <x:v>Approved</x:v>
      </x:c>
      <x:c r="R267" s="265" t="n">
        <x:v>300</x:v>
      </x:c>
      <x:c r="S267" s="253" t="str">
        <x:v>Yes</x:v>
      </x:c>
      <x:c r="T267" s="265" t="n">
        <x:v>20200</x:v>
      </x:c>
      <x:c r="U267" s="253" t="str">
        <x:f>IF(AND(S267="Yes",T267=0),"Yes","No")</x:f>
        <x:v>No</x:v>
      </x:c>
      <x:c r="V267" s="253" t="str">
        <x:v>Yes</x:v>
      </x:c>
      <x:c r="W267" s="253" t="str">
        <x:v>Yes</x:v>
      </x:c>
      <x:c r="X267" s="259" t="n">
        <x:v>46133.166666666664</x:v>
      </x:c>
      <x:c r="Y267" s="265" t="n">
        <x:v>9700</x:v>
      </x:c>
      <x:c r="Z267" s="265" t="n">
        <x:v>10300</x:v>
      </x:c>
      <x:c r="AA267" s="253" t="str">
        <x:f>IF(V267="No","Maturing",IF(AND(U267="Yes",Y267&gt;0),"Yes","No"))</x:f>
        <x:v>No</x:v>
      </x:c>
      <x:c r="AB267" s="253" t="str">
        <x:f>IF(W267="No","Maturing",IF(AND(U267="Yes",Z267&gt;0),"Yes","No"))</x:f>
        <x:v>No</x:v>
      </x:c>
      <x:c r="AC267" s="265" t="n">
        <x:v>6435.07</x:v>
      </x:c>
      <x:c r="AD267" s="265" t="n">
        <x:v>6872.17</x:v>
      </x:c>
      <x:c r="AE267" s="271" t="str"/>
      <x:c r="AF267" s="274" t="str">
        <x:v>Not validated - no control/holdout</x:v>
      </x:c>
      <x:c r="AG267" s="277" t="str">
        <x:v>Recovered execution only; assignment date and unclaimed-offer denominator unavailable</x:v>
      </x:c>
    </x:row>
    <x:row r="268">
      <x:c r="A268" s="252" t="str">
        <x:v>33968989</x:v>
      </x:c>
      <x:c r="B268" s="253" t="str">
        <x:v>WS1</x:v>
      </x:c>
      <x:c r="C268" s="253" t="str">
        <x:v>MB8</x:v>
      </x:c>
      <x:c r="D268" s="262" t="n">
        <x:v>46133.923946759256</x:v>
      </x:c>
      <x:c r="E268" s="259" t="n">
        <x:v>46133.166666666664</x:v>
      </x:c>
      <x:c r="F268" s="253" t="str">
        <x:v>900452</x:v>
      </x:c>
      <x:c r="G268" s="253" t="str">
        <x:v>att6363</x:v>
      </x:c>
      <x:c r="H268" s="253" t="str">
        <x:v>Yes</x:v>
      </x:c>
      <x:c r="I268" s="253" t="str"/>
      <x:c r="J268" s="253" t="str"/>
      <x:c r="K268" s="259"/>
      <x:c r="L268" s="268" t="str">
        <x:f>IFERROR(VLOOKUP(I268,'Handler-Team Map'!$A$7:$C$17,2,FALSE),"")</x:f>
      </x:c>
      <x:c r="M268" s="268" t="str">
        <x:f>IFERROR(VLOOKUP(I268,'Handler-Team Map'!$A$7:$C$17,3,FALSE),"")</x:f>
      </x:c>
      <x:c r="N268" s="274" t="str">
        <x:v>FT_VM_DEP600_GET200_5X</x:v>
      </x:c>
      <x:c r="O268" s="274" t="str">
        <x:v>VIP BONUS - Deposit 600 Get 200 - 5x TO</x:v>
      </x:c>
      <x:c r="P268" s="274" t="str">
        <x:v>DepositBonus</x:v>
      </x:c>
      <x:c r="Q268" s="274" t="str">
        <x:v>Approved</x:v>
      </x:c>
      <x:c r="R268" s="265" t="n">
        <x:v>200</x:v>
      </x:c>
      <x:c r="S268" s="253" t="str">
        <x:v>Yes</x:v>
      </x:c>
      <x:c r="T268" s="265" t="n">
        <x:v>1789</x:v>
      </x:c>
      <x:c r="U268" s="253" t="str">
        <x:f>IF(AND(S268="Yes",T268=0),"Yes","No")</x:f>
        <x:v>No</x:v>
      </x:c>
      <x:c r="V268" s="253" t="str">
        <x:v>Yes</x:v>
      </x:c>
      <x:c r="W268" s="253" t="str">
        <x:v>Yes</x:v>
      </x:c>
      <x:c r="X268" s="259" t="n">
        <x:v>46133.166666666664</x:v>
      </x:c>
      <x:c r="Y268" s="265" t="n">
        <x:v>600</x:v>
      </x:c>
      <x:c r="Z268" s="265" t="n">
        <x:v>1030</x:v>
      </x:c>
      <x:c r="AA268" s="253" t="str">
        <x:f>IF(V268="No","Maturing",IF(AND(U268="Yes",Y268&gt;0),"Yes","No"))</x:f>
        <x:v>No</x:v>
      </x:c>
      <x:c r="AB268" s="253" t="str">
        <x:f>IF(W268="No","Maturing",IF(AND(U268="Yes",Z268&gt;0),"Yes","No"))</x:f>
        <x:v>No</x:v>
      </x:c>
      <x:c r="AC268" s="265" t="n">
        <x:v>744.3</x:v>
      </x:c>
      <x:c r="AD268" s="265" t="n">
        <x:v>717.49</x:v>
      </x:c>
      <x:c r="AE268" s="271" t="str"/>
      <x:c r="AF268" s="274" t="str">
        <x:v>Not validated - no control/holdout</x:v>
      </x:c>
      <x:c r="AG268" s="277" t="str">
        <x:v>Recovered execution only; assignment date and unclaimed-offer denominator unavailable</x:v>
      </x:c>
    </x:row>
    <x:row r="269">
      <x:c r="A269" s="252" t="str">
        <x:v>33969034</x:v>
      </x:c>
      <x:c r="B269" s="253" t="str">
        <x:v>WS1</x:v>
      </x:c>
      <x:c r="C269" s="253" t="str">
        <x:v>MB8</x:v>
      </x:c>
      <x:c r="D269" s="262" t="n">
        <x:v>46133.92585648148</x:v>
      </x:c>
      <x:c r="E269" s="259" t="n">
        <x:v>46133.166666666664</x:v>
      </x:c>
      <x:c r="F269" s="253" t="str">
        <x:v>1183306</x:v>
      </x:c>
      <x:c r="G269" s="253" t="str">
        <x:v>xuanearn88</x:v>
      </x:c>
      <x:c r="H269" s="253" t="str">
        <x:v>Yes</x:v>
      </x:c>
      <x:c r="I269" s="253" t="str">
        <x:v>Jiahui</x:v>
      </x:c>
      <x:c r="J269" s="253" t="str">
        <x:v>Jiahui</x:v>
      </x:c>
      <x:c r="K269" s="259" t="n">
        <x:v>45909.166666666664</x:v>
      </x:c>
      <x:c r="L269" s="268" t="str">
        <x:f>IFERROR(VLOOKUP(I269,'Handler-Team Map'!$A$7:$C$17,2,FALSE),"")</x:f>
      </x:c>
      <x:c r="M269" s="268" t="str">
        <x:f>IFERROR(VLOOKUP(I269,'Handler-Team Map'!$A$7:$C$17,3,FALSE),"")</x:f>
      </x:c>
      <x:c r="N269" s="274" t="str">
        <x:v>FT_VM_DEP800_GET400_2X</x:v>
      </x:c>
      <x:c r="O269" s="274" t="str">
        <x:v>VIP BONUS - Deposit 800 Get 400 - 2x TO</x:v>
      </x:c>
      <x:c r="P269" s="274" t="str">
        <x:v>DepositBonus</x:v>
      </x:c>
      <x:c r="Q269" s="274" t="str">
        <x:v>Approved</x:v>
      </x:c>
      <x:c r="R269" s="265" t="n">
        <x:v>400</x:v>
      </x:c>
      <x:c r="S269" s="253" t="str">
        <x:v>Yes</x:v>
      </x:c>
      <x:c r="T269" s="265" t="n">
        <x:v>3330</x:v>
      </x:c>
      <x:c r="U269" s="253" t="str">
        <x:f>IF(AND(S269="Yes",T269=0),"Yes","No")</x:f>
        <x:v>No</x:v>
      </x:c>
      <x:c r="V269" s="253" t="str">
        <x:v>Yes</x:v>
      </x:c>
      <x:c r="W269" s="253" t="str">
        <x:v>Yes</x:v>
      </x:c>
      <x:c r="X269" s="259" t="n">
        <x:v>46133.166666666664</x:v>
      </x:c>
      <x:c r="Y269" s="265" t="n">
        <x:v>2080</x:v>
      </x:c>
      <x:c r="Z269" s="265" t="n">
        <x:v>2080</x:v>
      </x:c>
      <x:c r="AA269" s="253" t="str">
        <x:f>IF(V269="No","Maturing",IF(AND(U269="Yes",Y269&gt;0),"Yes","No"))</x:f>
        <x:v>No</x:v>
      </x:c>
      <x:c r="AB269" s="253" t="str">
        <x:f>IF(W269="No","Maturing",IF(AND(U269="Yes",Z269&gt;0),"Yes","No"))</x:f>
        <x:v>No</x:v>
      </x:c>
      <x:c r="AC269" s="265" t="n">
        <x:v>-1100.58</x:v>
      </x:c>
      <x:c r="AD269" s="265" t="n">
        <x:v>-346.58</x:v>
      </x:c>
      <x:c r="AE269" s="271" t="str"/>
      <x:c r="AF269" s="274" t="str">
        <x:v>Not validated - no control/holdout</x:v>
      </x:c>
      <x:c r="AG269" s="277" t="str">
        <x:v>Recovered execution only; assignment date and unclaimed-offer denominator unavailable</x:v>
      </x:c>
    </x:row>
    <x:row r="270">
      <x:c r="A270" s="252" t="str">
        <x:v>33970948</x:v>
      </x:c>
      <x:c r="B270" s="253" t="str">
        <x:v>WS1</x:v>
      </x:c>
      <x:c r="C270" s="253" t="str">
        <x:v>MB8</x:v>
      </x:c>
      <x:c r="D270" s="262" t="n">
        <x:v>46134.02263888889</x:v>
      </x:c>
      <x:c r="E270" s="259" t="n">
        <x:v>46134.166666666664</x:v>
      </x:c>
      <x:c r="F270" s="253" t="str">
        <x:v>1153667</x:v>
      </x:c>
      <x:c r="G270" s="253" t="str">
        <x:v>fushigiguy</x:v>
      </x:c>
      <x:c r="H270" s="253" t="str">
        <x:v>Yes</x:v>
      </x:c>
      <x:c r="I270" s="253" t="str">
        <x:v>Elda</x:v>
      </x:c>
      <x:c r="J270" s="253" t="str">
        <x:v>Elda</x:v>
      </x:c>
      <x:c r="K270" s="259" t="n">
        <x:v>45659.166666666664</x:v>
      </x:c>
      <x:c r="L270" s="268" t="str">
        <x:f>IFERROR(VLOOKUP(I270,'Handler-Team Map'!$A$7:$C$17,2,FALSE),"")</x:f>
      </x:c>
      <x:c r="M270" s="268" t="str">
        <x:f>IFERROR(VLOOKUP(I270,'Handler-Team Map'!$A$7:$C$17,3,FALSE),"")</x:f>
      </x:c>
      <x:c r="N270" s="274" t="str">
        <x:v>FT_VM_DEP1000_GET800_2X</x:v>
      </x:c>
      <x:c r="O270" s="274" t="str">
        <x:v>VIP BONUS - Deposit 1000 Get 800 - 2x TO</x:v>
      </x:c>
      <x:c r="P270" s="274" t="str">
        <x:v>DepositBonus</x:v>
      </x:c>
      <x:c r="Q270" s="274" t="str">
        <x:v>Approved</x:v>
      </x:c>
      <x:c r="R270" s="265" t="n">
        <x:v>800</x:v>
      </x:c>
      <x:c r="S270" s="253" t="str">
        <x:v>Yes</x:v>
      </x:c>
      <x:c r="T270" s="265" t="n">
        <x:v>2000</x:v>
      </x:c>
      <x:c r="U270" s="253" t="str">
        <x:f>IF(AND(S270="Yes",T270=0),"Yes","No")</x:f>
        <x:v>No</x:v>
      </x:c>
      <x:c r="V270" s="253" t="str">
        <x:v>Yes</x:v>
      </x:c>
      <x:c r="W270" s="253" t="str">
        <x:v>Yes</x:v>
      </x:c>
      <x:c r="X270" s="259" t="n">
        <x:v>46134.166666666664</x:v>
      </x:c>
      <x:c r="Y270" s="265" t="n">
        <x:v>8500</x:v>
      </x:c>
      <x:c r="Z270" s="265" t="n">
        <x:v>13200</x:v>
      </x:c>
      <x:c r="AA270" s="253" t="str">
        <x:f>IF(V270="No","Maturing",IF(AND(U270="Yes",Y270&gt;0),"Yes","No"))</x:f>
        <x:v>No</x:v>
      </x:c>
      <x:c r="AB270" s="253" t="str">
        <x:f>IF(W270="No","Maturing",IF(AND(U270="Yes",Z270&gt;0),"Yes","No"))</x:f>
        <x:v>No</x:v>
      </x:c>
      <x:c r="AC270" s="265" t="n">
        <x:v>-3999.84</x:v>
      </x:c>
      <x:c r="AD270" s="265" t="n">
        <x:v>667.98</x:v>
      </x:c>
      <x:c r="AE270" s="271" t="str"/>
      <x:c r="AF270" s="274" t="str">
        <x:v>Not validated - no control/holdout</x:v>
      </x:c>
      <x:c r="AG270" s="277" t="str">
        <x:v>Recovered execution only; assignment date and unclaimed-offer denominator unavailable</x:v>
      </x:c>
    </x:row>
    <x:row r="271">
      <x:c r="A271" s="252" t="str">
        <x:v>33971978</x:v>
      </x:c>
      <x:c r="B271" s="253" t="str">
        <x:v>WS1</x:v>
      </x:c>
      <x:c r="C271" s="253" t="str">
        <x:v>MB8</x:v>
      </x:c>
      <x:c r="D271" s="262" t="n">
        <x:v>46134.09929398148</x:v>
      </x:c>
      <x:c r="E271" s="259" t="n">
        <x:v>46134.166666666664</x:v>
      </x:c>
      <x:c r="F271" s="253" t="str">
        <x:v>789076</x:v>
      </x:c>
      <x:c r="G271" s="253" t="str">
        <x:v>ONGONGLAI999</x:v>
      </x:c>
      <x:c r="H271" s="253" t="str">
        <x:v>Yes</x:v>
      </x:c>
      <x:c r="I271" s="253" t="str"/>
      <x:c r="J271" s="253" t="str"/>
      <x:c r="K271" s="259"/>
      <x:c r="L271" s="268" t="str">
        <x:f>IFERROR(VLOOKUP(I271,'Handler-Team Map'!$A$7:$C$17,2,FALSE),"")</x:f>
      </x:c>
      <x:c r="M271" s="268" t="str">
        <x:f>IFERROR(VLOOKUP(I271,'Handler-Team Map'!$A$7:$C$17,3,FALSE),"")</x:f>
      </x:c>
      <x:c r="N271" s="274" t="str">
        <x:v>FT_VM_DEP700_GET300_2X</x:v>
      </x:c>
      <x:c r="O271" s="274" t="str">
        <x:v>VIP BONUS - Deposit 700 Get 300 - 2x TO</x:v>
      </x:c>
      <x:c r="P271" s="274" t="str">
        <x:v>DepositBonus</x:v>
      </x:c>
      <x:c r="Q271" s="274" t="str">
        <x:v>Approved</x:v>
      </x:c>
      <x:c r="R271" s="265" t="n">
        <x:v>300</x:v>
      </x:c>
      <x:c r="S271" s="253" t="str">
        <x:v>Yes</x:v>
      </x:c>
      <x:c r="T271" s="265" t="n">
        <x:v>300</x:v>
      </x:c>
      <x:c r="U271" s="253" t="str">
        <x:f>IF(AND(S271="Yes",T271=0),"Yes","No")</x:f>
        <x:v>No</x:v>
      </x:c>
      <x:c r="V271" s="253" t="str">
        <x:v>Yes</x:v>
      </x:c>
      <x:c r="W271" s="253" t="str">
        <x:v>Yes</x:v>
      </x:c>
      <x:c r="X271" s="259" t="n">
        <x:v>46134.166666666664</x:v>
      </x:c>
      <x:c r="Y271" s="265" t="n">
        <x:v>830</x:v>
      </x:c>
      <x:c r="Z271" s="265" t="n">
        <x:v>830</x:v>
      </x:c>
      <x:c r="AA271" s="253" t="str">
        <x:f>IF(V271="No","Maturing",IF(AND(U271="Yes",Y271&gt;0),"Yes","No"))</x:f>
        <x:v>No</x:v>
      </x:c>
      <x:c r="AB271" s="253" t="str">
        <x:f>IF(W271="No","Maturing",IF(AND(U271="Yes",Z271&gt;0),"Yes","No"))</x:f>
        <x:v>No</x:v>
      </x:c>
      <x:c r="AC271" s="265" t="n">
        <x:v>-1187.65</x:v>
      </x:c>
      <x:c r="AD271" s="265" t="n">
        <x:v>-1187.66</x:v>
      </x:c>
      <x:c r="AE271" s="271" t="str"/>
      <x:c r="AF271" s="274" t="str">
        <x:v>Not validated - no control/holdout</x:v>
      </x:c>
      <x:c r="AG271" s="277" t="str">
        <x:v>Recovered execution only; assignment date and unclaimed-offer denominator unavailable</x:v>
      </x:c>
    </x:row>
    <x:row r="272">
      <x:c r="A272" s="252" t="str">
        <x:v>33972522</x:v>
      </x:c>
      <x:c r="B272" s="253" t="str">
        <x:v>WS1</x:v>
      </x:c>
      <x:c r="C272" s="253" t="str">
        <x:v>MB8</x:v>
      </x:c>
      <x:c r="D272" s="262" t="n">
        <x:v>46134.19384259259</x:v>
      </x:c>
      <x:c r="E272" s="259" t="n">
        <x:v>46134.166666666664</x:v>
      </x:c>
      <x:c r="F272" s="253" t="str">
        <x:v>565191</x:v>
      </x:c>
      <x:c r="G272" s="253" t="str">
        <x:v>Sasitaren</x:v>
      </x:c>
      <x:c r="H272" s="253" t="str">
        <x:v>Yes</x:v>
      </x:c>
      <x:c r="I272" s="253" t="str">
        <x:v>Kam</x:v>
      </x:c>
      <x:c r="J272" s="253" t="str">
        <x:v>Kam</x:v>
      </x:c>
      <x:c r="K272" s="259" t="n">
        <x:v>45951.166666666664</x:v>
      </x:c>
      <x:c r="L272" s="268" t="str">
        <x:f>IFERROR(VLOOKUP(I272,'Handler-Team Map'!$A$7:$C$17,2,FALSE),"")</x:f>
      </x:c>
      <x:c r="M272" s="268" t="str">
        <x:f>IFERROR(VLOOKUP(I272,'Handler-Team Map'!$A$7:$C$17,3,FALSE),"")</x:f>
      </x:c>
      <x:c r="N272" s="274" t="str">
        <x:v>FT_VM_DEP1000_GET500_5X</x:v>
      </x:c>
      <x:c r="O272" s="274" t="str">
        <x:v>VIP BONUS - Deposit 1000 Get 500 - 5x TO</x:v>
      </x:c>
      <x:c r="P272" s="274" t="str">
        <x:v>DepositBonus</x:v>
      </x:c>
      <x:c r="Q272" s="274" t="str">
        <x:v>Approved</x:v>
      </x:c>
      <x:c r="R272" s="265" t="n">
        <x:v>500</x:v>
      </x:c>
      <x:c r="S272" s="253" t="str">
        <x:v>Yes</x:v>
      </x:c>
      <x:c r="T272" s="265" t="n">
        <x:v>57016</x:v>
      </x:c>
      <x:c r="U272" s="253" t="str">
        <x:f>IF(AND(S272="Yes",T272=0),"Yes","No")</x:f>
        <x:v>No</x:v>
      </x:c>
      <x:c r="V272" s="253" t="str">
        <x:v>Yes</x:v>
      </x:c>
      <x:c r="W272" s="253" t="str">
        <x:v>Yes</x:v>
      </x:c>
      <x:c r="X272" s="259" t="n">
        <x:v>46134.166666666664</x:v>
      </x:c>
      <x:c r="Y272" s="265" t="n">
        <x:v>17186</x:v>
      </x:c>
      <x:c r="Z272" s="265" t="n">
        <x:v>17186</x:v>
      </x:c>
      <x:c r="AA272" s="253" t="str">
        <x:f>IF(V272="No","Maturing",IF(AND(U272="Yes",Y272&gt;0),"Yes","No"))</x:f>
        <x:v>No</x:v>
      </x:c>
      <x:c r="AB272" s="253" t="str">
        <x:f>IF(W272="No","Maturing",IF(AND(U272="Yes",Z272&gt;0),"Yes","No"))</x:f>
        <x:v>No</x:v>
      </x:c>
      <x:c r="AC272" s="265" t="n">
        <x:v>5721.58</x:v>
      </x:c>
      <x:c r="AD272" s="265" t="n">
        <x:v>5713.58</x:v>
      </x:c>
      <x:c r="AE272" s="271" t="str"/>
      <x:c r="AF272" s="274" t="str">
        <x:v>Not validated - no control/holdout</x:v>
      </x:c>
      <x:c r="AG272" s="277" t="str">
        <x:v>Recovered execution only; assignment date and unclaimed-offer denominator unavailable</x:v>
      </x:c>
    </x:row>
    <x:row r="273">
      <x:c r="A273" s="252" t="str">
        <x:v>33974671</x:v>
      </x:c>
      <x:c r="B273" s="253" t="str">
        <x:v>WS1</x:v>
      </x:c>
      <x:c r="C273" s="253" t="str">
        <x:v>MB8</x:v>
      </x:c>
      <x:c r="D273" s="262" t="n">
        <x:v>46134.526666666665</x:v>
      </x:c>
      <x:c r="E273" s="259" t="n">
        <x:v>46134.166666666664</x:v>
      </x:c>
      <x:c r="F273" s="253" t="str">
        <x:v>545709</x:v>
      </x:c>
      <x:c r="G273" s="253" t="str">
        <x:v>Den777</x:v>
      </x:c>
      <x:c r="H273" s="253" t="str">
        <x:v>Yes</x:v>
      </x:c>
      <x:c r="I273" s="253" t="str"/>
      <x:c r="J273" s="253" t="str"/>
      <x:c r="K273" s="259"/>
      <x:c r="L273" s="268" t="str">
        <x:f>IFERROR(VLOOKUP(I273,'Handler-Team Map'!$A$7:$C$17,2,FALSE),"")</x:f>
      </x:c>
      <x:c r="M273" s="268" t="str">
        <x:f>IFERROR(VLOOKUP(I273,'Handler-Team Map'!$A$7:$C$17,3,FALSE),"")</x:f>
      </x:c>
      <x:c r="N273" s="274" t="str">
        <x:v>FT_VM_DEP1000_GET800_1X</x:v>
      </x:c>
      <x:c r="O273" s="274" t="str">
        <x:v>VIP BONUS - Deposit 1000 Get 800 - 1x TO</x:v>
      </x:c>
      <x:c r="P273" s="274" t="str">
        <x:v>DepositBonus</x:v>
      </x:c>
      <x:c r="Q273" s="274" t="str">
        <x:v>Approved</x:v>
      </x:c>
      <x:c r="R273" s="265" t="n">
        <x:v>800</x:v>
      </x:c>
      <x:c r="S273" s="253" t="str">
        <x:v>Yes</x:v>
      </x:c>
      <x:c r="T273" s="265" t="n">
        <x:v>0</x:v>
      </x:c>
      <x:c r="U273" s="253" t="str">
        <x:f>IF(AND(S273="Yes",T273=0),"Yes","No")</x:f>
        <x:v>Yes</x:v>
      </x:c>
      <x:c r="V273" s="253" t="str">
        <x:v>Yes</x:v>
      </x:c>
      <x:c r="W273" s="253" t="str">
        <x:v>Yes</x:v>
      </x:c>
      <x:c r="X273" s="259" t="n">
        <x:v>46134.166666666664</x:v>
      </x:c>
      <x:c r="Y273" s="265" t="n">
        <x:v>1000</x:v>
      </x:c>
      <x:c r="Z273" s="265" t="n">
        <x:v>1000</x:v>
      </x:c>
      <x:c r="AA273" s="253" t="str">
        <x:f>IF(V273="No","Maturing",IF(AND(U273="Yes",Y273&gt;0),"Yes","No"))</x:f>
        <x:v>Yes</x:v>
      </x:c>
      <x:c r="AB273" s="253" t="str">
        <x:f>IF(W273="No","Maturing",IF(AND(U273="Yes",Z273&gt;0),"Yes","No"))</x:f>
        <x:v>Yes</x:v>
      </x:c>
      <x:c r="AC273" s="265" t="n">
        <x:v>-1509.65</x:v>
      </x:c>
      <x:c r="AD273" s="265" t="n">
        <x:v>-1509.65</x:v>
      </x:c>
      <x:c r="AE273" s="271" t="str"/>
      <x:c r="AF273" s="274" t="str">
        <x:v>Not validated - no control/holdout</x:v>
      </x:c>
      <x:c r="AG273" s="277" t="str">
        <x:v>Recovered execution only; assignment date and unclaimed-offer denominator unavailable</x:v>
      </x:c>
    </x:row>
    <x:row r="274">
      <x:c r="A274" s="252" t="str">
        <x:v>33975268</x:v>
      </x:c>
      <x:c r="B274" s="253" t="str">
        <x:v>WS1</x:v>
      </x:c>
      <x:c r="C274" s="253" t="str">
        <x:v>MB8</x:v>
      </x:c>
      <x:c r="D274" s="262" t="n">
        <x:v>46134.58798611111</x:v>
      </x:c>
      <x:c r="E274" s="259" t="n">
        <x:v>46134.166666666664</x:v>
      </x:c>
      <x:c r="F274" s="253" t="str">
        <x:v>547460</x:v>
      </x:c>
      <x:c r="G274" s="253" t="str">
        <x:v>nananamyass</x:v>
      </x:c>
      <x:c r="H274" s="253" t="str">
        <x:v>Yes</x:v>
      </x:c>
      <x:c r="I274" s="253" t="str"/>
      <x:c r="J274" s="253" t="str"/>
      <x:c r="K274" s="259"/>
      <x:c r="L274" s="268" t="str">
        <x:f>IFERROR(VLOOKUP(I274,'Handler-Team Map'!$A$7:$C$17,2,FALSE),"")</x:f>
      </x:c>
      <x:c r="M274" s="268" t="str">
        <x:f>IFERROR(VLOOKUP(I274,'Handler-Team Map'!$A$7:$C$17,3,FALSE),"")</x:f>
      </x:c>
      <x:c r="N274" s="274" t="str">
        <x:v>FT_VM_DEP150_GET50_5X</x:v>
      </x:c>
      <x:c r="O274" s="274" t="str">
        <x:v>VIP BONUS - Deposit 150 Get 50 - 5x TO</x:v>
      </x:c>
      <x:c r="P274" s="274" t="str">
        <x:v>DepositBonus</x:v>
      </x:c>
      <x:c r="Q274" s="274" t="str">
        <x:v>Approved</x:v>
      </x:c>
      <x:c r="R274" s="265" t="n">
        <x:v>50</x:v>
      </x:c>
      <x:c r="S274" s="253" t="str">
        <x:v>Yes</x:v>
      </x:c>
      <x:c r="T274" s="265" t="n">
        <x:v>18715</x:v>
      </x:c>
      <x:c r="U274" s="253" t="str">
        <x:f>IF(AND(S274="Yes",T274=0),"Yes","No")</x:f>
        <x:v>No</x:v>
      </x:c>
      <x:c r="V274" s="253" t="str">
        <x:v>Yes</x:v>
      </x:c>
      <x:c r="W274" s="253" t="str">
        <x:v>Yes</x:v>
      </x:c>
      <x:c r="X274" s="259" t="n">
        <x:v>46134.166666666664</x:v>
      </x:c>
      <x:c r="Y274" s="265" t="n">
        <x:v>20219</x:v>
      </x:c>
      <x:c r="Z274" s="265" t="n">
        <x:v>25288</x:v>
      </x:c>
      <x:c r="AA274" s="253" t="str">
        <x:f>IF(V274="No","Maturing",IF(AND(U274="Yes",Y274&gt;0),"Yes","No"))</x:f>
        <x:v>No</x:v>
      </x:c>
      <x:c r="AB274" s="253" t="str">
        <x:f>IF(W274="No","Maturing",IF(AND(U274="Yes",Z274&gt;0),"Yes","No"))</x:f>
        <x:v>No</x:v>
      </x:c>
      <x:c r="AC274" s="265" t="n">
        <x:v>-51.81</x:v>
      </x:c>
      <x:c r="AD274" s="265" t="n">
        <x:v>2167.58</x:v>
      </x:c>
      <x:c r="AE274" s="271" t="str"/>
      <x:c r="AF274" s="274" t="str">
        <x:v>Not validated - no control/holdout</x:v>
      </x:c>
      <x:c r="AG274" s="277" t="str">
        <x:v>Recovered execution only; assignment date and unclaimed-offer denominator unavailable</x:v>
      </x:c>
    </x:row>
    <x:row r="275">
      <x:c r="A275" s="252" t="str">
        <x:v>33975788</x:v>
      </x:c>
      <x:c r="B275" s="253" t="str">
        <x:v>WS1</x:v>
      </x:c>
      <x:c r="C275" s="253" t="str">
        <x:v>MB8</x:v>
      </x:c>
      <x:c r="D275" s="262" t="n">
        <x:v>46134.6437037037</x:v>
      </x:c>
      <x:c r="E275" s="259" t="n">
        <x:v>46134.166666666664</x:v>
      </x:c>
      <x:c r="F275" s="253" t="str">
        <x:v>518765</x:v>
      </x:c>
      <x:c r="G275" s="253" t="str">
        <x:v>syaheed93</x:v>
      </x:c>
      <x:c r="H275" s="253" t="str">
        <x:v>Yes</x:v>
      </x:c>
      <x:c r="I275" s="253" t="str">
        <x:v>Tammy</x:v>
      </x:c>
      <x:c r="J275" s="253" t="str">
        <x:v>Tammy</x:v>
      </x:c>
      <x:c r="K275" s="259" t="n">
        <x:v>45951.166666666664</x:v>
      </x:c>
      <x:c r="L275" s="268" t="str">
        <x:f>IFERROR(VLOOKUP(I275,'Handler-Team Map'!$A$7:$C$17,2,FALSE),"")</x:f>
      </x:c>
      <x:c r="M275" s="268" t="str">
        <x:f>IFERROR(VLOOKUP(I275,'Handler-Team Map'!$A$7:$C$17,3,FALSE),"")</x:f>
      </x:c>
      <x:c r="N275" s="274" t="str">
        <x:v>FT_VM_DEP700_GET300_2X</x:v>
      </x:c>
      <x:c r="O275" s="274" t="str">
        <x:v>VIP BONUS - Deposit 700 Get 300 - 2x TO</x:v>
      </x:c>
      <x:c r="P275" s="274" t="str">
        <x:v>DepositBonus</x:v>
      </x:c>
      <x:c r="Q275" s="274" t="str">
        <x:v>Approved</x:v>
      </x:c>
      <x:c r="R275" s="265" t="n">
        <x:v>300</x:v>
      </x:c>
      <x:c r="S275" s="253" t="str">
        <x:v>Yes</x:v>
      </x:c>
      <x:c r="T275" s="265" t="n">
        <x:v>40800</x:v>
      </x:c>
      <x:c r="U275" s="253" t="str">
        <x:f>IF(AND(S275="Yes",T275=0),"Yes","No")</x:f>
        <x:v>No</x:v>
      </x:c>
      <x:c r="V275" s="253" t="str">
        <x:v>Yes</x:v>
      </x:c>
      <x:c r="W275" s="253" t="str">
        <x:v>Yes</x:v>
      </x:c>
      <x:c r="X275" s="259" t="n">
        <x:v>46134.166666666664</x:v>
      </x:c>
      <x:c r="Y275" s="265" t="n">
        <x:v>24400</x:v>
      </x:c>
      <x:c r="Z275" s="265" t="n">
        <x:v>24400</x:v>
      </x:c>
      <x:c r="AA275" s="253" t="str">
        <x:f>IF(V275="No","Maturing",IF(AND(U275="Yes",Y275&gt;0),"Yes","No"))</x:f>
        <x:v>No</x:v>
      </x:c>
      <x:c r="AB275" s="253" t="str">
        <x:f>IF(W275="No","Maturing",IF(AND(U275="Yes",Z275&gt;0),"Yes","No"))</x:f>
        <x:v>No</x:v>
      </x:c>
      <x:c r="AC275" s="265" t="n">
        <x:v>-3929.01</x:v>
      </x:c>
      <x:c r="AD275" s="265" t="n">
        <x:v>-4036.61</x:v>
      </x:c>
      <x:c r="AE275" s="271" t="str"/>
      <x:c r="AF275" s="274" t="str">
        <x:v>Not validated - no control/holdout</x:v>
      </x:c>
      <x:c r="AG275" s="277" t="str">
        <x:v>Recovered execution only; assignment date and unclaimed-offer denominator unavailable</x:v>
      </x:c>
    </x:row>
    <x:row r="276">
      <x:c r="A276" s="252" t="str">
        <x:v>33975796</x:v>
      </x:c>
      <x:c r="B276" s="253" t="str">
        <x:v>WS1</x:v>
      </x:c>
      <x:c r="C276" s="253" t="str">
        <x:v>MB8</x:v>
      </x:c>
      <x:c r="D276" s="262" t="n">
        <x:v>46134.644375</x:v>
      </x:c>
      <x:c r="E276" s="259" t="n">
        <x:v>46134.166666666664</x:v>
      </x:c>
      <x:c r="F276" s="253" t="str">
        <x:v>73822</x:v>
      </x:c>
      <x:c r="G276" s="253" t="str">
        <x:v>Ong885423</x:v>
      </x:c>
      <x:c r="H276" s="253" t="str">
        <x:v>Yes</x:v>
      </x:c>
      <x:c r="I276" s="253" t="str"/>
      <x:c r="J276" s="253" t="str"/>
      <x:c r="K276" s="259"/>
      <x:c r="L276" s="268" t="str">
        <x:f>IFERROR(VLOOKUP(I276,'Handler-Team Map'!$A$7:$C$17,2,FALSE),"")</x:f>
      </x:c>
      <x:c r="M276" s="268" t="str">
        <x:f>IFERROR(VLOOKUP(I276,'Handler-Team Map'!$A$7:$C$17,3,FALSE),"")</x:f>
      </x:c>
      <x:c r="N276" s="274" t="str">
        <x:v>FT_VM_DEP800_GET400_2X</x:v>
      </x:c>
      <x:c r="O276" s="274" t="str">
        <x:v>VIP BONUS - Deposit 800 Get 400 - 2x TO</x:v>
      </x:c>
      <x:c r="P276" s="274" t="str">
        <x:v>DepositBonus</x:v>
      </x:c>
      <x:c r="Q276" s="274" t="str">
        <x:v>Approved</x:v>
      </x:c>
      <x:c r="R276" s="265" t="n">
        <x:v>400</x:v>
      </x:c>
      <x:c r="S276" s="253" t="str">
        <x:v>Yes</x:v>
      </x:c>
      <x:c r="T276" s="265" t="n">
        <x:v>4650</x:v>
      </x:c>
      <x:c r="U276" s="253" t="str">
        <x:f>IF(AND(S276="Yes",T276=0),"Yes","No")</x:f>
        <x:v>No</x:v>
      </x:c>
      <x:c r="V276" s="253" t="str">
        <x:v>Yes</x:v>
      </x:c>
      <x:c r="W276" s="253" t="str">
        <x:v>Yes</x:v>
      </x:c>
      <x:c r="X276" s="259" t="n">
        <x:v>46134.166666666664</x:v>
      </x:c>
      <x:c r="Y276" s="265" t="n">
        <x:v>1400</x:v>
      </x:c>
      <x:c r="Z276" s="265" t="n">
        <x:v>1400</x:v>
      </x:c>
      <x:c r="AA276" s="253" t="str">
        <x:f>IF(V276="No","Maturing",IF(AND(U276="Yes",Y276&gt;0),"Yes","No"))</x:f>
        <x:v>No</x:v>
      </x:c>
      <x:c r="AB276" s="253" t="str">
        <x:f>IF(W276="No","Maturing",IF(AND(U276="Yes",Z276&gt;0),"Yes","No"))</x:f>
        <x:v>No</x:v>
      </x:c>
      <x:c r="AC276" s="265" t="n">
        <x:v>-3099.91</x:v>
      </x:c>
      <x:c r="AD276" s="265" t="n">
        <x:v>-3099.91</x:v>
      </x:c>
      <x:c r="AE276" s="271" t="str"/>
      <x:c r="AF276" s="274" t="str">
        <x:v>Not validated - no control/holdout</x:v>
      </x:c>
      <x:c r="AG276" s="277" t="str">
        <x:v>Recovered execution only; assignment date and unclaimed-offer denominator unavailable</x:v>
      </x:c>
    </x:row>
    <x:row r="277">
      <x:c r="A277" s="252" t="str">
        <x:v>33977626</x:v>
      </x:c>
      <x:c r="B277" s="253" t="str">
        <x:v>WS1</x:v>
      </x:c>
      <x:c r="C277" s="253" t="str">
        <x:v>MB8</x:v>
      </x:c>
      <x:c r="D277" s="262" t="n">
        <x:v>46134.77777777778</x:v>
      </x:c>
      <x:c r="E277" s="259" t="n">
        <x:v>46134.166666666664</x:v>
      </x:c>
      <x:c r="F277" s="253" t="str">
        <x:v>1199974</x:v>
      </x:c>
      <x:c r="G277" s="253" t="str">
        <x:v>Nazli3612</x:v>
      </x:c>
      <x:c r="H277" s="253" t="str">
        <x:v>Yes</x:v>
      </x:c>
      <x:c r="I277" s="253" t="str"/>
      <x:c r="J277" s="253" t="str"/>
      <x:c r="K277" s="259"/>
      <x:c r="L277" s="268" t="str">
        <x:f>IFERROR(VLOOKUP(I277,'Handler-Team Map'!$A$7:$C$17,2,FALSE),"")</x:f>
      </x:c>
      <x:c r="M277" s="268" t="str">
        <x:f>IFERROR(VLOOKUP(I277,'Handler-Team Map'!$A$7:$C$17,3,FALSE),"")</x:f>
      </x:c>
      <x:c r="N277" s="274" t="str">
        <x:v>FT_VM_DEP600_GET200_5X</x:v>
      </x:c>
      <x:c r="O277" s="274" t="str">
        <x:v>VIP BONUS - Deposit 600 Get 200 - 5x TO</x:v>
      </x:c>
      <x:c r="P277" s="274" t="str">
        <x:v>DepositBonus</x:v>
      </x:c>
      <x:c r="Q277" s="274" t="str">
        <x:v>Approved</x:v>
      </x:c>
      <x:c r="R277" s="265" t="n">
        <x:v>200</x:v>
      </x:c>
      <x:c r="S277" s="253" t="str">
        <x:v>Yes</x:v>
      </x:c>
      <x:c r="T277" s="265" t="n">
        <x:v>11850</x:v>
      </x:c>
      <x:c r="U277" s="253" t="str">
        <x:f>IF(AND(S277="Yes",T277=0),"Yes","No")</x:f>
        <x:v>No</x:v>
      </x:c>
      <x:c r="V277" s="253" t="str">
        <x:v>Yes</x:v>
      </x:c>
      <x:c r="W277" s="253" t="str">
        <x:v>Yes</x:v>
      </x:c>
      <x:c r="X277" s="259" t="n">
        <x:v>46134.166666666664</x:v>
      </x:c>
      <x:c r="Y277" s="265" t="n">
        <x:v>8190</x:v>
      </x:c>
      <x:c r="Z277" s="265" t="n">
        <x:v>22990</x:v>
      </x:c>
      <x:c r="AA277" s="253" t="str">
        <x:f>IF(V277="No","Maturing",IF(AND(U277="Yes",Y277&gt;0),"Yes","No"))</x:f>
        <x:v>No</x:v>
      </x:c>
      <x:c r="AB277" s="253" t="str">
        <x:f>IF(W277="No","Maturing",IF(AND(U277="Yes",Z277&gt;0),"Yes","No"))</x:f>
        <x:v>No</x:v>
      </x:c>
      <x:c r="AC277" s="265" t="n">
        <x:v>3940.54</x:v>
      </x:c>
      <x:c r="AD277" s="265" t="n">
        <x:v>9539.06</x:v>
      </x:c>
      <x:c r="AE277" s="271" t="str"/>
      <x:c r="AF277" s="274" t="str">
        <x:v>Not validated - no control/holdout</x:v>
      </x:c>
      <x:c r="AG277" s="277" t="str">
        <x:v>Recovered execution only; assignment date and unclaimed-offer denominator unavailable</x:v>
      </x:c>
    </x:row>
    <x:row r="278">
      <x:c r="A278" s="252" t="str">
        <x:v>33977839</x:v>
      </x:c>
      <x:c r="B278" s="253" t="str">
        <x:v>WS1</x:v>
      </x:c>
      <x:c r="C278" s="253" t="str">
        <x:v>MB8</x:v>
      </x:c>
      <x:c r="D278" s="262" t="n">
        <x:v>46134.79287037037</x:v>
      </x:c>
      <x:c r="E278" s="259" t="n">
        <x:v>46134.166666666664</x:v>
      </x:c>
      <x:c r="F278" s="253" t="str">
        <x:v>788115</x:v>
      </x:c>
      <x:c r="G278" s="253" t="str">
        <x:v>Wee5558</x:v>
      </x:c>
      <x:c r="H278" s="253" t="str">
        <x:v>Yes</x:v>
      </x:c>
      <x:c r="I278" s="253" t="str">
        <x:v>Tammy</x:v>
      </x:c>
      <x:c r="J278" s="253" t="str">
        <x:v>Tammy</x:v>
      </x:c>
      <x:c r="K278" s="259" t="n">
        <x:v>45951.166666666664</x:v>
      </x:c>
      <x:c r="L278" s="268" t="str">
        <x:f>IFERROR(VLOOKUP(I278,'Handler-Team Map'!$A$7:$C$17,2,FALSE),"")</x:f>
      </x:c>
      <x:c r="M278" s="268" t="str">
        <x:f>IFERROR(VLOOKUP(I278,'Handler-Team Map'!$A$7:$C$17,3,FALSE),"")</x:f>
      </x:c>
      <x:c r="N278" s="274" t="str">
        <x:v>FT_VM_DEP1000_GET500_5X</x:v>
      </x:c>
      <x:c r="O278" s="274" t="str">
        <x:v>VIP BONUS - Deposit 1000 Get 500 - 5x TO</x:v>
      </x:c>
      <x:c r="P278" s="274" t="str">
        <x:v>DepositBonus</x:v>
      </x:c>
      <x:c r="Q278" s="274" t="str">
        <x:v>Approved</x:v>
      </x:c>
      <x:c r="R278" s="265" t="n">
        <x:v>500</x:v>
      </x:c>
      <x:c r="S278" s="253" t="str">
        <x:v>Yes</x:v>
      </x:c>
      <x:c r="T278" s="265" t="n">
        <x:v>6400</x:v>
      </x:c>
      <x:c r="U278" s="253" t="str">
        <x:f>IF(AND(S278="Yes",T278=0),"Yes","No")</x:f>
        <x:v>No</x:v>
      </x:c>
      <x:c r="V278" s="253" t="str">
        <x:v>Yes</x:v>
      </x:c>
      <x:c r="W278" s="253" t="str">
        <x:v>Yes</x:v>
      </x:c>
      <x:c r="X278" s="259" t="n">
        <x:v>46134.166666666664</x:v>
      </x:c>
      <x:c r="Y278" s="265" t="n">
        <x:v>3075</x:v>
      </x:c>
      <x:c r="Z278" s="265" t="n">
        <x:v>6485</x:v>
      </x:c>
      <x:c r="AA278" s="253" t="str">
        <x:f>IF(V278="No","Maturing",IF(AND(U278="Yes",Y278&gt;0),"Yes","No"))</x:f>
        <x:v>No</x:v>
      </x:c>
      <x:c r="AB278" s="253" t="str">
        <x:f>IF(W278="No","Maturing",IF(AND(U278="Yes",Z278&gt;0),"Yes","No"))</x:f>
        <x:v>No</x:v>
      </x:c>
      <x:c r="AC278" s="265" t="n">
        <x:v>3074.88</x:v>
      </x:c>
      <x:c r="AD278" s="265" t="n">
        <x:v>6484.9</x:v>
      </x:c>
      <x:c r="AE278" s="271" t="str"/>
      <x:c r="AF278" s="274" t="str">
        <x:v>Not validated - no control/holdout</x:v>
      </x:c>
      <x:c r="AG278" s="277" t="str">
        <x:v>Recovered execution only; assignment date and unclaimed-offer denominator unavailable</x:v>
      </x:c>
    </x:row>
    <x:row r="279">
      <x:c r="A279" s="252" t="str">
        <x:v>33978110</x:v>
      </x:c>
      <x:c r="B279" s="253" t="str">
        <x:v>WS1</x:v>
      </x:c>
      <x:c r="C279" s="253" t="str">
        <x:v>MB8</x:v>
      </x:c>
      <x:c r="D279" s="262" t="n">
        <x:v>46134.81707175926</x:v>
      </x:c>
      <x:c r="E279" s="259" t="n">
        <x:v>46134.166666666664</x:v>
      </x:c>
      <x:c r="F279" s="253" t="str">
        <x:v>530976</x:v>
      </x:c>
      <x:c r="G279" s="253" t="str">
        <x:v>Cva2424</x:v>
      </x:c>
      <x:c r="H279" s="253" t="str">
        <x:v>Yes</x:v>
      </x:c>
      <x:c r="I279" s="253" t="str"/>
      <x:c r="J279" s="253" t="str"/>
      <x:c r="K279" s="259"/>
      <x:c r="L279" s="268" t="str">
        <x:f>IFERROR(VLOOKUP(I279,'Handler-Team Map'!$A$7:$C$17,2,FALSE),"")</x:f>
      </x:c>
      <x:c r="M279" s="268" t="str">
        <x:f>IFERROR(VLOOKUP(I279,'Handler-Team Map'!$A$7:$C$17,3,FALSE),"")</x:f>
      </x:c>
      <x:c r="N279" s="274" t="str">
        <x:v>FT_VM_DEP1000_GET500_1X</x:v>
      </x:c>
      <x:c r="O279" s="274" t="str">
        <x:v>VIP BONUS - Deposit 1000 Get 500 - 1x TO</x:v>
      </x:c>
      <x:c r="P279" s="274" t="str">
        <x:v>DepositBonus</x:v>
      </x:c>
      <x:c r="Q279" s="274" t="str">
        <x:v>Approved</x:v>
      </x:c>
      <x:c r="R279" s="265" t="n">
        <x:v>500</x:v>
      </x:c>
      <x:c r="S279" s="253" t="str">
        <x:v>Yes</x:v>
      </x:c>
      <x:c r="T279" s="265" t="n">
        <x:v>0</x:v>
      </x:c>
      <x:c r="U279" s="253" t="str">
        <x:f>IF(AND(S279="Yes",T279=0),"Yes","No")</x:f>
        <x:v>Yes</x:v>
      </x:c>
      <x:c r="V279" s="253" t="str">
        <x:v>Yes</x:v>
      </x:c>
      <x:c r="W279" s="253" t="str">
        <x:v>Yes</x:v>
      </x:c>
      <x:c r="X279" s="259" t="n">
        <x:v>46134.166666666664</x:v>
      </x:c>
      <x:c r="Y279" s="265" t="n">
        <x:v>1530</x:v>
      </x:c>
      <x:c r="Z279" s="265" t="n">
        <x:v>2610</x:v>
      </x:c>
      <x:c r="AA279" s="253" t="str">
        <x:f>IF(V279="No","Maturing",IF(AND(U279="Yes",Y279&gt;0),"Yes","No"))</x:f>
        <x:v>Yes</x:v>
      </x:c>
      <x:c r="AB279" s="253" t="str">
        <x:f>IF(W279="No","Maturing",IF(AND(U279="Yes",Z279&gt;0),"Yes","No"))</x:f>
        <x:v>Yes</x:v>
      </x:c>
      <x:c r="AC279" s="265" t="n">
        <x:v>939.75</x:v>
      </x:c>
      <x:c r="AD279" s="265" t="n">
        <x:v>1348.92</x:v>
      </x:c>
      <x:c r="AE279" s="271" t="str"/>
      <x:c r="AF279" s="274" t="str">
        <x:v>Not validated - no control/holdout</x:v>
      </x:c>
      <x:c r="AG279" s="277" t="str">
        <x:v>Recovered execution only; assignment date and unclaimed-offer denominator unavailable</x:v>
      </x:c>
    </x:row>
    <x:row r="280">
      <x:c r="A280" s="252" t="str">
        <x:v>33979290</x:v>
      </x:c>
      <x:c r="B280" s="253" t="str">
        <x:v>WS1</x:v>
      </x:c>
      <x:c r="C280" s="253" t="str">
        <x:v>MB8</x:v>
      </x:c>
      <x:c r="D280" s="262" t="n">
        <x:v>46134.89947916667</x:v>
      </x:c>
      <x:c r="E280" s="259" t="n">
        <x:v>46134.166666666664</x:v>
      </x:c>
      <x:c r="F280" s="253" t="str">
        <x:v>111833</x:v>
      </x:c>
      <x:c r="G280" s="253" t="str">
        <x:v>ESR1980</x:v>
      </x:c>
      <x:c r="H280" s="253" t="str">
        <x:v>Yes</x:v>
      </x:c>
      <x:c r="I280" s="253" t="str">
        <x:v>Sheena</x:v>
      </x:c>
      <x:c r="J280" s="253" t="str">
        <x:v>Sheena</x:v>
      </x:c>
      <x:c r="K280" s="259" t="n">
        <x:v>46090.166666666664</x:v>
      </x:c>
      <x:c r="L280" s="268" t="str">
        <x:f>IFERROR(VLOOKUP(I280,'Handler-Team Map'!$A$7:$C$17,2,FALSE),"")</x:f>
      </x:c>
      <x:c r="M280" s="268" t="str">
        <x:f>IFERROR(VLOOKUP(I280,'Handler-Team Map'!$A$7:$C$17,3,FALSE),"")</x:f>
      </x:c>
      <x:c r="N280" s="274" t="str">
        <x:v>FT_VM_DEP1000_GET900_2X</x:v>
      </x:c>
      <x:c r="O280" s="274" t="str">
        <x:v>VIP BONUS - Deposit 1000 Get 900 - 2x TO</x:v>
      </x:c>
      <x:c r="P280" s="274" t="str">
        <x:v>DepositBonus</x:v>
      </x:c>
      <x:c r="Q280" s="274" t="str">
        <x:v>Approved</x:v>
      </x:c>
      <x:c r="R280" s="265" t="n">
        <x:v>900</x:v>
      </x:c>
      <x:c r="S280" s="253" t="str">
        <x:v>Yes</x:v>
      </x:c>
      <x:c r="T280" s="265" t="n">
        <x:v>4000</x:v>
      </x:c>
      <x:c r="U280" s="253" t="str">
        <x:f>IF(AND(S280="Yes",T280=0),"Yes","No")</x:f>
        <x:v>No</x:v>
      </x:c>
      <x:c r="V280" s="253" t="str">
        <x:v>Yes</x:v>
      </x:c>
      <x:c r="W280" s="253" t="str">
        <x:v>Yes</x:v>
      </x:c>
      <x:c r="X280" s="259" t="n">
        <x:v>46134.166666666664</x:v>
      </x:c>
      <x:c r="Y280" s="265" t="n">
        <x:v>1000</x:v>
      </x:c>
      <x:c r="Z280" s="265" t="n">
        <x:v>31950</x:v>
      </x:c>
      <x:c r="AA280" s="253" t="str">
        <x:f>IF(V280="No","Maturing",IF(AND(U280="Yes",Y280&gt;0),"Yes","No"))</x:f>
        <x:v>No</x:v>
      </x:c>
      <x:c r="AB280" s="253" t="str">
        <x:f>IF(W280="No","Maturing",IF(AND(U280="Yes",Z280&gt;0),"Yes","No"))</x:f>
        <x:v>No</x:v>
      </x:c>
      <x:c r="AC280" s="265" t="n">
        <x:v>894.63</x:v>
      </x:c>
      <x:c r="AD280" s="265" t="n">
        <x:v>10730.48</x:v>
      </x:c>
      <x:c r="AE280" s="271" t="str"/>
      <x:c r="AF280" s="274" t="str">
        <x:v>Not validated - no control/holdout</x:v>
      </x:c>
      <x:c r="AG280" s="277" t="str">
        <x:v>Recovered execution only; assignment date and unclaimed-offer denominator unavailable</x:v>
      </x:c>
    </x:row>
    <x:row r="281">
      <x:c r="A281" s="252" t="str">
        <x:v>33980176</x:v>
      </x:c>
      <x:c r="B281" s="253" t="str">
        <x:v>WS1</x:v>
      </x:c>
      <x:c r="C281" s="253" t="str">
        <x:v>MB8</x:v>
      </x:c>
      <x:c r="D281" s="262" t="n">
        <x:v>46134.94362268518</x:v>
      </x:c>
      <x:c r="E281" s="259" t="n">
        <x:v>46134.166666666664</x:v>
      </x:c>
      <x:c r="F281" s="253" t="str">
        <x:v>531365</x:v>
      </x:c>
      <x:c r="G281" s="253" t="str">
        <x:v>suba1010</x:v>
      </x:c>
      <x:c r="H281" s="253" t="str">
        <x:v>Yes</x:v>
      </x:c>
      <x:c r="I281" s="253" t="str">
        <x:v>Claire</x:v>
      </x:c>
      <x:c r="J281" s="253" t="str">
        <x:v>Claire</x:v>
      </x:c>
      <x:c r="K281" s="259" t="n">
        <x:v>45659.166666666664</x:v>
      </x:c>
      <x:c r="L281" s="268" t="str">
        <x:f>IFERROR(VLOOKUP(I281,'Handler-Team Map'!$A$7:$C$17,2,FALSE),"")</x:f>
      </x:c>
      <x:c r="M281" s="268" t="str">
        <x:f>IFERROR(VLOOKUP(I281,'Handler-Team Map'!$A$7:$C$17,3,FALSE),"")</x:f>
      </x:c>
      <x:c r="N281" s="274" t="str">
        <x:v>FT_VM_DEP1000_GET500_5X</x:v>
      </x:c>
      <x:c r="O281" s="274" t="str">
        <x:v>VIP BONUS - Deposit 1000 Get 500 - 5x TO</x:v>
      </x:c>
      <x:c r="P281" s="274" t="str">
        <x:v>DepositBonus</x:v>
      </x:c>
      <x:c r="Q281" s="274" t="str">
        <x:v>Approved</x:v>
      </x:c>
      <x:c r="R281" s="265" t="n">
        <x:v>500</x:v>
      </x:c>
      <x:c r="S281" s="253" t="str">
        <x:v>Yes</x:v>
      </x:c>
      <x:c r="T281" s="265" t="n">
        <x:v>3500</x:v>
      </x:c>
      <x:c r="U281" s="253" t="str">
        <x:f>IF(AND(S281="Yes",T281=0),"Yes","No")</x:f>
        <x:v>No</x:v>
      </x:c>
      <x:c r="V281" s="253" t="str">
        <x:v>Yes</x:v>
      </x:c>
      <x:c r="W281" s="253" t="str">
        <x:v>Yes</x:v>
      </x:c>
      <x:c r="X281" s="259" t="n">
        <x:v>46134.166666666664</x:v>
      </x:c>
      <x:c r="Y281" s="265" t="n">
        <x:v>1000</x:v>
      </x:c>
      <x:c r="Z281" s="265" t="n">
        <x:v>5000</x:v>
      </x:c>
      <x:c r="AA281" s="253" t="str">
        <x:f>IF(V281="No","Maturing",IF(AND(U281="Yes",Y281&gt;0),"Yes","No"))</x:f>
        <x:v>No</x:v>
      </x:c>
      <x:c r="AB281" s="253" t="str">
        <x:f>IF(W281="No","Maturing",IF(AND(U281="Yes",Z281&gt;0),"Yes","No"))</x:f>
        <x:v>No</x:v>
      </x:c>
      <x:c r="AC281" s="265" t="n">
        <x:v>-3500.8</x:v>
      </x:c>
      <x:c r="AD281" s="265" t="n">
        <x:v>501.24</x:v>
      </x:c>
      <x:c r="AE281" s="271" t="str"/>
      <x:c r="AF281" s="274" t="str">
        <x:v>Not validated - no control/holdout</x:v>
      </x:c>
      <x:c r="AG281" s="277" t="str">
        <x:v>Recovered execution only; assignment date and unclaimed-offer denominator unavailable</x:v>
      </x:c>
    </x:row>
    <x:row r="282">
      <x:c r="A282" s="252" t="str">
        <x:v>33980221</x:v>
      </x:c>
      <x:c r="B282" s="253" t="str">
        <x:v>WS1</x:v>
      </x:c>
      <x:c r="C282" s="253" t="str">
        <x:v>MB8</x:v>
      </x:c>
      <x:c r="D282" s="262" t="n">
        <x:v>46134.94835648148</x:v>
      </x:c>
      <x:c r="E282" s="259" t="n">
        <x:v>46134.166666666664</x:v>
      </x:c>
      <x:c r="F282" s="253" t="str">
        <x:v>788432</x:v>
      </x:c>
      <x:c r="G282" s="253" t="str">
        <x:v>Jerrytan999</x:v>
      </x:c>
      <x:c r="H282" s="253" t="str">
        <x:v>Yes</x:v>
      </x:c>
      <x:c r="I282" s="253" t="str">
        <x:v>zhen</x:v>
      </x:c>
      <x:c r="J282" s="253" t="str">
        <x:v>zhen</x:v>
      </x:c>
      <x:c r="K282" s="259" t="n">
        <x:v>45880.166666666664</x:v>
      </x:c>
      <x:c r="L282" s="268" t="str">
        <x:f>IFERROR(VLOOKUP(I282,'Handler-Team Map'!$A$7:$C$17,2,FALSE),"")</x:f>
      </x:c>
      <x:c r="M282" s="268" t="str">
        <x:f>IFERROR(VLOOKUP(I282,'Handler-Team Map'!$A$7:$C$17,3,FALSE),"")</x:f>
      </x:c>
      <x:c r="N282" s="274" t="str">
        <x:v>FT_VM_DEP1000_GET500_1X</x:v>
      </x:c>
      <x:c r="O282" s="274" t="str">
        <x:v>VIP BONUS - Deposit 1000 Get 500 - 1x TO</x:v>
      </x:c>
      <x:c r="P282" s="274" t="str">
        <x:v>DepositBonus</x:v>
      </x:c>
      <x:c r="Q282" s="274" t="str">
        <x:v>Approved</x:v>
      </x:c>
      <x:c r="R282" s="265" t="n">
        <x:v>500</x:v>
      </x:c>
      <x:c r="S282" s="253" t="str">
        <x:v>Yes</x:v>
      </x:c>
      <x:c r="T282" s="265" t="n">
        <x:v>5638</x:v>
      </x:c>
      <x:c r="U282" s="253" t="str">
        <x:f>IF(AND(S282="Yes",T282=0),"Yes","No")</x:f>
        <x:v>No</x:v>
      </x:c>
      <x:c r="V282" s="253" t="str">
        <x:v>Yes</x:v>
      </x:c>
      <x:c r="W282" s="253" t="str">
        <x:v>Yes</x:v>
      </x:c>
      <x:c r="X282" s="259" t="n">
        <x:v>46134.166666666664</x:v>
      </x:c>
      <x:c r="Y282" s="265" t="n">
        <x:v>1000</x:v>
      </x:c>
      <x:c r="Z282" s="265" t="n">
        <x:v>1000</x:v>
      </x:c>
      <x:c r="AA282" s="253" t="str">
        <x:f>IF(V282="No","Maturing",IF(AND(U282="Yes",Y282&gt;0),"Yes","No"))</x:f>
        <x:v>No</x:v>
      </x:c>
      <x:c r="AB282" s="253" t="str">
        <x:f>IF(W282="No","Maturing",IF(AND(U282="Yes",Z282&gt;0),"Yes","No"))</x:f>
        <x:v>No</x:v>
      </x:c>
      <x:c r="AC282" s="265" t="n">
        <x:v>999.49</x:v>
      </x:c>
      <x:c r="AD282" s="265" t="n">
        <x:v>999.49</x:v>
      </x:c>
      <x:c r="AE282" s="271" t="str"/>
      <x:c r="AF282" s="274" t="str">
        <x:v>Not validated - no control/holdout</x:v>
      </x:c>
      <x:c r="AG282" s="277" t="str">
        <x:v>Recovered execution only; assignment date and unclaimed-offer denominator unavailable</x:v>
      </x:c>
    </x:row>
    <x:row r="283">
      <x:c r="A283" s="252" t="str">
        <x:v>33980594</x:v>
      </x:c>
      <x:c r="B283" s="253" t="str">
        <x:v>WS1</x:v>
      </x:c>
      <x:c r="C283" s="253" t="str">
        <x:v>MB8</x:v>
      </x:c>
      <x:c r="D283" s="262" t="n">
        <x:v>46134.96423611111</x:v>
      </x:c>
      <x:c r="E283" s="259" t="n">
        <x:v>46134.166666666664</x:v>
      </x:c>
      <x:c r="F283" s="253" t="str">
        <x:v>312953</x:v>
      </x:c>
      <x:c r="G283" s="253" t="str">
        <x:v>MaryJane80</x:v>
      </x:c>
      <x:c r="H283" s="253" t="str">
        <x:v>Yes</x:v>
      </x:c>
      <x:c r="I283" s="253" t="str">
        <x:v>Christy</x:v>
      </x:c>
      <x:c r="J283" s="253" t="str">
        <x:v>Christy</x:v>
      </x:c>
      <x:c r="K283" s="259" t="n">
        <x:v>45831.166666666664</x:v>
      </x:c>
      <x:c r="L283" s="268" t="str">
        <x:f>IFERROR(VLOOKUP(I283,'Handler-Team Map'!$A$7:$C$17,2,FALSE),"")</x:f>
      </x:c>
      <x:c r="M283" s="268" t="str">
        <x:f>IFERROR(VLOOKUP(I283,'Handler-Team Map'!$A$7:$C$17,3,FALSE),"")</x:f>
      </x:c>
      <x:c r="N283" s="274" t="str">
        <x:v>FT_VM_DEP600_GET200_5X</x:v>
      </x:c>
      <x:c r="O283" s="274" t="str">
        <x:v>VIP BONUS - Deposit 600 Get 200 - 5x TO</x:v>
      </x:c>
      <x:c r="P283" s="274" t="str">
        <x:v>DepositBonus</x:v>
      </x:c>
      <x:c r="Q283" s="274" t="str">
        <x:v>Approved</x:v>
      </x:c>
      <x:c r="R283" s="265" t="n">
        <x:v>200</x:v>
      </x:c>
      <x:c r="S283" s="253" t="str">
        <x:v>Yes</x:v>
      </x:c>
      <x:c r="T283" s="265" t="n">
        <x:v>22200</x:v>
      </x:c>
      <x:c r="U283" s="253" t="str">
        <x:f>IF(AND(S283="Yes",T283=0),"Yes","No")</x:f>
        <x:v>No</x:v>
      </x:c>
      <x:c r="V283" s="253" t="str">
        <x:v>Yes</x:v>
      </x:c>
      <x:c r="W283" s="253" t="str">
        <x:v>Yes</x:v>
      </x:c>
      <x:c r="X283" s="259" t="n">
        <x:v>46134.166666666664</x:v>
      </x:c>
      <x:c r="Y283" s="265" t="n">
        <x:v>6150</x:v>
      </x:c>
      <x:c r="Z283" s="265" t="n">
        <x:v>9750</x:v>
      </x:c>
      <x:c r="AA283" s="253" t="str">
        <x:f>IF(V283="No","Maturing",IF(AND(U283="Yes",Y283&gt;0),"Yes","No"))</x:f>
        <x:v>No</x:v>
      </x:c>
      <x:c r="AB283" s="253" t="str">
        <x:f>IF(W283="No","Maturing",IF(AND(U283="Yes",Z283&gt;0),"Yes","No"))</x:f>
        <x:v>No</x:v>
      </x:c>
      <x:c r="AC283" s="265" t="n">
        <x:v>1671.25</x:v>
      </x:c>
      <x:c r="AD283" s="265" t="n">
        <x:v>5273.91</x:v>
      </x:c>
      <x:c r="AE283" s="271" t="str"/>
      <x:c r="AF283" s="274" t="str">
        <x:v>Not validated - no control/holdout</x:v>
      </x:c>
      <x:c r="AG283" s="277" t="str">
        <x:v>Recovered execution only; assignment date and unclaimed-offer denominator unavailable</x:v>
      </x:c>
    </x:row>
    <x:row r="284">
      <x:c r="A284" s="252" t="str">
        <x:v>33981023</x:v>
      </x:c>
      <x:c r="B284" s="253" t="str">
        <x:v>WS1</x:v>
      </x:c>
      <x:c r="C284" s="253" t="str">
        <x:v>MB8</x:v>
      </x:c>
      <x:c r="D284" s="262" t="n">
        <x:v>46134.98295138889</x:v>
      </x:c>
      <x:c r="E284" s="259" t="n">
        <x:v>46134.166666666664</x:v>
      </x:c>
      <x:c r="F284" s="253" t="str">
        <x:v>662591</x:v>
      </x:c>
      <x:c r="G284" s="253" t="str">
        <x:v>Kentlee79</x:v>
      </x:c>
      <x:c r="H284" s="253" t="str">
        <x:v>Yes</x:v>
      </x:c>
      <x:c r="I284" s="253" t="str">
        <x:v>Elda</x:v>
      </x:c>
      <x:c r="J284" s="253" t="str">
        <x:v>Elda</x:v>
      </x:c>
      <x:c r="K284" s="259" t="n">
        <x:v>45659.166666666664</x:v>
      </x:c>
      <x:c r="L284" s="268" t="str">
        <x:f>IFERROR(VLOOKUP(I284,'Handler-Team Map'!$A$7:$C$17,2,FALSE),"")</x:f>
      </x:c>
      <x:c r="M284" s="268" t="str">
        <x:f>IFERROR(VLOOKUP(I284,'Handler-Team Map'!$A$7:$C$17,3,FALSE),"")</x:f>
      </x:c>
      <x:c r="N284" s="274" t="str">
        <x:v>FT_VM_DEP1000_GET500_5X</x:v>
      </x:c>
      <x:c r="O284" s="274" t="str">
        <x:v>VIP BONUS - Deposit 1000 Get 500 - 5x TO</x:v>
      </x:c>
      <x:c r="P284" s="274" t="str">
        <x:v>DepositBonus</x:v>
      </x:c>
      <x:c r="Q284" s="274" t="str">
        <x:v>Approved</x:v>
      </x:c>
      <x:c r="R284" s="265" t="n">
        <x:v>500</x:v>
      </x:c>
      <x:c r="S284" s="253" t="str">
        <x:v>Yes</x:v>
      </x:c>
      <x:c r="T284" s="265" t="n">
        <x:v>57500</x:v>
      </x:c>
      <x:c r="U284" s="253" t="str">
        <x:f>IF(AND(S284="Yes",T284=0),"Yes","No")</x:f>
        <x:v>No</x:v>
      </x:c>
      <x:c r="V284" s="253" t="str">
        <x:v>Yes</x:v>
      </x:c>
      <x:c r="W284" s="253" t="str">
        <x:v>Yes</x:v>
      </x:c>
      <x:c r="X284" s="259" t="n">
        <x:v>46134.166666666664</x:v>
      </x:c>
      <x:c r="Y284" s="265" t="n">
        <x:v>17000</x:v>
      </x:c>
      <x:c r="Z284" s="265" t="n">
        <x:v>25000</x:v>
      </x:c>
      <x:c r="AA284" s="253" t="str">
        <x:f>IF(V284="No","Maturing",IF(AND(U284="Yes",Y284&gt;0),"Yes","No"))</x:f>
        <x:v>No</x:v>
      </x:c>
      <x:c r="AB284" s="253" t="str">
        <x:f>IF(W284="No","Maturing",IF(AND(U284="Yes",Z284&gt;0),"Yes","No"))</x:f>
        <x:v>No</x:v>
      </x:c>
      <x:c r="AC284" s="265" t="n">
        <x:v>231.73</x:v>
      </x:c>
      <x:c r="AD284" s="265" t="n">
        <x:v>180.71</x:v>
      </x:c>
      <x:c r="AE284" s="271" t="str"/>
      <x:c r="AF284" s="274" t="str">
        <x:v>Not validated - no control/holdout</x:v>
      </x:c>
      <x:c r="AG284" s="277" t="str">
        <x:v>Recovered execution only; assignment date and unclaimed-offer denominator unavailable</x:v>
      </x:c>
    </x:row>
    <x:row r="285">
      <x:c r="A285" s="252" t="str">
        <x:v>33981041</x:v>
      </x:c>
      <x:c r="B285" s="253" t="str">
        <x:v>WS1</x:v>
      </x:c>
      <x:c r="C285" s="253" t="str">
        <x:v>MB8</x:v>
      </x:c>
      <x:c r="D285" s="262" t="n">
        <x:v>46134.98364583333</x:v>
      </x:c>
      <x:c r="E285" s="259" t="n">
        <x:v>46134.166666666664</x:v>
      </x:c>
      <x:c r="F285" s="253" t="str">
        <x:v>1044016</x:v>
      </x:c>
      <x:c r="G285" s="253" t="str">
        <x:v>crapssam</x:v>
      </x:c>
      <x:c r="H285" s="253" t="str">
        <x:v>Yes</x:v>
      </x:c>
      <x:c r="I285" s="253" t="str">
        <x:v>Christy</x:v>
      </x:c>
      <x:c r="J285" s="253" t="str">
        <x:v>Christy</x:v>
      </x:c>
      <x:c r="K285" s="259" t="n">
        <x:v>45831.166666666664</x:v>
      </x:c>
      <x:c r="L285" s="268" t="str">
        <x:f>IFERROR(VLOOKUP(I285,'Handler-Team Map'!$A$7:$C$17,2,FALSE),"")</x:f>
      </x:c>
      <x:c r="M285" s="268" t="str">
        <x:f>IFERROR(VLOOKUP(I285,'Handler-Team Map'!$A$7:$C$17,3,FALSE),"")</x:f>
      </x:c>
      <x:c r="N285" s="274" t="str">
        <x:v>FT_VM_DEP1000_GET500_5X</x:v>
      </x:c>
      <x:c r="O285" s="274" t="str">
        <x:v>VIP BONUS - Deposit 1000 Get 500 - 5x TO</x:v>
      </x:c>
      <x:c r="P285" s="274" t="str">
        <x:v>DepositBonus</x:v>
      </x:c>
      <x:c r="Q285" s="274" t="str">
        <x:v>Approved</x:v>
      </x:c>
      <x:c r="R285" s="265" t="n">
        <x:v>500</x:v>
      </x:c>
      <x:c r="S285" s="253" t="str">
        <x:v>Yes</x:v>
      </x:c>
      <x:c r="T285" s="265" t="n">
        <x:v>29800</x:v>
      </x:c>
      <x:c r="U285" s="253" t="str">
        <x:f>IF(AND(S285="Yes",T285=0),"Yes","No")</x:f>
        <x:v>No</x:v>
      </x:c>
      <x:c r="V285" s="253" t="str">
        <x:v>Yes</x:v>
      </x:c>
      <x:c r="W285" s="253" t="str">
        <x:v>Yes</x:v>
      </x:c>
      <x:c r="X285" s="259" t="n">
        <x:v>46134.166666666664</x:v>
      </x:c>
      <x:c r="Y285" s="265" t="n">
        <x:v>2900</x:v>
      </x:c>
      <x:c r="Z285" s="265" t="n">
        <x:v>6200</x:v>
      </x:c>
      <x:c r="AA285" s="253" t="str">
        <x:f>IF(V285="No","Maturing",IF(AND(U285="Yes",Y285&gt;0),"Yes","No"))</x:f>
        <x:v>No</x:v>
      </x:c>
      <x:c r="AB285" s="253" t="str">
        <x:f>IF(W285="No","Maturing",IF(AND(U285="Yes",Z285&gt;0),"Yes","No"))</x:f>
        <x:v>No</x:v>
      </x:c>
      <x:c r="AC285" s="265" t="n">
        <x:v>2956.04</x:v>
      </x:c>
      <x:c r="AD285" s="265" t="n">
        <x:v>3544.69</x:v>
      </x:c>
      <x:c r="AE285" s="271" t="str"/>
      <x:c r="AF285" s="274" t="str">
        <x:v>Not validated - no control/holdout</x:v>
      </x:c>
      <x:c r="AG285" s="277" t="str">
        <x:v>Recovered execution only; assignment date and unclaimed-offer denominator unavailable</x:v>
      </x:c>
    </x:row>
    <x:row r="286">
      <x:c r="A286" s="252" t="str">
        <x:v>33981836</x:v>
      </x:c>
      <x:c r="B286" s="253" t="str">
        <x:v>WS1</x:v>
      </x:c>
      <x:c r="C286" s="253" t="str">
        <x:v>MB8</x:v>
      </x:c>
      <x:c r="D286" s="262" t="n">
        <x:v>46135.02900462963</x:v>
      </x:c>
      <x:c r="E286" s="259" t="n">
        <x:v>46135.166666666664</x:v>
      </x:c>
      <x:c r="F286" s="253" t="str">
        <x:v>940813</x:v>
      </x:c>
      <x:c r="G286" s="253" t="str">
        <x:v>Kiat8</x:v>
      </x:c>
      <x:c r="H286" s="253" t="str">
        <x:v>Yes</x:v>
      </x:c>
      <x:c r="I286" s="253" t="str">
        <x:v>zhen</x:v>
      </x:c>
      <x:c r="J286" s="253" t="str">
        <x:v>zhen</x:v>
      </x:c>
      <x:c r="K286" s="259" t="n">
        <x:v>45880.166666666664</x:v>
      </x:c>
      <x:c r="L286" s="268" t="str">
        <x:f>IFERROR(VLOOKUP(I286,'Handler-Team Map'!$A$7:$C$17,2,FALSE),"")</x:f>
      </x:c>
      <x:c r="M286" s="268" t="str">
        <x:f>IFERROR(VLOOKUP(I286,'Handler-Team Map'!$A$7:$C$17,3,FALSE),"")</x:f>
      </x:c>
      <x:c r="N286" s="274" t="str">
        <x:v>FT_VM_DEP1000_GET500_5X</x:v>
      </x:c>
      <x:c r="O286" s="274" t="str">
        <x:v>VIP BONUS - Deposit 1000 Get 500 - 5x TO</x:v>
      </x:c>
      <x:c r="P286" s="274" t="str">
        <x:v>DepositBonus</x:v>
      </x:c>
      <x:c r="Q286" s="274" t="str">
        <x:v>Approved</x:v>
      </x:c>
      <x:c r="R286" s="265" t="n">
        <x:v>500</x:v>
      </x:c>
      <x:c r="S286" s="253" t="str">
        <x:v>Yes</x:v>
      </x:c>
      <x:c r="T286" s="265" t="n">
        <x:v>9664</x:v>
      </x:c>
      <x:c r="U286" s="253" t="str">
        <x:f>IF(AND(S286="Yes",T286=0),"Yes","No")</x:f>
        <x:v>No</x:v>
      </x:c>
      <x:c r="V286" s="253" t="str">
        <x:v>Yes</x:v>
      </x:c>
      <x:c r="W286" s="253" t="str">
        <x:v>Yes</x:v>
      </x:c>
      <x:c r="X286" s="259" t="n">
        <x:v>46135.166666666664</x:v>
      </x:c>
      <x:c r="Y286" s="265" t="n">
        <x:v>2257</x:v>
      </x:c>
      <x:c r="Z286" s="265" t="n">
        <x:v>4645</x:v>
      </x:c>
      <x:c r="AA286" s="253" t="str">
        <x:f>IF(V286="No","Maturing",IF(AND(U286="Yes",Y286&gt;0),"Yes","No"))</x:f>
        <x:v>No</x:v>
      </x:c>
      <x:c r="AB286" s="253" t="str">
        <x:f>IF(W286="No","Maturing",IF(AND(U286="Yes",Z286&gt;0),"Yes","No"))</x:f>
        <x:v>No</x:v>
      </x:c>
      <x:c r="AC286" s="265" t="n">
        <x:v>1707.58</x:v>
      </x:c>
      <x:c r="AD286" s="265" t="n">
        <x:v>2494.85</x:v>
      </x:c>
      <x:c r="AE286" s="271" t="str"/>
      <x:c r="AF286" s="274" t="str">
        <x:v>Not validated - no control/holdout</x:v>
      </x:c>
      <x:c r="AG286" s="277" t="str">
        <x:v>Recovered execution only; assignment date and unclaimed-offer denominator unavailable</x:v>
      </x:c>
    </x:row>
    <x:row r="287">
      <x:c r="A287" s="252" t="str">
        <x:v>33985731</x:v>
      </x:c>
      <x:c r="B287" s="253" t="str">
        <x:v>WS1</x:v>
      </x:c>
      <x:c r="C287" s="253" t="str">
        <x:v>MB8</x:v>
      </x:c>
      <x:c r="D287" s="262" t="n">
        <x:v>46135.53026620371</x:v>
      </x:c>
      <x:c r="E287" s="259" t="n">
        <x:v>46135.166666666664</x:v>
      </x:c>
      <x:c r="F287" s="253" t="str">
        <x:v>511078</x:v>
      </x:c>
      <x:c r="G287" s="253" t="str">
        <x:v>lchuan96</x:v>
      </x:c>
      <x:c r="H287" s="253" t="str">
        <x:v>Yes</x:v>
      </x:c>
      <x:c r="I287" s="253" t="str">
        <x:v>Sheena</x:v>
      </x:c>
      <x:c r="J287" s="253" t="str">
        <x:v>Sheena</x:v>
      </x:c>
      <x:c r="K287" s="259" t="n">
        <x:v>45852.166666666664</x:v>
      </x:c>
      <x:c r="L287" s="268" t="str">
        <x:f>IFERROR(VLOOKUP(I287,'Handler-Team Map'!$A$7:$C$17,2,FALSE),"")</x:f>
      </x:c>
      <x:c r="M287" s="268" t="str">
        <x:f>IFERROR(VLOOKUP(I287,'Handler-Team Map'!$A$7:$C$17,3,FALSE),"")</x:f>
      </x:c>
      <x:c r="N287" s="274" t="str">
        <x:v>FT_VM_DEP1000_GET500_5X</x:v>
      </x:c>
      <x:c r="O287" s="274" t="str">
        <x:v>VIP BONUS - Deposit 1000 Get 500 - 5x TO</x:v>
      </x:c>
      <x:c r="P287" s="274" t="str">
        <x:v>DepositBonus</x:v>
      </x:c>
      <x:c r="Q287" s="274" t="str">
        <x:v>Approved</x:v>
      </x:c>
      <x:c r="R287" s="265" t="n">
        <x:v>500</x:v>
      </x:c>
      <x:c r="S287" s="253" t="str">
        <x:v>Yes</x:v>
      </x:c>
      <x:c r="T287" s="265" t="n">
        <x:v>6700</x:v>
      </x:c>
      <x:c r="U287" s="253" t="str">
        <x:f>IF(AND(S287="Yes",T287=0),"Yes","No")</x:f>
        <x:v>No</x:v>
      </x:c>
      <x:c r="V287" s="253" t="str">
        <x:v>Yes</x:v>
      </x:c>
      <x:c r="W287" s="253" t="str">
        <x:v>Yes</x:v>
      </x:c>
      <x:c r="X287" s="259" t="n">
        <x:v>46135.166666666664</x:v>
      </x:c>
      <x:c r="Y287" s="265" t="n">
        <x:v>1000</x:v>
      </x:c>
      <x:c r="Z287" s="265" t="n">
        <x:v>2500</x:v>
      </x:c>
      <x:c r="AA287" s="253" t="str">
        <x:f>IF(V287="No","Maturing",IF(AND(U287="Yes",Y287&gt;0),"Yes","No"))</x:f>
        <x:v>No</x:v>
      </x:c>
      <x:c r="AB287" s="253" t="str">
        <x:f>IF(W287="No","Maturing",IF(AND(U287="Yes",Z287&gt;0),"Yes","No"))</x:f>
        <x:v>No</x:v>
      </x:c>
      <x:c r="AC287" s="265" t="n">
        <x:v>-3201.63</x:v>
      </x:c>
      <x:c r="AD287" s="265" t="n">
        <x:v>-4231.64</x:v>
      </x:c>
      <x:c r="AE287" s="271" t="str"/>
      <x:c r="AF287" s="274" t="str">
        <x:v>Not validated - no control/holdout</x:v>
      </x:c>
      <x:c r="AG287" s="277" t="str">
        <x:v>Recovered execution only; assignment date and unclaimed-offer denominator unavailable</x:v>
      </x:c>
    </x:row>
    <x:row r="288">
      <x:c r="A288" s="252" t="str">
        <x:v>33986382</x:v>
      </x:c>
      <x:c r="B288" s="253" t="str">
        <x:v>WS1</x:v>
      </x:c>
      <x:c r="C288" s="253" t="str">
        <x:v>MB8</x:v>
      </x:c>
      <x:c r="D288" s="262" t="n">
        <x:v>46135.591875</x:v>
      </x:c>
      <x:c r="E288" s="259" t="n">
        <x:v>46135.166666666664</x:v>
      </x:c>
      <x:c r="F288" s="253" t="str">
        <x:v>803558</x:v>
      </x:c>
      <x:c r="G288" s="253" t="str">
        <x:v>ctt123</x:v>
      </x:c>
      <x:c r="H288" s="253" t="str">
        <x:v>Yes</x:v>
      </x:c>
      <x:c r="I288" s="253" t="str">
        <x:v>Elda</x:v>
      </x:c>
      <x:c r="J288" s="253" t="str">
        <x:v>Elda</x:v>
      </x:c>
      <x:c r="K288" s="259" t="n">
        <x:v>45659.166666666664</x:v>
      </x:c>
      <x:c r="L288" s="268" t="str">
        <x:f>IFERROR(VLOOKUP(I288,'Handler-Team Map'!$A$7:$C$17,2,FALSE),"")</x:f>
      </x:c>
      <x:c r="M288" s="268" t="str">
        <x:f>IFERROR(VLOOKUP(I288,'Handler-Team Map'!$A$7:$C$17,3,FALSE),"")</x:f>
      </x:c>
      <x:c r="N288" s="274" t="str">
        <x:v>FT_VM_DEP800_GET400_1X</x:v>
      </x:c>
      <x:c r="O288" s="274" t="str">
        <x:v>VIP BONUS - Deposit 800 Get 400 - 1x TO</x:v>
      </x:c>
      <x:c r="P288" s="274" t="str">
        <x:v>DepositBonus</x:v>
      </x:c>
      <x:c r="Q288" s="274" t="str">
        <x:v>Approved</x:v>
      </x:c>
      <x:c r="R288" s="265" t="n">
        <x:v>400</x:v>
      </x:c>
      <x:c r="S288" s="253" t="str">
        <x:v>Yes</x:v>
      </x:c>
      <x:c r="T288" s="265" t="n">
        <x:v>700</x:v>
      </x:c>
      <x:c r="U288" s="253" t="str">
        <x:f>IF(AND(S288="Yes",T288=0),"Yes","No")</x:f>
        <x:v>No</x:v>
      </x:c>
      <x:c r="V288" s="253" t="str">
        <x:v>Yes</x:v>
      </x:c>
      <x:c r="W288" s="253" t="str">
        <x:v>Yes</x:v>
      </x:c>
      <x:c r="X288" s="259" t="n">
        <x:v>46135.166666666664</x:v>
      </x:c>
      <x:c r="Y288" s="265" t="n">
        <x:v>800</x:v>
      </x:c>
      <x:c r="Z288" s="265" t="n">
        <x:v>800</x:v>
      </x:c>
      <x:c r="AA288" s="253" t="str">
        <x:f>IF(V288="No","Maturing",IF(AND(U288="Yes",Y288&gt;0),"Yes","No"))</x:f>
        <x:v>No</x:v>
      </x:c>
      <x:c r="AB288" s="253" t="str">
        <x:f>IF(W288="No","Maturing",IF(AND(U288="Yes",Z288&gt;0),"Yes","No"))</x:f>
        <x:v>No</x:v>
      </x:c>
      <x:c r="AC288" s="265" t="n">
        <x:v>-810.87</x:v>
      </x:c>
      <x:c r="AD288" s="265" t="n">
        <x:v>-810.87</x:v>
      </x:c>
      <x:c r="AE288" s="271" t="str"/>
      <x:c r="AF288" s="274" t="str">
        <x:v>Not validated - no control/holdout</x:v>
      </x:c>
      <x:c r="AG288" s="277" t="str">
        <x:v>Recovered execution only; assignment date and unclaimed-offer denominator unavailable</x:v>
      </x:c>
    </x:row>
    <x:row r="289">
      <x:c r="A289" s="252" t="str">
        <x:v>33986541</x:v>
      </x:c>
      <x:c r="B289" s="253" t="str">
        <x:v>WS1</x:v>
      </x:c>
      <x:c r="C289" s="253" t="str">
        <x:v>MB8</x:v>
      </x:c>
      <x:c r="D289" s="262" t="n">
        <x:v>46135.60633101852</x:v>
      </x:c>
      <x:c r="E289" s="259" t="n">
        <x:v>46135.166666666664</x:v>
      </x:c>
      <x:c r="F289" s="253" t="str">
        <x:v>1185055</x:v>
      </x:c>
      <x:c r="G289" s="253" t="str">
        <x:v>Penyu77</x:v>
      </x:c>
      <x:c r="H289" s="253" t="str">
        <x:v>Yes</x:v>
      </x:c>
      <x:c r="I289" s="253" t="str">
        <x:v>Christy</x:v>
      </x:c>
      <x:c r="J289" s="253" t="str">
        <x:v>Christy</x:v>
      </x:c>
      <x:c r="K289" s="259" t="n">
        <x:v>45845.166666666664</x:v>
      </x:c>
      <x:c r="L289" s="268" t="str">
        <x:f>IFERROR(VLOOKUP(I289,'Handler-Team Map'!$A$7:$C$17,2,FALSE),"")</x:f>
      </x:c>
      <x:c r="M289" s="268" t="str">
        <x:f>IFERROR(VLOOKUP(I289,'Handler-Team Map'!$A$7:$C$17,3,FALSE),"")</x:f>
      </x:c>
      <x:c r="N289" s="274" t="str">
        <x:v>FT_VM_DEP150_GET50_5X</x:v>
      </x:c>
      <x:c r="O289" s="274" t="str">
        <x:v>VIP BONUS - Deposit 150 Get 50 - 5x TO</x:v>
      </x:c>
      <x:c r="P289" s="274" t="str">
        <x:v>DepositBonus</x:v>
      </x:c>
      <x:c r="Q289" s="274" t="str">
        <x:v>Approved</x:v>
      </x:c>
      <x:c r="R289" s="265" t="n">
        <x:v>50</x:v>
      </x:c>
      <x:c r="S289" s="253" t="str">
        <x:v>Yes</x:v>
      </x:c>
      <x:c r="T289" s="265" t="n">
        <x:v>39700</x:v>
      </x:c>
      <x:c r="U289" s="253" t="str">
        <x:f>IF(AND(S289="Yes",T289=0),"Yes","No")</x:f>
        <x:v>No</x:v>
      </x:c>
      <x:c r="V289" s="253" t="str">
        <x:v>Yes</x:v>
      </x:c>
      <x:c r="W289" s="253" t="str">
        <x:v>Yes</x:v>
      </x:c>
      <x:c r="X289" s="259" t="n">
        <x:v>46135.166666666664</x:v>
      </x:c>
      <x:c r="Y289" s="265" t="n">
        <x:v>7000</x:v>
      </x:c>
      <x:c r="Z289" s="265" t="n">
        <x:v>11350</x:v>
      </x:c>
      <x:c r="AA289" s="253" t="str">
        <x:f>IF(V289="No","Maturing",IF(AND(U289="Yes",Y289&gt;0),"Yes","No"))</x:f>
        <x:v>No</x:v>
      </x:c>
      <x:c r="AB289" s="253" t="str">
        <x:f>IF(W289="No","Maturing",IF(AND(U289="Yes",Z289&gt;0),"Yes","No"))</x:f>
        <x:v>No</x:v>
      </x:c>
      <x:c r="AC289" s="265" t="n">
        <x:v>3841.74</x:v>
      </x:c>
      <x:c r="AD289" s="265" t="n">
        <x:v>6832.4</x:v>
      </x:c>
      <x:c r="AE289" s="271" t="str"/>
      <x:c r="AF289" s="274" t="str">
        <x:v>Not validated - no control/holdout</x:v>
      </x:c>
      <x:c r="AG289" s="277" t="str">
        <x:v>Recovered execution only; assignment date and unclaimed-offer denominator unavailable</x:v>
      </x:c>
    </x:row>
    <x:row r="290">
      <x:c r="A290" s="252" t="str">
        <x:v>33987094</x:v>
      </x:c>
      <x:c r="B290" s="253" t="str">
        <x:v>WS1</x:v>
      </x:c>
      <x:c r="C290" s="253" t="str">
        <x:v>MB8</x:v>
      </x:c>
      <x:c r="D290" s="262" t="n">
        <x:v>46135.66210648148</x:v>
      </x:c>
      <x:c r="E290" s="259" t="n">
        <x:v>46135.166666666664</x:v>
      </x:c>
      <x:c r="F290" s="253" t="str">
        <x:v>476510</x:v>
      </x:c>
      <x:c r="G290" s="253" t="str">
        <x:v>giinshen</x:v>
      </x:c>
      <x:c r="H290" s="253" t="str">
        <x:v>Yes</x:v>
      </x:c>
      <x:c r="I290" s="253" t="str">
        <x:v>Claire</x:v>
      </x:c>
      <x:c r="J290" s="253" t="str">
        <x:v>Claire</x:v>
      </x:c>
      <x:c r="K290" s="259" t="n">
        <x:v>45659.166666666664</x:v>
      </x:c>
      <x:c r="L290" s="268" t="str">
        <x:f>IFERROR(VLOOKUP(I290,'Handler-Team Map'!$A$7:$C$17,2,FALSE),"")</x:f>
      </x:c>
      <x:c r="M290" s="268" t="str">
        <x:f>IFERROR(VLOOKUP(I290,'Handler-Team Map'!$A$7:$C$17,3,FALSE),"")</x:f>
      </x:c>
      <x:c r="N290" s="274" t="str">
        <x:v>FT_VM_DEP1000_GET500_5X</x:v>
      </x:c>
      <x:c r="O290" s="274" t="str">
        <x:v>VIP BONUS - Deposit 1000 Get 500 - 5x TO</x:v>
      </x:c>
      <x:c r="P290" s="274" t="str">
        <x:v>DepositBonus</x:v>
      </x:c>
      <x:c r="Q290" s="274" t="str">
        <x:v>Approved</x:v>
      </x:c>
      <x:c r="R290" s="265" t="n">
        <x:v>500</x:v>
      </x:c>
      <x:c r="S290" s="253" t="str">
        <x:v>Yes</x:v>
      </x:c>
      <x:c r="T290" s="265" t="n">
        <x:v>75500</x:v>
      </x:c>
      <x:c r="U290" s="253" t="str">
        <x:f>IF(AND(S290="Yes",T290=0),"Yes","No")</x:f>
        <x:v>No</x:v>
      </x:c>
      <x:c r="V290" s="253" t="str">
        <x:v>Yes</x:v>
      </x:c>
      <x:c r="W290" s="253" t="str">
        <x:v>Yes</x:v>
      </x:c>
      <x:c r="X290" s="259" t="n">
        <x:v>46135.166666666664</x:v>
      </x:c>
      <x:c r="Y290" s="265" t="n">
        <x:v>24700</x:v>
      </x:c>
      <x:c r="Z290" s="265" t="n">
        <x:v>39500</x:v>
      </x:c>
      <x:c r="AA290" s="253" t="str">
        <x:f>IF(V290="No","Maturing",IF(AND(U290="Yes",Y290&gt;0),"Yes","No"))</x:f>
        <x:v>No</x:v>
      </x:c>
      <x:c r="AB290" s="253" t="str">
        <x:f>IF(W290="No","Maturing",IF(AND(U290="Yes",Z290&gt;0),"Yes","No"))</x:f>
        <x:v>No</x:v>
      </x:c>
      <x:c r="AC290" s="265" t="n">
        <x:v>25145.98</x:v>
      </x:c>
      <x:c r="AD290" s="265" t="n">
        <x:v>30199.06</x:v>
      </x:c>
      <x:c r="AE290" s="271" t="str"/>
      <x:c r="AF290" s="274" t="str">
        <x:v>Not validated - no control/holdout</x:v>
      </x:c>
      <x:c r="AG290" s="277" t="str">
        <x:v>Recovered execution only; assignment date and unclaimed-offer denominator unavailable</x:v>
      </x:c>
    </x:row>
    <x:row r="291">
      <x:c r="A291" s="252" t="str">
        <x:v>33987375</x:v>
      </x:c>
      <x:c r="B291" s="253" t="str">
        <x:v>WS1</x:v>
      </x:c>
      <x:c r="C291" s="253" t="str">
        <x:v>MB8</x:v>
      </x:c>
      <x:c r="D291" s="262" t="n">
        <x:v>46135.68111111111</x:v>
      </x:c>
      <x:c r="E291" s="259" t="n">
        <x:v>46135.166666666664</x:v>
      </x:c>
      <x:c r="F291" s="253" t="str">
        <x:v>1205908</x:v>
      </x:c>
      <x:c r="G291" s="253" t="str">
        <x:v>Stephanie88</x:v>
      </x:c>
      <x:c r="H291" s="253" t="str">
        <x:v>Yes</x:v>
      </x:c>
      <x:c r="I291" s="253" t="str"/>
      <x:c r="J291" s="253" t="str"/>
      <x:c r="K291" s="259"/>
      <x:c r="L291" s="268" t="str">
        <x:f>IFERROR(VLOOKUP(I291,'Handler-Team Map'!$A$7:$C$17,2,FALSE),"")</x:f>
      </x:c>
      <x:c r="M291" s="268" t="str">
        <x:f>IFERROR(VLOOKUP(I291,'Handler-Team Map'!$A$7:$C$17,3,FALSE),"")</x:f>
      </x:c>
      <x:c r="N291" s="274" t="str">
        <x:v>FT_VM_DEP300_GET100_2X</x:v>
      </x:c>
      <x:c r="O291" s="274" t="str">
        <x:v>VIP BONUS - Deposit 300 Get 100 - 2x TO</x:v>
      </x:c>
      <x:c r="P291" s="274" t="str">
        <x:v>DepositBonus</x:v>
      </x:c>
      <x:c r="Q291" s="274" t="str">
        <x:v>Approved</x:v>
      </x:c>
      <x:c r="R291" s="265" t="n">
        <x:v>100</x:v>
      </x:c>
      <x:c r="S291" s="253" t="str">
        <x:v>Yes</x:v>
      </x:c>
      <x:c r="T291" s="265" t="n">
        <x:v>14080</x:v>
      </x:c>
      <x:c r="U291" s="253" t="str">
        <x:f>IF(AND(S291="Yes",T291=0),"Yes","No")</x:f>
        <x:v>No</x:v>
      </x:c>
      <x:c r="V291" s="253" t="str">
        <x:v>Yes</x:v>
      </x:c>
      <x:c r="W291" s="253" t="str">
        <x:v>Yes</x:v>
      </x:c>
      <x:c r="X291" s="259" t="n">
        <x:v>46135.166666666664</x:v>
      </x:c>
      <x:c r="Y291" s="265" t="n">
        <x:v>3600</x:v>
      </x:c>
      <x:c r="Z291" s="265" t="n">
        <x:v>6225</x:v>
      </x:c>
      <x:c r="AA291" s="253" t="str">
        <x:f>IF(V291="No","Maturing",IF(AND(U291="Yes",Y291&gt;0),"Yes","No"))</x:f>
        <x:v>No</x:v>
      </x:c>
      <x:c r="AB291" s="253" t="str">
        <x:f>IF(W291="No","Maturing",IF(AND(U291="Yes",Z291&gt;0),"Yes","No"))</x:f>
        <x:v>No</x:v>
      </x:c>
      <x:c r="AC291" s="265" t="n">
        <x:v>3600.6</x:v>
      </x:c>
      <x:c r="AD291" s="265" t="n">
        <x:v>4144.06</x:v>
      </x:c>
      <x:c r="AE291" s="271" t="str"/>
      <x:c r="AF291" s="274" t="str">
        <x:v>Not validated - no control/holdout</x:v>
      </x:c>
      <x:c r="AG291" s="277" t="str">
        <x:v>Recovered execution only; assignment date and unclaimed-offer denominator unavailable</x:v>
      </x:c>
    </x:row>
    <x:row r="292">
      <x:c r="A292" s="252" t="str">
        <x:v>33988172</x:v>
      </x:c>
      <x:c r="B292" s="253" t="str">
        <x:v>WS1</x:v>
      </x:c>
      <x:c r="C292" s="253" t="str">
        <x:v>MB8</x:v>
      </x:c>
      <x:c r="D292" s="262" t="n">
        <x:v>46135.74818287037</x:v>
      </x:c>
      <x:c r="E292" s="259" t="n">
        <x:v>46135.166666666664</x:v>
      </x:c>
      <x:c r="F292" s="253" t="str">
        <x:v>201156</x:v>
      </x:c>
      <x:c r="G292" s="253" t="str">
        <x:v>Patsha24</x:v>
      </x:c>
      <x:c r="H292" s="253" t="str">
        <x:v>Yes</x:v>
      </x:c>
      <x:c r="I292" s="253" t="str">
        <x:v>zhen</x:v>
      </x:c>
      <x:c r="J292" s="253" t="str">
        <x:v>zhen</x:v>
      </x:c>
      <x:c r="K292" s="259" t="n">
        <x:v>46090.166666666664</x:v>
      </x:c>
      <x:c r="L292" s="268" t="str">
        <x:f>IFERROR(VLOOKUP(I292,'Handler-Team Map'!$A$7:$C$17,2,FALSE),"")</x:f>
      </x:c>
      <x:c r="M292" s="268" t="str">
        <x:f>IFERROR(VLOOKUP(I292,'Handler-Team Map'!$A$7:$C$17,3,FALSE),"")</x:f>
      </x:c>
      <x:c r="N292" s="274" t="str">
        <x:v>FT_VM_DEP600_GET200_5X</x:v>
      </x:c>
      <x:c r="O292" s="274" t="str">
        <x:v>VIP BONUS - Deposit 600 Get 200 - 5x TO</x:v>
      </x:c>
      <x:c r="P292" s="274" t="str">
        <x:v>DepositBonus</x:v>
      </x:c>
      <x:c r="Q292" s="274" t="str">
        <x:v>Approved</x:v>
      </x:c>
      <x:c r="R292" s="265" t="n">
        <x:v>200</x:v>
      </x:c>
      <x:c r="S292" s="253" t="str">
        <x:v>Yes</x:v>
      </x:c>
      <x:c r="T292" s="265" t="n">
        <x:v>2010</x:v>
      </x:c>
      <x:c r="U292" s="253" t="str">
        <x:f>IF(AND(S292="Yes",T292=0),"Yes","No")</x:f>
        <x:v>No</x:v>
      </x:c>
      <x:c r="V292" s="253" t="str">
        <x:v>Yes</x:v>
      </x:c>
      <x:c r="W292" s="253" t="str">
        <x:v>Yes</x:v>
      </x:c>
      <x:c r="X292" s="259" t="n">
        <x:v>46135.166666666664</x:v>
      </x:c>
      <x:c r="Y292" s="265" t="n">
        <x:v>9300</x:v>
      </x:c>
      <x:c r="Z292" s="265" t="n">
        <x:v>11300</x:v>
      </x:c>
      <x:c r="AA292" s="253" t="str">
        <x:f>IF(V292="No","Maturing",IF(AND(U292="Yes",Y292&gt;0),"Yes","No"))</x:f>
        <x:v>No</x:v>
      </x:c>
      <x:c r="AB292" s="253" t="str">
        <x:f>IF(W292="No","Maturing",IF(AND(U292="Yes",Z292&gt;0),"Yes","No"))</x:f>
        <x:v>No</x:v>
      </x:c>
      <x:c r="AC292" s="265" t="n">
        <x:v>9300</x:v>
      </x:c>
      <x:c r="AD292" s="265" t="n">
        <x:v>11298.87</x:v>
      </x:c>
      <x:c r="AE292" s="271" t="str"/>
      <x:c r="AF292" s="274" t="str">
        <x:v>Not validated - no control/holdout</x:v>
      </x:c>
      <x:c r="AG292" s="277" t="str">
        <x:v>Recovered execution only; assignment date and unclaimed-offer denominator unavailable</x:v>
      </x:c>
    </x:row>
    <x:row r="293">
      <x:c r="A293" s="252" t="str">
        <x:v>33988377</x:v>
      </x:c>
      <x:c r="B293" s="253" t="str">
        <x:v>WS1</x:v>
      </x:c>
      <x:c r="C293" s="253" t="str">
        <x:v>MB8</x:v>
      </x:c>
      <x:c r="D293" s="262" t="n">
        <x:v>46135.76503472222</x:v>
      </x:c>
      <x:c r="E293" s="259" t="n">
        <x:v>46135.166666666664</x:v>
      </x:c>
      <x:c r="F293" s="253" t="str">
        <x:v>700774</x:v>
      </x:c>
      <x:c r="G293" s="253" t="str">
        <x:v>Arifbillah</x:v>
      </x:c>
      <x:c r="H293" s="253" t="str">
        <x:v>Yes</x:v>
      </x:c>
      <x:c r="I293" s="253" t="str">
        <x:v>Elda</x:v>
      </x:c>
      <x:c r="J293" s="253" t="str">
        <x:v>Elda</x:v>
      </x:c>
      <x:c r="K293" s="259" t="n">
        <x:v>46090.166666666664</x:v>
      </x:c>
      <x:c r="L293" s="268" t="str">
        <x:f>IFERROR(VLOOKUP(I293,'Handler-Team Map'!$A$7:$C$17,2,FALSE),"")</x:f>
      </x:c>
      <x:c r="M293" s="268" t="str">
        <x:f>IFERROR(VLOOKUP(I293,'Handler-Team Map'!$A$7:$C$17,3,FALSE),"")</x:f>
      </x:c>
      <x:c r="N293" s="274" t="str">
        <x:v>FT_VM_DEP1000_GET500_2X</x:v>
      </x:c>
      <x:c r="O293" s="274" t="str">
        <x:v>VIP BONUS - Deposit 1000 Get 500 - 2x TO</x:v>
      </x:c>
      <x:c r="P293" s="274" t="str">
        <x:v>DepositBonus</x:v>
      </x:c>
      <x:c r="Q293" s="274" t="str">
        <x:v>Approved</x:v>
      </x:c>
      <x:c r="R293" s="265" t="n">
        <x:v>500</x:v>
      </x:c>
      <x:c r="S293" s="253" t="str">
        <x:v>Yes</x:v>
      </x:c>
      <x:c r="T293" s="265" t="n">
        <x:v>1000</x:v>
      </x:c>
      <x:c r="U293" s="253" t="str">
        <x:f>IF(AND(S293="Yes",T293=0),"Yes","No")</x:f>
        <x:v>No</x:v>
      </x:c>
      <x:c r="V293" s="253" t="str">
        <x:v>Yes</x:v>
      </x:c>
      <x:c r="W293" s="253" t="str">
        <x:v>Yes</x:v>
      </x:c>
      <x:c r="X293" s="259" t="n">
        <x:v>46135.166666666664</x:v>
      </x:c>
      <x:c r="Y293" s="265" t="n">
        <x:v>1000</x:v>
      </x:c>
      <x:c r="Z293" s="265" t="n">
        <x:v>1000</x:v>
      </x:c>
      <x:c r="AA293" s="253" t="str">
        <x:f>IF(V293="No","Maturing",IF(AND(U293="Yes",Y293&gt;0),"Yes","No"))</x:f>
        <x:v>No</x:v>
      </x:c>
      <x:c r="AB293" s="253" t="str">
        <x:f>IF(W293="No","Maturing",IF(AND(U293="Yes",Z293&gt;0),"Yes","No"))</x:f>
        <x:v>No</x:v>
      </x:c>
      <x:c r="AC293" s="265" t="n">
        <x:v>946.74</x:v>
      </x:c>
      <x:c r="AD293" s="265" t="n">
        <x:v>946.74</x:v>
      </x:c>
      <x:c r="AE293" s="271" t="str"/>
      <x:c r="AF293" s="274" t="str">
        <x:v>Not validated - no control/holdout</x:v>
      </x:c>
      <x:c r="AG293" s="277" t="str">
        <x:v>Recovered execution only; assignment date and unclaimed-offer denominator unavailable</x:v>
      </x:c>
    </x:row>
    <x:row r="294">
      <x:c r="A294" s="252" t="str">
        <x:v>33988970</x:v>
      </x:c>
      <x:c r="B294" s="253" t="str">
        <x:v>WS1</x:v>
      </x:c>
      <x:c r="C294" s="253" t="str">
        <x:v>MB8</x:v>
      </x:c>
      <x:c r="D294" s="262" t="n">
        <x:v>46135.81967592592</x:v>
      </x:c>
      <x:c r="E294" s="259" t="n">
        <x:v>46135.166666666664</x:v>
      </x:c>
      <x:c r="F294" s="253" t="str">
        <x:v>1184278</x:v>
      </x:c>
      <x:c r="G294" s="253" t="str">
        <x:v>maisonlailai</x:v>
      </x:c>
      <x:c r="H294" s="253" t="str">
        <x:v>Yes</x:v>
      </x:c>
      <x:c r="I294" s="253" t="str"/>
      <x:c r="J294" s="253" t="str"/>
      <x:c r="K294" s="259"/>
      <x:c r="L294" s="268" t="str">
        <x:f>IFERROR(VLOOKUP(I294,'Handler-Team Map'!$A$7:$C$17,2,FALSE),"")</x:f>
      </x:c>
      <x:c r="M294" s="268" t="str">
        <x:f>IFERROR(VLOOKUP(I294,'Handler-Team Map'!$A$7:$C$17,3,FALSE),"")</x:f>
      </x:c>
      <x:c r="N294" s="274" t="str">
        <x:v>FT_VM_DEP600_GET200_5X</x:v>
      </x:c>
      <x:c r="O294" s="274" t="str">
        <x:v>VIP BONUS - Deposit 600 Get 200 - 5x TO</x:v>
      </x:c>
      <x:c r="P294" s="274" t="str">
        <x:v>DepositBonus</x:v>
      </x:c>
      <x:c r="Q294" s="274" t="str">
        <x:v>Approved</x:v>
      </x:c>
      <x:c r="R294" s="265" t="n">
        <x:v>200</x:v>
      </x:c>
      <x:c r="S294" s="253" t="str">
        <x:v>Yes</x:v>
      </x:c>
      <x:c r="T294" s="265" t="n">
        <x:v>6009.8</x:v>
      </x:c>
      <x:c r="U294" s="253" t="str">
        <x:f>IF(AND(S294="Yes",T294=0),"Yes","No")</x:f>
        <x:v>No</x:v>
      </x:c>
      <x:c r="V294" s="253" t="str">
        <x:v>Yes</x:v>
      </x:c>
      <x:c r="W294" s="253" t="str">
        <x:v>Yes</x:v>
      </x:c>
      <x:c r="X294" s="259" t="n">
        <x:v>46135.166666666664</x:v>
      </x:c>
      <x:c r="Y294" s="265" t="n">
        <x:v>1310</x:v>
      </x:c>
      <x:c r="Z294" s="265" t="n">
        <x:v>1510</x:v>
      </x:c>
      <x:c r="AA294" s="253" t="str">
        <x:f>IF(V294="No","Maturing",IF(AND(U294="Yes",Y294&gt;0),"Yes","No"))</x:f>
        <x:v>No</x:v>
      </x:c>
      <x:c r="AB294" s="253" t="str">
        <x:f>IF(W294="No","Maturing",IF(AND(U294="Yes",Z294&gt;0),"Yes","No"))</x:f>
        <x:v>No</x:v>
      </x:c>
      <x:c r="AC294" s="265" t="n">
        <x:v>1309.68</x:v>
      </x:c>
      <x:c r="AD294" s="265" t="n">
        <x:v>1509.68</x:v>
      </x:c>
      <x:c r="AE294" s="271" t="str"/>
      <x:c r="AF294" s="274" t="str">
        <x:v>Not validated - no control/holdout</x:v>
      </x:c>
      <x:c r="AG294" s="277" t="str">
        <x:v>Recovered execution only; assignment date and unclaimed-offer denominator unavailable</x:v>
      </x:c>
    </x:row>
    <x:row r="295">
      <x:c r="A295" s="252" t="str">
        <x:v>33988984</x:v>
      </x:c>
      <x:c r="B295" s="253" t="str">
        <x:v>WS1</x:v>
      </x:c>
      <x:c r="C295" s="253" t="str">
        <x:v>MB8</x:v>
      </x:c>
      <x:c r="D295" s="262" t="n">
        <x:v>46135.820543981485</x:v>
      </x:c>
      <x:c r="E295" s="259" t="n">
        <x:v>46135.166666666664</x:v>
      </x:c>
      <x:c r="F295" s="253" t="str">
        <x:v>364239</x:v>
      </x:c>
      <x:c r="G295" s="253" t="str">
        <x:v>Lt2020</x:v>
      </x:c>
      <x:c r="H295" s="253" t="str">
        <x:v>Yes</x:v>
      </x:c>
      <x:c r="I295" s="253" t="str">
        <x:v>Christy</x:v>
      </x:c>
      <x:c r="J295" s="253" t="str">
        <x:v>Christy</x:v>
      </x:c>
      <x:c r="K295" s="259" t="n">
        <x:v>45831.166666666664</x:v>
      </x:c>
      <x:c r="L295" s="268" t="str">
        <x:f>IFERROR(VLOOKUP(I295,'Handler-Team Map'!$A$7:$C$17,2,FALSE),"")</x:f>
      </x:c>
      <x:c r="M295" s="268" t="str">
        <x:f>IFERROR(VLOOKUP(I295,'Handler-Team Map'!$A$7:$C$17,3,FALSE),"")</x:f>
      </x:c>
      <x:c r="N295" s="274" t="str">
        <x:v>FT_VM_DEP1000_GET500_5X</x:v>
      </x:c>
      <x:c r="O295" s="274" t="str">
        <x:v>VIP BONUS - Deposit 1000 Get 500 - 5x TO</x:v>
      </x:c>
      <x:c r="P295" s="274" t="str">
        <x:v>DepositBonus</x:v>
      </x:c>
      <x:c r="Q295" s="274" t="str">
        <x:v>Approved</x:v>
      </x:c>
      <x:c r="R295" s="265" t="n">
        <x:v>500</x:v>
      </x:c>
      <x:c r="S295" s="253" t="str">
        <x:v>Yes</x:v>
      </x:c>
      <x:c r="T295" s="265" t="n">
        <x:v>11952</x:v>
      </x:c>
      <x:c r="U295" s="253" t="str">
        <x:f>IF(AND(S295="Yes",T295=0),"Yes","No")</x:f>
        <x:v>No</x:v>
      </x:c>
      <x:c r="V295" s="253" t="str">
        <x:v>Yes</x:v>
      </x:c>
      <x:c r="W295" s="253" t="str">
        <x:v>Yes</x:v>
      </x:c>
      <x:c r="X295" s="259" t="n">
        <x:v>46135.166666666664</x:v>
      </x:c>
      <x:c r="Y295" s="265" t="n">
        <x:v>4589</x:v>
      </x:c>
      <x:c r="Z295" s="265" t="n">
        <x:v>5805</x:v>
      </x:c>
      <x:c r="AA295" s="253" t="str">
        <x:f>IF(V295="No","Maturing",IF(AND(U295="Yes",Y295&gt;0),"Yes","No"))</x:f>
        <x:v>No</x:v>
      </x:c>
      <x:c r="AB295" s="253" t="str">
        <x:f>IF(W295="No","Maturing",IF(AND(U295="Yes",Z295&gt;0),"Yes","No"))</x:f>
        <x:v>No</x:v>
      </x:c>
      <x:c r="AC295" s="265" t="n">
        <x:v>3502.01</x:v>
      </x:c>
      <x:c r="AD295" s="265" t="n">
        <x:v>-1599.75</x:v>
      </x:c>
      <x:c r="AE295" s="271" t="str"/>
      <x:c r="AF295" s="274" t="str">
        <x:v>Not validated - no control/holdout</x:v>
      </x:c>
      <x:c r="AG295" s="277" t="str">
        <x:v>Recovered execution only; assignment date and unclaimed-offer denominator unavailable</x:v>
      </x:c>
    </x:row>
    <x:row r="296">
      <x:c r="A296" s="252" t="str">
        <x:v>33989518</x:v>
      </x:c>
      <x:c r="B296" s="253" t="str">
        <x:v>WS1</x:v>
      </x:c>
      <x:c r="C296" s="253" t="str">
        <x:v>MB8</x:v>
      </x:c>
      <x:c r="D296" s="262" t="n">
        <x:v>46135.863287037035</x:v>
      </x:c>
      <x:c r="E296" s="259" t="n">
        <x:v>46135.166666666664</x:v>
      </x:c>
      <x:c r="F296" s="253" t="str">
        <x:v>687540</x:v>
      </x:c>
      <x:c r="G296" s="253" t="str">
        <x:v>Rick5841</x:v>
      </x:c>
      <x:c r="H296" s="253" t="str">
        <x:v>Yes</x:v>
      </x:c>
      <x:c r="I296" s="253" t="str">
        <x:v>Claire</x:v>
      </x:c>
      <x:c r="J296" s="253" t="str">
        <x:v>Claire</x:v>
      </x:c>
      <x:c r="K296" s="259" t="n">
        <x:v>46090.166666666664</x:v>
      </x:c>
      <x:c r="L296" s="268" t="str">
        <x:f>IFERROR(VLOOKUP(I296,'Handler-Team Map'!$A$7:$C$17,2,FALSE),"")</x:f>
      </x:c>
      <x:c r="M296" s="268" t="str">
        <x:f>IFERROR(VLOOKUP(I296,'Handler-Team Map'!$A$7:$C$17,3,FALSE),"")</x:f>
      </x:c>
      <x:c r="N296" s="274" t="str">
        <x:v>FT_VM_DEP1000_GET800_1X</x:v>
      </x:c>
      <x:c r="O296" s="274" t="str">
        <x:v>VIP BONUS - Deposit 1000 Get 800 - 1x TO</x:v>
      </x:c>
      <x:c r="P296" s="274" t="str">
        <x:v>DepositBonus</x:v>
      </x:c>
      <x:c r="Q296" s="274" t="str">
        <x:v>Approved</x:v>
      </x:c>
      <x:c r="R296" s="265" t="n">
        <x:v>800</x:v>
      </x:c>
      <x:c r="S296" s="253" t="str">
        <x:v>Yes</x:v>
      </x:c>
      <x:c r="T296" s="265" t="n">
        <x:v>180</x:v>
      </x:c>
      <x:c r="U296" s="253" t="str">
        <x:f>IF(AND(S296="Yes",T296=0),"Yes","No")</x:f>
        <x:v>No</x:v>
      </x:c>
      <x:c r="V296" s="253" t="str">
        <x:v>Yes</x:v>
      </x:c>
      <x:c r="W296" s="253" t="str">
        <x:v>Yes</x:v>
      </x:c>
      <x:c r="X296" s="259" t="n">
        <x:v>46135.166666666664</x:v>
      </x:c>
      <x:c r="Y296" s="265" t="n">
        <x:v>1000</x:v>
      </x:c>
      <x:c r="Z296" s="265" t="n">
        <x:v>1000</x:v>
      </x:c>
      <x:c r="AA296" s="253" t="str">
        <x:f>IF(V296="No","Maturing",IF(AND(U296="Yes",Y296&gt;0),"Yes","No"))</x:f>
        <x:v>No</x:v>
      </x:c>
      <x:c r="AB296" s="253" t="str">
        <x:f>IF(W296="No","Maturing",IF(AND(U296="Yes",Z296&gt;0),"Yes","No"))</x:f>
        <x:v>No</x:v>
      </x:c>
      <x:c r="AC296" s="265" t="n">
        <x:v>1000.4</x:v>
      </x:c>
      <x:c r="AD296" s="265" t="n">
        <x:v>1000.4</x:v>
      </x:c>
      <x:c r="AE296" s="271" t="str"/>
      <x:c r="AF296" s="274" t="str">
        <x:v>Not validated - no control/holdout</x:v>
      </x:c>
      <x:c r="AG296" s="277" t="str">
        <x:v>Recovered execution only; assignment date and unclaimed-offer denominator unavailable</x:v>
      </x:c>
    </x:row>
    <x:row r="297">
      <x:c r="A297" s="252" t="str">
        <x:v>33989644</x:v>
      </x:c>
      <x:c r="B297" s="253" t="str">
        <x:v>WS1</x:v>
      </x:c>
      <x:c r="C297" s="253" t="str">
        <x:v>MB8</x:v>
      </x:c>
      <x:c r="D297" s="262" t="n">
        <x:v>46135.87452546296</x:v>
      </x:c>
      <x:c r="E297" s="259" t="n">
        <x:v>46135.166666666664</x:v>
      </x:c>
      <x:c r="F297" s="253" t="str">
        <x:v>902826</x:v>
      </x:c>
      <x:c r="G297" s="253" t="str">
        <x:v>Wongseong</x:v>
      </x:c>
      <x:c r="H297" s="253" t="str">
        <x:v>Yes</x:v>
      </x:c>
      <x:c r="I297" s="253" t="str">
        <x:v>zhen</x:v>
      </x:c>
      <x:c r="J297" s="253" t="str">
        <x:v>zhen</x:v>
      </x:c>
      <x:c r="K297" s="259" t="n">
        <x:v>45880.166666666664</x:v>
      </x:c>
      <x:c r="L297" s="268" t="str">
        <x:f>IFERROR(VLOOKUP(I297,'Handler-Team Map'!$A$7:$C$17,2,FALSE),"")</x:f>
      </x:c>
      <x:c r="M297" s="268" t="str">
        <x:f>IFERROR(VLOOKUP(I297,'Handler-Team Map'!$A$7:$C$17,3,FALSE),"")</x:f>
      </x:c>
      <x:c r="N297" s="274" t="str">
        <x:v>FT_VM_DEP800_GET400_2X</x:v>
      </x:c>
      <x:c r="O297" s="274" t="str">
        <x:v>VIP BONUS - Deposit 800 Get 400 - 2x TO</x:v>
      </x:c>
      <x:c r="P297" s="274" t="str">
        <x:v>DepositBonus</x:v>
      </x:c>
      <x:c r="Q297" s="274" t="str">
        <x:v>Approved</x:v>
      </x:c>
      <x:c r="R297" s="265" t="n">
        <x:v>400</x:v>
      </x:c>
      <x:c r="S297" s="253" t="str">
        <x:v>Yes</x:v>
      </x:c>
      <x:c r="T297" s="265" t="n">
        <x:v>150</x:v>
      </x:c>
      <x:c r="U297" s="253" t="str">
        <x:f>IF(AND(S297="Yes",T297=0),"Yes","No")</x:f>
        <x:v>No</x:v>
      </x:c>
      <x:c r="V297" s="253" t="str">
        <x:v>Yes</x:v>
      </x:c>
      <x:c r="W297" s="253" t="str">
        <x:v>Yes</x:v>
      </x:c>
      <x:c r="X297" s="259" t="n">
        <x:v>46135.166666666664</x:v>
      </x:c>
      <x:c r="Y297" s="265" t="n">
        <x:v>1100</x:v>
      </x:c>
      <x:c r="Z297" s="265" t="n">
        <x:v>1100</x:v>
      </x:c>
      <x:c r="AA297" s="253" t="str">
        <x:f>IF(V297="No","Maturing",IF(AND(U297="Yes",Y297&gt;0),"Yes","No"))</x:f>
        <x:v>No</x:v>
      </x:c>
      <x:c r="AB297" s="253" t="str">
        <x:f>IF(W297="No","Maturing",IF(AND(U297="Yes",Z297&gt;0),"Yes","No"))</x:f>
        <x:v>No</x:v>
      </x:c>
      <x:c r="AC297" s="265" t="n">
        <x:v>-418.85</x:v>
      </x:c>
      <x:c r="AD297" s="265" t="n">
        <x:v>-418.85</x:v>
      </x:c>
      <x:c r="AE297" s="271" t="str"/>
      <x:c r="AF297" s="274" t="str">
        <x:v>Not validated - no control/holdout</x:v>
      </x:c>
      <x:c r="AG297" s="277" t="str">
        <x:v>Recovered execution only; assignment date and unclaimed-offer denominator unavailable</x:v>
      </x:c>
    </x:row>
    <x:row r="298">
      <x:c r="A298" s="252" t="str">
        <x:v>33990763</x:v>
      </x:c>
      <x:c r="B298" s="253" t="str">
        <x:v>WS1</x:v>
      </x:c>
      <x:c r="C298" s="253" t="str">
        <x:v>MB8</x:v>
      </x:c>
      <x:c r="D298" s="262" t="n">
        <x:v>46135.94844907407</x:v>
      </x:c>
      <x:c r="E298" s="259" t="n">
        <x:v>46135.166666666664</x:v>
      </x:c>
      <x:c r="F298" s="253" t="str">
        <x:v>435109</x:v>
      </x:c>
      <x:c r="G298" s="253" t="str">
        <x:v>60126250813</x:v>
      </x:c>
      <x:c r="H298" s="253" t="str">
        <x:v>Yes</x:v>
      </x:c>
      <x:c r="I298" s="253" t="str">
        <x:v>zhen</x:v>
      </x:c>
      <x:c r="J298" s="253" t="str">
        <x:v>zhen</x:v>
      </x:c>
      <x:c r="K298" s="259" t="n">
        <x:v>45880.166666666664</x:v>
      </x:c>
      <x:c r="L298" s="268" t="str">
        <x:f>IFERROR(VLOOKUP(I298,'Handler-Team Map'!$A$7:$C$17,2,FALSE),"")</x:f>
      </x:c>
      <x:c r="M298" s="268" t="str">
        <x:f>IFERROR(VLOOKUP(I298,'Handler-Team Map'!$A$7:$C$17,3,FALSE),"")</x:f>
      </x:c>
      <x:c r="N298" s="274" t="str">
        <x:v>FT_VM_DEP600_GET200_5X</x:v>
      </x:c>
      <x:c r="O298" s="274" t="str">
        <x:v>VIP BONUS - Deposit 600 Get 200 - 5x TO</x:v>
      </x:c>
      <x:c r="P298" s="274" t="str">
        <x:v>DepositBonus</x:v>
      </x:c>
      <x:c r="Q298" s="274" t="str">
        <x:v>Approved</x:v>
      </x:c>
      <x:c r="R298" s="265" t="n">
        <x:v>200</x:v>
      </x:c>
      <x:c r="S298" s="253" t="str">
        <x:v>Yes</x:v>
      </x:c>
      <x:c r="T298" s="265" t="n">
        <x:v>1300</x:v>
      </x:c>
      <x:c r="U298" s="253" t="str">
        <x:f>IF(AND(S298="Yes",T298=0),"Yes","No")</x:f>
        <x:v>No</x:v>
      </x:c>
      <x:c r="V298" s="253" t="str">
        <x:v>Yes</x:v>
      </x:c>
      <x:c r="W298" s="253" t="str">
        <x:v>Yes</x:v>
      </x:c>
      <x:c r="X298" s="259" t="n">
        <x:v>46135.166666666664</x:v>
      </x:c>
      <x:c r="Y298" s="265" t="n">
        <x:v>900</x:v>
      </x:c>
      <x:c r="Z298" s="265" t="n">
        <x:v>1100</x:v>
      </x:c>
      <x:c r="AA298" s="253" t="str">
        <x:f>IF(V298="No","Maturing",IF(AND(U298="Yes",Y298&gt;0),"Yes","No"))</x:f>
        <x:v>No</x:v>
      </x:c>
      <x:c r="AB298" s="253" t="str">
        <x:f>IF(W298="No","Maturing",IF(AND(U298="Yes",Z298&gt;0),"Yes","No"))</x:f>
        <x:v>No</x:v>
      </x:c>
      <x:c r="AC298" s="265" t="n">
        <x:v>-2407.63</x:v>
      </x:c>
      <x:c r="AD298" s="265" t="n">
        <x:v>-2469</x:v>
      </x:c>
      <x:c r="AE298" s="271" t="str"/>
      <x:c r="AF298" s="274" t="str">
        <x:v>Not validated - no control/holdout</x:v>
      </x:c>
      <x:c r="AG298" s="277" t="str">
        <x:v>Recovered execution only; assignment date and unclaimed-offer denominator unavailable</x:v>
      </x:c>
    </x:row>
    <x:row r="299">
      <x:c r="A299" s="252" t="str">
        <x:v>33991580</x:v>
      </x:c>
      <x:c r="B299" s="253" t="str">
        <x:v>WS1</x:v>
      </x:c>
      <x:c r="C299" s="253" t="str">
        <x:v>MB8</x:v>
      </x:c>
      <x:c r="D299" s="262" t="n">
        <x:v>46135.990625</x:v>
      </x:c>
      <x:c r="E299" s="259" t="n">
        <x:v>46135.166666666664</x:v>
      </x:c>
      <x:c r="F299" s="253" t="str">
        <x:v>521114</x:v>
      </x:c>
      <x:c r="G299" s="253" t="str">
        <x:v>Nzboss8181</x:v>
      </x:c>
      <x:c r="H299" s="253" t="str">
        <x:v>Yes</x:v>
      </x:c>
      <x:c r="I299" s="253" t="str">
        <x:v>Claire</x:v>
      </x:c>
      <x:c r="J299" s="253" t="str">
        <x:v>Claire</x:v>
      </x:c>
      <x:c r="K299" s="259" t="n">
        <x:v>45659.166666666664</x:v>
      </x:c>
      <x:c r="L299" s="268" t="str">
        <x:f>IFERROR(VLOOKUP(I299,'Handler-Team Map'!$A$7:$C$17,2,FALSE),"")</x:f>
      </x:c>
      <x:c r="M299" s="268" t="str">
        <x:f>IFERROR(VLOOKUP(I299,'Handler-Team Map'!$A$7:$C$17,3,FALSE),"")</x:f>
      </x:c>
      <x:c r="N299" s="274" t="str">
        <x:v>FT_VM_DEP1000_GET500_5X</x:v>
      </x:c>
      <x:c r="O299" s="274" t="str">
        <x:v>VIP BONUS - Deposit 1000 Get 500 - 5x TO</x:v>
      </x:c>
      <x:c r="P299" s="274" t="str">
        <x:v>DepositBonus</x:v>
      </x:c>
      <x:c r="Q299" s="274" t="str">
        <x:v>Approved</x:v>
      </x:c>
      <x:c r="R299" s="265" t="n">
        <x:v>500</x:v>
      </x:c>
      <x:c r="S299" s="253" t="str">
        <x:v>Yes</x:v>
      </x:c>
      <x:c r="T299" s="265" t="n">
        <x:v>295900</x:v>
      </x:c>
      <x:c r="U299" s="253" t="str">
        <x:f>IF(AND(S299="Yes",T299=0),"Yes","No")</x:f>
        <x:v>No</x:v>
      </x:c>
      <x:c r="V299" s="253" t="str">
        <x:v>Yes</x:v>
      </x:c>
      <x:c r="W299" s="253" t="str">
        <x:v>Yes</x:v>
      </x:c>
      <x:c r="X299" s="259" t="n">
        <x:v>46135.166666666664</x:v>
      </x:c>
      <x:c r="Y299" s="265" t="n">
        <x:v>69900</x:v>
      </x:c>
      <x:c r="Z299" s="265" t="n">
        <x:v>148600</x:v>
      </x:c>
      <x:c r="AA299" s="253" t="str">
        <x:f>IF(V299="No","Maturing",IF(AND(U299="Yes",Y299&gt;0),"Yes","No"))</x:f>
        <x:v>No</x:v>
      </x:c>
      <x:c r="AB299" s="253" t="str">
        <x:f>IF(W299="No","Maturing",IF(AND(U299="Yes",Z299&gt;0),"Yes","No"))</x:f>
        <x:v>No</x:v>
      </x:c>
      <x:c r="AC299" s="265" t="n">
        <x:v>7037.63</x:v>
      </x:c>
      <x:c r="AD299" s="265" t="n">
        <x:v>42736.5</x:v>
      </x:c>
      <x:c r="AE299" s="271" t="str"/>
      <x:c r="AF299" s="274" t="str">
        <x:v>Not validated - no control/holdout</x:v>
      </x:c>
      <x:c r="AG299" s="277" t="str">
        <x:v>Recovered execution only; assignment date and unclaimed-offer denominator unavailable</x:v>
      </x:c>
    </x:row>
    <x:row r="300">
      <x:c r="A300" s="252" t="str">
        <x:v>33994760</x:v>
      </x:c>
      <x:c r="B300" s="253" t="str">
        <x:v>WS1</x:v>
      </x:c>
      <x:c r="C300" s="253" t="str">
        <x:v>MB8</x:v>
      </x:c>
      <x:c r="D300" s="262" t="n">
        <x:v>46136.338009259256</x:v>
      </x:c>
      <x:c r="E300" s="259" t="n">
        <x:v>46136.166666666664</x:v>
      </x:c>
      <x:c r="F300" s="253" t="str">
        <x:v>677928</x:v>
      </x:c>
      <x:c r="G300" s="253" t="str">
        <x:v>sheikhqader</x:v>
      </x:c>
      <x:c r="H300" s="253" t="str">
        <x:v>Yes</x:v>
      </x:c>
      <x:c r="I300" s="253" t="str">
        <x:v>Serene</x:v>
      </x:c>
      <x:c r="J300" s="253" t="str">
        <x:v>Serene</x:v>
      </x:c>
      <x:c r="K300" s="259" t="n">
        <x:v>45859.166666666664</x:v>
      </x:c>
      <x:c r="L300" s="268" t="str">
        <x:f>IFERROR(VLOOKUP(I300,'Handler-Team Map'!$A$7:$C$17,2,FALSE),"")</x:f>
      </x:c>
      <x:c r="M300" s="268" t="str">
        <x:f>IFERROR(VLOOKUP(I300,'Handler-Team Map'!$A$7:$C$17,3,FALSE),"")</x:f>
      </x:c>
      <x:c r="N300" s="274" t="str">
        <x:v>FT_VM_DEP1000_GET500_5X</x:v>
      </x:c>
      <x:c r="O300" s="274" t="str">
        <x:v>VIP BONUS - Deposit 1000 Get 500 - 5x TO</x:v>
      </x:c>
      <x:c r="P300" s="274" t="str">
        <x:v>DepositBonus</x:v>
      </x:c>
      <x:c r="Q300" s="274" t="str">
        <x:v>Approved</x:v>
      </x:c>
      <x:c r="R300" s="265" t="n">
        <x:v>500</x:v>
      </x:c>
      <x:c r="S300" s="253" t="str">
        <x:v>Yes</x:v>
      </x:c>
      <x:c r="T300" s="265" t="n">
        <x:v>154861.08</x:v>
      </x:c>
      <x:c r="U300" s="253" t="str">
        <x:f>IF(AND(S300="Yes",T300=0),"Yes","No")</x:f>
        <x:v>No</x:v>
      </x:c>
      <x:c r="V300" s="253" t="str">
        <x:v>Yes</x:v>
      </x:c>
      <x:c r="W300" s="253" t="str">
        <x:v>Yes</x:v>
      </x:c>
      <x:c r="X300" s="259" t="n">
        <x:v>46136.166666666664</x:v>
      </x:c>
      <x:c r="Y300" s="265" t="n">
        <x:v>27302</x:v>
      </x:c>
      <x:c r="Z300" s="265" t="n">
        <x:v>49789.7</x:v>
      </x:c>
      <x:c r="AA300" s="253" t="str">
        <x:f>IF(V300="No","Maturing",IF(AND(U300="Yes",Y300&gt;0),"Yes","No"))</x:f>
        <x:v>No</x:v>
      </x:c>
      <x:c r="AB300" s="253" t="str">
        <x:f>IF(W300="No","Maturing",IF(AND(U300="Yes",Z300&gt;0),"Yes","No"))</x:f>
        <x:v>No</x:v>
      </x:c>
      <x:c r="AC300" s="265" t="n">
        <x:v>-1153.87</x:v>
      </x:c>
      <x:c r="AD300" s="265" t="n">
        <x:v>339.78</x:v>
      </x:c>
      <x:c r="AE300" s="271" t="str"/>
      <x:c r="AF300" s="274" t="str">
        <x:v>Not validated - no control/holdout</x:v>
      </x:c>
      <x:c r="AG300" s="277" t="str">
        <x:v>Recovered execution only; assignment date and unclaimed-offer denominator unavailable</x:v>
      </x:c>
    </x:row>
    <x:row r="301">
      <x:c r="A301" s="252" t="str">
        <x:v>33995347</x:v>
      </x:c>
      <x:c r="B301" s="253" t="str">
        <x:v>WS1</x:v>
      </x:c>
      <x:c r="C301" s="253" t="str">
        <x:v>MB8</x:v>
      </x:c>
      <x:c r="D301" s="262" t="n">
        <x:v>46136.417129629626</x:v>
      </x:c>
      <x:c r="E301" s="259" t="n">
        <x:v>46136.166666666664</x:v>
      </x:c>
      <x:c r="F301" s="253" t="str">
        <x:v>681573</x:v>
      </x:c>
      <x:c r="G301" s="253" t="str">
        <x:v>Lyong6144</x:v>
      </x:c>
      <x:c r="H301" s="253" t="str">
        <x:v>Yes</x:v>
      </x:c>
      <x:c r="I301" s="253" t="str">
        <x:v>Elda</x:v>
      </x:c>
      <x:c r="J301" s="253" t="str">
        <x:v>Elda</x:v>
      </x:c>
      <x:c r="K301" s="259" t="n">
        <x:v>45790.166666666664</x:v>
      </x:c>
      <x:c r="L301" s="268" t="str">
        <x:f>IFERROR(VLOOKUP(I301,'Handler-Team Map'!$A$7:$C$17,2,FALSE),"")</x:f>
      </x:c>
      <x:c r="M301" s="268" t="str">
        <x:f>IFERROR(VLOOKUP(I301,'Handler-Team Map'!$A$7:$C$17,3,FALSE),"")</x:f>
      </x:c>
      <x:c r="N301" s="274" t="str">
        <x:v>FT_VM_DEP1000_GET500_5X</x:v>
      </x:c>
      <x:c r="O301" s="274" t="str">
        <x:v>VIP BONUS - Deposit 1000 Get 500 - 5x TO</x:v>
      </x:c>
      <x:c r="P301" s="274" t="str">
        <x:v>DepositBonus</x:v>
      </x:c>
      <x:c r="Q301" s="274" t="str">
        <x:v>Approved</x:v>
      </x:c>
      <x:c r="R301" s="265" t="n">
        <x:v>500</x:v>
      </x:c>
      <x:c r="S301" s="253" t="str">
        <x:v>Yes</x:v>
      </x:c>
      <x:c r="T301" s="265" t="n">
        <x:v>2690</x:v>
      </x:c>
      <x:c r="U301" s="253" t="str">
        <x:f>IF(AND(S301="Yes",T301=0),"Yes","No")</x:f>
        <x:v>No</x:v>
      </x:c>
      <x:c r="V301" s="253" t="str">
        <x:v>Yes</x:v>
      </x:c>
      <x:c r="W301" s="253" t="str">
        <x:v>Yes</x:v>
      </x:c>
      <x:c r="X301" s="259" t="n">
        <x:v>46136.166666666664</x:v>
      </x:c>
      <x:c r="Y301" s="265" t="n">
        <x:v>1150</x:v>
      </x:c>
      <x:c r="Z301" s="265" t="n">
        <x:v>2170</x:v>
      </x:c>
      <x:c r="AA301" s="253" t="str">
        <x:f>IF(V301="No","Maturing",IF(AND(U301="Yes",Y301&gt;0),"Yes","No"))</x:f>
        <x:v>No</x:v>
      </x:c>
      <x:c r="AB301" s="253" t="str">
        <x:f>IF(W301="No","Maturing",IF(AND(U301="Yes",Z301&gt;0),"Yes","No"))</x:f>
        <x:v>No</x:v>
      </x:c>
      <x:c r="AC301" s="265" t="n">
        <x:v>-50.08</x:v>
      </x:c>
      <x:c r="AD301" s="265" t="n">
        <x:v>-376.4</x:v>
      </x:c>
      <x:c r="AE301" s="271" t="str"/>
      <x:c r="AF301" s="274" t="str">
        <x:v>Not validated - no control/holdout</x:v>
      </x:c>
      <x:c r="AG301" s="277" t="str">
        <x:v>Recovered execution only; assignment date and unclaimed-offer denominator unavailable</x:v>
      </x:c>
    </x:row>
    <x:row r="302">
      <x:c r="A302" s="252" t="str">
        <x:v>33997664</x:v>
      </x:c>
      <x:c r="B302" s="253" t="str">
        <x:v>WS1</x:v>
      </x:c>
      <x:c r="C302" s="253" t="str">
        <x:v>MB8</x:v>
      </x:c>
      <x:c r="D302" s="262" t="n">
        <x:v>46136.650300925925</x:v>
      </x:c>
      <x:c r="E302" s="259" t="n">
        <x:v>46136.166666666664</x:v>
      </x:c>
      <x:c r="F302" s="253" t="str">
        <x:v>291306</x:v>
      </x:c>
      <x:c r="G302" s="253" t="str">
        <x:v>Jochang88</x:v>
      </x:c>
      <x:c r="H302" s="253" t="str">
        <x:v>Yes</x:v>
      </x:c>
      <x:c r="I302" s="253" t="str">
        <x:v>zhen</x:v>
      </x:c>
      <x:c r="J302" s="253" t="str">
        <x:v>zhen</x:v>
      </x:c>
      <x:c r="K302" s="259" t="n">
        <x:v>45880.166666666664</x:v>
      </x:c>
      <x:c r="L302" s="268" t="str">
        <x:f>IFERROR(VLOOKUP(I302,'Handler-Team Map'!$A$7:$C$17,2,FALSE),"")</x:f>
      </x:c>
      <x:c r="M302" s="268" t="str">
        <x:f>IFERROR(VLOOKUP(I302,'Handler-Team Map'!$A$7:$C$17,3,FALSE),"")</x:f>
      </x:c>
      <x:c r="N302" s="274" t="str">
        <x:v>FT_VM_DEP1000_GET500_5X</x:v>
      </x:c>
      <x:c r="O302" s="274" t="str">
        <x:v>VIP BONUS - Deposit 1000 Get 500 - 5x TO</x:v>
      </x:c>
      <x:c r="P302" s="274" t="str">
        <x:v>DepositBonus</x:v>
      </x:c>
      <x:c r="Q302" s="274" t="str">
        <x:v>Approved</x:v>
      </x:c>
      <x:c r="R302" s="265" t="n">
        <x:v>500</x:v>
      </x:c>
      <x:c r="S302" s="253" t="str">
        <x:v>Yes</x:v>
      </x:c>
      <x:c r="T302" s="265" t="n">
        <x:v>17425</x:v>
      </x:c>
      <x:c r="U302" s="253" t="str">
        <x:f>IF(AND(S302="Yes",T302=0),"Yes","No")</x:f>
        <x:v>No</x:v>
      </x:c>
      <x:c r="V302" s="253" t="str">
        <x:v>Yes</x:v>
      </x:c>
      <x:c r="W302" s="253" t="str">
        <x:v>Yes</x:v>
      </x:c>
      <x:c r="X302" s="259" t="n">
        <x:v>46136.166666666664</x:v>
      </x:c>
      <x:c r="Y302" s="265" t="n">
        <x:v>1000</x:v>
      </x:c>
      <x:c r="Z302" s="265" t="n">
        <x:v>1280</x:v>
      </x:c>
      <x:c r="AA302" s="253" t="str">
        <x:f>IF(V302="No","Maturing",IF(AND(U302="Yes",Y302&gt;0),"Yes","No"))</x:f>
        <x:v>No</x:v>
      </x:c>
      <x:c r="AB302" s="253" t="str">
        <x:f>IF(W302="No","Maturing",IF(AND(U302="Yes",Z302&gt;0),"Yes","No"))</x:f>
        <x:v>No</x:v>
      </x:c>
      <x:c r="AC302" s="265" t="n">
        <x:v>749.76</x:v>
      </x:c>
      <x:c r="AD302" s="265" t="n">
        <x:v>1026.12</x:v>
      </x:c>
      <x:c r="AE302" s="271" t="str"/>
      <x:c r="AF302" s="274" t="str">
        <x:v>Not validated - no control/holdout</x:v>
      </x:c>
      <x:c r="AG302" s="277" t="str">
        <x:v>Recovered execution only; assignment date and unclaimed-offer denominator unavailable</x:v>
      </x:c>
    </x:row>
    <x:row r="303">
      <x:c r="A303" s="252" t="str">
        <x:v>33997680</x:v>
      </x:c>
      <x:c r="B303" s="253" t="str">
        <x:v>WS1</x:v>
      </x:c>
      <x:c r="C303" s="253" t="str">
        <x:v>MB8</x:v>
      </x:c>
      <x:c r="D303" s="262" t="n">
        <x:v>46136.65153935185</x:v>
      </x:c>
      <x:c r="E303" s="259" t="n">
        <x:v>46136.166666666664</x:v>
      </x:c>
      <x:c r="F303" s="253" t="str">
        <x:v>772894</x:v>
      </x:c>
      <x:c r="G303" s="253" t="str">
        <x:v>anuar531</x:v>
      </x:c>
      <x:c r="H303" s="253" t="str">
        <x:v>Yes</x:v>
      </x:c>
      <x:c r="I303" s="253" t="str">
        <x:v>Claire</x:v>
      </x:c>
      <x:c r="J303" s="253" t="str">
        <x:v>Claire</x:v>
      </x:c>
      <x:c r="K303" s="259" t="n">
        <x:v>45659.166666666664</x:v>
      </x:c>
      <x:c r="L303" s="268" t="str">
        <x:f>IFERROR(VLOOKUP(I303,'Handler-Team Map'!$A$7:$C$17,2,FALSE),"")</x:f>
      </x:c>
      <x:c r="M303" s="268" t="str">
        <x:f>IFERROR(VLOOKUP(I303,'Handler-Team Map'!$A$7:$C$17,3,FALSE),"")</x:f>
      </x:c>
      <x:c r="N303" s="274" t="str">
        <x:v>FT_VM_DEP1000_GET500_5X</x:v>
      </x:c>
      <x:c r="O303" s="274" t="str">
        <x:v>VIP BONUS - Deposit 1000 Get 500 - 5x TO</x:v>
      </x:c>
      <x:c r="P303" s="274" t="str">
        <x:v>DepositBonus</x:v>
      </x:c>
      <x:c r="Q303" s="274" t="str">
        <x:v>Approved</x:v>
      </x:c>
      <x:c r="R303" s="265" t="n">
        <x:v>500</x:v>
      </x:c>
      <x:c r="S303" s="253" t="str">
        <x:v>Yes</x:v>
      </x:c>
      <x:c r="T303" s="265" t="n">
        <x:v>3198</x:v>
      </x:c>
      <x:c r="U303" s="253" t="str">
        <x:f>IF(AND(S303="Yes",T303=0),"Yes","No")</x:f>
        <x:v>No</x:v>
      </x:c>
      <x:c r="V303" s="253" t="str">
        <x:v>Yes</x:v>
      </x:c>
      <x:c r="W303" s="253" t="str">
        <x:v>Yes</x:v>
      </x:c>
      <x:c r="X303" s="259" t="n">
        <x:v>46136.166666666664</x:v>
      </x:c>
      <x:c r="Y303" s="265" t="n">
        <x:v>3695</x:v>
      </x:c>
      <x:c r="Z303" s="265" t="n">
        <x:v>4695</x:v>
      </x:c>
      <x:c r="AA303" s="253" t="str">
        <x:f>IF(V303="No","Maturing",IF(AND(U303="Yes",Y303&gt;0),"Yes","No"))</x:f>
        <x:v>No</x:v>
      </x:c>
      <x:c r="AB303" s="253" t="str">
        <x:f>IF(W303="No","Maturing",IF(AND(U303="Yes",Z303&gt;0),"Yes","No"))</x:f>
        <x:v>No</x:v>
      </x:c>
      <x:c r="AC303" s="265" t="n">
        <x:v>2795.23</x:v>
      </x:c>
      <x:c r="AD303" s="265" t="n">
        <x:v>1130.26</x:v>
      </x:c>
      <x:c r="AE303" s="271" t="str"/>
      <x:c r="AF303" s="274" t="str">
        <x:v>Not validated - no control/holdout</x:v>
      </x:c>
      <x:c r="AG303" s="277" t="str">
        <x:v>Recovered execution only; assignment date and unclaimed-offer denominator unavailable</x:v>
      </x:c>
    </x:row>
    <x:row r="304">
      <x:c r="A304" s="252" t="str">
        <x:v>33998102</x:v>
      </x:c>
      <x:c r="B304" s="253" t="str">
        <x:v>WS1</x:v>
      </x:c>
      <x:c r="C304" s="253" t="str">
        <x:v>MB8</x:v>
      </x:c>
      <x:c r="D304" s="262" t="n">
        <x:v>46136.68096064815</x:v>
      </x:c>
      <x:c r="E304" s="259" t="n">
        <x:v>46136.166666666664</x:v>
      </x:c>
      <x:c r="F304" s="253" t="str">
        <x:v>999210</x:v>
      </x:c>
      <x:c r="G304" s="253" t="str">
        <x:v>flosueper</x:v>
      </x:c>
      <x:c r="H304" s="253" t="str">
        <x:v>Yes</x:v>
      </x:c>
      <x:c r="I304" s="253" t="str">
        <x:v>Claire</x:v>
      </x:c>
      <x:c r="J304" s="253" t="str">
        <x:v>Claire</x:v>
      </x:c>
      <x:c r="K304" s="259" t="n">
        <x:v>45755.166666666664</x:v>
      </x:c>
      <x:c r="L304" s="268" t="str">
        <x:f>IFERROR(VLOOKUP(I304,'Handler-Team Map'!$A$7:$C$17,2,FALSE),"")</x:f>
      </x:c>
      <x:c r="M304" s="268" t="str">
        <x:f>IFERROR(VLOOKUP(I304,'Handler-Team Map'!$A$7:$C$17,3,FALSE),"")</x:f>
      </x:c>
      <x:c r="N304" s="274" t="str">
        <x:v>FT_VM_DEP150_GET50_5X</x:v>
      </x:c>
      <x:c r="O304" s="274" t="str">
        <x:v>VIP BONUS - Deposit 150 Get 50 - 5x TO</x:v>
      </x:c>
      <x:c r="P304" s="274" t="str">
        <x:v>DepositBonus</x:v>
      </x:c>
      <x:c r="Q304" s="274" t="str">
        <x:v>Approved</x:v>
      </x:c>
      <x:c r="R304" s="265" t="n">
        <x:v>50</x:v>
      </x:c>
      <x:c r="S304" s="253" t="str">
        <x:v>Yes</x:v>
      </x:c>
      <x:c r="T304" s="265" t="n">
        <x:v>27770</x:v>
      </x:c>
      <x:c r="U304" s="253" t="str">
        <x:f>IF(AND(S304="Yes",T304=0),"Yes","No")</x:f>
        <x:v>No</x:v>
      </x:c>
      <x:c r="V304" s="253" t="str">
        <x:v>Yes</x:v>
      </x:c>
      <x:c r="W304" s="253" t="str">
        <x:v>Yes</x:v>
      </x:c>
      <x:c r="X304" s="259" t="n">
        <x:v>46136.166666666664</x:v>
      </x:c>
      <x:c r="Y304" s="265" t="n">
        <x:v>12650</x:v>
      </x:c>
      <x:c r="Z304" s="265" t="n">
        <x:v>24850</x:v>
      </x:c>
      <x:c r="AA304" s="253" t="str">
        <x:f>IF(V304="No","Maturing",IF(AND(U304="Yes",Y304&gt;0),"Yes","No"))</x:f>
        <x:v>No</x:v>
      </x:c>
      <x:c r="AB304" s="253" t="str">
        <x:f>IF(W304="No","Maturing",IF(AND(U304="Yes",Z304&gt;0),"Yes","No"))</x:f>
        <x:v>No</x:v>
      </x:c>
      <x:c r="AC304" s="265" t="n">
        <x:v>-4157.37</x:v>
      </x:c>
      <x:c r="AD304" s="265" t="n">
        <x:v>-5456.48</x:v>
      </x:c>
      <x:c r="AE304" s="271" t="str"/>
      <x:c r="AF304" s="274" t="str">
        <x:v>Not validated - no control/holdout</x:v>
      </x:c>
      <x:c r="AG304" s="277" t="str">
        <x:v>Recovered execution only; assignment date and unclaimed-offer denominator unavailable</x:v>
      </x:c>
    </x:row>
    <x:row r="305">
      <x:c r="A305" s="252" t="str">
        <x:v>33998220</x:v>
      </x:c>
      <x:c r="B305" s="253" t="str">
        <x:v>WS1</x:v>
      </x:c>
      <x:c r="C305" s="253" t="str">
        <x:v>MB8</x:v>
      </x:c>
      <x:c r="D305" s="262" t="n">
        <x:v>46136.68875</x:v>
      </x:c>
      <x:c r="E305" s="259" t="n">
        <x:v>46136.166666666664</x:v>
      </x:c>
      <x:c r="F305" s="253" t="str">
        <x:v>1014620</x:v>
      </x:c>
      <x:c r="G305" s="253" t="str">
        <x:v>Surianti8</x:v>
      </x:c>
      <x:c r="H305" s="253" t="str">
        <x:v>Yes</x:v>
      </x:c>
      <x:c r="I305" s="253" t="str">
        <x:v>zhen</x:v>
      </x:c>
      <x:c r="J305" s="253" t="str">
        <x:v>zhen</x:v>
      </x:c>
      <x:c r="K305" s="259" t="n">
        <x:v>45880.166666666664</x:v>
      </x:c>
      <x:c r="L305" s="268" t="str">
        <x:f>IFERROR(VLOOKUP(I305,'Handler-Team Map'!$A$7:$C$17,2,FALSE),"")</x:f>
      </x:c>
      <x:c r="M305" s="268" t="str">
        <x:f>IFERROR(VLOOKUP(I305,'Handler-Team Map'!$A$7:$C$17,3,FALSE),"")</x:f>
      </x:c>
      <x:c r="N305" s="274" t="str">
        <x:v>FT_VM_DEP600_GET200_5X</x:v>
      </x:c>
      <x:c r="O305" s="274" t="str">
        <x:v>VIP BONUS - Deposit 600 Get 200 - 5x TO</x:v>
      </x:c>
      <x:c r="P305" s="274" t="str">
        <x:v>DepositBonus</x:v>
      </x:c>
      <x:c r="Q305" s="274" t="str">
        <x:v>Approved</x:v>
      </x:c>
      <x:c r="R305" s="265" t="n">
        <x:v>200</x:v>
      </x:c>
      <x:c r="S305" s="253" t="str">
        <x:v>Yes</x:v>
      </x:c>
      <x:c r="T305" s="265" t="n">
        <x:v>1300</x:v>
      </x:c>
      <x:c r="U305" s="253" t="str">
        <x:f>IF(AND(S305="Yes",T305=0),"Yes","No")</x:f>
        <x:v>No</x:v>
      </x:c>
      <x:c r="V305" s="253" t="str">
        <x:v>Yes</x:v>
      </x:c>
      <x:c r="W305" s="253" t="str">
        <x:v>Yes</x:v>
      </x:c>
      <x:c r="X305" s="259" t="n">
        <x:v>46136.166666666664</x:v>
      </x:c>
      <x:c r="Y305" s="265" t="n">
        <x:v>600</x:v>
      </x:c>
      <x:c r="Z305" s="265" t="n">
        <x:v>1200</x:v>
      </x:c>
      <x:c r="AA305" s="253" t="str">
        <x:f>IF(V305="No","Maturing",IF(AND(U305="Yes",Y305&gt;0),"Yes","No"))</x:f>
        <x:v>No</x:v>
      </x:c>
      <x:c r="AB305" s="253" t="str">
        <x:f>IF(W305="No","Maturing",IF(AND(U305="Yes",Z305&gt;0),"Yes","No"))</x:f>
        <x:v>No</x:v>
      </x:c>
      <x:c r="AC305" s="265" t="n">
        <x:v>601.95</x:v>
      </x:c>
      <x:c r="AD305" s="265" t="n">
        <x:v>1200.28</x:v>
      </x:c>
      <x:c r="AE305" s="271" t="str"/>
      <x:c r="AF305" s="274" t="str">
        <x:v>Not validated - no control/holdout</x:v>
      </x:c>
      <x:c r="AG305" s="277" t="str">
        <x:v>Recovered execution only; assignment date and unclaimed-offer denominator unavailable</x:v>
      </x:c>
    </x:row>
    <x:row r="306">
      <x:c r="A306" s="252" t="str">
        <x:v>33998275</x:v>
      </x:c>
      <x:c r="B306" s="253" t="str">
        <x:v>WS1</x:v>
      </x:c>
      <x:c r="C306" s="253" t="str">
        <x:v>MB8</x:v>
      </x:c>
      <x:c r="D306" s="262" t="n">
        <x:v>46136.691724537035</x:v>
      </x:c>
      <x:c r="E306" s="259" t="n">
        <x:v>46136.166666666664</x:v>
      </x:c>
      <x:c r="F306" s="253" t="str">
        <x:v>940819</x:v>
      </x:c>
      <x:c r="G306" s="253" t="str">
        <x:v>Js7611</x:v>
      </x:c>
      <x:c r="H306" s="253" t="str">
        <x:v>Yes</x:v>
      </x:c>
      <x:c r="I306" s="253" t="str">
        <x:v>Tammy</x:v>
      </x:c>
      <x:c r="J306" s="253" t="str">
        <x:v>Tammy</x:v>
      </x:c>
      <x:c r="K306" s="259" t="n">
        <x:v>45951.166666666664</x:v>
      </x:c>
      <x:c r="L306" s="268" t="str">
        <x:f>IFERROR(VLOOKUP(I306,'Handler-Team Map'!$A$7:$C$17,2,FALSE),"")</x:f>
      </x:c>
      <x:c r="M306" s="268" t="str">
        <x:f>IFERROR(VLOOKUP(I306,'Handler-Team Map'!$A$7:$C$17,3,FALSE),"")</x:f>
      </x:c>
      <x:c r="N306" s="274" t="str">
        <x:v>FT_VM_DEP1000_GET500_5X</x:v>
      </x:c>
      <x:c r="O306" s="274" t="str">
        <x:v>VIP BONUS - Deposit 1000 Get 500 - 5x TO</x:v>
      </x:c>
      <x:c r="P306" s="274" t="str">
        <x:v>DepositBonus</x:v>
      </x:c>
      <x:c r="Q306" s="274" t="str">
        <x:v>Approved</x:v>
      </x:c>
      <x:c r="R306" s="265" t="n">
        <x:v>500</x:v>
      </x:c>
      <x:c r="S306" s="253" t="str">
        <x:v>Yes</x:v>
      </x:c>
      <x:c r="T306" s="265" t="n">
        <x:v>750</x:v>
      </x:c>
      <x:c r="U306" s="253" t="str">
        <x:f>IF(AND(S306="Yes",T306=0),"Yes","No")</x:f>
        <x:v>No</x:v>
      </x:c>
      <x:c r="V306" s="253" t="str">
        <x:v>Yes</x:v>
      </x:c>
      <x:c r="W306" s="253" t="str">
        <x:v>Yes</x:v>
      </x:c>
      <x:c r="X306" s="259" t="n">
        <x:v>46136.166666666664</x:v>
      </x:c>
      <x:c r="Y306" s="265" t="n">
        <x:v>1278</x:v>
      </x:c>
      <x:c r="Z306" s="265" t="n">
        <x:v>1578</x:v>
      </x:c>
      <x:c r="AA306" s="253" t="str">
        <x:f>IF(V306="No","Maturing",IF(AND(U306="Yes",Y306&gt;0),"Yes","No"))</x:f>
        <x:v>No</x:v>
      </x:c>
      <x:c r="AB306" s="253" t="str">
        <x:f>IF(W306="No","Maturing",IF(AND(U306="Yes",Z306&gt;0),"Yes","No"))</x:f>
        <x:v>No</x:v>
      </x:c>
      <x:c r="AC306" s="265" t="n">
        <x:v>1277.4</x:v>
      </x:c>
      <x:c r="AD306" s="265" t="n">
        <x:v>1577.8</x:v>
      </x:c>
      <x:c r="AE306" s="271" t="str"/>
      <x:c r="AF306" s="274" t="str">
        <x:v>Not validated - no control/holdout</x:v>
      </x:c>
      <x:c r="AG306" s="277" t="str">
        <x:v>Recovered execution only; assignment date and unclaimed-offer denominator unavailable</x:v>
      </x:c>
    </x:row>
    <x:row r="307">
      <x:c r="A307" s="252" t="str">
        <x:v>33998284</x:v>
      </x:c>
      <x:c r="B307" s="253" t="str">
        <x:v>WS1</x:v>
      </x:c>
      <x:c r="C307" s="253" t="str">
        <x:v>MB8</x:v>
      </x:c>
      <x:c r="D307" s="262" t="n">
        <x:v>46136.69262731481</x:v>
      </x:c>
      <x:c r="E307" s="259" t="n">
        <x:v>46136.166666666664</x:v>
      </x:c>
      <x:c r="F307" s="253" t="str">
        <x:v>478019</x:v>
      </x:c>
      <x:c r="G307" s="253" t="str">
        <x:v>Latino65</x:v>
      </x:c>
      <x:c r="H307" s="253" t="str">
        <x:v>Yes</x:v>
      </x:c>
      <x:c r="I307" s="253" t="str">
        <x:v>Claire</x:v>
      </x:c>
      <x:c r="J307" s="253" t="str">
        <x:v>Claire</x:v>
      </x:c>
      <x:c r="K307" s="259" t="n">
        <x:v>45790.166666666664</x:v>
      </x:c>
      <x:c r="L307" s="268" t="str">
        <x:f>IFERROR(VLOOKUP(I307,'Handler-Team Map'!$A$7:$C$17,2,FALSE),"")</x:f>
      </x:c>
      <x:c r="M307" s="268" t="str">
        <x:f>IFERROR(VLOOKUP(I307,'Handler-Team Map'!$A$7:$C$17,3,FALSE),"")</x:f>
      </x:c>
      <x:c r="N307" s="274" t="str">
        <x:v>FT_VM_DEP300_GET100_5X</x:v>
      </x:c>
      <x:c r="O307" s="274" t="str">
        <x:v>VIP BONUS - Deposit 300 Get 100 - 5x TO</x:v>
      </x:c>
      <x:c r="P307" s="274" t="str">
        <x:v>DepositBonus</x:v>
      </x:c>
      <x:c r="Q307" s="274" t="str">
        <x:v>Approved</x:v>
      </x:c>
      <x:c r="R307" s="265" t="n">
        <x:v>100</x:v>
      </x:c>
      <x:c r="S307" s="253" t="str">
        <x:v>Yes</x:v>
      </x:c>
      <x:c r="T307" s="265" t="n">
        <x:v>25513</x:v>
      </x:c>
      <x:c r="U307" s="253" t="str">
        <x:f>IF(AND(S307="Yes",T307=0),"Yes","No")</x:f>
        <x:v>No</x:v>
      </x:c>
      <x:c r="V307" s="253" t="str">
        <x:v>Yes</x:v>
      </x:c>
      <x:c r="W307" s="253" t="str">
        <x:v>Yes</x:v>
      </x:c>
      <x:c r="X307" s="259" t="n">
        <x:v>46136.166666666664</x:v>
      </x:c>
      <x:c r="Y307" s="265" t="n">
        <x:v>2595</x:v>
      </x:c>
      <x:c r="Z307" s="265" t="n">
        <x:v>5558</x:v>
      </x:c>
      <x:c r="AA307" s="253" t="str">
        <x:f>IF(V307="No","Maturing",IF(AND(U307="Yes",Y307&gt;0),"Yes","No"))</x:f>
        <x:v>No</x:v>
      </x:c>
      <x:c r="AB307" s="253" t="str">
        <x:f>IF(W307="No","Maturing",IF(AND(U307="Yes",Z307&gt;0),"Yes","No"))</x:f>
        <x:v>No</x:v>
      </x:c>
      <x:c r="AC307" s="265" t="n">
        <x:v>2256.28</x:v>
      </x:c>
      <x:c r="AD307" s="265" t="n">
        <x:v>4857.67</x:v>
      </x:c>
      <x:c r="AE307" s="271" t="str"/>
      <x:c r="AF307" s="274" t="str">
        <x:v>Not validated - no control/holdout</x:v>
      </x:c>
      <x:c r="AG307" s="277" t="str">
        <x:v>Recovered execution only; assignment date and unclaimed-offer denominator unavailable</x:v>
      </x:c>
    </x:row>
    <x:row r="308">
      <x:c r="A308" s="252" t="str">
        <x:v>33998789</x:v>
      </x:c>
      <x:c r="B308" s="253" t="str">
        <x:v>WS1</x:v>
      </x:c>
      <x:c r="C308" s="253" t="str">
        <x:v>MB8</x:v>
      </x:c>
      <x:c r="D308" s="262" t="n">
        <x:v>46136.741631944446</x:v>
      </x:c>
      <x:c r="E308" s="259" t="n">
        <x:v>46136.166666666664</x:v>
      </x:c>
      <x:c r="F308" s="253" t="str">
        <x:v>1192824</x:v>
      </x:c>
      <x:c r="G308" s="253" t="str">
        <x:v>Timi0922</x:v>
      </x:c>
      <x:c r="H308" s="253" t="str">
        <x:v>Yes</x:v>
      </x:c>
      <x:c r="I308" s="253" t="str"/>
      <x:c r="J308" s="253" t="str"/>
      <x:c r="K308" s="259"/>
      <x:c r="L308" s="268" t="str">
        <x:f>IFERROR(VLOOKUP(I308,'Handler-Team Map'!$A$7:$C$17,2,FALSE),"")</x:f>
      </x:c>
      <x:c r="M308" s="268" t="str">
        <x:f>IFERROR(VLOOKUP(I308,'Handler-Team Map'!$A$7:$C$17,3,FALSE),"")</x:f>
      </x:c>
      <x:c r="N308" s="274" t="str">
        <x:v>FT_VM_DEP800_GET400_1X</x:v>
      </x:c>
      <x:c r="O308" s="274" t="str">
        <x:v>VIP BONUS - Deposit 800 Get 400 - 1x TO</x:v>
      </x:c>
      <x:c r="P308" s="274" t="str">
        <x:v>DepositBonus</x:v>
      </x:c>
      <x:c r="Q308" s="274" t="str">
        <x:v>Approved</x:v>
      </x:c>
      <x:c r="R308" s="265" t="n">
        <x:v>400</x:v>
      </x:c>
      <x:c r="S308" s="253" t="str">
        <x:v>Yes</x:v>
      </x:c>
      <x:c r="T308" s="265" t="n">
        <x:v>700</x:v>
      </x:c>
      <x:c r="U308" s="253" t="str">
        <x:f>IF(AND(S308="Yes",T308=0),"Yes","No")</x:f>
        <x:v>No</x:v>
      </x:c>
      <x:c r="V308" s="253" t="str">
        <x:v>Yes</x:v>
      </x:c>
      <x:c r="W308" s="253" t="str">
        <x:v>Yes</x:v>
      </x:c>
      <x:c r="X308" s="259" t="n">
        <x:v>46136.166666666664</x:v>
      </x:c>
      <x:c r="Y308" s="265" t="n">
        <x:v>800</x:v>
      </x:c>
      <x:c r="Z308" s="265" t="n">
        <x:v>800</x:v>
      </x:c>
      <x:c r="AA308" s="253" t="str">
        <x:f>IF(V308="No","Maturing",IF(AND(U308="Yes",Y308&gt;0),"Yes","No"))</x:f>
        <x:v>No</x:v>
      </x:c>
      <x:c r="AB308" s="253" t="str">
        <x:f>IF(W308="No","Maturing",IF(AND(U308="Yes",Z308&gt;0),"Yes","No"))</x:f>
        <x:v>No</x:v>
      </x:c>
      <x:c r="AC308" s="265" t="n">
        <x:v>800.16</x:v>
      </x:c>
      <x:c r="AD308" s="265" t="n">
        <x:v>800.16</x:v>
      </x:c>
      <x:c r="AE308" s="271" t="str"/>
      <x:c r="AF308" s="274" t="str">
        <x:v>Not validated - no control/holdout</x:v>
      </x:c>
      <x:c r="AG308" s="277" t="str">
        <x:v>Recovered execution only; assignment date and unclaimed-offer denominator unavailable</x:v>
      </x:c>
    </x:row>
    <x:row r="309">
      <x:c r="A309" s="252" t="str">
        <x:v>33999318</x:v>
      </x:c>
      <x:c r="B309" s="253" t="str">
        <x:v>WS1</x:v>
      </x:c>
      <x:c r="C309" s="253" t="str">
        <x:v>MB8</x:v>
      </x:c>
      <x:c r="D309" s="262" t="n">
        <x:v>46136.77099537037</x:v>
      </x:c>
      <x:c r="E309" s="259" t="n">
        <x:v>46136.166666666664</x:v>
      </x:c>
      <x:c r="F309" s="253" t="str">
        <x:v>975565</x:v>
      </x:c>
      <x:c r="G309" s="253" t="str">
        <x:v>cloudywin</x:v>
      </x:c>
      <x:c r="H309" s="253" t="str">
        <x:v>Yes</x:v>
      </x:c>
      <x:c r="I309" s="253" t="str">
        <x:v>Serene</x:v>
      </x:c>
      <x:c r="J309" s="253" t="str">
        <x:v>Serene</x:v>
      </x:c>
      <x:c r="K309" s="259" t="n">
        <x:v>46105.166666666664</x:v>
      </x:c>
      <x:c r="L309" s="268" t="str">
        <x:f>IFERROR(VLOOKUP(I309,'Handler-Team Map'!$A$7:$C$17,2,FALSE),"")</x:f>
      </x:c>
      <x:c r="M309" s="268" t="str">
        <x:f>IFERROR(VLOOKUP(I309,'Handler-Team Map'!$A$7:$C$17,3,FALSE),"")</x:f>
      </x:c>
      <x:c r="N309" s="274" t="str">
        <x:v>FT_VM_DEP300_GET100_5X</x:v>
      </x:c>
      <x:c r="O309" s="274" t="str">
        <x:v>VIP BONUS - Deposit 300 Get 100 - 5x TO</x:v>
      </x:c>
      <x:c r="P309" s="274" t="str">
        <x:v>DepositBonus</x:v>
      </x:c>
      <x:c r="Q309" s="274" t="str">
        <x:v>Approved</x:v>
      </x:c>
      <x:c r="R309" s="265" t="n">
        <x:v>100</x:v>
      </x:c>
      <x:c r="S309" s="253" t="str">
        <x:v>Yes</x:v>
      </x:c>
      <x:c r="T309" s="265" t="n">
        <x:v>57500</x:v>
      </x:c>
      <x:c r="U309" s="253" t="str">
        <x:f>IF(AND(S309="Yes",T309=0),"Yes","No")</x:f>
        <x:v>No</x:v>
      </x:c>
      <x:c r="V309" s="253" t="str">
        <x:v>Yes</x:v>
      </x:c>
      <x:c r="W309" s="253" t="str">
        <x:v>Yes</x:v>
      </x:c>
      <x:c r="X309" s="259" t="n">
        <x:v>46136.166666666664</x:v>
      </x:c>
      <x:c r="Y309" s="265" t="n">
        <x:v>50000</x:v>
      </x:c>
      <x:c r="Z309" s="265" t="n">
        <x:v>92000</x:v>
      </x:c>
      <x:c r="AA309" s="253" t="str">
        <x:f>IF(V309="No","Maturing",IF(AND(U309="Yes",Y309&gt;0),"Yes","No"))</x:f>
        <x:v>No</x:v>
      </x:c>
      <x:c r="AB309" s="253" t="str">
        <x:f>IF(W309="No","Maturing",IF(AND(U309="Yes",Z309&gt;0),"Yes","No"))</x:f>
        <x:v>No</x:v>
      </x:c>
      <x:c r="AC309" s="265" t="n">
        <x:v>21988.33</x:v>
      </x:c>
      <x:c r="AD309" s="265" t="n">
        <x:v>49870.85</x:v>
      </x:c>
      <x:c r="AE309" s="271" t="str"/>
      <x:c r="AF309" s="274" t="str">
        <x:v>Not validated - no control/holdout</x:v>
      </x:c>
      <x:c r="AG309" s="277" t="str">
        <x:v>Recovered execution only; assignment date and unclaimed-offer denominator unavailable</x:v>
      </x:c>
    </x:row>
    <x:row r="310">
      <x:c r="A310" s="252" t="str">
        <x:v>33999463</x:v>
      </x:c>
      <x:c r="B310" s="253" t="str">
        <x:v>WS1</x:v>
      </x:c>
      <x:c r="C310" s="253" t="str">
        <x:v>MB8</x:v>
      </x:c>
      <x:c r="D310" s="262" t="n">
        <x:v>46136.783009259256</x:v>
      </x:c>
      <x:c r="E310" s="259" t="n">
        <x:v>46136.166666666664</x:v>
      </x:c>
      <x:c r="F310" s="253" t="str">
        <x:v>725972</x:v>
      </x:c>
      <x:c r="G310" s="253" t="str">
        <x:v>chuamek</x:v>
      </x:c>
      <x:c r="H310" s="253" t="str">
        <x:v>Yes</x:v>
      </x:c>
      <x:c r="I310" s="253" t="str">
        <x:v>zhen</x:v>
      </x:c>
      <x:c r="J310" s="253" t="str">
        <x:v>zhen</x:v>
      </x:c>
      <x:c r="K310" s="259" t="n">
        <x:v>45880.166666666664</x:v>
      </x:c>
      <x:c r="L310" s="268" t="str">
        <x:f>IFERROR(VLOOKUP(I310,'Handler-Team Map'!$A$7:$C$17,2,FALSE),"")</x:f>
      </x:c>
      <x:c r="M310" s="268" t="str">
        <x:f>IFERROR(VLOOKUP(I310,'Handler-Team Map'!$A$7:$C$17,3,FALSE),"")</x:f>
      </x:c>
      <x:c r="N310" s="274" t="str">
        <x:v>FT_VM_DEP700_GET300_2X</x:v>
      </x:c>
      <x:c r="O310" s="274" t="str">
        <x:v>VIP BONUS - Deposit 700 Get 300 - 2x TO</x:v>
      </x:c>
      <x:c r="P310" s="274" t="str">
        <x:v>DepositBonus</x:v>
      </x:c>
      <x:c r="Q310" s="274" t="str">
        <x:v>Approved</x:v>
      </x:c>
      <x:c r="R310" s="265" t="n">
        <x:v>300</x:v>
      </x:c>
      <x:c r="S310" s="253" t="str">
        <x:v>Yes</x:v>
      </x:c>
      <x:c r="T310" s="265" t="n">
        <x:v>700</x:v>
      </x:c>
      <x:c r="U310" s="253" t="str">
        <x:f>IF(AND(S310="Yes",T310=0),"Yes","No")</x:f>
        <x:v>No</x:v>
      </x:c>
      <x:c r="V310" s="253" t="str">
        <x:v>Yes</x:v>
      </x:c>
      <x:c r="W310" s="253" t="str">
        <x:v>Yes</x:v>
      </x:c>
      <x:c r="X310" s="259" t="n">
        <x:v>46136.166666666664</x:v>
      </x:c>
      <x:c r="Y310" s="265" t="n">
        <x:v>700</x:v>
      </x:c>
      <x:c r="Z310" s="265" t="n">
        <x:v>700</x:v>
      </x:c>
      <x:c r="AA310" s="253" t="str">
        <x:f>IF(V310="No","Maturing",IF(AND(U310="Yes",Y310&gt;0),"Yes","No"))</x:f>
        <x:v>No</x:v>
      </x:c>
      <x:c r="AB310" s="253" t="str">
        <x:f>IF(W310="No","Maturing",IF(AND(U310="Yes",Z310&gt;0),"Yes","No"))</x:f>
        <x:v>No</x:v>
      </x:c>
      <x:c r="AC310" s="265" t="n">
        <x:v>-906.68</x:v>
      </x:c>
      <x:c r="AD310" s="265" t="n">
        <x:v>-906.68</x:v>
      </x:c>
      <x:c r="AE310" s="271" t="str"/>
      <x:c r="AF310" s="274" t="str">
        <x:v>Not validated - no control/holdout</x:v>
      </x:c>
      <x:c r="AG310" s="277" t="str">
        <x:v>Recovered execution only; assignment date and unclaimed-offer denominator unavailable</x:v>
      </x:c>
    </x:row>
    <x:row r="311">
      <x:c r="A311" s="252" t="str">
        <x:v>33999549</x:v>
      </x:c>
      <x:c r="B311" s="253" t="str">
        <x:v>WS1</x:v>
      </x:c>
      <x:c r="C311" s="253" t="str">
        <x:v>MB8</x:v>
      </x:c>
      <x:c r="D311" s="262" t="n">
        <x:v>46136.789293981485</x:v>
      </x:c>
      <x:c r="E311" s="259" t="n">
        <x:v>46136.166666666664</x:v>
      </x:c>
      <x:c r="F311" s="253" t="str">
        <x:v>113180</x:v>
      </x:c>
      <x:c r="G311" s="253" t="str">
        <x:v>Hazel</x:v>
      </x:c>
      <x:c r="H311" s="253" t="str">
        <x:v>Yes</x:v>
      </x:c>
      <x:c r="I311" s="253" t="str">
        <x:v>Serene</x:v>
      </x:c>
      <x:c r="J311" s="253" t="str">
        <x:v>Serene</x:v>
      </x:c>
      <x:c r="K311" s="259" t="n">
        <x:v>45831.166666666664</x:v>
      </x:c>
      <x:c r="L311" s="268" t="str">
        <x:f>IFERROR(VLOOKUP(I311,'Handler-Team Map'!$A$7:$C$17,2,FALSE),"")</x:f>
      </x:c>
      <x:c r="M311" s="268" t="str">
        <x:f>IFERROR(VLOOKUP(I311,'Handler-Team Map'!$A$7:$C$17,3,FALSE),"")</x:f>
      </x:c>
      <x:c r="N311" s="274" t="str">
        <x:v>FT_VM_DEP1000_GET700_2X</x:v>
      </x:c>
      <x:c r="O311" s="274" t="str">
        <x:v>VIP BONUS - Deposit 1000 Get 700 - 2x TO</x:v>
      </x:c>
      <x:c r="P311" s="274" t="str">
        <x:v>DepositBonus</x:v>
      </x:c>
      <x:c r="Q311" s="274" t="str">
        <x:v>Approved</x:v>
      </x:c>
      <x:c r="R311" s="265" t="n">
        <x:v>700</x:v>
      </x:c>
      <x:c r="S311" s="253" t="str">
        <x:v>Yes</x:v>
      </x:c>
      <x:c r="T311" s="265" t="n">
        <x:v>4000</x:v>
      </x:c>
      <x:c r="U311" s="253" t="str">
        <x:f>IF(AND(S311="Yes",T311=0),"Yes","No")</x:f>
        <x:v>No</x:v>
      </x:c>
      <x:c r="V311" s="253" t="str">
        <x:v>Yes</x:v>
      </x:c>
      <x:c r="W311" s="253" t="str">
        <x:v>Yes</x:v>
      </x:c>
      <x:c r="X311" s="259" t="n">
        <x:v>46136.166666666664</x:v>
      </x:c>
      <x:c r="Y311" s="265" t="n">
        <x:v>1000</x:v>
      </x:c>
      <x:c r="Z311" s="265" t="n">
        <x:v>2000</x:v>
      </x:c>
      <x:c r="AA311" s="253" t="str">
        <x:f>IF(V311="No","Maturing",IF(AND(U311="Yes",Y311&gt;0),"Yes","No"))</x:f>
        <x:v>No</x:v>
      </x:c>
      <x:c r="AB311" s="253" t="str">
        <x:f>IF(W311="No","Maturing",IF(AND(U311="Yes",Z311&gt;0),"Yes","No"))</x:f>
        <x:v>No</x:v>
      </x:c>
      <x:c r="AC311" s="265" t="n">
        <x:v>1637.3</x:v>
      </x:c>
      <x:c r="AD311" s="265" t="n">
        <x:v>2243.39</x:v>
      </x:c>
      <x:c r="AE311" s="271" t="str"/>
      <x:c r="AF311" s="274" t="str">
        <x:v>Not validated - no control/holdout</x:v>
      </x:c>
      <x:c r="AG311" s="277" t="str">
        <x:v>Recovered execution only; assignment date and unclaimed-offer denominator unavailable</x:v>
      </x:c>
    </x:row>
    <x:row r="312">
      <x:c r="A312" s="252" t="str">
        <x:v>34010709</x:v>
      </x:c>
      <x:c r="B312" s="253" t="str">
        <x:v>WS1</x:v>
      </x:c>
      <x:c r="C312" s="253" t="str">
        <x:v>MB8</x:v>
      </x:c>
      <x:c r="D312" s="262" t="n">
        <x:v>46137.72986111111</x:v>
      </x:c>
      <x:c r="E312" s="259" t="n">
        <x:v>46137.166666666664</x:v>
      </x:c>
      <x:c r="F312" s="253" t="str">
        <x:v>666090</x:v>
      </x:c>
      <x:c r="G312" s="253" t="str">
        <x:v>Anthony1</x:v>
      </x:c>
      <x:c r="H312" s="253" t="str">
        <x:v>Yes</x:v>
      </x:c>
      <x:c r="I312" s="253" t="str">
        <x:v>Mikki</x:v>
      </x:c>
      <x:c r="J312" s="253" t="str">
        <x:v>Mikki</x:v>
      </x:c>
      <x:c r="K312" s="259" t="n">
        <x:v>45993.166666666664</x:v>
      </x:c>
      <x:c r="L312" s="268" t="str">
        <x:f>IFERROR(VLOOKUP(I312,'Handler-Team Map'!$A$7:$C$17,2,FALSE),"")</x:f>
      </x:c>
      <x:c r="M312" s="268" t="str">
        <x:f>IFERROR(VLOOKUP(I312,'Handler-Team Map'!$A$7:$C$17,3,FALSE),"")</x:f>
      </x:c>
      <x:c r="N312" s="274" t="str">
        <x:v>FT_VM_DEP600_GET200_5X</x:v>
      </x:c>
      <x:c r="O312" s="274" t="str">
        <x:v>VIP BONUS - Deposit 600 Get 200 - 5x TO</x:v>
      </x:c>
      <x:c r="P312" s="274" t="str">
        <x:v>DepositBonus</x:v>
      </x:c>
      <x:c r="Q312" s="274" t="str">
        <x:v>Approved</x:v>
      </x:c>
      <x:c r="R312" s="265" t="n">
        <x:v>200</x:v>
      </x:c>
      <x:c r="S312" s="253" t="str">
        <x:v>Yes</x:v>
      </x:c>
      <x:c r="T312" s="265" t="n">
        <x:v>4000</x:v>
      </x:c>
      <x:c r="U312" s="253" t="str">
        <x:f>IF(AND(S312="Yes",T312=0),"Yes","No")</x:f>
        <x:v>No</x:v>
      </x:c>
      <x:c r="V312" s="253" t="str">
        <x:v>Yes</x:v>
      </x:c>
      <x:c r="W312" s="253" t="str">
        <x:v>Yes</x:v>
      </x:c>
      <x:c r="X312" s="259" t="n">
        <x:v>46137.166666666664</x:v>
      </x:c>
      <x:c r="Y312" s="265" t="n">
        <x:v>650</x:v>
      </x:c>
      <x:c r="Z312" s="265" t="n">
        <x:v>1910</x:v>
      </x:c>
      <x:c r="AA312" s="253" t="str">
        <x:f>IF(V312="No","Maturing",IF(AND(U312="Yes",Y312&gt;0),"Yes","No"))</x:f>
        <x:v>No</x:v>
      </x:c>
      <x:c r="AB312" s="253" t="str">
        <x:f>IF(W312="No","Maturing",IF(AND(U312="Yes",Z312&gt;0),"Yes","No"))</x:f>
        <x:v>No</x:v>
      </x:c>
      <x:c r="AC312" s="265" t="n">
        <x:v>990.6</x:v>
      </x:c>
      <x:c r="AD312" s="265" t="n">
        <x:v>-63.78</x:v>
      </x:c>
      <x:c r="AE312" s="271" t="str"/>
      <x:c r="AF312" s="274" t="str">
        <x:v>Not validated - no control/holdout</x:v>
      </x:c>
      <x:c r="AG312" s="277" t="str">
        <x:v>Recovered execution only; assignment date and unclaimed-offer denominator unavailable</x:v>
      </x:c>
    </x:row>
    <x:row r="313">
      <x:c r="A313" s="252" t="str">
        <x:v>34014441</x:v>
      </x:c>
      <x:c r="B313" s="253" t="str">
        <x:v>WS1</x:v>
      </x:c>
      <x:c r="C313" s="253" t="str">
        <x:v>MB8</x:v>
      </x:c>
      <x:c r="D313" s="262" t="n">
        <x:v>46137.97787037037</x:v>
      </x:c>
      <x:c r="E313" s="259" t="n">
        <x:v>46137.166666666664</x:v>
      </x:c>
      <x:c r="F313" s="253" t="str">
        <x:v>1122015</x:v>
      </x:c>
      <x:c r="G313" s="253" t="str">
        <x:v>Liew2318</x:v>
      </x:c>
      <x:c r="H313" s="253" t="str">
        <x:v>Yes</x:v>
      </x:c>
      <x:c r="I313" s="253" t="str"/>
      <x:c r="J313" s="253" t="str"/>
      <x:c r="K313" s="259"/>
      <x:c r="L313" s="268" t="str">
        <x:f>IFERROR(VLOOKUP(I313,'Handler-Team Map'!$A$7:$C$17,2,FALSE),"")</x:f>
      </x:c>
      <x:c r="M313" s="268" t="str">
        <x:f>IFERROR(VLOOKUP(I313,'Handler-Team Map'!$A$7:$C$17,3,FALSE),"")</x:f>
      </x:c>
      <x:c r="N313" s="274" t="str">
        <x:v>FT_VM_DEP1000_GET500_2X</x:v>
      </x:c>
      <x:c r="O313" s="274" t="str">
        <x:v>VIP BONUS - Deposit 1000 Get 500 - 2x TO</x:v>
      </x:c>
      <x:c r="P313" s="274" t="str">
        <x:v>DepositBonus</x:v>
      </x:c>
      <x:c r="Q313" s="274" t="str">
        <x:v>Approved</x:v>
      </x:c>
      <x:c r="R313" s="265" t="n">
        <x:v>500</x:v>
      </x:c>
      <x:c r="S313" s="253" t="str">
        <x:v>Yes</x:v>
      </x:c>
      <x:c r="T313" s="265" t="n">
        <x:v>1500</x:v>
      </x:c>
      <x:c r="U313" s="253" t="str">
        <x:f>IF(AND(S313="Yes",T313=0),"Yes","No")</x:f>
        <x:v>No</x:v>
      </x:c>
      <x:c r="V313" s="253" t="str">
        <x:v>Yes</x:v>
      </x:c>
      <x:c r="W313" s="253" t="str">
        <x:v>Yes</x:v>
      </x:c>
      <x:c r="X313" s="259" t="n">
        <x:v>46137.166666666664</x:v>
      </x:c>
      <x:c r="Y313" s="265" t="n">
        <x:v>1000</x:v>
      </x:c>
      <x:c r="Z313" s="265" t="n">
        <x:v>1000</x:v>
      </x:c>
      <x:c r="AA313" s="253" t="str">
        <x:f>IF(V313="No","Maturing",IF(AND(U313="Yes",Y313&gt;0),"Yes","No"))</x:f>
        <x:v>No</x:v>
      </x:c>
      <x:c r="AB313" s="253" t="str">
        <x:f>IF(W313="No","Maturing",IF(AND(U313="Yes",Z313&gt;0),"Yes","No"))</x:f>
        <x:v>No</x:v>
      </x:c>
      <x:c r="AC313" s="265" t="n">
        <x:v>1000.17</x:v>
      </x:c>
      <x:c r="AD313" s="265" t="n">
        <x:v>1000.17</x:v>
      </x:c>
      <x:c r="AE313" s="271" t="str"/>
      <x:c r="AF313" s="274" t="str">
        <x:v>Not validated - no control/holdout</x:v>
      </x:c>
      <x:c r="AG313" s="277" t="str">
        <x:v>Recovered execution only; assignment date and unclaimed-offer denominator unavailable</x:v>
      </x:c>
    </x:row>
    <x:row r="314">
      <x:c r="A314" s="252" t="str">
        <x:v>34016893</x:v>
      </x:c>
      <x:c r="B314" s="253" t="str">
        <x:v>WS1</x:v>
      </x:c>
      <x:c r="C314" s="253" t="str">
        <x:v>MB8</x:v>
      </x:c>
      <x:c r="D314" s="262" t="n">
        <x:v>46138.1190162037</x:v>
      </x:c>
      <x:c r="E314" s="259" t="n">
        <x:v>46138.166666666664</x:v>
      </x:c>
      <x:c r="F314" s="253" t="str">
        <x:v>631008</x:v>
      </x:c>
      <x:c r="G314" s="253" t="str">
        <x:v>Tay045195</x:v>
      </x:c>
      <x:c r="H314" s="253" t="str">
        <x:v>Yes</x:v>
      </x:c>
      <x:c r="I314" s="253" t="str"/>
      <x:c r="J314" s="253" t="str"/>
      <x:c r="K314" s="259"/>
      <x:c r="L314" s="268" t="str">
        <x:f>IFERROR(VLOOKUP(I314,'Handler-Team Map'!$A$7:$C$17,2,FALSE),"")</x:f>
      </x:c>
      <x:c r="M314" s="268" t="str">
        <x:f>IFERROR(VLOOKUP(I314,'Handler-Team Map'!$A$7:$C$17,3,FALSE),"")</x:f>
      </x:c>
      <x:c r="N314" s="274" t="str">
        <x:v>FT_VM_DEP1000_GET500_1X</x:v>
      </x:c>
      <x:c r="O314" s="274" t="str">
        <x:v>VIP BONUS - Deposit 1000 Get 500 - 1x TO</x:v>
      </x:c>
      <x:c r="P314" s="274" t="str">
        <x:v>DepositBonus</x:v>
      </x:c>
      <x:c r="Q314" s="274" t="str">
        <x:v>Approved</x:v>
      </x:c>
      <x:c r="R314" s="265" t="n">
        <x:v>500</x:v>
      </x:c>
      <x:c r="S314" s="253" t="str">
        <x:v>Yes</x:v>
      </x:c>
      <x:c r="T314" s="265" t="n">
        <x:v>0</x:v>
      </x:c>
      <x:c r="U314" s="253" t="str">
        <x:f>IF(AND(S314="Yes",T314=0),"Yes","No")</x:f>
        <x:v>Yes</x:v>
      </x:c>
      <x:c r="V314" s="253" t="str">
        <x:v>Yes</x:v>
      </x:c>
      <x:c r="W314" s="253" t="str">
        <x:v>Yes</x:v>
      </x:c>
      <x:c r="X314" s="259" t="n">
        <x:v>46138.166666666664</x:v>
      </x:c>
      <x:c r="Y314" s="265" t="n">
        <x:v>7290</x:v>
      </x:c>
      <x:c r="Z314" s="265" t="n">
        <x:v>7490</x:v>
      </x:c>
      <x:c r="AA314" s="253" t="str">
        <x:f>IF(V314="No","Maturing",IF(AND(U314="Yes",Y314&gt;0),"Yes","No"))</x:f>
        <x:v>Yes</x:v>
      </x:c>
      <x:c r="AB314" s="253" t="str">
        <x:f>IF(W314="No","Maturing",IF(AND(U314="Yes",Z314&gt;0),"Yes","No"))</x:f>
        <x:v>Yes</x:v>
      </x:c>
      <x:c r="AC314" s="265" t="n">
        <x:v>139.76</x:v>
      </x:c>
      <x:c r="AD314" s="265" t="n">
        <x:v>374.55</x:v>
      </x:c>
      <x:c r="AE314" s="271" t="str"/>
      <x:c r="AF314" s="274" t="str">
        <x:v>Not validated - no control/holdout</x:v>
      </x:c>
      <x:c r="AG314" s="277" t="str">
        <x:v>Recovered execution only; assignment date and unclaimed-offer denominator unavailable</x:v>
      </x:c>
    </x:row>
    <x:row r="315">
      <x:c r="A315" s="252" t="str">
        <x:v>34017236</x:v>
      </x:c>
      <x:c r="B315" s="253" t="str">
        <x:v>WS1</x:v>
      </x:c>
      <x:c r="C315" s="253" t="str">
        <x:v>MB8</x:v>
      </x:c>
      <x:c r="D315" s="262" t="n">
        <x:v>46138.15</x:v>
      </x:c>
      <x:c r="E315" s="259" t="n">
        <x:v>46138.166666666664</x:v>
      </x:c>
      <x:c r="F315" s="253" t="str">
        <x:v>654855</x:v>
      </x:c>
      <x:c r="G315" s="253" t="str">
        <x:v>uuidsa741</x:v>
      </x:c>
      <x:c r="H315" s="253" t="str">
        <x:v>Yes</x:v>
      </x:c>
      <x:c r="I315" s="253" t="str"/>
      <x:c r="J315" s="253" t="str"/>
      <x:c r="K315" s="259"/>
      <x:c r="L315" s="268" t="str">
        <x:f>IFERROR(VLOOKUP(I315,'Handler-Team Map'!$A$7:$C$17,2,FALSE),"")</x:f>
      </x:c>
      <x:c r="M315" s="268" t="str">
        <x:f>IFERROR(VLOOKUP(I315,'Handler-Team Map'!$A$7:$C$17,3,FALSE),"")</x:f>
      </x:c>
      <x:c r="N315" s="274" t="str">
        <x:v>FT_VM_DEP700_GET300_2X</x:v>
      </x:c>
      <x:c r="O315" s="274" t="str">
        <x:v>VIP BONUS - Deposit 700 Get 300 - 2x TO</x:v>
      </x:c>
      <x:c r="P315" s="274" t="str">
        <x:v>DepositBonus</x:v>
      </x:c>
      <x:c r="Q315" s="274" t="str">
        <x:v>Approved</x:v>
      </x:c>
      <x:c r="R315" s="265" t="n">
        <x:v>300</x:v>
      </x:c>
      <x:c r="S315" s="253" t="str">
        <x:v>Yes</x:v>
      </x:c>
      <x:c r="T315" s="265" t="n">
        <x:v>124</x:v>
      </x:c>
      <x:c r="U315" s="253" t="str">
        <x:f>IF(AND(S315="Yes",T315=0),"Yes","No")</x:f>
        <x:v>No</x:v>
      </x:c>
      <x:c r="V315" s="253" t="str">
        <x:v>Yes</x:v>
      </x:c>
      <x:c r="W315" s="253" t="str">
        <x:v>Yes</x:v>
      </x:c>
      <x:c r="X315" s="259" t="n">
        <x:v>46138.166666666664</x:v>
      </x:c>
      <x:c r="Y315" s="265" t="n">
        <x:v>700</x:v>
      </x:c>
      <x:c r="Z315" s="265" t="n">
        <x:v>700</x:v>
      </x:c>
      <x:c r="AA315" s="253" t="str">
        <x:f>IF(V315="No","Maturing",IF(AND(U315="Yes",Y315&gt;0),"Yes","No"))</x:f>
        <x:v>No</x:v>
      </x:c>
      <x:c r="AB315" s="253" t="str">
        <x:f>IF(W315="No","Maturing",IF(AND(U315="Yes",Z315&gt;0),"Yes","No"))</x:f>
        <x:v>No</x:v>
      </x:c>
      <x:c r="AC315" s="265" t="n">
        <x:v>-125.87</x:v>
      </x:c>
      <x:c r="AD315" s="265" t="n">
        <x:v>23.12</x:v>
      </x:c>
      <x:c r="AE315" s="271" t="str"/>
      <x:c r="AF315" s="274" t="str">
        <x:v>Not validated - no control/holdout</x:v>
      </x:c>
      <x:c r="AG315" s="277" t="str">
        <x:v>Recovered execution only; assignment date and unclaimed-offer denominator unavailable</x:v>
      </x:c>
    </x:row>
    <x:row r="316">
      <x:c r="A316" s="252" t="str">
        <x:v>34017919</x:v>
      </x:c>
      <x:c r="B316" s="253" t="str">
        <x:v>WS1</x:v>
      </x:c>
      <x:c r="C316" s="253" t="str">
        <x:v>MB8</x:v>
      </x:c>
      <x:c r="D316" s="262" t="n">
        <x:v>46138.24224537037</x:v>
      </x:c>
      <x:c r="E316" s="259" t="n">
        <x:v>46138.166666666664</x:v>
      </x:c>
      <x:c r="F316" s="253" t="str">
        <x:v>726428</x:v>
      </x:c>
      <x:c r="G316" s="253" t="str">
        <x:v>Jebon09</x:v>
      </x:c>
      <x:c r="H316" s="253" t="str">
        <x:v>Yes</x:v>
      </x:c>
      <x:c r="I316" s="253" t="str">
        <x:v>Tammy</x:v>
      </x:c>
      <x:c r="J316" s="253" t="str">
        <x:v>Tammy</x:v>
      </x:c>
      <x:c r="K316" s="259" t="n">
        <x:v>46035.166666666664</x:v>
      </x:c>
      <x:c r="L316" s="268" t="str">
        <x:f>IFERROR(VLOOKUP(I316,'Handler-Team Map'!$A$7:$C$17,2,FALSE),"")</x:f>
      </x:c>
      <x:c r="M316" s="268" t="str">
        <x:f>IFERROR(VLOOKUP(I316,'Handler-Team Map'!$A$7:$C$17,3,FALSE),"")</x:f>
      </x:c>
      <x:c r="N316" s="274" t="str">
        <x:v>FT_VM_DEP600_GET200_5X</x:v>
      </x:c>
      <x:c r="O316" s="274" t="str">
        <x:v>VIP BONUS - Deposit 600 Get 200 - 5x TO</x:v>
      </x:c>
      <x:c r="P316" s="274" t="str">
        <x:v>DepositBonus</x:v>
      </x:c>
      <x:c r="Q316" s="274" t="str">
        <x:v>Approved</x:v>
      </x:c>
      <x:c r="R316" s="265" t="n">
        <x:v>200</x:v>
      </x:c>
      <x:c r="S316" s="253" t="str">
        <x:v>Yes</x:v>
      </x:c>
      <x:c r="T316" s="265" t="n">
        <x:v>32650</x:v>
      </x:c>
      <x:c r="U316" s="253" t="str">
        <x:f>IF(AND(S316="Yes",T316=0),"Yes","No")</x:f>
        <x:v>No</x:v>
      </x:c>
      <x:c r="V316" s="253" t="str">
        <x:v>Yes</x:v>
      </x:c>
      <x:c r="W316" s="253" t="str">
        <x:v>Yes</x:v>
      </x:c>
      <x:c r="X316" s="259" t="n">
        <x:v>46138.166666666664</x:v>
      </x:c>
      <x:c r="Y316" s="265" t="n">
        <x:v>2900</x:v>
      </x:c>
      <x:c r="Z316" s="265" t="n">
        <x:v>7750</x:v>
      </x:c>
      <x:c r="AA316" s="253" t="str">
        <x:f>IF(V316="No","Maturing",IF(AND(U316="Yes",Y316&gt;0),"Yes","No"))</x:f>
        <x:v>No</x:v>
      </x:c>
      <x:c r="AB316" s="253" t="str">
        <x:f>IF(W316="No","Maturing",IF(AND(U316="Yes",Z316&gt;0),"Yes","No"))</x:f>
        <x:v>No</x:v>
      </x:c>
      <x:c r="AC316" s="265" t="n">
        <x:v>2901.68</x:v>
      </x:c>
      <x:c r="AD316" s="265" t="n">
        <x:v>5051.56</x:v>
      </x:c>
      <x:c r="AE316" s="271" t="str"/>
      <x:c r="AF316" s="274" t="str">
        <x:v>Not validated - no control/holdout</x:v>
      </x:c>
      <x:c r="AG316" s="277" t="str">
        <x:v>Recovered execution only; assignment date and unclaimed-offer denominator unavailable</x:v>
      </x:c>
    </x:row>
    <x:row r="317">
      <x:c r="A317" s="252" t="str">
        <x:v>34019254</x:v>
      </x:c>
      <x:c r="B317" s="253" t="str">
        <x:v>WS1</x:v>
      </x:c>
      <x:c r="C317" s="253" t="str">
        <x:v>MB8</x:v>
      </x:c>
      <x:c r="D317" s="262" t="n">
        <x:v>46138.46251157407</x:v>
      </x:c>
      <x:c r="E317" s="259" t="n">
        <x:v>46138.166666666664</x:v>
      </x:c>
      <x:c r="F317" s="253" t="str">
        <x:v>703632</x:v>
      </x:c>
      <x:c r="G317" s="253" t="str">
        <x:v>Keyingyeon</x:v>
      </x:c>
      <x:c r="H317" s="253" t="str">
        <x:v>Yes</x:v>
      </x:c>
      <x:c r="I317" s="253" t="str">
        <x:v>Tammy</x:v>
      </x:c>
      <x:c r="J317" s="253" t="str">
        <x:v>Tammy</x:v>
      </x:c>
      <x:c r="K317" s="259" t="n">
        <x:v>45951.166666666664</x:v>
      </x:c>
      <x:c r="L317" s="268" t="str">
        <x:f>IFERROR(VLOOKUP(I317,'Handler-Team Map'!$A$7:$C$17,2,FALSE),"")</x:f>
      </x:c>
      <x:c r="M317" s="268" t="str">
        <x:f>IFERROR(VLOOKUP(I317,'Handler-Team Map'!$A$7:$C$17,3,FALSE),"")</x:f>
      </x:c>
      <x:c r="N317" s="274" t="str">
        <x:v>FT_VM_DEP300_GET100_2X</x:v>
      </x:c>
      <x:c r="O317" s="274" t="str">
        <x:v>VIP BONUS - Deposit 300 Get 100 - 2x TO</x:v>
      </x:c>
      <x:c r="P317" s="274" t="str">
        <x:v>DepositBonus</x:v>
      </x:c>
      <x:c r="Q317" s="274" t="str">
        <x:v>Approved</x:v>
      </x:c>
      <x:c r="R317" s="265" t="n">
        <x:v>100</x:v>
      </x:c>
      <x:c r="S317" s="253" t="str">
        <x:v>Yes</x:v>
      </x:c>
      <x:c r="T317" s="265" t="n">
        <x:v>303600</x:v>
      </x:c>
      <x:c r="U317" s="253" t="str">
        <x:f>IF(AND(S317="Yes",T317=0),"Yes","No")</x:f>
        <x:v>No</x:v>
      </x:c>
      <x:c r="V317" s="253" t="str">
        <x:v>Yes</x:v>
      </x:c>
      <x:c r="W317" s="253" t="str">
        <x:v>Yes</x:v>
      </x:c>
      <x:c r="X317" s="259" t="n">
        <x:v>46138.166666666664</x:v>
      </x:c>
      <x:c r="Y317" s="265" t="n">
        <x:v>6800</x:v>
      </x:c>
      <x:c r="Z317" s="265" t="n">
        <x:v>6800</x:v>
      </x:c>
      <x:c r="AA317" s="253" t="str">
        <x:f>IF(V317="No","Maturing",IF(AND(U317="Yes",Y317&gt;0),"Yes","No"))</x:f>
        <x:v>No</x:v>
      </x:c>
      <x:c r="AB317" s="253" t="str">
        <x:f>IF(W317="No","Maturing",IF(AND(U317="Yes",Z317&gt;0),"Yes","No"))</x:f>
        <x:v>No</x:v>
      </x:c>
      <x:c r="AC317" s="265" t="n">
        <x:v>4598.88</x:v>
      </x:c>
      <x:c r="AD317" s="265" t="n">
        <x:v>4786.98</x:v>
      </x:c>
      <x:c r="AE317" s="271" t="str"/>
      <x:c r="AF317" s="274" t="str">
        <x:v>Not validated - no control/holdout</x:v>
      </x:c>
      <x:c r="AG317" s="277" t="str">
        <x:v>Recovered execution only; assignment date and unclaimed-offer denominator unavailable</x:v>
      </x:c>
    </x:row>
    <x:row r="318">
      <x:c r="A318" s="252" t="str">
        <x:v>34021167</x:v>
      </x:c>
      <x:c r="B318" s="253" t="str">
        <x:v>WS1</x:v>
      </x:c>
      <x:c r="C318" s="253" t="str">
        <x:v>MB8</x:v>
      </x:c>
      <x:c r="D318" s="262" t="n">
        <x:v>46138.67616898148</x:v>
      </x:c>
      <x:c r="E318" s="259" t="n">
        <x:v>46138.166666666664</x:v>
      </x:c>
      <x:c r="F318" s="253" t="str">
        <x:v>673118</x:v>
      </x:c>
      <x:c r="G318" s="253" t="str">
        <x:v>Hashim007</x:v>
      </x:c>
      <x:c r="H318" s="253" t="str">
        <x:v>Yes</x:v>
      </x:c>
      <x:c r="I318" s="253" t="str">
        <x:v>Elda</x:v>
      </x:c>
      <x:c r="J318" s="253" t="str">
        <x:v>Elda</x:v>
      </x:c>
      <x:c r="K318" s="259" t="n">
        <x:v>45779.166666666664</x:v>
      </x:c>
      <x:c r="L318" s="268" t="str">
        <x:f>IFERROR(VLOOKUP(I318,'Handler-Team Map'!$A$7:$C$17,2,FALSE),"")</x:f>
      </x:c>
      <x:c r="M318" s="268" t="str">
        <x:f>IFERROR(VLOOKUP(I318,'Handler-Team Map'!$A$7:$C$17,3,FALSE),"")</x:f>
      </x:c>
      <x:c r="N318" s="274" t="str">
        <x:v>FT_VM_DEP300_GET100_5X</x:v>
      </x:c>
      <x:c r="O318" s="274" t="str">
        <x:v>VIP BONUS - Deposit 300 Get 100 - 5x TO</x:v>
      </x:c>
      <x:c r="P318" s="274" t="str">
        <x:v>DepositBonus</x:v>
      </x:c>
      <x:c r="Q318" s="274" t="str">
        <x:v>Approved</x:v>
      </x:c>
      <x:c r="R318" s="265" t="n">
        <x:v>100</x:v>
      </x:c>
      <x:c r="S318" s="253" t="str">
        <x:v>Yes</x:v>
      </x:c>
      <x:c r="T318" s="265" t="n">
        <x:v>5500</x:v>
      </x:c>
      <x:c r="U318" s="253" t="str">
        <x:f>IF(AND(S318="Yes",T318=0),"Yes","No")</x:f>
        <x:v>No</x:v>
      </x:c>
      <x:c r="V318" s="253" t="str">
        <x:v>Yes</x:v>
      </x:c>
      <x:c r="W318" s="253" t="str">
        <x:v>Yes</x:v>
      </x:c>
      <x:c r="X318" s="259" t="n">
        <x:v>46138.166666666664</x:v>
      </x:c>
      <x:c r="Y318" s="265" t="n">
        <x:v>1300</x:v>
      </x:c>
      <x:c r="Z318" s="265" t="n">
        <x:v>2720</x:v>
      </x:c>
      <x:c r="AA318" s="253" t="str">
        <x:f>IF(V318="No","Maturing",IF(AND(U318="Yes",Y318&gt;0),"Yes","No"))</x:f>
        <x:v>No</x:v>
      </x:c>
      <x:c r="AB318" s="253" t="str">
        <x:f>IF(W318="No","Maturing",IF(AND(U318="Yes",Z318&gt;0),"Yes","No"))</x:f>
        <x:v>No</x:v>
      </x:c>
      <x:c r="AC318" s="265" t="n">
        <x:v>505.38</x:v>
      </x:c>
      <x:c r="AD318" s="265" t="n">
        <x:v>1725.5</x:v>
      </x:c>
      <x:c r="AE318" s="271" t="str"/>
      <x:c r="AF318" s="274" t="str">
        <x:v>Not validated - no control/holdout</x:v>
      </x:c>
      <x:c r="AG318" s="277" t="str">
        <x:v>Recovered execution only; assignment date and unclaimed-offer denominator unavailable</x:v>
      </x:c>
    </x:row>
    <x:row r="319">
      <x:c r="A319" s="252" t="str">
        <x:v>34026458</x:v>
      </x:c>
      <x:c r="B319" s="253" t="str">
        <x:v>WS1</x:v>
      </x:c>
      <x:c r="C319" s="253" t="str">
        <x:v>MB8</x:v>
      </x:c>
      <x:c r="D319" s="262" t="n">
        <x:v>46139.02784722222</x:v>
      </x:c>
      <x:c r="E319" s="259" t="n">
        <x:v>46139.166666666664</x:v>
      </x:c>
      <x:c r="F319" s="253" t="str">
        <x:v>1205781</x:v>
      </x:c>
      <x:c r="G319" s="253" t="str">
        <x:v>Charlie8888</x:v>
      </x:c>
      <x:c r="H319" s="253" t="str">
        <x:v>Yes</x:v>
      </x:c>
      <x:c r="I319" s="253" t="str"/>
      <x:c r="J319" s="253" t="str"/>
      <x:c r="K319" s="259"/>
      <x:c r="L319" s="268" t="str">
        <x:f>IFERROR(VLOOKUP(I319,'Handler-Team Map'!$A$7:$C$17,2,FALSE),"")</x:f>
      </x:c>
      <x:c r="M319" s="268" t="str">
        <x:f>IFERROR(VLOOKUP(I319,'Handler-Team Map'!$A$7:$C$17,3,FALSE),"")</x:f>
      </x:c>
      <x:c r="N319" s="274" t="str">
        <x:v>FT_VM_DEP700_GET300_2X</x:v>
      </x:c>
      <x:c r="O319" s="274" t="str">
        <x:v>VIP BONUS - Deposit 700 Get 300 - 2x TO</x:v>
      </x:c>
      <x:c r="P319" s="274" t="str">
        <x:v>DepositBonus</x:v>
      </x:c>
      <x:c r="Q319" s="274" t="str">
        <x:v>Approved</x:v>
      </x:c>
      <x:c r="R319" s="265" t="n">
        <x:v>300</x:v>
      </x:c>
      <x:c r="S319" s="253" t="str">
        <x:v>Yes</x:v>
      </x:c>
      <x:c r="T319" s="265" t="n">
        <x:v>4980</x:v>
      </x:c>
      <x:c r="U319" s="253" t="str">
        <x:f>IF(AND(S319="Yes",T319=0),"Yes","No")</x:f>
        <x:v>No</x:v>
      </x:c>
      <x:c r="V319" s="253" t="str">
        <x:v>Yes</x:v>
      </x:c>
      <x:c r="W319" s="253" t="str">
        <x:v>Yes</x:v>
      </x:c>
      <x:c r="X319" s="259" t="n">
        <x:v>46139.166666666664</x:v>
      </x:c>
      <x:c r="Y319" s="265" t="n">
        <x:v>2650</x:v>
      </x:c>
      <x:c r="Z319" s="265" t="n">
        <x:v>3130</x:v>
      </x:c>
      <x:c r="AA319" s="253" t="str">
        <x:f>IF(V319="No","Maturing",IF(AND(U319="Yes",Y319&gt;0),"Yes","No"))</x:f>
        <x:v>No</x:v>
      </x:c>
      <x:c r="AB319" s="253" t="str">
        <x:f>IF(W319="No","Maturing",IF(AND(U319="Yes",Z319&gt;0),"Yes","No"))</x:f>
        <x:v>No</x:v>
      </x:c>
      <x:c r="AC319" s="265" t="n">
        <x:v>2648.74</x:v>
      </x:c>
      <x:c r="AD319" s="265" t="n">
        <x:v>3129.94</x:v>
      </x:c>
      <x:c r="AE319" s="271" t="str"/>
      <x:c r="AF319" s="274" t="str">
        <x:v>Not validated - no control/holdout</x:v>
      </x:c>
      <x:c r="AG319" s="277" t="str">
        <x:v>Recovered execution only; assignment date and unclaimed-offer denominator unavailable</x:v>
      </x:c>
    </x:row>
    <x:row r="320">
      <x:c r="A320" s="252" t="str">
        <x:v>34027185</x:v>
      </x:c>
      <x:c r="B320" s="253" t="str">
        <x:v>WS1</x:v>
      </x:c>
      <x:c r="C320" s="253" t="str">
        <x:v>MB8</x:v>
      </x:c>
      <x:c r="D320" s="262" t="n">
        <x:v>46139.067881944444</x:v>
      </x:c>
      <x:c r="E320" s="259" t="n">
        <x:v>46139.166666666664</x:v>
      </x:c>
      <x:c r="F320" s="253" t="str">
        <x:v>613661</x:v>
      </x:c>
      <x:c r="G320" s="253" t="str">
        <x:v>Wantoto86</x:v>
      </x:c>
      <x:c r="H320" s="253" t="str">
        <x:v>Yes</x:v>
      </x:c>
      <x:c r="I320" s="253" t="str"/>
      <x:c r="J320" s="253" t="str"/>
      <x:c r="K320" s="259"/>
      <x:c r="L320" s="268" t="str">
        <x:f>IFERROR(VLOOKUP(I320,'Handler-Team Map'!$A$7:$C$17,2,FALSE),"")</x:f>
      </x:c>
      <x:c r="M320" s="268" t="str">
        <x:f>IFERROR(VLOOKUP(I320,'Handler-Team Map'!$A$7:$C$17,3,FALSE),"")</x:f>
      </x:c>
      <x:c r="N320" s="274" t="str">
        <x:v>FT_VM_DEP800_GET400_1X</x:v>
      </x:c>
      <x:c r="O320" s="274" t="str">
        <x:v>VIP BONUS - Deposit 800 Get 400 - 1x TO</x:v>
      </x:c>
      <x:c r="P320" s="274" t="str">
        <x:v>DepositBonus</x:v>
      </x:c>
      <x:c r="Q320" s="274" t="str">
        <x:v>Approved</x:v>
      </x:c>
      <x:c r="R320" s="265" t="n">
        <x:v>400</x:v>
      </x:c>
      <x:c r="S320" s="253" t="str">
        <x:v>Yes</x:v>
      </x:c>
      <x:c r="T320" s="265" t="n">
        <x:v>0</x:v>
      </x:c>
      <x:c r="U320" s="253" t="str">
        <x:f>IF(AND(S320="Yes",T320=0),"Yes","No")</x:f>
        <x:v>Yes</x:v>
      </x:c>
      <x:c r="V320" s="253" t="str">
        <x:v>Yes</x:v>
      </x:c>
      <x:c r="W320" s="253" t="str">
        <x:v>Yes</x:v>
      </x:c>
      <x:c r="X320" s="259" t="n">
        <x:v>46139.166666666664</x:v>
      </x:c>
      <x:c r="Y320" s="265" t="n">
        <x:v>6000</x:v>
      </x:c>
      <x:c r="Z320" s="265" t="n">
        <x:v>17400</x:v>
      </x:c>
      <x:c r="AA320" s="253" t="str">
        <x:f>IF(V320="No","Maturing",IF(AND(U320="Yes",Y320&gt;0),"Yes","No"))</x:f>
        <x:v>Yes</x:v>
      </x:c>
      <x:c r="AB320" s="253" t="str">
        <x:f>IF(W320="No","Maturing",IF(AND(U320="Yes",Z320&gt;0),"Yes","No"))</x:f>
        <x:v>Yes</x:v>
      </x:c>
      <x:c r="AC320" s="265" t="n">
        <x:v>1866.73</x:v>
      </x:c>
      <x:c r="AD320" s="265" t="n">
        <x:v>8273.18</x:v>
      </x:c>
      <x:c r="AE320" s="271" t="str"/>
      <x:c r="AF320" s="274" t="str">
        <x:v>Not validated - no control/holdout</x:v>
      </x:c>
      <x:c r="AG320" s="277" t="str">
        <x:v>Recovered execution only; assignment date and unclaimed-offer denominator unavailable</x:v>
      </x:c>
    </x:row>
    <x:row r="321">
      <x:c r="A321" s="252" t="str">
        <x:v>34028702</x:v>
      </x:c>
      <x:c r="B321" s="253" t="str">
        <x:v>WS1</x:v>
      </x:c>
      <x:c r="C321" s="253" t="str">
        <x:v>MB8</x:v>
      </x:c>
      <x:c r="D321" s="262" t="n">
        <x:v>46139.30189814815</x:v>
      </x:c>
      <x:c r="E321" s="259" t="n">
        <x:v>46139.166666666664</x:v>
      </x:c>
      <x:c r="F321" s="253" t="str">
        <x:v>78785</x:v>
      </x:c>
      <x:c r="G321" s="253" t="str">
        <x:v>Rainchoong</x:v>
      </x:c>
      <x:c r="H321" s="253" t="str">
        <x:v>Yes</x:v>
      </x:c>
      <x:c r="I321" s="253" t="str">
        <x:v>Jiahui</x:v>
      </x:c>
      <x:c r="J321" s="253" t="str">
        <x:v>Jiahui</x:v>
      </x:c>
      <x:c r="K321" s="259" t="n">
        <x:v>45811.166666666664</x:v>
      </x:c>
      <x:c r="L321" s="268" t="str">
        <x:f>IFERROR(VLOOKUP(I321,'Handler-Team Map'!$A$7:$C$17,2,FALSE),"")</x:f>
      </x:c>
      <x:c r="M321" s="268" t="str">
        <x:f>IFERROR(VLOOKUP(I321,'Handler-Team Map'!$A$7:$C$17,3,FALSE),"")</x:f>
      </x:c>
      <x:c r="N321" s="274" t="str">
        <x:v>FT_VM_DEP150_GET50_5X</x:v>
      </x:c>
      <x:c r="O321" s="274" t="str">
        <x:v>VIP BONUS - Deposit 150 Get 50 - 5x TO</x:v>
      </x:c>
      <x:c r="P321" s="274" t="str">
        <x:v>DepositBonus</x:v>
      </x:c>
      <x:c r="Q321" s="274" t="str">
        <x:v>Approved</x:v>
      </x:c>
      <x:c r="R321" s="265" t="n">
        <x:v>50</x:v>
      </x:c>
      <x:c r="S321" s="253" t="str">
        <x:v>Yes</x:v>
      </x:c>
      <x:c r="T321" s="265" t="n">
        <x:v>33400</x:v>
      </x:c>
      <x:c r="U321" s="253" t="str">
        <x:f>IF(AND(S321="Yes",T321=0),"Yes","No")</x:f>
        <x:v>No</x:v>
      </x:c>
      <x:c r="V321" s="253" t="str">
        <x:v>Yes</x:v>
      </x:c>
      <x:c r="W321" s="253" t="str">
        <x:v>Yes</x:v>
      </x:c>
      <x:c r="X321" s="259" t="n">
        <x:v>46139.166666666664</x:v>
      </x:c>
      <x:c r="Y321" s="265" t="n">
        <x:v>4750</x:v>
      </x:c>
      <x:c r="Z321" s="265" t="n">
        <x:v>12850</x:v>
      </x:c>
      <x:c r="AA321" s="253" t="str">
        <x:f>IF(V321="No","Maturing",IF(AND(U321="Yes",Y321&gt;0),"Yes","No"))</x:f>
        <x:v>No</x:v>
      </x:c>
      <x:c r="AB321" s="253" t="str">
        <x:f>IF(W321="No","Maturing",IF(AND(U321="Yes",Z321&gt;0),"Yes","No"))</x:f>
        <x:v>No</x:v>
      </x:c>
      <x:c r="AC321" s="265" t="n">
        <x:v>-2363.42</x:v>
      </x:c>
      <x:c r="AD321" s="265" t="n">
        <x:v>1816.99</x:v>
      </x:c>
      <x:c r="AE321" s="271" t="str"/>
      <x:c r="AF321" s="274" t="str">
        <x:v>Not validated - no control/holdout</x:v>
      </x:c>
      <x:c r="AG321" s="277" t="str">
        <x:v>Recovered execution only; assignment date and unclaimed-offer denominator unavailable</x:v>
      </x:c>
    </x:row>
    <x:row r="322">
      <x:c r="A322" s="252" t="str">
        <x:v>34029407</x:v>
      </x:c>
      <x:c r="B322" s="253" t="str">
        <x:v>WS1</x:v>
      </x:c>
      <x:c r="C322" s="253" t="str">
        <x:v>MB8</x:v>
      </x:c>
      <x:c r="D322" s="262" t="n">
        <x:v>46139.435266203705</x:v>
      </x:c>
      <x:c r="E322" s="259" t="n">
        <x:v>46139.166666666664</x:v>
      </x:c>
      <x:c r="F322" s="253" t="str">
        <x:v>396177</x:v>
      </x:c>
      <x:c r="G322" s="253" t="str">
        <x:v>NasrulNasir</x:v>
      </x:c>
      <x:c r="H322" s="253" t="str">
        <x:v>Yes</x:v>
      </x:c>
      <x:c r="I322" s="253" t="str">
        <x:v>Claire</x:v>
      </x:c>
      <x:c r="J322" s="253" t="str">
        <x:v>Claire</x:v>
      </x:c>
      <x:c r="K322" s="259" t="n">
        <x:v>45790.166666666664</x:v>
      </x:c>
      <x:c r="L322" s="268" t="str">
        <x:f>IFERROR(VLOOKUP(I322,'Handler-Team Map'!$A$7:$C$17,2,FALSE),"")</x:f>
      </x:c>
      <x:c r="M322" s="268" t="str">
        <x:f>IFERROR(VLOOKUP(I322,'Handler-Team Map'!$A$7:$C$17,3,FALSE),"")</x:f>
      </x:c>
      <x:c r="N322" s="274" t="str">
        <x:v>FT_VM_DEP1000_GET500_5X</x:v>
      </x:c>
      <x:c r="O322" s="274" t="str">
        <x:v>VIP BONUS - Deposit 1000 Get 500 - 5x TO</x:v>
      </x:c>
      <x:c r="P322" s="274" t="str">
        <x:v>DepositBonus</x:v>
      </x:c>
      <x:c r="Q322" s="274" t="str">
        <x:v>Approved</x:v>
      </x:c>
      <x:c r="R322" s="265" t="n">
        <x:v>500</x:v>
      </x:c>
      <x:c r="S322" s="253" t="str">
        <x:v>Yes</x:v>
      </x:c>
      <x:c r="T322" s="265" t="n">
        <x:v>1186</x:v>
      </x:c>
      <x:c r="U322" s="253" t="str">
        <x:f>IF(AND(S322="Yes",T322=0),"Yes","No")</x:f>
        <x:v>No</x:v>
      </x:c>
      <x:c r="V322" s="253" t="str">
        <x:v>Yes</x:v>
      </x:c>
      <x:c r="W322" s="253" t="str">
        <x:v>Yes</x:v>
      </x:c>
      <x:c r="X322" s="259" t="n">
        <x:v>46139.166666666664</x:v>
      </x:c>
      <x:c r="Y322" s="265" t="n">
        <x:v>10523</x:v>
      </x:c>
      <x:c r="Z322" s="265" t="n">
        <x:v>10601</x:v>
      </x:c>
      <x:c r="AA322" s="253" t="str">
        <x:f>IF(V322="No","Maturing",IF(AND(U322="Yes",Y322&gt;0),"Yes","No"))</x:f>
        <x:v>No</x:v>
      </x:c>
      <x:c r="AB322" s="253" t="str">
        <x:f>IF(W322="No","Maturing",IF(AND(U322="Yes",Z322&gt;0),"Yes","No"))</x:f>
        <x:v>No</x:v>
      </x:c>
      <x:c r="AC322" s="265" t="n">
        <x:v>10521.73</x:v>
      </x:c>
      <x:c r="AD322" s="265" t="n">
        <x:v>10599.9</x:v>
      </x:c>
      <x:c r="AE322" s="271" t="str"/>
      <x:c r="AF322" s="274" t="str">
        <x:v>Not validated - no control/holdout</x:v>
      </x:c>
      <x:c r="AG322" s="277" t="str">
        <x:v>Recovered execution only; assignment date and unclaimed-offer denominator unavailable</x:v>
      </x:c>
    </x:row>
    <x:row r="323">
      <x:c r="A323" s="252" t="str">
        <x:v>34029893</x:v>
      </x:c>
      <x:c r="B323" s="253" t="str">
        <x:v>WS1</x:v>
      </x:c>
      <x:c r="C323" s="253" t="str">
        <x:v>MB8</x:v>
      </x:c>
      <x:c r="D323" s="262" t="n">
        <x:v>46139.49961805555</x:v>
      </x:c>
      <x:c r="E323" s="259" t="n">
        <x:v>46139.166666666664</x:v>
      </x:c>
      <x:c r="F323" s="253" t="str">
        <x:v>1207565</x:v>
      </x:c>
      <x:c r="G323" s="253" t="str">
        <x:v>manoq76</x:v>
      </x:c>
      <x:c r="H323" s="253" t="str">
        <x:v>Yes</x:v>
      </x:c>
      <x:c r="I323" s="253" t="str"/>
      <x:c r="J323" s="253" t="str"/>
      <x:c r="K323" s="259"/>
      <x:c r="L323" s="268" t="str">
        <x:f>IFERROR(VLOOKUP(I323,'Handler-Team Map'!$A$7:$C$17,2,FALSE),"")</x:f>
      </x:c>
      <x:c r="M323" s="268" t="str">
        <x:f>IFERROR(VLOOKUP(I323,'Handler-Team Map'!$A$7:$C$17,3,FALSE),"")</x:f>
      </x:c>
      <x:c r="N323" s="274" t="str">
        <x:v>FT_VM_DEP150_GET50_5X</x:v>
      </x:c>
      <x:c r="O323" s="274" t="str">
        <x:v>VIP BONUS - Deposit 150 Get 50 - 5x TO</x:v>
      </x:c>
      <x:c r="P323" s="274" t="str">
        <x:v>DepositBonus</x:v>
      </x:c>
      <x:c r="Q323" s="274" t="str">
        <x:v>Approved</x:v>
      </x:c>
      <x:c r="R323" s="265" t="n">
        <x:v>50</x:v>
      </x:c>
      <x:c r="S323" s="253" t="str">
        <x:v>Yes</x:v>
      </x:c>
      <x:c r="T323" s="265" t="n">
        <x:v>53900</x:v>
      </x:c>
      <x:c r="U323" s="253" t="str">
        <x:f>IF(AND(S323="Yes",T323=0),"Yes","No")</x:f>
        <x:v>No</x:v>
      </x:c>
      <x:c r="V323" s="253" t="str">
        <x:v>Yes</x:v>
      </x:c>
      <x:c r="W323" s="253" t="str">
        <x:v>Yes</x:v>
      </x:c>
      <x:c r="X323" s="259" t="n">
        <x:v>46139.166666666664</x:v>
      </x:c>
      <x:c r="Y323" s="265" t="n">
        <x:v>9139</x:v>
      </x:c>
      <x:c r="Z323" s="265" t="n">
        <x:v>16814</x:v>
      </x:c>
      <x:c r="AA323" s="253" t="str">
        <x:f>IF(V323="No","Maturing",IF(AND(U323="Yes",Y323&gt;0),"Yes","No"))</x:f>
        <x:v>No</x:v>
      </x:c>
      <x:c r="AB323" s="253" t="str">
        <x:f>IF(W323="No","Maturing",IF(AND(U323="Yes",Z323&gt;0),"Yes","No"))</x:f>
        <x:v>No</x:v>
      </x:c>
      <x:c r="AC323" s="265" t="n">
        <x:v>6239.58</x:v>
      </x:c>
      <x:c r="AD323" s="265" t="n">
        <x:v>7114.64</x:v>
      </x:c>
      <x:c r="AE323" s="271" t="str"/>
      <x:c r="AF323" s="274" t="str">
        <x:v>Not validated - no control/holdout</x:v>
      </x:c>
      <x:c r="AG323" s="277" t="str">
        <x:v>Recovered execution only; assignment date and unclaimed-offer denominator unavailable</x:v>
      </x:c>
    </x:row>
    <x:row r="324">
      <x:c r="A324" s="252" t="str">
        <x:v>34031226</x:v>
      </x:c>
      <x:c r="B324" s="253" t="str">
        <x:v>WS1</x:v>
      </x:c>
      <x:c r="C324" s="253" t="str">
        <x:v>MB8</x:v>
      </x:c>
      <x:c r="D324" s="262" t="n">
        <x:v>46139.63825231481</x:v>
      </x:c>
      <x:c r="E324" s="259" t="n">
        <x:v>46139.166666666664</x:v>
      </x:c>
      <x:c r="F324" s="253" t="str">
        <x:v>587328</x:v>
      </x:c>
      <x:c r="G324" s="253" t="str">
        <x:v>momiji123</x:v>
      </x:c>
      <x:c r="H324" s="253" t="str">
        <x:v>Yes</x:v>
      </x:c>
      <x:c r="I324" s="253" t="str">
        <x:v>zhen</x:v>
      </x:c>
      <x:c r="J324" s="253" t="str">
        <x:v>zhen</x:v>
      </x:c>
      <x:c r="K324" s="259" t="n">
        <x:v>45922.166666666664</x:v>
      </x:c>
      <x:c r="L324" s="268" t="str">
        <x:f>IFERROR(VLOOKUP(I324,'Handler-Team Map'!$A$7:$C$17,2,FALSE),"")</x:f>
      </x:c>
      <x:c r="M324" s="268" t="str">
        <x:f>IFERROR(VLOOKUP(I324,'Handler-Team Map'!$A$7:$C$17,3,FALSE),"")</x:f>
      </x:c>
      <x:c r="N324" s="274" t="str">
        <x:v>FT_VM_DEP1000_GET500_5X</x:v>
      </x:c>
      <x:c r="O324" s="274" t="str">
        <x:v>VIP BONUS - Deposit 1000 Get 500 - 5x TO</x:v>
      </x:c>
      <x:c r="P324" s="274" t="str">
        <x:v>DepositBonus</x:v>
      </x:c>
      <x:c r="Q324" s="274" t="str">
        <x:v>Approved</x:v>
      </x:c>
      <x:c r="R324" s="265" t="n">
        <x:v>500</x:v>
      </x:c>
      <x:c r="S324" s="253" t="str">
        <x:v>Yes</x:v>
      </x:c>
      <x:c r="T324" s="265" t="n">
        <x:v>3700</x:v>
      </x:c>
      <x:c r="U324" s="253" t="str">
        <x:f>IF(AND(S324="Yes",T324=0),"Yes","No")</x:f>
        <x:v>No</x:v>
      </x:c>
      <x:c r="V324" s="253" t="str">
        <x:v>Yes</x:v>
      </x:c>
      <x:c r="W324" s="253" t="str">
        <x:v>Yes</x:v>
      </x:c>
      <x:c r="X324" s="259" t="n">
        <x:v>46139.166666666664</x:v>
      </x:c>
      <x:c r="Y324" s="265" t="n">
        <x:v>2200</x:v>
      </x:c>
      <x:c r="Z324" s="265" t="n">
        <x:v>2850</x:v>
      </x:c>
      <x:c r="AA324" s="253" t="str">
        <x:f>IF(V324="No","Maturing",IF(AND(U324="Yes",Y324&gt;0),"Yes","No"))</x:f>
        <x:v>No</x:v>
      </x:c>
      <x:c r="AB324" s="253" t="str">
        <x:f>IF(W324="No","Maturing",IF(AND(U324="Yes",Z324&gt;0),"Yes","No"))</x:f>
        <x:v>No</x:v>
      </x:c>
      <x:c r="AC324" s="265" t="n">
        <x:v>-5586.6</x:v>
      </x:c>
      <x:c r="AD324" s="265" t="n">
        <x:v>-4560.69</x:v>
      </x:c>
      <x:c r="AE324" s="271" t="str"/>
      <x:c r="AF324" s="274" t="str">
        <x:v>Not validated - no control/holdout</x:v>
      </x:c>
      <x:c r="AG324" s="277" t="str">
        <x:v>Recovered execution only; assignment date and unclaimed-offer denominator unavailable</x:v>
      </x:c>
    </x:row>
    <x:row r="325">
      <x:c r="A325" s="252" t="str">
        <x:v>34031322</x:v>
      </x:c>
      <x:c r="B325" s="253" t="str">
        <x:v>WS1</x:v>
      </x:c>
      <x:c r="C325" s="253" t="str">
        <x:v>MB8</x:v>
      </x:c>
      <x:c r="D325" s="262" t="n">
        <x:v>46139.64806712963</x:v>
      </x:c>
      <x:c r="E325" s="259" t="n">
        <x:v>46139.166666666664</x:v>
      </x:c>
      <x:c r="F325" s="253" t="str">
        <x:v>587646</x:v>
      </x:c>
      <x:c r="G325" s="253" t="str">
        <x:v>arilrich</x:v>
      </x:c>
      <x:c r="H325" s="253" t="str">
        <x:v>Yes</x:v>
      </x:c>
      <x:c r="I325" s="253" t="str">
        <x:v>Christy</x:v>
      </x:c>
      <x:c r="J325" s="253" t="str">
        <x:v>Christy</x:v>
      </x:c>
      <x:c r="K325" s="259" t="n">
        <x:v>45831.166666666664</x:v>
      </x:c>
      <x:c r="L325" s="268" t="str">
        <x:f>IFERROR(VLOOKUP(I325,'Handler-Team Map'!$A$7:$C$17,2,FALSE),"")</x:f>
      </x:c>
      <x:c r="M325" s="268" t="str">
        <x:f>IFERROR(VLOOKUP(I325,'Handler-Team Map'!$A$7:$C$17,3,FALSE),"")</x:f>
      </x:c>
      <x:c r="N325" s="274" t="str">
        <x:v>FT_VM_DEP1000_GET500_5X</x:v>
      </x:c>
      <x:c r="O325" s="274" t="str">
        <x:v>VIP BONUS - Deposit 1000 Get 500 - 5x TO</x:v>
      </x:c>
      <x:c r="P325" s="274" t="str">
        <x:v>DepositBonus</x:v>
      </x:c>
      <x:c r="Q325" s="274" t="str">
        <x:v>Approved</x:v>
      </x:c>
      <x:c r="R325" s="265" t="n">
        <x:v>500</x:v>
      </x:c>
      <x:c r="S325" s="253" t="str">
        <x:v>Yes</x:v>
      </x:c>
      <x:c r="T325" s="265" t="n">
        <x:v>9620</x:v>
      </x:c>
      <x:c r="U325" s="253" t="str">
        <x:f>IF(AND(S325="Yes",T325=0),"Yes","No")</x:f>
        <x:v>No</x:v>
      </x:c>
      <x:c r="V325" s="253" t="str">
        <x:v>Yes</x:v>
      </x:c>
      <x:c r="W325" s="253" t="str">
        <x:v>Yes</x:v>
      </x:c>
      <x:c r="X325" s="259" t="n">
        <x:v>46139.166666666664</x:v>
      </x:c>
      <x:c r="Y325" s="265" t="n">
        <x:v>1300</x:v>
      </x:c>
      <x:c r="Z325" s="265" t="n">
        <x:v>2460</x:v>
      </x:c>
      <x:c r="AA325" s="253" t="str">
        <x:f>IF(V325="No","Maturing",IF(AND(U325="Yes",Y325&gt;0),"Yes","No"))</x:f>
        <x:v>No</x:v>
      </x:c>
      <x:c r="AB325" s="253" t="str">
        <x:f>IF(W325="No","Maturing",IF(AND(U325="Yes",Z325&gt;0),"Yes","No"))</x:f>
        <x:v>No</x:v>
      </x:c>
      <x:c r="AC325" s="265" t="n">
        <x:v>1204.75</x:v>
      </x:c>
      <x:c r="AD325" s="265" t="n">
        <x:v>-1839.95</x:v>
      </x:c>
      <x:c r="AE325" s="271" t="str"/>
      <x:c r="AF325" s="274" t="str">
        <x:v>Not validated - no control/holdout</x:v>
      </x:c>
      <x:c r="AG325" s="277" t="str">
        <x:v>Recovered execution only; assignment date and unclaimed-offer denominator unavailable</x:v>
      </x:c>
    </x:row>
    <x:row r="326">
      <x:c r="A326" s="252" t="str">
        <x:v>34031487</x:v>
      </x:c>
      <x:c r="B326" s="253" t="str">
        <x:v>WS1</x:v>
      </x:c>
      <x:c r="C326" s="253" t="str">
        <x:v>MB8</x:v>
      </x:c>
      <x:c r="D326" s="262" t="n">
        <x:v>46139.66306712963</x:v>
      </x:c>
      <x:c r="E326" s="259" t="n">
        <x:v>46139.166666666664</x:v>
      </x:c>
      <x:c r="F326" s="253" t="str">
        <x:v>827371</x:v>
      </x:c>
      <x:c r="G326" s="253" t="str">
        <x:v>marc187</x:v>
      </x:c>
      <x:c r="H326" s="253" t="str">
        <x:v>Yes</x:v>
      </x:c>
      <x:c r="I326" s="253" t="str">
        <x:v>Claire</x:v>
      </x:c>
      <x:c r="J326" s="253" t="str">
        <x:v>Claire</x:v>
      </x:c>
      <x:c r="K326" s="259" t="n">
        <x:v>45755.166666666664</x:v>
      </x:c>
      <x:c r="L326" s="268" t="str">
        <x:f>IFERROR(VLOOKUP(I326,'Handler-Team Map'!$A$7:$C$17,2,FALSE),"")</x:f>
      </x:c>
      <x:c r="M326" s="268" t="str">
        <x:f>IFERROR(VLOOKUP(I326,'Handler-Team Map'!$A$7:$C$17,3,FALSE),"")</x:f>
      </x:c>
      <x:c r="N326" s="274" t="str">
        <x:v>FT_VM_DEP1000_GET1000_2X</x:v>
      </x:c>
      <x:c r="O326" s="274" t="str">
        <x:v>VIP BONUS - Deposit 1000 Get 1000 - 2x TO</x:v>
      </x:c>
      <x:c r="P326" s="274" t="str">
        <x:v>DepositBonus</x:v>
      </x:c>
      <x:c r="Q326" s="274" t="str">
        <x:v>Approved</x:v>
      </x:c>
      <x:c r="R326" s="265" t="n">
        <x:v>1000</x:v>
      </x:c>
      <x:c r="S326" s="253" t="str">
        <x:v>Yes</x:v>
      </x:c>
      <x:c r="T326" s="265" t="n">
        <x:v>1633065.4</x:v>
      </x:c>
      <x:c r="U326" s="253" t="str">
        <x:f>IF(AND(S326="Yes",T326=0),"Yes","No")</x:f>
        <x:v>No</x:v>
      </x:c>
      <x:c r="V326" s="253" t="str">
        <x:v>Yes</x:v>
      </x:c>
      <x:c r="W326" s="253" t="str">
        <x:v>Yes</x:v>
      </x:c>
      <x:c r="X326" s="259" t="n">
        <x:v>46139.166666666664</x:v>
      </x:c>
      <x:c r="Y326" s="265" t="n">
        <x:v>449188.2</x:v>
      </x:c>
      <x:c r="Z326" s="265" t="n">
        <x:v>927572.08</x:v>
      </x:c>
      <x:c r="AA326" s="253" t="str">
        <x:f>IF(V326="No","Maturing",IF(AND(U326="Yes",Y326&gt;0),"Yes","No"))</x:f>
        <x:v>No</x:v>
      </x:c>
      <x:c r="AB326" s="253" t="str">
        <x:f>IF(W326="No","Maturing",IF(AND(U326="Yes",Z326&gt;0),"Yes","No"))</x:f>
        <x:v>No</x:v>
      </x:c>
      <x:c r="AC326" s="265" t="n">
        <x:v>98938.54</x:v>
      </x:c>
      <x:c r="AD326" s="265" t="n">
        <x:v>312588.72</x:v>
      </x:c>
      <x:c r="AE326" s="271" t="str"/>
      <x:c r="AF326" s="274" t="str">
        <x:v>Not validated - no control/holdout</x:v>
      </x:c>
      <x:c r="AG326" s="277" t="str">
        <x:v>Recovered execution only; assignment date and unclaimed-offer denominator unavailable</x:v>
      </x:c>
    </x:row>
    <x:row r="327">
      <x:c r="A327" s="252" t="str">
        <x:v>34031915</x:v>
      </x:c>
      <x:c r="B327" s="253" t="str">
        <x:v>WS1</x:v>
      </x:c>
      <x:c r="C327" s="253" t="str">
        <x:v>MB8</x:v>
      </x:c>
      <x:c r="D327" s="262" t="n">
        <x:v>46139.695601851854</x:v>
      </x:c>
      <x:c r="E327" s="259" t="n">
        <x:v>46139.166666666664</x:v>
      </x:c>
      <x:c r="F327" s="253" t="str">
        <x:v>521114</x:v>
      </x:c>
      <x:c r="G327" s="253" t="str">
        <x:v>Nzboss8181</x:v>
      </x:c>
      <x:c r="H327" s="253" t="str">
        <x:v>Yes</x:v>
      </x:c>
      <x:c r="I327" s="253" t="str">
        <x:v>Claire</x:v>
      </x:c>
      <x:c r="J327" s="253" t="str">
        <x:v>Claire</x:v>
      </x:c>
      <x:c r="K327" s="259" t="n">
        <x:v>45659.166666666664</x:v>
      </x:c>
      <x:c r="L327" s="268" t="str">
        <x:f>IFERROR(VLOOKUP(I327,'Handler-Team Map'!$A$7:$C$17,2,FALSE),"")</x:f>
      </x:c>
      <x:c r="M327" s="268" t="str">
        <x:f>IFERROR(VLOOKUP(I327,'Handler-Team Map'!$A$7:$C$17,3,FALSE),"")</x:f>
      </x:c>
      <x:c r="N327" s="274" t="str">
        <x:v>FT_VM_DEP1200_GET600_2X</x:v>
      </x:c>
      <x:c r="O327" s="274" t="str">
        <x:v>VIP BONUS - Deposit 1200 Get 600 - 2x TO</x:v>
      </x:c>
      <x:c r="P327" s="274" t="str">
        <x:v>DepositBonus</x:v>
      </x:c>
      <x:c r="Q327" s="274" t="str">
        <x:v>Approved</x:v>
      </x:c>
      <x:c r="R327" s="265" t="n">
        <x:v>600</x:v>
      </x:c>
      <x:c r="S327" s="253" t="str">
        <x:v>Yes</x:v>
      </x:c>
      <x:c r="T327" s="265" t="n">
        <x:v>287900</x:v>
      </x:c>
      <x:c r="U327" s="253" t="str">
        <x:f>IF(AND(S327="Yes",T327=0),"Yes","No")</x:f>
        <x:v>No</x:v>
      </x:c>
      <x:c r="V327" s="253" t="str">
        <x:v>Yes</x:v>
      </x:c>
      <x:c r="W327" s="253" t="str">
        <x:v>Yes</x:v>
      </x:c>
      <x:c r="X327" s="259" t="n">
        <x:v>46139.166666666664</x:v>
      </x:c>
      <x:c r="Y327" s="265" t="n">
        <x:v>73800</x:v>
      </x:c>
      <x:c r="Z327" s="265" t="n">
        <x:v>136300</x:v>
      </x:c>
      <x:c r="AA327" s="253" t="str">
        <x:f>IF(V327="No","Maturing",IF(AND(U327="Yes",Y327&gt;0),"Yes","No"))</x:f>
        <x:v>No</x:v>
      </x:c>
      <x:c r="AB327" s="253" t="str">
        <x:f>IF(W327="No","Maturing",IF(AND(U327="Yes",Z327&gt;0),"Yes","No"))</x:f>
        <x:v>No</x:v>
      </x:c>
      <x:c r="AC327" s="265" t="n">
        <x:v>40784.71</x:v>
      </x:c>
      <x:c r="AD327" s="265" t="n">
        <x:v>74056.66</x:v>
      </x:c>
      <x:c r="AE327" s="271" t="str"/>
      <x:c r="AF327" s="274" t="str">
        <x:v>Not validated - no control/holdout</x:v>
      </x:c>
      <x:c r="AG327" s="277" t="str">
        <x:v>Recovered execution only; assignment date and unclaimed-offer denominator unavailable</x:v>
      </x:c>
    </x:row>
    <x:row r="328">
      <x:c r="A328" s="252" t="str">
        <x:v>34032782</x:v>
      </x:c>
      <x:c r="B328" s="253" t="str">
        <x:v>WS1</x:v>
      </x:c>
      <x:c r="C328" s="253" t="str">
        <x:v>MB8</x:v>
      </x:c>
      <x:c r="D328" s="262" t="n">
        <x:v>46139.764699074076</x:v>
      </x:c>
      <x:c r="E328" s="259" t="n">
        <x:v>46139.166666666664</x:v>
      </x:c>
      <x:c r="F328" s="253" t="str">
        <x:v>476510</x:v>
      </x:c>
      <x:c r="G328" s="253" t="str">
        <x:v>giinshen</x:v>
      </x:c>
      <x:c r="H328" s="253" t="str">
        <x:v>Yes</x:v>
      </x:c>
      <x:c r="I328" s="253" t="str">
        <x:v>Claire</x:v>
      </x:c>
      <x:c r="J328" s="253" t="str">
        <x:v>Claire</x:v>
      </x:c>
      <x:c r="K328" s="259" t="n">
        <x:v>45659.166666666664</x:v>
      </x:c>
      <x:c r="L328" s="268" t="str">
        <x:f>IFERROR(VLOOKUP(I328,'Handler-Team Map'!$A$7:$C$17,2,FALSE),"")</x:f>
      </x:c>
      <x:c r="M328" s="268" t="str">
        <x:f>IFERROR(VLOOKUP(I328,'Handler-Team Map'!$A$7:$C$17,3,FALSE),"")</x:f>
      </x:c>
      <x:c r="N328" s="274" t="str">
        <x:v>FT_VM_DEP1200_GET600_1X</x:v>
      </x:c>
      <x:c r="O328" s="274" t="str">
        <x:v>VIP BONUS - Deposit 1200 Get 600 - 1x TO</x:v>
      </x:c>
      <x:c r="P328" s="274" t="str">
        <x:v>DepositBonus</x:v>
      </x:c>
      <x:c r="Q328" s="274" t="str">
        <x:v>Approved</x:v>
      </x:c>
      <x:c r="R328" s="265" t="n">
        <x:v>600</x:v>
      </x:c>
      <x:c r="S328" s="253" t="str">
        <x:v>Yes</x:v>
      </x:c>
      <x:c r="T328" s="265" t="n">
        <x:v>86500</x:v>
      </x:c>
      <x:c r="U328" s="253" t="str">
        <x:f>IF(AND(S328="Yes",T328=0),"Yes","No")</x:f>
        <x:v>No</x:v>
      </x:c>
      <x:c r="V328" s="253" t="str">
        <x:v>Yes</x:v>
      </x:c>
      <x:c r="W328" s="253" t="str">
        <x:v>Yes</x:v>
      </x:c>
      <x:c r="X328" s="259" t="n">
        <x:v>46139.166666666664</x:v>
      </x:c>
      <x:c r="Y328" s="265" t="n">
        <x:v>17700</x:v>
      </x:c>
      <x:c r="Z328" s="265" t="n">
        <x:v>26500</x:v>
      </x:c>
      <x:c r="AA328" s="253" t="str">
        <x:f>IF(V328="No","Maturing",IF(AND(U328="Yes",Y328&gt;0),"Yes","No"))</x:f>
        <x:v>No</x:v>
      </x:c>
      <x:c r="AB328" s="253" t="str">
        <x:f>IF(W328="No","Maturing",IF(AND(U328="Yes",Z328&gt;0),"Yes","No"))</x:f>
        <x:v>No</x:v>
      </x:c>
      <x:c r="AC328" s="265" t="n">
        <x:v>18147.87</x:v>
      </x:c>
      <x:c r="AD328" s="265" t="n">
        <x:v>17234.2</x:v>
      </x:c>
      <x:c r="AE328" s="271" t="str"/>
      <x:c r="AF328" s="274" t="str">
        <x:v>Not validated - no control/holdout</x:v>
      </x:c>
      <x:c r="AG328" s="277" t="str">
        <x:v>Recovered execution only; assignment date and unclaimed-offer denominator unavailable</x:v>
      </x:c>
    </x:row>
    <x:row r="329">
      <x:c r="A329" s="252" t="str">
        <x:v>34033350</x:v>
      </x:c>
      <x:c r="B329" s="253" t="str">
        <x:v>WS1</x:v>
      </x:c>
      <x:c r="C329" s="253" t="str">
        <x:v>MB8</x:v>
      </x:c>
      <x:c r="D329" s="262" t="n">
        <x:v>46139.80878472222</x:v>
      </x:c>
      <x:c r="E329" s="259" t="n">
        <x:v>46139.166666666664</x:v>
      </x:c>
      <x:c r="F329" s="253" t="str">
        <x:v>567203</x:v>
      </x:c>
      <x:c r="G329" s="253" t="str">
        <x:v>Booboo</x:v>
      </x:c>
      <x:c r="H329" s="253" t="str">
        <x:v>Yes</x:v>
      </x:c>
      <x:c r="I329" s="253" t="str">
        <x:v>Elda</x:v>
      </x:c>
      <x:c r="J329" s="253" t="str">
        <x:v>Elda</x:v>
      </x:c>
      <x:c r="K329" s="259" t="n">
        <x:v>45659.166666666664</x:v>
      </x:c>
      <x:c r="L329" s="268" t="str">
        <x:f>IFERROR(VLOOKUP(I329,'Handler-Team Map'!$A$7:$C$17,2,FALSE),"")</x:f>
      </x:c>
      <x:c r="M329" s="268" t="str">
        <x:f>IFERROR(VLOOKUP(I329,'Handler-Team Map'!$A$7:$C$17,3,FALSE),"")</x:f>
      </x:c>
      <x:c r="N329" s="274" t="str">
        <x:v>FT_VM_DEP1000_GET500_5X</x:v>
      </x:c>
      <x:c r="O329" s="274" t="str">
        <x:v>VIP BONUS - Deposit 1000 Get 500 - 5x TO</x:v>
      </x:c>
      <x:c r="P329" s="274" t="str">
        <x:v>DepositBonus</x:v>
      </x:c>
      <x:c r="Q329" s="274" t="str">
        <x:v>Approved</x:v>
      </x:c>
      <x:c r="R329" s="265" t="n">
        <x:v>500</x:v>
      </x:c>
      <x:c r="S329" s="253" t="str">
        <x:v>Yes</x:v>
      </x:c>
      <x:c r="T329" s="265" t="n">
        <x:v>13572.39</x:v>
      </x:c>
      <x:c r="U329" s="253" t="str">
        <x:f>IF(AND(S329="Yes",T329=0),"Yes","No")</x:f>
        <x:v>No</x:v>
      </x:c>
      <x:c r="V329" s="253" t="str">
        <x:v>Yes</x:v>
      </x:c>
      <x:c r="W329" s="253" t="str">
        <x:v>Yes</x:v>
      </x:c>
      <x:c r="X329" s="259" t="n">
        <x:v>46139.166666666664</x:v>
      </x:c>
      <x:c r="Y329" s="265" t="n">
        <x:v>15754</x:v>
      </x:c>
      <x:c r="Z329" s="265" t="n">
        <x:v>24841.15</x:v>
      </x:c>
      <x:c r="AA329" s="253" t="str">
        <x:f>IF(V329="No","Maturing",IF(AND(U329="Yes",Y329&gt;0),"Yes","No"))</x:f>
        <x:v>No</x:v>
      </x:c>
      <x:c r="AB329" s="253" t="str">
        <x:f>IF(W329="No","Maturing",IF(AND(U329="Yes",Z329&gt;0),"Yes","No"))</x:f>
        <x:v>No</x:v>
      </x:c>
      <x:c r="AC329" s="265" t="n">
        <x:v>4822.22</x:v>
      </x:c>
      <x:c r="AD329" s="265" t="n">
        <x:v>4406.62</x:v>
      </x:c>
      <x:c r="AE329" s="271" t="str"/>
      <x:c r="AF329" s="274" t="str">
        <x:v>Not validated - no control/holdout</x:v>
      </x:c>
      <x:c r="AG329" s="277" t="str">
        <x:v>Recovered execution only; assignment date and unclaimed-offer denominator unavailable</x:v>
      </x:c>
    </x:row>
    <x:row r="330">
      <x:c r="A330" s="252" t="str">
        <x:v>34033476</x:v>
      </x:c>
      <x:c r="B330" s="253" t="str">
        <x:v>WS1</x:v>
      </x:c>
      <x:c r="C330" s="253" t="str">
        <x:v>MB8</x:v>
      </x:c>
      <x:c r="D330" s="262" t="n">
        <x:v>46139.82114583333</x:v>
      </x:c>
      <x:c r="E330" s="259" t="n">
        <x:v>46139.166666666664</x:v>
      </x:c>
      <x:c r="F330" s="253" t="str">
        <x:v>938720</x:v>
      </x:c>
      <x:c r="G330" s="253" t="str">
        <x:v>Sutheshkumar</x:v>
      </x:c>
      <x:c r="H330" s="253" t="str">
        <x:v>Yes</x:v>
      </x:c>
      <x:c r="I330" s="253" t="str">
        <x:v>Tammy</x:v>
      </x:c>
      <x:c r="J330" s="253" t="str">
        <x:v>Tammy</x:v>
      </x:c>
      <x:c r="K330" s="259" t="n">
        <x:v>45951.166666666664</x:v>
      </x:c>
      <x:c r="L330" s="268" t="str">
        <x:f>IFERROR(VLOOKUP(I330,'Handler-Team Map'!$A$7:$C$17,2,FALSE),"")</x:f>
      </x:c>
      <x:c r="M330" s="268" t="str">
        <x:f>IFERROR(VLOOKUP(I330,'Handler-Team Map'!$A$7:$C$17,3,FALSE),"")</x:f>
      </x:c>
      <x:c r="N330" s="274" t="str">
        <x:v>FT_VM_DEP600_GET200_5X</x:v>
      </x:c>
      <x:c r="O330" s="274" t="str">
        <x:v>VIP BONUS - Deposit 600 Get 200 - 5x TO</x:v>
      </x:c>
      <x:c r="P330" s="274" t="str">
        <x:v>DepositBonus</x:v>
      </x:c>
      <x:c r="Q330" s="274" t="str">
        <x:v>Approved</x:v>
      </x:c>
      <x:c r="R330" s="265" t="n">
        <x:v>200</x:v>
      </x:c>
      <x:c r="S330" s="253" t="str">
        <x:v>Yes</x:v>
      </x:c>
      <x:c r="T330" s="265" t="n">
        <x:v>82196.5</x:v>
      </x:c>
      <x:c r="U330" s="253" t="str">
        <x:f>IF(AND(S330="Yes",T330=0),"Yes","No")</x:f>
        <x:v>No</x:v>
      </x:c>
      <x:c r="V330" s="253" t="str">
        <x:v>Yes</x:v>
      </x:c>
      <x:c r="W330" s="253" t="str">
        <x:v>Yes</x:v>
      </x:c>
      <x:c r="X330" s="259" t="n">
        <x:v>46139.166666666664</x:v>
      </x:c>
      <x:c r="Y330" s="265" t="n">
        <x:v>17797</x:v>
      </x:c>
      <x:c r="Z330" s="265" t="n">
        <x:v>32848</x:v>
      </x:c>
      <x:c r="AA330" s="253" t="str">
        <x:f>IF(V330="No","Maturing",IF(AND(U330="Yes",Y330&gt;0),"Yes","No"))</x:f>
        <x:v>No</x:v>
      </x:c>
      <x:c r="AB330" s="253" t="str">
        <x:f>IF(W330="No","Maturing",IF(AND(U330="Yes",Z330&gt;0),"Yes","No"))</x:f>
        <x:v>No</x:v>
      </x:c>
      <x:c r="AC330" s="265" t="n">
        <x:v>12327.44</x:v>
      </x:c>
      <x:c r="AD330" s="265" t="n">
        <x:v>19518.48</x:v>
      </x:c>
      <x:c r="AE330" s="271" t="str"/>
      <x:c r="AF330" s="274" t="str">
        <x:v>Not validated - no control/holdout</x:v>
      </x:c>
      <x:c r="AG330" s="277" t="str">
        <x:v>Recovered execution only; assignment date and unclaimed-offer denominator unavailable</x:v>
      </x:c>
    </x:row>
    <x:row r="331">
      <x:c r="A331" s="252" t="str">
        <x:v>34033942</x:v>
      </x:c>
      <x:c r="B331" s="253" t="str">
        <x:v>WS1</x:v>
      </x:c>
      <x:c r="C331" s="253" t="str">
        <x:v>MB8</x:v>
      </x:c>
      <x:c r="D331" s="262" t="n">
        <x:v>46139.85585648148</x:v>
      </x:c>
      <x:c r="E331" s="259" t="n">
        <x:v>46139.166666666664</x:v>
      </x:c>
      <x:c r="F331" s="253" t="str">
        <x:v>532295</x:v>
      </x:c>
      <x:c r="G331" s="253" t="str">
        <x:v>tonyass</x:v>
      </x:c>
      <x:c r="H331" s="253" t="str">
        <x:v>Yes</x:v>
      </x:c>
      <x:c r="I331" s="253" t="str">
        <x:v>Elda</x:v>
      </x:c>
      <x:c r="J331" s="253" t="str">
        <x:v>Elda</x:v>
      </x:c>
      <x:c r="K331" s="259" t="n">
        <x:v>45659.166666666664</x:v>
      </x:c>
      <x:c r="L331" s="268" t="str">
        <x:f>IFERROR(VLOOKUP(I331,'Handler-Team Map'!$A$7:$C$17,2,FALSE),"")</x:f>
      </x:c>
      <x:c r="M331" s="268" t="str">
        <x:f>IFERROR(VLOOKUP(I331,'Handler-Team Map'!$A$7:$C$17,3,FALSE),"")</x:f>
      </x:c>
      <x:c r="N331" s="274" t="str">
        <x:v>FT_VM_DEP600_GET200_5X</x:v>
      </x:c>
      <x:c r="O331" s="274" t="str">
        <x:v>VIP BONUS - Deposit 600 Get 200 - 5x TO</x:v>
      </x:c>
      <x:c r="P331" s="274" t="str">
        <x:v>DepositBonus</x:v>
      </x:c>
      <x:c r="Q331" s="274" t="str">
        <x:v>Approved</x:v>
      </x:c>
      <x:c r="R331" s="265" t="n">
        <x:v>200</x:v>
      </x:c>
      <x:c r="S331" s="253" t="str">
        <x:v>Yes</x:v>
      </x:c>
      <x:c r="T331" s="265" t="n">
        <x:v>12750</x:v>
      </x:c>
      <x:c r="U331" s="253" t="str">
        <x:f>IF(AND(S331="Yes",T331=0),"Yes","No")</x:f>
        <x:v>No</x:v>
      </x:c>
      <x:c r="V331" s="253" t="str">
        <x:v>Yes</x:v>
      </x:c>
      <x:c r="W331" s="253" t="str">
        <x:v>Yes</x:v>
      </x:c>
      <x:c r="X331" s="259" t="n">
        <x:v>46139.166666666664</x:v>
      </x:c>
      <x:c r="Y331" s="265" t="n">
        <x:v>600</x:v>
      </x:c>
      <x:c r="Z331" s="265" t="n">
        <x:v>3150</x:v>
      </x:c>
      <x:c r="AA331" s="253" t="str">
        <x:f>IF(V331="No","Maturing",IF(AND(U331="Yes",Y331&gt;0),"Yes","No"))</x:f>
        <x:v>No</x:v>
      </x:c>
      <x:c r="AB331" s="253" t="str">
        <x:f>IF(W331="No","Maturing",IF(AND(U331="Yes",Z331&gt;0),"Yes","No"))</x:f>
        <x:v>No</x:v>
      </x:c>
      <x:c r="AC331" s="265" t="n">
        <x:v>244.84</x:v>
      </x:c>
      <x:c r="AD331" s="265" t="n">
        <x:v>787.35</x:v>
      </x:c>
      <x:c r="AE331" s="271" t="str"/>
      <x:c r="AF331" s="274" t="str">
        <x:v>Not validated - no control/holdout</x:v>
      </x:c>
      <x:c r="AG331" s="277" t="str">
        <x:v>Recovered execution only; assignment date and unclaimed-offer denominator unavailable</x:v>
      </x:c>
    </x:row>
    <x:row r="332">
      <x:c r="A332" s="252" t="str">
        <x:v>34034264</x:v>
      </x:c>
      <x:c r="B332" s="253" t="str">
        <x:v>WS1</x:v>
      </x:c>
      <x:c r="C332" s="253" t="str">
        <x:v>MB8</x:v>
      </x:c>
      <x:c r="D332" s="262" t="n">
        <x:v>46139.880011574074</x:v>
      </x:c>
      <x:c r="E332" s="259" t="n">
        <x:v>46139.166666666664</x:v>
      </x:c>
      <x:c r="F332" s="253" t="str">
        <x:v>47658</x:v>
      </x:c>
      <x:c r="G332" s="253" t="str">
        <x:v>Eddy155</x:v>
      </x:c>
      <x:c r="H332" s="253" t="str">
        <x:v>Yes</x:v>
      </x:c>
      <x:c r="I332" s="253" t="str">
        <x:v>Sheena</x:v>
      </x:c>
      <x:c r="J332" s="253" t="str">
        <x:v>Sheena</x:v>
      </x:c>
      <x:c r="K332" s="259" t="n">
        <x:v>45852.166666666664</x:v>
      </x:c>
      <x:c r="L332" s="268" t="str">
        <x:f>IFERROR(VLOOKUP(I332,'Handler-Team Map'!$A$7:$C$17,2,FALSE),"")</x:f>
      </x:c>
      <x:c r="M332" s="268" t="str">
        <x:f>IFERROR(VLOOKUP(I332,'Handler-Team Map'!$A$7:$C$17,3,FALSE),"")</x:f>
      </x:c>
      <x:c r="N332" s="274" t="str">
        <x:v>FT_VM_DEP800_GET400_1X</x:v>
      </x:c>
      <x:c r="O332" s="274" t="str">
        <x:v>VIP BONUS - Deposit 800 Get 400 - 1x TO</x:v>
      </x:c>
      <x:c r="P332" s="274" t="str">
        <x:v>DepositBonus</x:v>
      </x:c>
      <x:c r="Q332" s="274" t="str">
        <x:v>Approved</x:v>
      </x:c>
      <x:c r="R332" s="265" t="n">
        <x:v>400</x:v>
      </x:c>
      <x:c r="S332" s="253" t="str">
        <x:v>Yes</x:v>
      </x:c>
      <x:c r="T332" s="265" t="n">
        <x:v>700</x:v>
      </x:c>
      <x:c r="U332" s="253" t="str">
        <x:f>IF(AND(S332="Yes",T332=0),"Yes","No")</x:f>
        <x:v>No</x:v>
      </x:c>
      <x:c r="V332" s="253" t="str">
        <x:v>Yes</x:v>
      </x:c>
      <x:c r="W332" s="253" t="str">
        <x:v>Yes</x:v>
      </x:c>
      <x:c r="X332" s="259" t="n">
        <x:v>46139.166666666664</x:v>
      </x:c>
      <x:c r="Y332" s="265" t="n">
        <x:v>800</x:v>
      </x:c>
      <x:c r="Z332" s="265" t="n">
        <x:v>800</x:v>
      </x:c>
      <x:c r="AA332" s="253" t="str">
        <x:f>IF(V332="No","Maturing",IF(AND(U332="Yes",Y332&gt;0),"Yes","No"))</x:f>
        <x:v>No</x:v>
      </x:c>
      <x:c r="AB332" s="253" t="str">
        <x:f>IF(W332="No","Maturing",IF(AND(U332="Yes",Z332&gt;0),"Yes","No"))</x:f>
        <x:v>No</x:v>
      </x:c>
      <x:c r="AC332" s="265" t="n">
        <x:v>-275.39</x:v>
      </x:c>
      <x:c r="AD332" s="265" t="n">
        <x:v>-274.99</x:v>
      </x:c>
      <x:c r="AE332" s="271" t="str"/>
      <x:c r="AF332" s="274" t="str">
        <x:v>Not validated - no control/holdout</x:v>
      </x:c>
      <x:c r="AG332" s="277" t="str">
        <x:v>Recovered execution only; assignment date and unclaimed-offer denominator unavailable</x:v>
      </x:c>
    </x:row>
    <x:row r="333">
      <x:c r="A333" s="252" t="str">
        <x:v>34034480</x:v>
      </x:c>
      <x:c r="B333" s="253" t="str">
        <x:v>WS1</x:v>
      </x:c>
      <x:c r="C333" s="253" t="str">
        <x:v>MB8</x:v>
      </x:c>
      <x:c r="D333" s="262" t="n">
        <x:v>46139.894907407404</x:v>
      </x:c>
      <x:c r="E333" s="259" t="n">
        <x:v>46139.166666666664</x:v>
      </x:c>
      <x:c r="F333" s="253" t="str">
        <x:v>806553</x:v>
      </x:c>
      <x:c r="G333" s="253" t="str">
        <x:v>Win8win</x:v>
      </x:c>
      <x:c r="H333" s="253" t="str">
        <x:v>Yes</x:v>
      </x:c>
      <x:c r="I333" s="253" t="str">
        <x:v>Claire</x:v>
      </x:c>
      <x:c r="J333" s="253" t="str">
        <x:v>Claire</x:v>
      </x:c>
      <x:c r="K333" s="259" t="n">
        <x:v>45659.166666666664</x:v>
      </x:c>
      <x:c r="L333" s="268" t="str">
        <x:f>IFERROR(VLOOKUP(I333,'Handler-Team Map'!$A$7:$C$17,2,FALSE),"")</x:f>
      </x:c>
      <x:c r="M333" s="268" t="str">
        <x:f>IFERROR(VLOOKUP(I333,'Handler-Team Map'!$A$7:$C$17,3,FALSE),"")</x:f>
      </x:c>
      <x:c r="N333" s="274" t="str">
        <x:v>FT_VM_DEP1000_GET900_1X</x:v>
      </x:c>
      <x:c r="O333" s="274" t="str">
        <x:v>VIP BONUS - Deposit 1000 Get 900 - 1x TO</x:v>
      </x:c>
      <x:c r="P333" s="274" t="str">
        <x:v>DepositBonus</x:v>
      </x:c>
      <x:c r="Q333" s="274" t="str">
        <x:v>Approved</x:v>
      </x:c>
      <x:c r="R333" s="265" t="n">
        <x:v>900</x:v>
      </x:c>
      <x:c r="S333" s="253" t="str">
        <x:v>Yes</x:v>
      </x:c>
      <x:c r="T333" s="265" t="n">
        <x:v>50</x:v>
      </x:c>
      <x:c r="U333" s="253" t="str">
        <x:f>IF(AND(S333="Yes",T333=0),"Yes","No")</x:f>
        <x:v>No</x:v>
      </x:c>
      <x:c r="V333" s="253" t="str">
        <x:v>Yes</x:v>
      </x:c>
      <x:c r="W333" s="253" t="str">
        <x:v>Yes</x:v>
      </x:c>
      <x:c r="X333" s="259" t="n">
        <x:v>46139.166666666664</x:v>
      </x:c>
      <x:c r="Y333" s="265" t="n">
        <x:v>1050</x:v>
      </x:c>
      <x:c r="Z333" s="265" t="n">
        <x:v>1050</x:v>
      </x:c>
      <x:c r="AA333" s="253" t="str">
        <x:f>IF(V333="No","Maturing",IF(AND(U333="Yes",Y333&gt;0),"Yes","No"))</x:f>
        <x:v>No</x:v>
      </x:c>
      <x:c r="AB333" s="253" t="str">
        <x:f>IF(W333="No","Maturing",IF(AND(U333="Yes",Z333&gt;0),"Yes","No"))</x:f>
        <x:v>No</x:v>
      </x:c>
      <x:c r="AC333" s="265" t="n">
        <x:v>-2350.38</x:v>
      </x:c>
      <x:c r="AD333" s="265" t="n">
        <x:v>-2350.38</x:v>
      </x:c>
      <x:c r="AE333" s="271" t="str"/>
      <x:c r="AF333" s="274" t="str">
        <x:v>Not validated - no control/holdout</x:v>
      </x:c>
      <x:c r="AG333" s="277" t="str">
        <x:v>Recovered execution only; assignment date and unclaimed-offer denominator unavailable</x:v>
      </x:c>
    </x:row>
    <x:row r="334">
      <x:c r="A334" s="252" t="str">
        <x:v>34034527</x:v>
      </x:c>
      <x:c r="B334" s="253" t="str">
        <x:v>WS1</x:v>
      </x:c>
      <x:c r="C334" s="253" t="str">
        <x:v>MB8</x:v>
      </x:c>
      <x:c r="D334" s="262" t="n">
        <x:v>46139.89630787037</x:v>
      </x:c>
      <x:c r="E334" s="259" t="n">
        <x:v>46139.166666666664</x:v>
      </x:c>
      <x:c r="F334" s="253" t="str">
        <x:v>306733</x:v>
      </x:c>
      <x:c r="G334" s="253" t="str">
        <x:v>HC5140</x:v>
      </x:c>
      <x:c r="H334" s="253" t="str">
        <x:v>Yes</x:v>
      </x:c>
      <x:c r="I334" s="253" t="str">
        <x:v>Claire</x:v>
      </x:c>
      <x:c r="J334" s="253" t="str">
        <x:v>Claire</x:v>
      </x:c>
      <x:c r="K334" s="259" t="n">
        <x:v>45659.166666666664</x:v>
      </x:c>
      <x:c r="L334" s="268" t="str">
        <x:f>IFERROR(VLOOKUP(I334,'Handler-Team Map'!$A$7:$C$17,2,FALSE),"")</x:f>
      </x:c>
      <x:c r="M334" s="268" t="str">
        <x:f>IFERROR(VLOOKUP(I334,'Handler-Team Map'!$A$7:$C$17,3,FALSE),"")</x:f>
      </x:c>
      <x:c r="N334" s="274" t="str">
        <x:v>FT_VM_DEP1000_GET500_5X</x:v>
      </x:c>
      <x:c r="O334" s="274" t="str">
        <x:v>VIP BONUS - Deposit 1000 Get 500 - 5x TO</x:v>
      </x:c>
      <x:c r="P334" s="274" t="str">
        <x:v>DepositBonus</x:v>
      </x:c>
      <x:c r="Q334" s="274" t="str">
        <x:v>Approved</x:v>
      </x:c>
      <x:c r="R334" s="265" t="n">
        <x:v>500</x:v>
      </x:c>
      <x:c r="S334" s="253" t="str">
        <x:v>Yes</x:v>
      </x:c>
      <x:c r="T334" s="265" t="n">
        <x:v>146616</x:v>
      </x:c>
      <x:c r="U334" s="253" t="str">
        <x:f>IF(AND(S334="Yes",T334=0),"Yes","No")</x:f>
        <x:v>No</x:v>
      </x:c>
      <x:c r="V334" s="253" t="str">
        <x:v>Yes</x:v>
      </x:c>
      <x:c r="W334" s="253" t="str">
        <x:v>Yes</x:v>
      </x:c>
      <x:c r="X334" s="259" t="n">
        <x:v>46139.166666666664</x:v>
      </x:c>
      <x:c r="Y334" s="265" t="n">
        <x:v>41112</x:v>
      </x:c>
      <x:c r="Z334" s="265" t="n">
        <x:v>99612</x:v>
      </x:c>
      <x:c r="AA334" s="253" t="str">
        <x:f>IF(V334="No","Maturing",IF(AND(U334="Yes",Y334&gt;0),"Yes","No"))</x:f>
        <x:v>No</x:v>
      </x:c>
      <x:c r="AB334" s="253" t="str">
        <x:f>IF(W334="No","Maturing",IF(AND(U334="Yes",Z334&gt;0),"Yes","No"))</x:f>
        <x:v>No</x:v>
      </x:c>
      <x:c r="AC334" s="265" t="n">
        <x:v>1928.13</x:v>
      </x:c>
      <x:c r="AD334" s="265" t="n">
        <x:v>-13053.65</x:v>
      </x:c>
      <x:c r="AE334" s="271" t="str"/>
      <x:c r="AF334" s="274" t="str">
        <x:v>Not validated - no control/holdout</x:v>
      </x:c>
      <x:c r="AG334" s="277" t="str">
        <x:v>Recovered execution only; assignment date and unclaimed-offer denominator unavailable</x:v>
      </x:c>
    </x:row>
    <x:row r="335">
      <x:c r="A335" s="252" t="str">
        <x:v>34034560</x:v>
      </x:c>
      <x:c r="B335" s="253" t="str">
        <x:v>WS1</x:v>
      </x:c>
      <x:c r="C335" s="253" t="str">
        <x:v>MB8</x:v>
      </x:c>
      <x:c r="D335" s="262" t="n">
        <x:v>46139.89826388889</x:v>
      </x:c>
      <x:c r="E335" s="259" t="n">
        <x:v>46139.166666666664</x:v>
      </x:c>
      <x:c r="F335" s="253" t="str">
        <x:v>552057</x:v>
      </x:c>
      <x:c r="G335" s="253" t="str">
        <x:v>jackie888</x:v>
      </x:c>
      <x:c r="H335" s="253" t="str">
        <x:v>Yes</x:v>
      </x:c>
      <x:c r="I335" s="253" t="str">
        <x:v>zhen</x:v>
      </x:c>
      <x:c r="J335" s="253" t="str">
        <x:v>zhen</x:v>
      </x:c>
      <x:c r="K335" s="259" t="n">
        <x:v>45985.166666666664</x:v>
      </x:c>
      <x:c r="L335" s="268" t="str">
        <x:f>IFERROR(VLOOKUP(I335,'Handler-Team Map'!$A$7:$C$17,2,FALSE),"")</x:f>
      </x:c>
      <x:c r="M335" s="268" t="str">
        <x:f>IFERROR(VLOOKUP(I335,'Handler-Team Map'!$A$7:$C$17,3,FALSE),"")</x:f>
      </x:c>
      <x:c r="N335" s="274" t="str">
        <x:v>FT_VM_DEP600_GET200_5X</x:v>
      </x:c>
      <x:c r="O335" s="274" t="str">
        <x:v>VIP BONUS - Deposit 600 Get 200 - 5x TO</x:v>
      </x:c>
      <x:c r="P335" s="274" t="str">
        <x:v>DepositBonus</x:v>
      </x:c>
      <x:c r="Q335" s="274" t="str">
        <x:v>Approved</x:v>
      </x:c>
      <x:c r="R335" s="265" t="n">
        <x:v>200</x:v>
      </x:c>
      <x:c r="S335" s="253" t="str">
        <x:v>Yes</x:v>
      </x:c>
      <x:c r="T335" s="265" t="n">
        <x:v>346600</x:v>
      </x:c>
      <x:c r="U335" s="253" t="str">
        <x:f>IF(AND(S335="Yes",T335=0),"Yes","No")</x:f>
        <x:v>No</x:v>
      </x:c>
      <x:c r="V335" s="253" t="str">
        <x:v>Yes</x:v>
      </x:c>
      <x:c r="W335" s="253" t="str">
        <x:v>Yes</x:v>
      </x:c>
      <x:c r="X335" s="259" t="n">
        <x:v>46139.166666666664</x:v>
      </x:c>
      <x:c r="Y335" s="265" t="n">
        <x:v>15100</x:v>
      </x:c>
      <x:c r="Z335" s="265" t="n">
        <x:v>23100</x:v>
      </x:c>
      <x:c r="AA335" s="253" t="str">
        <x:f>IF(V335="No","Maturing",IF(AND(U335="Yes",Y335&gt;0),"Yes","No"))</x:f>
        <x:v>No</x:v>
      </x:c>
      <x:c r="AB335" s="253" t="str">
        <x:f>IF(W335="No","Maturing",IF(AND(U335="Yes",Z335&gt;0),"Yes","No"))</x:f>
        <x:v>No</x:v>
      </x:c>
      <x:c r="AC335" s="265" t="n">
        <x:v>-23316.34</x:v>
      </x:c>
      <x:c r="AD335" s="265" t="n">
        <x:v>-18514.26</x:v>
      </x:c>
      <x:c r="AE335" s="271" t="str"/>
      <x:c r="AF335" s="274" t="str">
        <x:v>Not validated - no control/holdout</x:v>
      </x:c>
      <x:c r="AG335" s="277" t="str">
        <x:v>Recovered execution only; assignment date and unclaimed-offer denominator unavailable</x:v>
      </x:c>
    </x:row>
    <x:row r="336">
      <x:c r="A336" s="252" t="str">
        <x:v>34035051</x:v>
      </x:c>
      <x:c r="B336" s="253" t="str">
        <x:v>WS1</x:v>
      </x:c>
      <x:c r="C336" s="253" t="str">
        <x:v>MB8</x:v>
      </x:c>
      <x:c r="D336" s="262" t="n">
        <x:v>46139.92815972222</x:v>
      </x:c>
      <x:c r="E336" s="259" t="n">
        <x:v>46139.166666666664</x:v>
      </x:c>
      <x:c r="F336" s="253" t="str">
        <x:v>64201</x:v>
      </x:c>
      <x:c r="G336" s="253" t="str">
        <x:v>Joker1603</x:v>
      </x:c>
      <x:c r="H336" s="253" t="str">
        <x:v>Yes</x:v>
      </x:c>
      <x:c r="I336" s="253" t="str">
        <x:v>Serene</x:v>
      </x:c>
      <x:c r="J336" s="253" t="str">
        <x:v>Serene</x:v>
      </x:c>
      <x:c r="K336" s="259" t="n">
        <x:v>46090.166666666664</x:v>
      </x:c>
      <x:c r="L336" s="268" t="str">
        <x:f>IFERROR(VLOOKUP(I336,'Handler-Team Map'!$A$7:$C$17,2,FALSE),"")</x:f>
      </x:c>
      <x:c r="M336" s="268" t="str">
        <x:f>IFERROR(VLOOKUP(I336,'Handler-Team Map'!$A$7:$C$17,3,FALSE),"")</x:f>
      </x:c>
      <x:c r="N336" s="274" t="str">
        <x:v>FT_VM_DEP1000_GET800_2X</x:v>
      </x:c>
      <x:c r="O336" s="274" t="str">
        <x:v>VIP BONUS - Deposit 1000 Get 800 - 2x TO</x:v>
      </x:c>
      <x:c r="P336" s="274" t="str">
        <x:v>DepositBonus</x:v>
      </x:c>
      <x:c r="Q336" s="274" t="str">
        <x:v>Approved</x:v>
      </x:c>
      <x:c r="R336" s="265" t="n">
        <x:v>800</x:v>
      </x:c>
      <x:c r="S336" s="253" t="str">
        <x:v>Yes</x:v>
      </x:c>
      <x:c r="T336" s="265" t="n">
        <x:v>121500</x:v>
      </x:c>
      <x:c r="U336" s="253" t="str">
        <x:f>IF(AND(S336="Yes",T336=0),"Yes","No")</x:f>
        <x:v>No</x:v>
      </x:c>
      <x:c r="V336" s="253" t="str">
        <x:v>Yes</x:v>
      </x:c>
      <x:c r="W336" s="253" t="str">
        <x:v>Yes</x:v>
      </x:c>
      <x:c r="X336" s="259" t="n">
        <x:v>46139.166666666664</x:v>
      </x:c>
      <x:c r="Y336" s="265" t="n">
        <x:v>3000</x:v>
      </x:c>
      <x:c r="Z336" s="265" t="n">
        <x:v>3530</x:v>
      </x:c>
      <x:c r="AA336" s="253" t="str">
        <x:f>IF(V336="No","Maturing",IF(AND(U336="Yes",Y336&gt;0),"Yes","No"))</x:f>
        <x:v>No</x:v>
      </x:c>
      <x:c r="AB336" s="253" t="str">
        <x:f>IF(W336="No","Maturing",IF(AND(U336="Yes",Z336&gt;0),"Yes","No"))</x:f>
        <x:v>No</x:v>
      </x:c>
      <x:c r="AC336" s="265" t="n">
        <x:v>3141.17</x:v>
      </x:c>
      <x:c r="AD336" s="265" t="n">
        <x:v>3671.17</x:v>
      </x:c>
      <x:c r="AE336" s="271" t="str"/>
      <x:c r="AF336" s="274" t="str">
        <x:v>Not validated - no control/holdout</x:v>
      </x:c>
      <x:c r="AG336" s="277" t="str">
        <x:v>Recovered execution only; assignment date and unclaimed-offer denominator unavailable</x:v>
      </x:c>
    </x:row>
    <x:row r="337">
      <x:c r="A337" s="252" t="str">
        <x:v>34035201</x:v>
      </x:c>
      <x:c r="B337" s="253" t="str">
        <x:v>WS1</x:v>
      </x:c>
      <x:c r="C337" s="253" t="str">
        <x:v>MB8</x:v>
      </x:c>
      <x:c r="D337" s="262" t="n">
        <x:v>46139.93547453704</x:v>
      </x:c>
      <x:c r="E337" s="259" t="n">
        <x:v>46139.166666666664</x:v>
      </x:c>
      <x:c r="F337" s="253" t="str">
        <x:v>847103</x:v>
      </x:c>
      <x:c r="G337" s="253" t="str">
        <x:v>Many08</x:v>
      </x:c>
      <x:c r="H337" s="253" t="str">
        <x:v>Yes</x:v>
      </x:c>
      <x:c r="I337" s="253" t="str">
        <x:v>Elda</x:v>
      </x:c>
      <x:c r="J337" s="253" t="str">
        <x:v>Elda</x:v>
      </x:c>
      <x:c r="K337" s="259" t="n">
        <x:v>45887.166666666664</x:v>
      </x:c>
      <x:c r="L337" s="268" t="str">
        <x:f>IFERROR(VLOOKUP(I337,'Handler-Team Map'!$A$7:$C$17,2,FALSE),"")</x:f>
      </x:c>
      <x:c r="M337" s="268" t="str">
        <x:f>IFERROR(VLOOKUP(I337,'Handler-Team Map'!$A$7:$C$17,3,FALSE),"")</x:f>
      </x:c>
      <x:c r="N337" s="274" t="str">
        <x:v>FT_VM_DEP300_GET100_5X</x:v>
      </x:c>
      <x:c r="O337" s="274" t="str">
        <x:v>VIP BONUS - Deposit 300 Get 100 - 5x TO</x:v>
      </x:c>
      <x:c r="P337" s="274" t="str">
        <x:v>DepositBonus</x:v>
      </x:c>
      <x:c r="Q337" s="274" t="str">
        <x:v>Approved</x:v>
      </x:c>
      <x:c r="R337" s="265" t="n">
        <x:v>100</x:v>
      </x:c>
      <x:c r="S337" s="253" t="str">
        <x:v>Yes</x:v>
      </x:c>
      <x:c r="T337" s="265" t="n">
        <x:v>68100</x:v>
      </x:c>
      <x:c r="U337" s="253" t="str">
        <x:f>IF(AND(S337="Yes",T337=0),"Yes","No")</x:f>
        <x:v>No</x:v>
      </x:c>
      <x:c r="V337" s="253" t="str">
        <x:v>Yes</x:v>
      </x:c>
      <x:c r="W337" s="253" t="str">
        <x:v>Yes</x:v>
      </x:c>
      <x:c r="X337" s="259" t="n">
        <x:v>46139.166666666664</x:v>
      </x:c>
      <x:c r="Y337" s="265" t="n">
        <x:v>4500</x:v>
      </x:c>
      <x:c r="Z337" s="265" t="n">
        <x:v>9100</x:v>
      </x:c>
      <x:c r="AA337" s="253" t="str">
        <x:f>IF(V337="No","Maturing",IF(AND(U337="Yes",Y337&gt;0),"Yes","No"))</x:f>
        <x:v>No</x:v>
      </x:c>
      <x:c r="AB337" s="253" t="str">
        <x:f>IF(W337="No","Maturing",IF(AND(U337="Yes",Z337&gt;0),"Yes","No"))</x:f>
        <x:v>No</x:v>
      </x:c>
      <x:c r="AC337" s="265" t="n">
        <x:v>4174.74</x:v>
      </x:c>
      <x:c r="AD337" s="265" t="n">
        <x:v>5562.4</x:v>
      </x:c>
      <x:c r="AE337" s="271" t="str"/>
      <x:c r="AF337" s="274" t="str">
        <x:v>Not validated - no control/holdout</x:v>
      </x:c>
      <x:c r="AG337" s="277" t="str">
        <x:v>Recovered execution only; assignment date and unclaimed-offer denominator unavailable</x:v>
      </x:c>
    </x:row>
    <x:row r="338">
      <x:c r="A338" s="252" t="str">
        <x:v>34036038</x:v>
      </x:c>
      <x:c r="B338" s="253" t="str">
        <x:v>WS1</x:v>
      </x:c>
      <x:c r="C338" s="253" t="str">
        <x:v>MB8</x:v>
      </x:c>
      <x:c r="D338" s="262" t="n">
        <x:v>46139.96810185185</x:v>
      </x:c>
      <x:c r="E338" s="259" t="n">
        <x:v>46139.166666666664</x:v>
      </x:c>
      <x:c r="F338" s="253" t="str">
        <x:v>419229</x:v>
      </x:c>
      <x:c r="G338" s="253" t="str">
        <x:v>ZERO99</x:v>
      </x:c>
      <x:c r="H338" s="253" t="str">
        <x:v>Yes</x:v>
      </x:c>
      <x:c r="I338" s="253" t="str">
        <x:v>Elda</x:v>
      </x:c>
      <x:c r="J338" s="253" t="str">
        <x:v>Elda</x:v>
      </x:c>
      <x:c r="K338" s="259" t="n">
        <x:v>45659.166666666664</x:v>
      </x:c>
      <x:c r="L338" s="268" t="str">
        <x:f>IFERROR(VLOOKUP(I338,'Handler-Team Map'!$A$7:$C$17,2,FALSE),"")</x:f>
      </x:c>
      <x:c r="M338" s="268" t="str">
        <x:f>IFERROR(VLOOKUP(I338,'Handler-Team Map'!$A$7:$C$17,3,FALSE),"")</x:f>
      </x:c>
      <x:c r="N338" s="274" t="str">
        <x:v>FT_VM_DEP1000_GET500_5X</x:v>
      </x:c>
      <x:c r="O338" s="274" t="str">
        <x:v>VIP BONUS - Deposit 1000 Get 500 - 5x TO</x:v>
      </x:c>
      <x:c r="P338" s="274" t="str">
        <x:v>DepositBonus</x:v>
      </x:c>
      <x:c r="Q338" s="274" t="str">
        <x:v>Approved</x:v>
      </x:c>
      <x:c r="R338" s="265" t="n">
        <x:v>500</x:v>
      </x:c>
      <x:c r="S338" s="253" t="str">
        <x:v>Yes</x:v>
      </x:c>
      <x:c r="T338" s="265" t="n">
        <x:v>5400</x:v>
      </x:c>
      <x:c r="U338" s="253" t="str">
        <x:f>IF(AND(S338="Yes",T338=0),"Yes","No")</x:f>
        <x:v>No</x:v>
      </x:c>
      <x:c r="V338" s="253" t="str">
        <x:v>Yes</x:v>
      </x:c>
      <x:c r="W338" s="253" t="str">
        <x:v>Yes</x:v>
      </x:c>
      <x:c r="X338" s="259" t="n">
        <x:v>46139.166666666664</x:v>
      </x:c>
      <x:c r="Y338" s="265" t="n">
        <x:v>4000</x:v>
      </x:c>
      <x:c r="Z338" s="265" t="n">
        <x:v>9600</x:v>
      </x:c>
      <x:c r="AA338" s="253" t="str">
        <x:f>IF(V338="No","Maturing",IF(AND(U338="Yes",Y338&gt;0),"Yes","No"))</x:f>
        <x:v>No</x:v>
      </x:c>
      <x:c r="AB338" s="253" t="str">
        <x:f>IF(W338="No","Maturing",IF(AND(U338="Yes",Z338&gt;0),"Yes","No"))</x:f>
        <x:v>No</x:v>
      </x:c>
      <x:c r="AC338" s="265" t="n">
        <x:v>-2111.33</x:v>
      </x:c>
      <x:c r="AD338" s="265" t="n">
        <x:v>-789.91</x:v>
      </x:c>
      <x:c r="AE338" s="271" t="str"/>
      <x:c r="AF338" s="274" t="str">
        <x:v>Not validated - no control/holdout</x:v>
      </x:c>
      <x:c r="AG338" s="277" t="str">
        <x:v>Recovered execution only; assignment date and unclaimed-offer denominator unavailable</x:v>
      </x:c>
    </x:row>
    <x:row r="339">
      <x:c r="A339" s="252" t="str">
        <x:v>34036283</x:v>
      </x:c>
      <x:c r="B339" s="253" t="str">
        <x:v>WS1</x:v>
      </x:c>
      <x:c r="C339" s="253" t="str">
        <x:v>MB8</x:v>
      </x:c>
      <x:c r="D339" s="262" t="n">
        <x:v>46139.97856481482</x:v>
      </x:c>
      <x:c r="E339" s="259" t="n">
        <x:v>46139.166666666664</x:v>
      </x:c>
      <x:c r="F339" s="253" t="str">
        <x:v>1181391</x:v>
      </x:c>
      <x:c r="G339" s="253" t="str">
        <x:v>Kook27</x:v>
      </x:c>
      <x:c r="H339" s="253" t="str">
        <x:v>Yes</x:v>
      </x:c>
      <x:c r="I339" s="253" t="str">
        <x:v>Jiahui</x:v>
      </x:c>
      <x:c r="J339" s="253" t="str">
        <x:v>Jiahui</x:v>
      </x:c>
      <x:c r="K339" s="259" t="n">
        <x:v>45811.166666666664</x:v>
      </x:c>
      <x:c r="L339" s="268" t="str">
        <x:f>IFERROR(VLOOKUP(I339,'Handler-Team Map'!$A$7:$C$17,2,FALSE),"")</x:f>
      </x:c>
      <x:c r="M339" s="268" t="str">
        <x:f>IFERROR(VLOOKUP(I339,'Handler-Team Map'!$A$7:$C$17,3,FALSE),"")</x:f>
      </x:c>
      <x:c r="N339" s="274" t="str">
        <x:v>FT_VM_DEP1000_GET500_2X</x:v>
      </x:c>
      <x:c r="O339" s="274" t="str">
        <x:v>VIP BONUS - Deposit 1000 Get 500 - 2x TO</x:v>
      </x:c>
      <x:c r="P339" s="274" t="str">
        <x:v>DepositBonus</x:v>
      </x:c>
      <x:c r="Q339" s="274" t="str">
        <x:v>Approved</x:v>
      </x:c>
      <x:c r="R339" s="265" t="n">
        <x:v>500</x:v>
      </x:c>
      <x:c r="S339" s="253" t="str">
        <x:v>Yes</x:v>
      </x:c>
      <x:c r="T339" s="265" t="n">
        <x:v>30</x:v>
      </x:c>
      <x:c r="U339" s="253" t="str">
        <x:f>IF(AND(S339="Yes",T339=0),"Yes","No")</x:f>
        <x:v>No</x:v>
      </x:c>
      <x:c r="V339" s="253" t="str">
        <x:v>Yes</x:v>
      </x:c>
      <x:c r="W339" s="253" t="str">
        <x:v>Yes</x:v>
      </x:c>
      <x:c r="X339" s="259" t="n">
        <x:v>46139.166666666664</x:v>
      </x:c>
      <x:c r="Y339" s="265" t="n">
        <x:v>5700</x:v>
      </x:c>
      <x:c r="Z339" s="265" t="n">
        <x:v>5700</x:v>
      </x:c>
      <x:c r="AA339" s="253" t="str">
        <x:f>IF(V339="No","Maturing",IF(AND(U339="Yes",Y339&gt;0),"Yes","No"))</x:f>
        <x:v>No</x:v>
      </x:c>
      <x:c r="AB339" s="253" t="str">
        <x:f>IF(W339="No","Maturing",IF(AND(U339="Yes",Z339&gt;0),"Yes","No"))</x:f>
        <x:v>No</x:v>
      </x:c>
      <x:c r="AC339" s="265" t="n">
        <x:v>1450.16</x:v>
      </x:c>
      <x:c r="AD339" s="265" t="n">
        <x:v>1450.55</x:v>
      </x:c>
      <x:c r="AE339" s="271" t="str"/>
      <x:c r="AF339" s="274" t="str">
        <x:v>Not validated - no control/holdout</x:v>
      </x:c>
      <x:c r="AG339" s="277" t="str">
        <x:v>Recovered execution only; assignment date and unclaimed-offer denominator unavailable</x:v>
      </x:c>
    </x:row>
    <x:row r="340">
      <x:c r="A340" s="252" t="str">
        <x:v>34042076</x:v>
      </x:c>
      <x:c r="B340" s="253" t="str">
        <x:v>WS1</x:v>
      </x:c>
      <x:c r="C340" s="253" t="str">
        <x:v>MB8</x:v>
      </x:c>
      <x:c r="D340" s="262" t="n">
        <x:v>46140.579722222225</x:v>
      </x:c>
      <x:c r="E340" s="259" t="n">
        <x:v>46140.166666666664</x:v>
      </x:c>
      <x:c r="F340" s="253" t="str">
        <x:v>361491</x:v>
      </x:c>
      <x:c r="G340" s="253" t="str">
        <x:v>Goldrich88</x:v>
      </x:c>
      <x:c r="H340" s="253" t="str">
        <x:v>Yes</x:v>
      </x:c>
      <x:c r="I340" s="253" t="str">
        <x:v>Serene</x:v>
      </x:c>
      <x:c r="J340" s="253" t="str">
        <x:v>Serene</x:v>
      </x:c>
      <x:c r="K340" s="259" t="n">
        <x:v>45859.166666666664</x:v>
      </x:c>
      <x:c r="L340" s="268" t="str">
        <x:f>IFERROR(VLOOKUP(I340,'Handler-Team Map'!$A$7:$C$17,2,FALSE),"")</x:f>
      </x:c>
      <x:c r="M340" s="268" t="str">
        <x:f>IFERROR(VLOOKUP(I340,'Handler-Team Map'!$A$7:$C$17,3,FALSE),"")</x:f>
      </x:c>
      <x:c r="N340" s="274" t="str">
        <x:v>FT_VM_DEP700_GET300_2X</x:v>
      </x:c>
      <x:c r="O340" s="274" t="str">
        <x:v>VIP BONUS - Deposit 700 Get 300 - 2x TO</x:v>
      </x:c>
      <x:c r="P340" s="274" t="str">
        <x:v>DepositBonus</x:v>
      </x:c>
      <x:c r="Q340" s="274" t="str">
        <x:v>Approved</x:v>
      </x:c>
      <x:c r="R340" s="265" t="n">
        <x:v>300</x:v>
      </x:c>
      <x:c r="S340" s="253" t="str">
        <x:v>Yes</x:v>
      </x:c>
      <x:c r="T340" s="265" t="n">
        <x:v>54119</x:v>
      </x:c>
      <x:c r="U340" s="253" t="str">
        <x:f>IF(AND(S340="Yes",T340=0),"Yes","No")</x:f>
        <x:v>No</x:v>
      </x:c>
      <x:c r="V340" s="253" t="str">
        <x:v>Yes</x:v>
      </x:c>
      <x:c r="W340" s="253" t="str">
        <x:v>Yes</x:v>
      </x:c>
      <x:c r="X340" s="259" t="n">
        <x:v>46140.166666666664</x:v>
      </x:c>
      <x:c r="Y340" s="265" t="n">
        <x:v>18300</x:v>
      </x:c>
      <x:c r="Z340" s="265" t="n">
        <x:v>18300</x:v>
      </x:c>
      <x:c r="AA340" s="253" t="str">
        <x:f>IF(V340="No","Maturing",IF(AND(U340="Yes",Y340&gt;0),"Yes","No"))</x:f>
        <x:v>No</x:v>
      </x:c>
      <x:c r="AB340" s="253" t="str">
        <x:f>IF(W340="No","Maturing",IF(AND(U340="Yes",Z340&gt;0),"Yes","No"))</x:f>
        <x:v>No</x:v>
      </x:c>
      <x:c r="AC340" s="265" t="n">
        <x:v>2199.26</x:v>
      </x:c>
      <x:c r="AD340" s="265" t="n">
        <x:v>2199.26</x:v>
      </x:c>
      <x:c r="AE340" s="271" t="str"/>
      <x:c r="AF340" s="274" t="str">
        <x:v>Not validated - no control/holdout</x:v>
      </x:c>
      <x:c r="AG340" s="277" t="str">
        <x:v>Recovered execution only; assignment date and unclaimed-offer denominator unavailable</x:v>
      </x:c>
    </x:row>
    <x:row r="341">
      <x:c r="A341" s="252" t="str">
        <x:v>34042584</x:v>
      </x:c>
      <x:c r="B341" s="253" t="str">
        <x:v>WS1</x:v>
      </x:c>
      <x:c r="C341" s="253" t="str">
        <x:v>MB8</x:v>
      </x:c>
      <x:c r="D341" s="262" t="n">
        <x:v>46140.6169212963</x:v>
      </x:c>
      <x:c r="E341" s="259" t="n">
        <x:v>46140.166666666664</x:v>
      </x:c>
      <x:c r="F341" s="253" t="str">
        <x:v>564867</x:v>
      </x:c>
      <x:c r="G341" s="253" t="str">
        <x:v>Nageen</x:v>
      </x:c>
      <x:c r="H341" s="253" t="str">
        <x:v>Yes</x:v>
      </x:c>
      <x:c r="I341" s="253" t="str">
        <x:v>Claire</x:v>
      </x:c>
      <x:c r="J341" s="253" t="str">
        <x:v>Claire</x:v>
      </x:c>
      <x:c r="K341" s="259" t="n">
        <x:v>45659.166666666664</x:v>
      </x:c>
      <x:c r="L341" s="268" t="str">
        <x:f>IFERROR(VLOOKUP(I341,'Handler-Team Map'!$A$7:$C$17,2,FALSE),"")</x:f>
      </x:c>
      <x:c r="M341" s="268" t="str">
        <x:f>IFERROR(VLOOKUP(I341,'Handler-Team Map'!$A$7:$C$17,3,FALSE),"")</x:f>
      </x:c>
      <x:c r="N341" s="274" t="str">
        <x:v>FT_VM_DEP700_GET300_1X</x:v>
      </x:c>
      <x:c r="O341" s="274" t="str">
        <x:v>VIP BONUS - Deposit 700 Get 300 - 1x TO</x:v>
      </x:c>
      <x:c r="P341" s="274" t="str">
        <x:v>DepositBonus</x:v>
      </x:c>
      <x:c r="Q341" s="274" t="str">
        <x:v>Approved</x:v>
      </x:c>
      <x:c r="R341" s="265" t="n">
        <x:v>300</x:v>
      </x:c>
      <x:c r="S341" s="253" t="str">
        <x:v>Yes</x:v>
      </x:c>
      <x:c r="T341" s="265" t="n">
        <x:v>65735.8</x:v>
      </x:c>
      <x:c r="U341" s="253" t="str">
        <x:f>IF(AND(S341="Yes",T341=0),"Yes","No")</x:f>
        <x:v>No</x:v>
      </x:c>
      <x:c r="V341" s="253" t="str">
        <x:v>Yes</x:v>
      </x:c>
      <x:c r="W341" s="253" t="str">
        <x:v>Yes</x:v>
      </x:c>
      <x:c r="X341" s="259" t="n">
        <x:v>46140.166666666664</x:v>
      </x:c>
      <x:c r="Y341" s="265" t="n">
        <x:v>8521</x:v>
      </x:c>
      <x:c r="Z341" s="265" t="n">
        <x:v>27136.91</x:v>
      </x:c>
      <x:c r="AA341" s="253" t="str">
        <x:f>IF(V341="No","Maturing",IF(AND(U341="Yes",Y341&gt;0),"Yes","No"))</x:f>
        <x:v>No</x:v>
      </x:c>
      <x:c r="AB341" s="253" t="str">
        <x:f>IF(W341="No","Maturing",IF(AND(U341="Yes",Z341&gt;0),"Yes","No"))</x:f>
        <x:v>No</x:v>
      </x:c>
      <x:c r="AC341" s="265" t="n">
        <x:v>-1536.43</x:v>
      </x:c>
      <x:c r="AD341" s="265" t="n">
        <x:v>3243.55</x:v>
      </x:c>
      <x:c r="AE341" s="271" t="str"/>
      <x:c r="AF341" s="274" t="str">
        <x:v>Not validated - no control/holdout</x:v>
      </x:c>
      <x:c r="AG341" s="277" t="str">
        <x:v>Recovered execution only; assignment date and unclaimed-offer denominator unavailable</x:v>
      </x:c>
    </x:row>
    <x:row r="342">
      <x:c r="A342" s="252" t="str">
        <x:v>34043656</x:v>
      </x:c>
      <x:c r="B342" s="253" t="str">
        <x:v>WS1</x:v>
      </x:c>
      <x:c r="C342" s="253" t="str">
        <x:v>MB8</x:v>
      </x:c>
      <x:c r="D342" s="262" t="n">
        <x:v>46140.69871527778</x:v>
      </x:c>
      <x:c r="E342" s="259" t="n">
        <x:v>46140.166666666664</x:v>
      </x:c>
      <x:c r="F342" s="253" t="str">
        <x:v>8822</x:v>
      </x:c>
      <x:c r="G342" s="253" t="str">
        <x:v>bryan1234</x:v>
      </x:c>
      <x:c r="H342" s="253" t="str">
        <x:v>Yes</x:v>
      </x:c>
      <x:c r="I342" s="253" t="str">
        <x:v>Serene</x:v>
      </x:c>
      <x:c r="J342" s="253" t="str">
        <x:v>Serene</x:v>
      </x:c>
      <x:c r="K342" s="259" t="n">
        <x:v>45859.166666666664</x:v>
      </x:c>
      <x:c r="L342" s="268" t="str">
        <x:f>IFERROR(VLOOKUP(I342,'Handler-Team Map'!$A$7:$C$17,2,FALSE),"")</x:f>
      </x:c>
      <x:c r="M342" s="268" t="str">
        <x:f>IFERROR(VLOOKUP(I342,'Handler-Team Map'!$A$7:$C$17,3,FALSE),"")</x:f>
      </x:c>
      <x:c r="N342" s="274" t="str">
        <x:v>FT_VM_DEP1000_GET500_5X</x:v>
      </x:c>
      <x:c r="O342" s="274" t="str">
        <x:v>VIP BONUS - Deposit 1000 Get 500 - 5x TO</x:v>
      </x:c>
      <x:c r="P342" s="274" t="str">
        <x:v>DepositBonus</x:v>
      </x:c>
      <x:c r="Q342" s="274" t="str">
        <x:v>Approved</x:v>
      </x:c>
      <x:c r="R342" s="265" t="n">
        <x:v>500</x:v>
      </x:c>
      <x:c r="S342" s="253" t="str">
        <x:v>Yes</x:v>
      </x:c>
      <x:c r="T342" s="265" t="n">
        <x:v>4200</x:v>
      </x:c>
      <x:c r="U342" s="253" t="str">
        <x:f>IF(AND(S342="Yes",T342=0),"Yes","No")</x:f>
        <x:v>No</x:v>
      </x:c>
      <x:c r="V342" s="253" t="str">
        <x:v>Yes</x:v>
      </x:c>
      <x:c r="W342" s="253" t="str">
        <x:v>Yes</x:v>
      </x:c>
      <x:c r="X342" s="259" t="n">
        <x:v>46140.166666666664</x:v>
      </x:c>
      <x:c r="Y342" s="265" t="n">
        <x:v>2000</x:v>
      </x:c>
      <x:c r="Z342" s="265" t="n">
        <x:v>2000</x:v>
      </x:c>
      <x:c r="AA342" s="253" t="str">
        <x:f>IF(V342="No","Maturing",IF(AND(U342="Yes",Y342&gt;0),"Yes","No"))</x:f>
        <x:v>No</x:v>
      </x:c>
      <x:c r="AB342" s="253" t="str">
        <x:f>IF(W342="No","Maturing",IF(AND(U342="Yes",Z342&gt;0),"Yes","No"))</x:f>
        <x:v>No</x:v>
      </x:c>
      <x:c r="AC342" s="265" t="n">
        <x:v>-726.18</x:v>
      </x:c>
      <x:c r="AD342" s="265" t="n">
        <x:v>-726.18</x:v>
      </x:c>
      <x:c r="AE342" s="271" t="str"/>
      <x:c r="AF342" s="274" t="str">
        <x:v>Not validated - no control/holdout</x:v>
      </x:c>
      <x:c r="AG342" s="277" t="str">
        <x:v>Recovered execution only; assignment date and unclaimed-offer denominator unavailable</x:v>
      </x:c>
    </x:row>
    <x:row r="343">
      <x:c r="A343" s="252" t="str">
        <x:v>34044093</x:v>
      </x:c>
      <x:c r="B343" s="253" t="str">
        <x:v>WS1</x:v>
      </x:c>
      <x:c r="C343" s="253" t="str">
        <x:v>MB8</x:v>
      </x:c>
      <x:c r="D343" s="262" t="n">
        <x:v>46140.7340625</x:v>
      </x:c>
      <x:c r="E343" s="259" t="n">
        <x:v>46140.166666666664</x:v>
      </x:c>
      <x:c r="F343" s="253" t="str">
        <x:v>975565</x:v>
      </x:c>
      <x:c r="G343" s="253" t="str">
        <x:v>cloudywin</x:v>
      </x:c>
      <x:c r="H343" s="253" t="str">
        <x:v>Yes</x:v>
      </x:c>
      <x:c r="I343" s="253" t="str">
        <x:v>Serene</x:v>
      </x:c>
      <x:c r="J343" s="253" t="str">
        <x:v>Serene</x:v>
      </x:c>
      <x:c r="K343" s="259" t="n">
        <x:v>46105.166666666664</x:v>
      </x:c>
      <x:c r="L343" s="268" t="str">
        <x:f>IFERROR(VLOOKUP(I343,'Handler-Team Map'!$A$7:$C$17,2,FALSE),"")</x:f>
      </x:c>
      <x:c r="M343" s="268" t="str">
        <x:f>IFERROR(VLOOKUP(I343,'Handler-Team Map'!$A$7:$C$17,3,FALSE),"")</x:f>
      </x:c>
      <x:c r="N343" s="274" t="str">
        <x:v>FT_VM_DEP1000_GET1000_1X</x:v>
      </x:c>
      <x:c r="O343" s="274" t="str">
        <x:v>VIP BONUS - Deposit 1000 Get 1000 - 1x TO</x:v>
      </x:c>
      <x:c r="P343" s="274" t="str">
        <x:v>DepositBonus</x:v>
      </x:c>
      <x:c r="Q343" s="274" t="str">
        <x:v>Approved</x:v>
      </x:c>
      <x:c r="R343" s="265" t="n">
        <x:v>1000</x:v>
      </x:c>
      <x:c r="S343" s="253" t="str">
        <x:v>Yes</x:v>
      </x:c>
      <x:c r="T343" s="265" t="n">
        <x:v>93400</x:v>
      </x:c>
      <x:c r="U343" s="253" t="str">
        <x:f>IF(AND(S343="Yes",T343=0),"Yes","No")</x:f>
        <x:v>No</x:v>
      </x:c>
      <x:c r="V343" s="253" t="str">
        <x:v>Yes</x:v>
      </x:c>
      <x:c r="W343" s="253" t="str">
        <x:v>Yes</x:v>
      </x:c>
      <x:c r="X343" s="259" t="n">
        <x:v>46140.166666666664</x:v>
      </x:c>
      <x:c r="Y343" s="265" t="n">
        <x:v>22100</x:v>
      </x:c>
      <x:c r="Z343" s="265" t="n">
        <x:v>85050</x:v>
      </x:c>
      <x:c r="AA343" s="253" t="str">
        <x:f>IF(V343="No","Maturing",IF(AND(U343="Yes",Y343&gt;0),"Yes","No"))</x:f>
        <x:v>No</x:v>
      </x:c>
      <x:c r="AB343" s="253" t="str">
        <x:f>IF(W343="No","Maturing",IF(AND(U343="Yes",Z343&gt;0),"Yes","No"))</x:f>
        <x:v>No</x:v>
      </x:c>
      <x:c r="AC343" s="265" t="n">
        <x:v>1767.4</x:v>
      </x:c>
      <x:c r="AD343" s="265" t="n">
        <x:v>53728.22</x:v>
      </x:c>
      <x:c r="AE343" s="271" t="str"/>
      <x:c r="AF343" s="274" t="str">
        <x:v>Not validated - no control/holdout</x:v>
      </x:c>
      <x:c r="AG343" s="277" t="str">
        <x:v>Recovered execution only; assignment date and unclaimed-offer denominator unavailable</x:v>
      </x:c>
    </x:row>
    <x:row r="344">
      <x:c r="A344" s="252" t="str">
        <x:v>34044415</x:v>
      </x:c>
      <x:c r="B344" s="253" t="str">
        <x:v>WS1</x:v>
      </x:c>
      <x:c r="C344" s="253" t="str">
        <x:v>MB8</x:v>
      </x:c>
      <x:c r="D344" s="262" t="n">
        <x:v>46140.75777777778</x:v>
      </x:c>
      <x:c r="E344" s="259" t="n">
        <x:v>46140.166666666664</x:v>
      </x:c>
      <x:c r="F344" s="253" t="str">
        <x:v>163316</x:v>
      </x:c>
      <x:c r="G344" s="253" t="str">
        <x:v>huathuat</x:v>
      </x:c>
      <x:c r="H344" s="253" t="str">
        <x:v>Yes</x:v>
      </x:c>
      <x:c r="I344" s="253" t="str">
        <x:v>Elda</x:v>
      </x:c>
      <x:c r="J344" s="253" t="str">
        <x:v>Elda</x:v>
      </x:c>
      <x:c r="K344" s="259" t="n">
        <x:v>46090.166666666664</x:v>
      </x:c>
      <x:c r="L344" s="268" t="str">
        <x:f>IFERROR(VLOOKUP(I344,'Handler-Team Map'!$A$7:$C$17,2,FALSE),"")</x:f>
      </x:c>
      <x:c r="M344" s="268" t="str">
        <x:f>IFERROR(VLOOKUP(I344,'Handler-Team Map'!$A$7:$C$17,3,FALSE),"")</x:f>
      </x:c>
      <x:c r="N344" s="274" t="str">
        <x:v>FT_VM_DEP700_GET300_2X</x:v>
      </x:c>
      <x:c r="O344" s="274" t="str">
        <x:v>VIP BONUS - Deposit 700 Get 300 - 2x TO</x:v>
      </x:c>
      <x:c r="P344" s="274" t="str">
        <x:v>DepositBonus</x:v>
      </x:c>
      <x:c r="Q344" s="274" t="str">
        <x:v>Approved</x:v>
      </x:c>
      <x:c r="R344" s="265" t="n">
        <x:v>300</x:v>
      </x:c>
      <x:c r="S344" s="253" t="str">
        <x:v>Yes</x:v>
      </x:c>
      <x:c r="T344" s="265" t="n">
        <x:v>13800</x:v>
      </x:c>
      <x:c r="U344" s="253" t="str">
        <x:f>IF(AND(S344="Yes",T344=0),"Yes","No")</x:f>
        <x:v>No</x:v>
      </x:c>
      <x:c r="V344" s="253" t="str">
        <x:v>Yes</x:v>
      </x:c>
      <x:c r="W344" s="253" t="str">
        <x:v>Yes</x:v>
      </x:c>
      <x:c r="X344" s="259" t="n">
        <x:v>46140.166666666664</x:v>
      </x:c>
      <x:c r="Y344" s="265" t="n">
        <x:v>6880</x:v>
      </x:c>
      <x:c r="Z344" s="265" t="n">
        <x:v>10580</x:v>
      </x:c>
      <x:c r="AA344" s="253" t="str">
        <x:f>IF(V344="No","Maturing",IF(AND(U344="Yes",Y344&gt;0),"Yes","No"))</x:f>
        <x:v>No</x:v>
      </x:c>
      <x:c r="AB344" s="253" t="str">
        <x:f>IF(W344="No","Maturing",IF(AND(U344="Yes",Z344&gt;0),"Yes","No"))</x:f>
        <x:v>No</x:v>
      </x:c>
      <x:c r="AC344" s="265" t="n">
        <x:v>-819.35</x:v>
      </x:c>
      <x:c r="AD344" s="265" t="n">
        <x:v>-2969.96</x:v>
      </x:c>
      <x:c r="AE344" s="271" t="str"/>
      <x:c r="AF344" s="274" t="str">
        <x:v>Not validated - no control/holdout</x:v>
      </x:c>
      <x:c r="AG344" s="277" t="str">
        <x:v>Recovered execution only; assignment date and unclaimed-offer denominator unavailable</x:v>
      </x:c>
    </x:row>
    <x:row r="345">
      <x:c r="A345" s="252" t="str">
        <x:v>34045875</x:v>
      </x:c>
      <x:c r="B345" s="253" t="str">
        <x:v>WS1</x:v>
      </x:c>
      <x:c r="C345" s="253" t="str">
        <x:v>MB8</x:v>
      </x:c>
      <x:c r="D345" s="262" t="n">
        <x:v>46140.857719907406</x:v>
      </x:c>
      <x:c r="E345" s="259" t="n">
        <x:v>46140.166666666664</x:v>
      </x:c>
      <x:c r="F345" s="253" t="str">
        <x:v>847550</x:v>
      </x:c>
      <x:c r="G345" s="253" t="str">
        <x:v>Khinohnmyint</x:v>
      </x:c>
      <x:c r="H345" s="253" t="str">
        <x:v>Yes</x:v>
      </x:c>
      <x:c r="I345" s="253" t="str"/>
      <x:c r="J345" s="253" t="str"/>
      <x:c r="K345" s="259"/>
      <x:c r="L345" s="268" t="str">
        <x:f>IFERROR(VLOOKUP(I345,'Handler-Team Map'!$A$7:$C$17,2,FALSE),"")</x:f>
      </x:c>
      <x:c r="M345" s="268" t="str">
        <x:f>IFERROR(VLOOKUP(I345,'Handler-Team Map'!$A$7:$C$17,3,FALSE),"")</x:f>
      </x:c>
      <x:c r="N345" s="274" t="str">
        <x:v>FT_VM_DEP800_GET400_1X</x:v>
      </x:c>
      <x:c r="O345" s="274" t="str">
        <x:v>VIP BONUS - Deposit 800 Get 400 - 1x TO</x:v>
      </x:c>
      <x:c r="P345" s="274" t="str">
        <x:v>DepositBonus</x:v>
      </x:c>
      <x:c r="Q345" s="274" t="str">
        <x:v>Approved</x:v>
      </x:c>
      <x:c r="R345" s="265" t="n">
        <x:v>400</x:v>
      </x:c>
      <x:c r="S345" s="253" t="str">
        <x:v>Yes</x:v>
      </x:c>
      <x:c r="T345" s="265" t="n">
        <x:v>130</x:v>
      </x:c>
      <x:c r="U345" s="253" t="str">
        <x:f>IF(AND(S345="Yes",T345=0),"Yes","No")</x:f>
        <x:v>No</x:v>
      </x:c>
      <x:c r="V345" s="253" t="str">
        <x:v>Yes</x:v>
      </x:c>
      <x:c r="W345" s="253" t="str">
        <x:v>Yes</x:v>
      </x:c>
      <x:c r="X345" s="259" t="n">
        <x:v>46140.166666666664</x:v>
      </x:c>
      <x:c r="Y345" s="265" t="n">
        <x:v>910</x:v>
      </x:c>
      <x:c r="Z345" s="265" t="n">
        <x:v>1070</x:v>
      </x:c>
      <x:c r="AA345" s="253" t="str">
        <x:f>IF(V345="No","Maturing",IF(AND(U345="Yes",Y345&gt;0),"Yes","No"))</x:f>
        <x:v>No</x:v>
      </x:c>
      <x:c r="AB345" s="253" t="str">
        <x:f>IF(W345="No","Maturing",IF(AND(U345="Yes",Z345&gt;0),"Yes","No"))</x:f>
        <x:v>No</x:v>
      </x:c>
      <x:c r="AC345" s="265" t="n">
        <x:v>-90.74</x:v>
      </x:c>
      <x:c r="AD345" s="265" t="n">
        <x:v>68.98</x:v>
      </x:c>
      <x:c r="AE345" s="271" t="str"/>
      <x:c r="AF345" s="274" t="str">
        <x:v>Not validated - no control/holdout</x:v>
      </x:c>
      <x:c r="AG345" s="277" t="str">
        <x:v>Recovered execution only; assignment date and unclaimed-offer denominator unavailable</x:v>
      </x:c>
    </x:row>
    <x:row r="346">
      <x:c r="A346" s="252" t="str">
        <x:v>34046782</x:v>
      </x:c>
      <x:c r="B346" s="253" t="str">
        <x:v>WS1</x:v>
      </x:c>
      <x:c r="C346" s="253" t="str">
        <x:v>MB8</x:v>
      </x:c>
      <x:c r="D346" s="262" t="n">
        <x:v>46140.91216435185</x:v>
      </x:c>
      <x:c r="E346" s="259" t="n">
        <x:v>46140.166666666664</x:v>
      </x:c>
      <x:c r="F346" s="253" t="str">
        <x:v>302345</x:v>
      </x:c>
      <x:c r="G346" s="253" t="str">
        <x:v>bujiangfatt</x:v>
      </x:c>
      <x:c r="H346" s="253" t="str">
        <x:v>Yes</x:v>
      </x:c>
      <x:c r="I346" s="253" t="str">
        <x:v>Elda</x:v>
      </x:c>
      <x:c r="J346" s="253" t="str">
        <x:v>Elda</x:v>
      </x:c>
      <x:c r="K346" s="259" t="n">
        <x:v>45659.166666666664</x:v>
      </x:c>
      <x:c r="L346" s="268" t="str">
        <x:f>IFERROR(VLOOKUP(I346,'Handler-Team Map'!$A$7:$C$17,2,FALSE),"")</x:f>
      </x:c>
      <x:c r="M346" s="268" t="str">
        <x:f>IFERROR(VLOOKUP(I346,'Handler-Team Map'!$A$7:$C$17,3,FALSE),"")</x:f>
      </x:c>
      <x:c r="N346" s="274" t="str">
        <x:v>FT_VM_DEP1000_GET500_5X</x:v>
      </x:c>
      <x:c r="O346" s="274" t="str">
        <x:v>VIP BONUS - Deposit 1000 Get 500 - 5x TO</x:v>
      </x:c>
      <x:c r="P346" s="274" t="str">
        <x:v>DepositBonus</x:v>
      </x:c>
      <x:c r="Q346" s="274" t="str">
        <x:v>Approved</x:v>
      </x:c>
      <x:c r="R346" s="265" t="n">
        <x:v>500</x:v>
      </x:c>
      <x:c r="S346" s="253" t="str">
        <x:v>Yes</x:v>
      </x:c>
      <x:c r="T346" s="265" t="n">
        <x:v>15280</x:v>
      </x:c>
      <x:c r="U346" s="253" t="str">
        <x:f>IF(AND(S346="Yes",T346=0),"Yes","No")</x:f>
        <x:v>No</x:v>
      </x:c>
      <x:c r="V346" s="253" t="str">
        <x:v>Yes</x:v>
      </x:c>
      <x:c r="W346" s="253" t="str">
        <x:v>Yes</x:v>
      </x:c>
      <x:c r="X346" s="259" t="n">
        <x:v>46140.166666666664</x:v>
      </x:c>
      <x:c r="Y346" s="265" t="n">
        <x:v>11330</x:v>
      </x:c>
      <x:c r="Z346" s="265" t="n">
        <x:v>12460</x:v>
      </x:c>
      <x:c r="AA346" s="253" t="str">
        <x:f>IF(V346="No","Maturing",IF(AND(U346="Yes",Y346&gt;0),"Yes","No"))</x:f>
        <x:v>No</x:v>
      </x:c>
      <x:c r="AB346" s="253" t="str">
        <x:f>IF(W346="No","Maturing",IF(AND(U346="Yes",Z346&gt;0),"Yes","No"))</x:f>
        <x:v>No</x:v>
      </x:c>
      <x:c r="AC346" s="265" t="n">
        <x:v>6426.76</x:v>
      </x:c>
      <x:c r="AD346" s="265" t="n">
        <x:v>10935.65</x:v>
      </x:c>
      <x:c r="AE346" s="271" t="str"/>
      <x:c r="AF346" s="274" t="str">
        <x:v>Not validated - no control/holdout</x:v>
      </x:c>
      <x:c r="AG346" s="277" t="str">
        <x:v>Recovered execution only; assignment date and unclaimed-offer denominator unavailable</x:v>
      </x:c>
    </x:row>
    <x:row r="347">
      <x:c r="A347" s="252" t="str">
        <x:v>34047373</x:v>
      </x:c>
      <x:c r="B347" s="253" t="str">
        <x:v>WS1</x:v>
      </x:c>
      <x:c r="C347" s="253" t="str">
        <x:v>MB8</x:v>
      </x:c>
      <x:c r="D347" s="262" t="n">
        <x:v>46140.93341435185</x:v>
      </x:c>
      <x:c r="E347" s="259" t="n">
        <x:v>46140.166666666664</x:v>
      </x:c>
      <x:c r="F347" s="253" t="str">
        <x:v>333109</x:v>
      </x:c>
      <x:c r="G347" s="253" t="str">
        <x:v>majet</x:v>
      </x:c>
      <x:c r="H347" s="253" t="str">
        <x:v>Yes</x:v>
      </x:c>
      <x:c r="I347" s="253" t="str">
        <x:v>Mikki</x:v>
      </x:c>
      <x:c r="J347" s="253" t="str">
        <x:v>Mikki</x:v>
      </x:c>
      <x:c r="K347" s="259" t="n">
        <x:v>45993.166666666664</x:v>
      </x:c>
      <x:c r="L347" s="268" t="str">
        <x:f>IFERROR(VLOOKUP(I347,'Handler-Team Map'!$A$7:$C$17,2,FALSE),"")</x:f>
      </x:c>
      <x:c r="M347" s="268" t="str">
        <x:f>IFERROR(VLOOKUP(I347,'Handler-Team Map'!$A$7:$C$17,3,FALSE),"")</x:f>
      </x:c>
      <x:c r="N347" s="274" t="str">
        <x:v>FT_VM_DEP1000_GET500_2X</x:v>
      </x:c>
      <x:c r="O347" s="274" t="str">
        <x:v>VIP BONUS - Deposit 1000 Get 500 - 2x TO</x:v>
      </x:c>
      <x:c r="P347" s="274" t="str">
        <x:v>DepositBonus</x:v>
      </x:c>
      <x:c r="Q347" s="274" t="str">
        <x:v>Approved</x:v>
      </x:c>
      <x:c r="R347" s="265" t="n">
        <x:v>500</x:v>
      </x:c>
      <x:c r="S347" s="253" t="str">
        <x:v>Yes</x:v>
      </x:c>
      <x:c r="T347" s="265" t="n">
        <x:v>2240</x:v>
      </x:c>
      <x:c r="U347" s="253" t="str">
        <x:f>IF(AND(S347="Yes",T347=0),"Yes","No")</x:f>
        <x:v>No</x:v>
      </x:c>
      <x:c r="V347" s="253" t="str">
        <x:v>Yes</x:v>
      </x:c>
      <x:c r="W347" s="253" t="str">
        <x:v>Yes</x:v>
      </x:c>
      <x:c r="X347" s="259" t="n">
        <x:v>46140.166666666664</x:v>
      </x:c>
      <x:c r="Y347" s="265" t="n">
        <x:v>10378</x:v>
      </x:c>
      <x:c r="Z347" s="265" t="n">
        <x:v>10378</x:v>
      </x:c>
      <x:c r="AA347" s="253" t="str">
        <x:f>IF(V347="No","Maturing",IF(AND(U347="Yes",Y347&gt;0),"Yes","No"))</x:f>
        <x:v>No</x:v>
      </x:c>
      <x:c r="AB347" s="253" t="str">
        <x:f>IF(W347="No","Maturing",IF(AND(U347="Yes",Z347&gt;0),"Yes","No"))</x:f>
        <x:v>No</x:v>
      </x:c>
      <x:c r="AC347" s="265" t="n">
        <x:v>2927.69</x:v>
      </x:c>
      <x:c r="AD347" s="265" t="n">
        <x:v>2928.05</x:v>
      </x:c>
      <x:c r="AE347" s="271" t="str"/>
      <x:c r="AF347" s="274" t="str">
        <x:v>Not validated - no control/holdout</x:v>
      </x:c>
      <x:c r="AG347" s="277" t="str">
        <x:v>Recovered execution only; assignment date and unclaimed-offer denominator unavailable</x:v>
      </x:c>
    </x:row>
    <x:row r="348">
      <x:c r="A348" s="252" t="str">
        <x:v>34047471</x:v>
      </x:c>
      <x:c r="B348" s="253" t="str">
        <x:v>WS1</x:v>
      </x:c>
      <x:c r="C348" s="253" t="str">
        <x:v>MB8</x:v>
      </x:c>
      <x:c r="D348" s="262" t="n">
        <x:v>46140.93625</x:v>
      </x:c>
      <x:c r="E348" s="259" t="n">
        <x:v>46140.166666666664</x:v>
      </x:c>
      <x:c r="F348" s="253" t="str">
        <x:v>288472</x:v>
      </x:c>
      <x:c r="G348" s="253" t="str">
        <x:v>ANGIENG5</x:v>
      </x:c>
      <x:c r="H348" s="253" t="str">
        <x:v>Yes</x:v>
      </x:c>
      <x:c r="I348" s="253" t="str">
        <x:v>Claire</x:v>
      </x:c>
      <x:c r="J348" s="253" t="str">
        <x:v>Claire</x:v>
      </x:c>
      <x:c r="K348" s="259" t="n">
        <x:v>45659.166666666664</x:v>
      </x:c>
      <x:c r="L348" s="268" t="str">
        <x:f>IFERROR(VLOOKUP(I348,'Handler-Team Map'!$A$7:$C$17,2,FALSE),"")</x:f>
      </x:c>
      <x:c r="M348" s="268" t="str">
        <x:f>IFERROR(VLOOKUP(I348,'Handler-Team Map'!$A$7:$C$17,3,FALSE),"")</x:f>
      </x:c>
      <x:c r="N348" s="274" t="str">
        <x:v>FT_VM_DEP300_GET100_5X</x:v>
      </x:c>
      <x:c r="O348" s="274" t="str">
        <x:v>VIP BONUS - Deposit 300 Get 100 - 5x TO</x:v>
      </x:c>
      <x:c r="P348" s="274" t="str">
        <x:v>DepositBonus</x:v>
      </x:c>
      <x:c r="Q348" s="274" t="str">
        <x:v>Approved</x:v>
      </x:c>
      <x:c r="R348" s="265" t="n">
        <x:v>100</x:v>
      </x:c>
      <x:c r="S348" s="253" t="str">
        <x:v>Yes</x:v>
      </x:c>
      <x:c r="T348" s="265" t="n">
        <x:v>331492</x:v>
      </x:c>
      <x:c r="U348" s="253" t="str">
        <x:f>IF(AND(S348="Yes",T348=0),"Yes","No")</x:f>
        <x:v>No</x:v>
      </x:c>
      <x:c r="V348" s="253" t="str">
        <x:v>Yes</x:v>
      </x:c>
      <x:c r="W348" s="253" t="str">
        <x:v>Yes</x:v>
      </x:c>
      <x:c r="X348" s="259" t="n">
        <x:v>46140.166666666664</x:v>
      </x:c>
      <x:c r="Y348" s="265" t="n">
        <x:v>3280</x:v>
      </x:c>
      <x:c r="Z348" s="265" t="n">
        <x:v>4960</x:v>
      </x:c>
      <x:c r="AA348" s="253" t="str">
        <x:f>IF(V348="No","Maturing",IF(AND(U348="Yes",Y348&gt;0),"Yes","No"))</x:f>
        <x:v>No</x:v>
      </x:c>
      <x:c r="AB348" s="253" t="str">
        <x:f>IF(W348="No","Maturing",IF(AND(U348="Yes",Z348&gt;0),"Yes","No"))</x:f>
        <x:v>No</x:v>
      </x:c>
      <x:c r="AC348" s="265" t="n">
        <x:v>2789.89</x:v>
      </x:c>
      <x:c r="AD348" s="265" t="n">
        <x:v>695.72</x:v>
      </x:c>
      <x:c r="AE348" s="271" t="str"/>
      <x:c r="AF348" s="274" t="str">
        <x:v>Not validated - no control/holdout</x:v>
      </x:c>
      <x:c r="AG348" s="277" t="str">
        <x:v>Recovered execution only; assignment date and unclaimed-offer denominator unavailable</x:v>
      </x:c>
    </x:row>
    <x:row r="349">
      <x:c r="A349" s="252" t="str">
        <x:v>34048303</x:v>
      </x:c>
      <x:c r="B349" s="253" t="str">
        <x:v>WS1</x:v>
      </x:c>
      <x:c r="C349" s="253" t="str">
        <x:v>MB8</x:v>
      </x:c>
      <x:c r="D349" s="262" t="n">
        <x:v>46140.97340277778</x:v>
      </x:c>
      <x:c r="E349" s="259" t="n">
        <x:v>46140.166666666664</x:v>
      </x:c>
      <x:c r="F349" s="253" t="str">
        <x:v>3155</x:v>
      </x:c>
      <x:c r="G349" s="253" t="str">
        <x:v>Boboy92</x:v>
      </x:c>
      <x:c r="H349" s="253" t="str">
        <x:v>Yes</x:v>
      </x:c>
      <x:c r="I349" s="253" t="str">
        <x:v>Elda</x:v>
      </x:c>
      <x:c r="J349" s="253" t="str">
        <x:v>Elda</x:v>
      </x:c>
      <x:c r="K349" s="259" t="n">
        <x:v>45790.166666666664</x:v>
      </x:c>
      <x:c r="L349" s="268" t="str">
        <x:f>IFERROR(VLOOKUP(I349,'Handler-Team Map'!$A$7:$C$17,2,FALSE),"")</x:f>
      </x:c>
      <x:c r="M349" s="268" t="str">
        <x:f>IFERROR(VLOOKUP(I349,'Handler-Team Map'!$A$7:$C$17,3,FALSE),"")</x:f>
      </x:c>
      <x:c r="N349" s="274" t="str">
        <x:v>FT_VM_DEP800_GET400_2X</x:v>
      </x:c>
      <x:c r="O349" s="274" t="str">
        <x:v>VIP BONUS - Deposit 800 Get 400 - 2x TO</x:v>
      </x:c>
      <x:c r="P349" s="274" t="str">
        <x:v>DepositBonus</x:v>
      </x:c>
      <x:c r="Q349" s="274" t="str">
        <x:v>Approved</x:v>
      </x:c>
      <x:c r="R349" s="265" t="n">
        <x:v>400</x:v>
      </x:c>
      <x:c r="S349" s="253" t="str">
        <x:v>Yes</x:v>
      </x:c>
      <x:c r="T349" s="265" t="n">
        <x:v>1068</x:v>
      </x:c>
      <x:c r="U349" s="253" t="str">
        <x:f>IF(AND(S349="Yes",T349=0),"Yes","No")</x:f>
        <x:v>No</x:v>
      </x:c>
      <x:c r="V349" s="253" t="str">
        <x:v>Yes</x:v>
      </x:c>
      <x:c r="W349" s="253" t="str">
        <x:v>Yes</x:v>
      </x:c>
      <x:c r="X349" s="259" t="n">
        <x:v>46140.166666666664</x:v>
      </x:c>
      <x:c r="Y349" s="265" t="n">
        <x:v>1800</x:v>
      </x:c>
      <x:c r="Z349" s="265" t="n">
        <x:v>1830</x:v>
      </x:c>
      <x:c r="AA349" s="253" t="str">
        <x:f>IF(V349="No","Maturing",IF(AND(U349="Yes",Y349&gt;0),"Yes","No"))</x:f>
        <x:v>No</x:v>
      </x:c>
      <x:c r="AB349" s="253" t="str">
        <x:f>IF(W349="No","Maturing",IF(AND(U349="Yes",Z349&gt;0),"Yes","No"))</x:f>
        <x:v>No</x:v>
      </x:c>
      <x:c r="AC349" s="265" t="n">
        <x:v>60.92</x:v>
      </x:c>
      <x:c r="AD349" s="265" t="n">
        <x:v>90.92</x:v>
      </x:c>
      <x:c r="AE349" s="271" t="str"/>
      <x:c r="AF349" s="274" t="str">
        <x:v>Not validated - no control/holdout</x:v>
      </x:c>
      <x:c r="AG349" s="277" t="str">
        <x:v>Recovered execution only; assignment date and unclaimed-offer denominator unavailable</x:v>
      </x:c>
    </x:row>
    <x:row r="350">
      <x:c r="A350" s="252" t="str">
        <x:v>34048432</x:v>
      </x:c>
      <x:c r="B350" s="253" t="str">
        <x:v>WS1</x:v>
      </x:c>
      <x:c r="C350" s="253" t="str">
        <x:v>MB8</x:v>
      </x:c>
      <x:c r="D350" s="262" t="n">
        <x:v>46140.9809375</x:v>
      </x:c>
      <x:c r="E350" s="259" t="n">
        <x:v>46140.166666666664</x:v>
      </x:c>
      <x:c r="F350" s="253" t="str">
        <x:v>476126</x:v>
      </x:c>
      <x:c r="G350" s="253" t="str">
        <x:v>Mahendraj</x:v>
      </x:c>
      <x:c r="H350" s="253" t="str">
        <x:v>Yes</x:v>
      </x:c>
      <x:c r="I350" s="253" t="str">
        <x:v>Sheena</x:v>
      </x:c>
      <x:c r="J350" s="253" t="str">
        <x:v>Sheena</x:v>
      </x:c>
      <x:c r="K350" s="259" t="n">
        <x:v>46090.166666666664</x:v>
      </x:c>
      <x:c r="L350" s="268" t="str">
        <x:f>IFERROR(VLOOKUP(I350,'Handler-Team Map'!$A$7:$C$17,2,FALSE),"")</x:f>
      </x:c>
      <x:c r="M350" s="268" t="str">
        <x:f>IFERROR(VLOOKUP(I350,'Handler-Team Map'!$A$7:$C$17,3,FALSE),"")</x:f>
      </x:c>
      <x:c r="N350" s="274" t="str">
        <x:v>FT_VM_DEP1000_GET500_5X</x:v>
      </x:c>
      <x:c r="O350" s="274" t="str">
        <x:v>VIP BONUS - Deposit 1000 Get 500 - 5x TO</x:v>
      </x:c>
      <x:c r="P350" s="274" t="str">
        <x:v>DepositBonus</x:v>
      </x:c>
      <x:c r="Q350" s="274" t="str">
        <x:v>Approved</x:v>
      </x:c>
      <x:c r="R350" s="265" t="n">
        <x:v>500</x:v>
      </x:c>
      <x:c r="S350" s="253" t="str">
        <x:v>Yes</x:v>
      </x:c>
      <x:c r="T350" s="265" t="n">
        <x:v>16120</x:v>
      </x:c>
      <x:c r="U350" s="253" t="str">
        <x:f>IF(AND(S350="Yes",T350=0),"Yes","No")</x:f>
        <x:v>No</x:v>
      </x:c>
      <x:c r="V350" s="253" t="str">
        <x:v>Yes</x:v>
      </x:c>
      <x:c r="W350" s="253" t="str">
        <x:v>Yes</x:v>
      </x:c>
      <x:c r="X350" s="259" t="n">
        <x:v>46140.166666666664</x:v>
      </x:c>
      <x:c r="Y350" s="265" t="n">
        <x:v>1250</x:v>
      </x:c>
      <x:c r="Z350" s="265" t="n">
        <x:v>1250</x:v>
      </x:c>
      <x:c r="AA350" s="253" t="str">
        <x:f>IF(V350="No","Maturing",IF(AND(U350="Yes",Y350&gt;0),"Yes","No"))</x:f>
        <x:v>No</x:v>
      </x:c>
      <x:c r="AB350" s="253" t="str">
        <x:f>IF(W350="No","Maturing",IF(AND(U350="Yes",Z350&gt;0),"Yes","No"))</x:f>
        <x:v>No</x:v>
      </x:c>
      <x:c r="AC350" s="265" t="n">
        <x:v>-1250.28</x:v>
      </x:c>
      <x:c r="AD350" s="265" t="n">
        <x:v>-1250.28</x:v>
      </x:c>
      <x:c r="AE350" s="271" t="str"/>
      <x:c r="AF350" s="274" t="str">
        <x:v>Not validated - no control/holdout</x:v>
      </x:c>
      <x:c r="AG350" s="277" t="str">
        <x:v>Recovered execution only; assignment date and unclaimed-offer denominator unavailable</x:v>
      </x:c>
    </x:row>
    <x:row r="351">
      <x:c r="A351" s="252" t="str">
        <x:v>34049858</x:v>
      </x:c>
      <x:c r="B351" s="253" t="str">
        <x:v>WS1</x:v>
      </x:c>
      <x:c r="C351" s="253" t="str">
        <x:v>MB8</x:v>
      </x:c>
      <x:c r="D351" s="262" t="n">
        <x:v>46141.04688657408</x:v>
      </x:c>
      <x:c r="E351" s="259" t="n">
        <x:v>46141.166666666664</x:v>
      </x:c>
      <x:c r="F351" s="253" t="str">
        <x:v>450398</x:v>
      </x:c>
      <x:c r="G351" s="253" t="str">
        <x:v>johnnytan8</x:v>
      </x:c>
      <x:c r="H351" s="253" t="str">
        <x:v>Yes</x:v>
      </x:c>
      <x:c r="I351" s="253" t="str">
        <x:v>Elda</x:v>
      </x:c>
      <x:c r="J351" s="253" t="str">
        <x:v>Elda</x:v>
      </x:c>
      <x:c r="K351" s="259" t="n">
        <x:v>45790.166666666664</x:v>
      </x:c>
      <x:c r="L351" s="268" t="str">
        <x:f>IFERROR(VLOOKUP(I351,'Handler-Team Map'!$A$7:$C$17,2,FALSE),"")</x:f>
      </x:c>
      <x:c r="M351" s="268" t="str">
        <x:f>IFERROR(VLOOKUP(I351,'Handler-Team Map'!$A$7:$C$17,3,FALSE),"")</x:f>
      </x:c>
      <x:c r="N351" s="274" t="str">
        <x:v>FT_VM_DEP800_GET400_2X</x:v>
      </x:c>
      <x:c r="O351" s="274" t="str">
        <x:v>VIP BONUS - Deposit 800 Get 400 - 2x TO</x:v>
      </x:c>
      <x:c r="P351" s="274" t="str">
        <x:v>DepositBonus</x:v>
      </x:c>
      <x:c r="Q351" s="274" t="str">
        <x:v>Approved</x:v>
      </x:c>
      <x:c r="R351" s="265" t="n">
        <x:v>400</x:v>
      </x:c>
      <x:c r="S351" s="253" t="str">
        <x:v>Yes</x:v>
      </x:c>
      <x:c r="T351" s="265" t="n">
        <x:v>1600</x:v>
      </x:c>
      <x:c r="U351" s="253" t="str">
        <x:f>IF(AND(S351="Yes",T351=0),"Yes","No")</x:f>
        <x:v>No</x:v>
      </x:c>
      <x:c r="V351" s="253" t="str">
        <x:v>Yes</x:v>
      </x:c>
      <x:c r="W351" s="253" t="str">
        <x:v>Yes</x:v>
      </x:c>
      <x:c r="X351" s="259" t="n">
        <x:v>46141.166666666664</x:v>
      </x:c>
      <x:c r="Y351" s="265" t="n">
        <x:v>800</x:v>
      </x:c>
      <x:c r="Z351" s="265" t="n">
        <x:v>800</x:v>
      </x:c>
      <x:c r="AA351" s="253" t="str">
        <x:f>IF(V351="No","Maturing",IF(AND(U351="Yes",Y351&gt;0),"Yes","No"))</x:f>
        <x:v>No</x:v>
      </x:c>
      <x:c r="AB351" s="253" t="str">
        <x:f>IF(W351="No","Maturing",IF(AND(U351="Yes",Z351&gt;0),"Yes","No"))</x:f>
        <x:v>No</x:v>
      </x:c>
      <x:c r="AC351" s="265" t="n">
        <x:v>636.95</x:v>
      </x:c>
      <x:c r="AD351" s="265" t="n">
        <x:v>636.95</x:v>
      </x:c>
      <x:c r="AE351" s="271" t="str"/>
      <x:c r="AF351" s="274" t="str">
        <x:v>Not validated - no control/holdout</x:v>
      </x:c>
      <x:c r="AG351" s="277" t="str">
        <x:v>Recovered execution only; assignment date and unclaimed-offer denominator unavailable</x:v>
      </x:c>
    </x:row>
    <x:row r="352">
      <x:c r="A352" s="252" t="str">
        <x:v>34049998</x:v>
      </x:c>
      <x:c r="B352" s="253" t="str">
        <x:v>WS1</x:v>
      </x:c>
      <x:c r="C352" s="253" t="str">
        <x:v>MB8</x:v>
      </x:c>
      <x:c r="D352" s="262" t="n">
        <x:v>46141.05403935185</x:v>
      </x:c>
      <x:c r="E352" s="259" t="n">
        <x:v>46141.166666666664</x:v>
      </x:c>
      <x:c r="F352" s="253" t="str">
        <x:v>998311</x:v>
      </x:c>
      <x:c r="G352" s="253" t="str">
        <x:v>mahathir1982</x:v>
      </x:c>
      <x:c r="H352" s="253" t="str">
        <x:v>Yes</x:v>
      </x:c>
      <x:c r="I352" s="253" t="str"/>
      <x:c r="J352" s="253" t="str"/>
      <x:c r="K352" s="259"/>
      <x:c r="L352" s="268" t="str">
        <x:f>IFERROR(VLOOKUP(I352,'Handler-Team Map'!$A$7:$C$17,2,FALSE),"")</x:f>
      </x:c>
      <x:c r="M352" s="268" t="str">
        <x:f>IFERROR(VLOOKUP(I352,'Handler-Team Map'!$A$7:$C$17,3,FALSE),"")</x:f>
      </x:c>
      <x:c r="N352" s="274" t="str">
        <x:v>FT_VM_DEP700_GET300_2X</x:v>
      </x:c>
      <x:c r="O352" s="274" t="str">
        <x:v>VIP BONUS - Deposit 700 Get 300 - 2x TO</x:v>
      </x:c>
      <x:c r="P352" s="274" t="str">
        <x:v>DepositBonus</x:v>
      </x:c>
      <x:c r="Q352" s="274" t="str">
        <x:v>Approved</x:v>
      </x:c>
      <x:c r="R352" s="265" t="n">
        <x:v>300</x:v>
      </x:c>
      <x:c r="S352" s="253" t="str">
        <x:v>Yes</x:v>
      </x:c>
      <x:c r="T352" s="265" t="n">
        <x:v>800</x:v>
      </x:c>
      <x:c r="U352" s="253" t="str">
        <x:f>IF(AND(S352="Yes",T352=0),"Yes","No")</x:f>
        <x:v>No</x:v>
      </x:c>
      <x:c r="V352" s="253" t="str">
        <x:v>Yes</x:v>
      </x:c>
      <x:c r="W352" s="253" t="str">
        <x:v>Yes</x:v>
      </x:c>
      <x:c r="X352" s="259" t="n">
        <x:v>46141.166666666664</x:v>
      </x:c>
      <x:c r="Y352" s="265" t="n">
        <x:v>700</x:v>
      </x:c>
      <x:c r="Z352" s="265" t="n">
        <x:v>700</x:v>
      </x:c>
      <x:c r="AA352" s="253" t="str">
        <x:f>IF(V352="No","Maturing",IF(AND(U352="Yes",Y352&gt;0),"Yes","No"))</x:f>
        <x:v>No</x:v>
      </x:c>
      <x:c r="AB352" s="253" t="str">
        <x:f>IF(W352="No","Maturing",IF(AND(U352="Yes",Z352&gt;0),"Yes","No"))</x:f>
        <x:v>No</x:v>
      </x:c>
      <x:c r="AC352" s="265" t="n">
        <x:v>-498.74</x:v>
      </x:c>
      <x:c r="AD352" s="265" t="n">
        <x:v>-498.74</x:v>
      </x:c>
      <x:c r="AE352" s="271" t="str"/>
      <x:c r="AF352" s="274" t="str">
        <x:v>Not validated - no control/holdout</x:v>
      </x:c>
      <x:c r="AG352" s="277" t="str">
        <x:v>Recovered execution only; assignment date and unclaimed-offer denominator unavailable</x:v>
      </x:c>
    </x:row>
    <x:row r="353">
      <x:c r="A353" s="252" t="str">
        <x:v>34054363</x:v>
      </x:c>
      <x:c r="B353" s="253" t="str">
        <x:v>WS1</x:v>
      </x:c>
      <x:c r="C353" s="253" t="str">
        <x:v>MB8</x:v>
      </x:c>
      <x:c r="D353" s="262" t="n">
        <x:v>46141.54298611111</x:v>
      </x:c>
      <x:c r="E353" s="259" t="n">
        <x:v>46141.166666666664</x:v>
      </x:c>
      <x:c r="F353" s="253" t="str">
        <x:v>773891</x:v>
      </x:c>
      <x:c r="G353" s="253" t="str">
        <x:v>arifls</x:v>
      </x:c>
      <x:c r="H353" s="253" t="str">
        <x:v>Yes</x:v>
      </x:c>
      <x:c r="I353" s="253" t="str">
        <x:v>Tammy</x:v>
      </x:c>
      <x:c r="J353" s="253" t="str">
        <x:v>Tammy</x:v>
      </x:c>
      <x:c r="K353" s="259" t="n">
        <x:v>45951.166666666664</x:v>
      </x:c>
      <x:c r="L353" s="268" t="str">
        <x:f>IFERROR(VLOOKUP(I353,'Handler-Team Map'!$A$7:$C$17,2,FALSE),"")</x:f>
      </x:c>
      <x:c r="M353" s="268" t="str">
        <x:f>IFERROR(VLOOKUP(I353,'Handler-Team Map'!$A$7:$C$17,3,FALSE),"")</x:f>
      </x:c>
      <x:c r="N353" s="274" t="str">
        <x:v>FT_VM_DEP800_GET400_1X</x:v>
      </x:c>
      <x:c r="O353" s="274" t="str">
        <x:v>VIP BONUS - Deposit 800 Get 400 - 1x TO</x:v>
      </x:c>
      <x:c r="P353" s="274" t="str">
        <x:v>DepositBonus</x:v>
      </x:c>
      <x:c r="Q353" s="274" t="str">
        <x:v>Approved</x:v>
      </x:c>
      <x:c r="R353" s="265" t="n">
        <x:v>400</x:v>
      </x:c>
      <x:c r="S353" s="253" t="str">
        <x:v>Yes</x:v>
      </x:c>
      <x:c r="T353" s="265" t="n">
        <x:v>13100</x:v>
      </x:c>
      <x:c r="U353" s="253" t="str">
        <x:f>IF(AND(S353="Yes",T353=0),"Yes","No")</x:f>
        <x:v>No</x:v>
      </x:c>
      <x:c r="V353" s="253" t="str">
        <x:v>Yes</x:v>
      </x:c>
      <x:c r="W353" s="253" t="str">
        <x:v>Yes</x:v>
      </x:c>
      <x:c r="X353" s="259" t="n">
        <x:v>46141.166666666664</x:v>
      </x:c>
      <x:c r="Y353" s="265" t="n">
        <x:v>11900</x:v>
      </x:c>
      <x:c r="Z353" s="265" t="n">
        <x:v>35900</x:v>
      </x:c>
      <x:c r="AA353" s="253" t="str">
        <x:f>IF(V353="No","Maturing",IF(AND(U353="Yes",Y353&gt;0),"Yes","No"))</x:f>
        <x:v>No</x:v>
      </x:c>
      <x:c r="AB353" s="253" t="str">
        <x:f>IF(W353="No","Maturing",IF(AND(U353="Yes",Z353&gt;0),"Yes","No"))</x:f>
        <x:v>No</x:v>
      </x:c>
      <x:c r="AC353" s="265" t="n">
        <x:v>4412.11</x:v>
      </x:c>
      <x:c r="AD353" s="265" t="n">
        <x:v>-6979.74</x:v>
      </x:c>
      <x:c r="AE353" s="271" t="str"/>
      <x:c r="AF353" s="274" t="str">
        <x:v>Not validated - no control/holdout</x:v>
      </x:c>
      <x:c r="AG353" s="277" t="str">
        <x:v>Recovered execution only; assignment date and unclaimed-offer denominator unavailable</x:v>
      </x:c>
    </x:row>
    <x:row r="354">
      <x:c r="A354" s="252" t="str">
        <x:v>34054710</x:v>
      </x:c>
      <x:c r="B354" s="253" t="str">
        <x:v>WS1</x:v>
      </x:c>
      <x:c r="C354" s="253" t="str">
        <x:v>MB8</x:v>
      </x:c>
      <x:c r="D354" s="262" t="n">
        <x:v>46141.57394675926</x:v>
      </x:c>
      <x:c r="E354" s="259" t="n">
        <x:v>46141.166666666664</x:v>
      </x:c>
      <x:c r="F354" s="253" t="str">
        <x:v>380888</x:v>
      </x:c>
      <x:c r="G354" s="253" t="str">
        <x:v>andy9790</x:v>
      </x:c>
      <x:c r="H354" s="253" t="str">
        <x:v>Yes</x:v>
      </x:c>
      <x:c r="I354" s="253" t="str">
        <x:v>Serene</x:v>
      </x:c>
      <x:c r="J354" s="253" t="str">
        <x:v>Serene</x:v>
      </x:c>
      <x:c r="K354" s="259" t="n">
        <x:v>45859.166666666664</x:v>
      </x:c>
      <x:c r="L354" s="268" t="str">
        <x:f>IFERROR(VLOOKUP(I354,'Handler-Team Map'!$A$7:$C$17,2,FALSE),"")</x:f>
      </x:c>
      <x:c r="M354" s="268" t="str">
        <x:f>IFERROR(VLOOKUP(I354,'Handler-Team Map'!$A$7:$C$17,3,FALSE),"")</x:f>
      </x:c>
      <x:c r="N354" s="274" t="str">
        <x:v>FT_VM_DEP700_GET300_2X</x:v>
      </x:c>
      <x:c r="O354" s="274" t="str">
        <x:v>VIP BONUS - Deposit 700 Get 300 - 2x TO</x:v>
      </x:c>
      <x:c r="P354" s="274" t="str">
        <x:v>DepositBonus</x:v>
      </x:c>
      <x:c r="Q354" s="274" t="str">
        <x:v>Approved</x:v>
      </x:c>
      <x:c r="R354" s="265" t="n">
        <x:v>300</x:v>
      </x:c>
      <x:c r="S354" s="253" t="str">
        <x:v>Yes</x:v>
      </x:c>
      <x:c r="T354" s="265" t="n">
        <x:v>3300</x:v>
      </x:c>
      <x:c r="U354" s="253" t="str">
        <x:f>IF(AND(S354="Yes",T354=0),"Yes","No")</x:f>
        <x:v>No</x:v>
      </x:c>
      <x:c r="V354" s="253" t="str">
        <x:v>Yes</x:v>
      </x:c>
      <x:c r="W354" s="253" t="str">
        <x:v>Yes</x:v>
      </x:c>
      <x:c r="X354" s="259" t="n">
        <x:v>46141.166666666664</x:v>
      </x:c>
      <x:c r="Y354" s="265" t="n">
        <x:v>700</x:v>
      </x:c>
      <x:c r="Z354" s="265" t="n">
        <x:v>700</x:v>
      </x:c>
      <x:c r="AA354" s="253" t="str">
        <x:f>IF(V354="No","Maturing",IF(AND(U354="Yes",Y354&gt;0),"Yes","No"))</x:f>
        <x:v>No</x:v>
      </x:c>
      <x:c r="AB354" s="253" t="str">
        <x:f>IF(W354="No","Maturing",IF(AND(U354="Yes",Z354&gt;0),"Yes","No"))</x:f>
        <x:v>No</x:v>
      </x:c>
      <x:c r="AC354" s="265" t="n">
        <x:v>-2312.2</x:v>
      </x:c>
      <x:c r="AD354" s="265" t="n">
        <x:v>-2312.2</x:v>
      </x:c>
      <x:c r="AE354" s="271" t="str"/>
      <x:c r="AF354" s="274" t="str">
        <x:v>Not validated - no control/holdout</x:v>
      </x:c>
      <x:c r="AG354" s="277" t="str">
        <x:v>Recovered execution only; assignment date and unclaimed-offer denominator unavailable</x:v>
      </x:c>
    </x:row>
    <x:row r="355">
      <x:c r="A355" s="252" t="str">
        <x:v>34055294</x:v>
      </x:c>
      <x:c r="B355" s="253" t="str">
        <x:v>WS1</x:v>
      </x:c>
      <x:c r="C355" s="253" t="str">
        <x:v>MB8</x:v>
      </x:c>
      <x:c r="D355" s="262" t="n">
        <x:v>46141.62391203704</x:v>
      </x:c>
      <x:c r="E355" s="259" t="n">
        <x:v>46141.166666666664</x:v>
      </x:c>
      <x:c r="F355" s="253" t="str">
        <x:v>3155</x:v>
      </x:c>
      <x:c r="G355" s="253" t="str">
        <x:v>Boboy92</x:v>
      </x:c>
      <x:c r="H355" s="253" t="str">
        <x:v>Yes</x:v>
      </x:c>
      <x:c r="I355" s="253" t="str">
        <x:v>Elda</x:v>
      </x:c>
      <x:c r="J355" s="253" t="str">
        <x:v>Elda</x:v>
      </x:c>
      <x:c r="K355" s="259" t="n">
        <x:v>45790.166666666664</x:v>
      </x:c>
      <x:c r="L355" s="268" t="str">
        <x:f>IFERROR(VLOOKUP(I355,'Handler-Team Map'!$A$7:$C$17,2,FALSE),"")</x:f>
      </x:c>
      <x:c r="M355" s="268" t="str">
        <x:f>IFERROR(VLOOKUP(I355,'Handler-Team Map'!$A$7:$C$17,3,FALSE),"")</x:f>
      </x:c>
      <x:c r="N355" s="274" t="str">
        <x:v>FT_VM_DEP1000_GET500_1X</x:v>
      </x:c>
      <x:c r="O355" s="274" t="str">
        <x:v>VIP BONUS - Deposit 1000 Get 500 - 1x TO</x:v>
      </x:c>
      <x:c r="P355" s="274" t="str">
        <x:v>DepositBonus</x:v>
      </x:c>
      <x:c r="Q355" s="274" t="str">
        <x:v>Approved</x:v>
      </x:c>
      <x:c r="R355" s="265" t="n">
        <x:v>500</x:v>
      </x:c>
      <x:c r="S355" s="253" t="str">
        <x:v>Yes</x:v>
      </x:c>
      <x:c r="T355" s="265" t="n">
        <x:v>1838</x:v>
      </x:c>
      <x:c r="U355" s="253" t="str">
        <x:f>IF(AND(S355="Yes",T355=0),"Yes","No")</x:f>
        <x:v>No</x:v>
      </x:c>
      <x:c r="V355" s="253" t="str">
        <x:v>Yes</x:v>
      </x:c>
      <x:c r="W355" s="253" t="str">
        <x:v>Yes</x:v>
      </x:c>
      <x:c r="X355" s="259" t="n">
        <x:v>46141.166666666664</x:v>
      </x:c>
      <x:c r="Y355" s="265" t="n">
        <x:v>1000</x:v>
      </x:c>
      <x:c r="Z355" s="265" t="n">
        <x:v>1030</x:v>
      </x:c>
      <x:c r="AA355" s="253" t="str">
        <x:f>IF(V355="No","Maturing",IF(AND(U355="Yes",Y355&gt;0),"Yes","No"))</x:f>
        <x:v>No</x:v>
      </x:c>
      <x:c r="AB355" s="253" t="str">
        <x:f>IF(W355="No","Maturing",IF(AND(U355="Yes",Z355&gt;0),"Yes","No"))</x:f>
        <x:v>No</x:v>
      </x:c>
      <x:c r="AC355" s="265" t="n">
        <x:v>529.48</x:v>
      </x:c>
      <x:c r="AD355" s="265" t="n">
        <x:v>559.48</x:v>
      </x:c>
      <x:c r="AE355" s="271" t="str"/>
      <x:c r="AF355" s="274" t="str">
        <x:v>Not validated - no control/holdout</x:v>
      </x:c>
      <x:c r="AG355" s="277" t="str">
        <x:v>Recovered execution only; assignment date and unclaimed-offer denominator unavailable</x:v>
      </x:c>
    </x:row>
    <x:row r="356">
      <x:c r="A356" s="252" t="str">
        <x:v>34055429</x:v>
      </x:c>
      <x:c r="B356" s="253" t="str">
        <x:v>WS1</x:v>
      </x:c>
      <x:c r="C356" s="253" t="str">
        <x:v>MB8</x:v>
      </x:c>
      <x:c r="D356" s="262" t="n">
        <x:v>46141.63238425926</x:v>
      </x:c>
      <x:c r="E356" s="259" t="n">
        <x:v>46141.166666666664</x:v>
      </x:c>
      <x:c r="F356" s="253" t="str">
        <x:v>777311</x:v>
      </x:c>
      <x:c r="G356" s="253" t="str">
        <x:v>mighty99</x:v>
      </x:c>
      <x:c r="H356" s="253" t="str">
        <x:v>Yes</x:v>
      </x:c>
      <x:c r="I356" s="253" t="str">
        <x:v>zhen</x:v>
      </x:c>
      <x:c r="J356" s="253" t="str">
        <x:v>zhen</x:v>
      </x:c>
      <x:c r="K356" s="259" t="n">
        <x:v>45922.166666666664</x:v>
      </x:c>
      <x:c r="L356" s="268" t="str">
        <x:f>IFERROR(VLOOKUP(I356,'Handler-Team Map'!$A$7:$C$17,2,FALSE),"")</x:f>
      </x:c>
      <x:c r="M356" s="268" t="str">
        <x:f>IFERROR(VLOOKUP(I356,'Handler-Team Map'!$A$7:$C$17,3,FALSE),"")</x:f>
      </x:c>
      <x:c r="N356" s="274" t="str">
        <x:v>FT_VM_DEP1000_GET500_2X</x:v>
      </x:c>
      <x:c r="O356" s="274" t="str">
        <x:v>VIP BONUS - Deposit 1000 Get 500 - 2x TO</x:v>
      </x:c>
      <x:c r="P356" s="274" t="str">
        <x:v>DepositBonus</x:v>
      </x:c>
      <x:c r="Q356" s="274" t="str">
        <x:v>Approved</x:v>
      </x:c>
      <x:c r="R356" s="265" t="n">
        <x:v>500</x:v>
      </x:c>
      <x:c r="S356" s="253" t="str">
        <x:v>Yes</x:v>
      </x:c>
      <x:c r="T356" s="265" t="n">
        <x:v>1000</x:v>
      </x:c>
      <x:c r="U356" s="253" t="str">
        <x:f>IF(AND(S356="Yes",T356=0),"Yes","No")</x:f>
        <x:v>No</x:v>
      </x:c>
      <x:c r="V356" s="253" t="str">
        <x:v>Yes</x:v>
      </x:c>
      <x:c r="W356" s="253" t="str">
        <x:v>Yes</x:v>
      </x:c>
      <x:c r="X356" s="259" t="n">
        <x:v>46141.166666666664</x:v>
      </x:c>
      <x:c r="Y356" s="265" t="n">
        <x:v>1080</x:v>
      </x:c>
      <x:c r="Z356" s="265" t="n">
        <x:v>1980</x:v>
      </x:c>
      <x:c r="AA356" s="253" t="str">
        <x:f>IF(V356="No","Maturing",IF(AND(U356="Yes",Y356&gt;0),"Yes","No"))</x:f>
        <x:v>No</x:v>
      </x:c>
      <x:c r="AB356" s="253" t="str">
        <x:f>IF(W356="No","Maturing",IF(AND(U356="Yes",Z356&gt;0),"Yes","No"))</x:f>
        <x:v>No</x:v>
      </x:c>
      <x:c r="AC356" s="265" t="n">
        <x:v>-525.34</x:v>
      </x:c>
      <x:c r="AD356" s="265" t="n">
        <x:v>-439.31</x:v>
      </x:c>
      <x:c r="AE356" s="271" t="str"/>
      <x:c r="AF356" s="274" t="str">
        <x:v>Not validated - no control/holdout</x:v>
      </x:c>
      <x:c r="AG356" s="277" t="str">
        <x:v>Recovered execution only; assignment date and unclaimed-offer denominator unavailable</x:v>
      </x:c>
    </x:row>
    <x:row r="357">
      <x:c r="A357" s="252" t="str">
        <x:v>34056418</x:v>
      </x:c>
      <x:c r="B357" s="253" t="str">
        <x:v>WS1</x:v>
      </x:c>
      <x:c r="C357" s="253" t="str">
        <x:v>MB8</x:v>
      </x:c>
      <x:c r="D357" s="262" t="n">
        <x:v>46141.69934027778</x:v>
      </x:c>
      <x:c r="E357" s="259" t="n">
        <x:v>46141.166666666664</x:v>
      </x:c>
      <x:c r="F357" s="253" t="str">
        <x:v>1106092</x:v>
      </x:c>
      <x:c r="G357" s="253" t="str">
        <x:v>ong8882</x:v>
      </x:c>
      <x:c r="H357" s="253" t="str">
        <x:v>Yes</x:v>
      </x:c>
      <x:c r="I357" s="253" t="str">
        <x:v>Serene</x:v>
      </x:c>
      <x:c r="J357" s="253" t="str">
        <x:v>Serene</x:v>
      </x:c>
      <x:c r="K357" s="259" t="n">
        <x:v>45831.166666666664</x:v>
      </x:c>
      <x:c r="L357" s="268" t="str">
        <x:f>IFERROR(VLOOKUP(I357,'Handler-Team Map'!$A$7:$C$17,2,FALSE),"")</x:f>
      </x:c>
      <x:c r="M357" s="268" t="str">
        <x:f>IFERROR(VLOOKUP(I357,'Handler-Team Map'!$A$7:$C$17,3,FALSE),"")</x:f>
      </x:c>
      <x:c r="N357" s="274" t="str">
        <x:v>FT_VM_DEP1000_GET500_1X</x:v>
      </x:c>
      <x:c r="O357" s="274" t="str">
        <x:v>VIP BONUS - Deposit 1000 Get 500 - 1x TO</x:v>
      </x:c>
      <x:c r="P357" s="274" t="str">
        <x:v>DepositBonus</x:v>
      </x:c>
      <x:c r="Q357" s="274" t="str">
        <x:v>Approved</x:v>
      </x:c>
      <x:c r="R357" s="265" t="n">
        <x:v>500</x:v>
      </x:c>
      <x:c r="S357" s="253" t="str">
        <x:v>Yes</x:v>
      </x:c>
      <x:c r="T357" s="265" t="n">
        <x:v>250</x:v>
      </x:c>
      <x:c r="U357" s="253" t="str">
        <x:f>IF(AND(S357="Yes",T357=0),"Yes","No")</x:f>
        <x:v>No</x:v>
      </x:c>
      <x:c r="V357" s="253" t="str">
        <x:v>Yes</x:v>
      </x:c>
      <x:c r="W357" s="253" t="str">
        <x:v>Yes</x:v>
      </x:c>
      <x:c r="X357" s="259" t="n">
        <x:v>46141.166666666664</x:v>
      </x:c>
      <x:c r="Y357" s="265" t="n">
        <x:v>1530</x:v>
      </x:c>
      <x:c r="Z357" s="265" t="n">
        <x:v>2130</x:v>
      </x:c>
      <x:c r="AA357" s="253" t="str">
        <x:f>IF(V357="No","Maturing",IF(AND(U357="Yes",Y357&gt;0),"Yes","No"))</x:f>
        <x:v>No</x:v>
      </x:c>
      <x:c r="AB357" s="253" t="str">
        <x:f>IF(W357="No","Maturing",IF(AND(U357="Yes",Z357&gt;0),"Yes","No"))</x:f>
        <x:v>No</x:v>
      </x:c>
      <x:c r="AC357" s="265" t="n">
        <x:v>-1696.58</x:v>
      </x:c>
      <x:c r="AD357" s="265" t="n">
        <x:v>-1798.74</x:v>
      </x:c>
      <x:c r="AE357" s="271" t="str"/>
      <x:c r="AF357" s="274" t="str">
        <x:v>Not validated - no control/holdout</x:v>
      </x:c>
      <x:c r="AG357" s="277" t="str">
        <x:v>Recovered execution only; assignment date and unclaimed-offer denominator unavailable</x:v>
      </x:c>
    </x:row>
    <x:row r="358">
      <x:c r="A358" s="252" t="str">
        <x:v>34056683</x:v>
      </x:c>
      <x:c r="B358" s="253" t="str">
        <x:v>WS1</x:v>
      </x:c>
      <x:c r="C358" s="253" t="str">
        <x:v>MB8</x:v>
      </x:c>
      <x:c r="D358" s="262" t="n">
        <x:v>46141.71653935185</x:v>
      </x:c>
      <x:c r="E358" s="259" t="n">
        <x:v>46141.166666666664</x:v>
      </x:c>
      <x:c r="F358" s="253" t="str">
        <x:v>971937</x:v>
      </x:c>
      <x:c r="G358" s="253" t="str">
        <x:v>jason0830</x:v>
      </x:c>
      <x:c r="H358" s="253" t="str">
        <x:v>Yes</x:v>
      </x:c>
      <x:c r="I358" s="253" t="str">
        <x:v>zhen</x:v>
      </x:c>
      <x:c r="J358" s="253" t="str">
        <x:v>zhen</x:v>
      </x:c>
      <x:c r="K358" s="259" t="n">
        <x:v>45880.166666666664</x:v>
      </x:c>
      <x:c r="L358" s="268" t="str">
        <x:f>IFERROR(VLOOKUP(I358,'Handler-Team Map'!$A$7:$C$17,2,FALSE),"")</x:f>
      </x:c>
      <x:c r="M358" s="268" t="str">
        <x:f>IFERROR(VLOOKUP(I358,'Handler-Team Map'!$A$7:$C$17,3,FALSE),"")</x:f>
      </x:c>
      <x:c r="N358" s="274" t="str">
        <x:v>FT_VM_DEP700_GET300_2X</x:v>
      </x:c>
      <x:c r="O358" s="274" t="str">
        <x:v>VIP BONUS - Deposit 700 Get 300 - 2x TO</x:v>
      </x:c>
      <x:c r="P358" s="274" t="str">
        <x:v>DepositBonus</x:v>
      </x:c>
      <x:c r="Q358" s="274" t="str">
        <x:v>Approved</x:v>
      </x:c>
      <x:c r="R358" s="265" t="n">
        <x:v>300</x:v>
      </x:c>
      <x:c r="S358" s="253" t="str">
        <x:v>Yes</x:v>
      </x:c>
      <x:c r="T358" s="265" t="n">
        <x:v>988</x:v>
      </x:c>
      <x:c r="U358" s="253" t="str">
        <x:f>IF(AND(S358="Yes",T358=0),"Yes","No")</x:f>
        <x:v>No</x:v>
      </x:c>
      <x:c r="V358" s="253" t="str">
        <x:v>Yes</x:v>
      </x:c>
      <x:c r="W358" s="253" t="str">
        <x:v>Yes</x:v>
      </x:c>
      <x:c r="X358" s="259" t="n">
        <x:v>46141.166666666664</x:v>
      </x:c>
      <x:c r="Y358" s="265" t="n">
        <x:v>1730</x:v>
      </x:c>
      <x:c r="Z358" s="265" t="n">
        <x:v>1930</x:v>
      </x:c>
      <x:c r="AA358" s="253" t="str">
        <x:f>IF(V358="No","Maturing",IF(AND(U358="Yes",Y358&gt;0),"Yes","No"))</x:f>
        <x:v>No</x:v>
      </x:c>
      <x:c r="AB358" s="253" t="str">
        <x:f>IF(W358="No","Maturing",IF(AND(U358="Yes",Z358&gt;0),"Yes","No"))</x:f>
        <x:v>No</x:v>
      </x:c>
      <x:c r="AC358" s="265" t="n">
        <x:v>-375.77</x:v>
      </x:c>
      <x:c r="AD358" s="265" t="n">
        <x:v>-469.38</x:v>
      </x:c>
      <x:c r="AE358" s="271" t="str"/>
      <x:c r="AF358" s="274" t="str">
        <x:v>Not validated - no control/holdout</x:v>
      </x:c>
      <x:c r="AG358" s="277" t="str">
        <x:v>Recovered execution only; assignment date and unclaimed-offer denominator unavailable</x:v>
      </x:c>
    </x:row>
    <x:row r="359">
      <x:c r="A359" s="252" t="str">
        <x:v>34056893</x:v>
      </x:c>
      <x:c r="B359" s="253" t="str">
        <x:v>WS1</x:v>
      </x:c>
      <x:c r="C359" s="253" t="str">
        <x:v>MB8</x:v>
      </x:c>
      <x:c r="D359" s="262" t="n">
        <x:v>46141.72981481482</x:v>
      </x:c>
      <x:c r="E359" s="259" t="n">
        <x:v>46141.166666666664</x:v>
      </x:c>
      <x:c r="F359" s="253" t="str">
        <x:v>656344</x:v>
      </x:c>
      <x:c r="G359" s="253" t="str">
        <x:v>Ong123456</x:v>
      </x:c>
      <x:c r="H359" s="253" t="str">
        <x:v>Yes</x:v>
      </x:c>
      <x:c r="I359" s="253" t="str">
        <x:v>Serene</x:v>
      </x:c>
      <x:c r="J359" s="253" t="str">
        <x:v>Serene</x:v>
      </x:c>
      <x:c r="K359" s="259" t="n">
        <x:v>45859.166666666664</x:v>
      </x:c>
      <x:c r="L359" s="268" t="str">
        <x:f>IFERROR(VLOOKUP(I359,'Handler-Team Map'!$A$7:$C$17,2,FALSE),"")</x:f>
      </x:c>
      <x:c r="M359" s="268" t="str">
        <x:f>IFERROR(VLOOKUP(I359,'Handler-Team Map'!$A$7:$C$17,3,FALSE),"")</x:f>
      </x:c>
      <x:c r="N359" s="274" t="str">
        <x:v>FT_VM_DEP1000_GET800_2X</x:v>
      </x:c>
      <x:c r="O359" s="274" t="str">
        <x:v>VIP BONUS - Deposit 1000 Get 800 - 2x TO</x:v>
      </x:c>
      <x:c r="P359" s="274" t="str">
        <x:v>DepositBonus</x:v>
      </x:c>
      <x:c r="Q359" s="274" t="str">
        <x:v>Approved</x:v>
      </x:c>
      <x:c r="R359" s="265" t="n">
        <x:v>800</x:v>
      </x:c>
      <x:c r="S359" s="253" t="str">
        <x:v>Yes</x:v>
      </x:c>
      <x:c r="T359" s="265" t="n">
        <x:v>4106</x:v>
      </x:c>
      <x:c r="U359" s="253" t="str">
        <x:f>IF(AND(S359="Yes",T359=0),"Yes","No")</x:f>
        <x:v>No</x:v>
      </x:c>
      <x:c r="V359" s="253" t="str">
        <x:v>Yes</x:v>
      </x:c>
      <x:c r="W359" s="253" t="str">
        <x:v>Yes</x:v>
      </x:c>
      <x:c r="X359" s="259" t="n">
        <x:v>46141.166666666664</x:v>
      </x:c>
      <x:c r="Y359" s="265" t="n">
        <x:v>3380</x:v>
      </x:c>
      <x:c r="Z359" s="265" t="n">
        <x:v>5200</x:v>
      </x:c>
      <x:c r="AA359" s="253" t="str">
        <x:f>IF(V359="No","Maturing",IF(AND(U359="Yes",Y359&gt;0),"Yes","No"))</x:f>
        <x:v>No</x:v>
      </x:c>
      <x:c r="AB359" s="253" t="str">
        <x:f>IF(W359="No","Maturing",IF(AND(U359="Yes",Z359&gt;0),"Yes","No"))</x:f>
        <x:v>No</x:v>
      </x:c>
      <x:c r="AC359" s="265" t="n">
        <x:v>399.37</x:v>
      </x:c>
      <x:c r="AD359" s="265" t="n">
        <x:v>2219.35</x:v>
      </x:c>
      <x:c r="AE359" s="271" t="str"/>
      <x:c r="AF359" s="274" t="str">
        <x:v>Not validated - no control/holdout</x:v>
      </x:c>
      <x:c r="AG359" s="277" t="str">
        <x:v>Recovered execution only; assignment date and unclaimed-offer denominator unavailable</x:v>
      </x:c>
    </x:row>
    <x:row r="360">
      <x:c r="A360" s="252" t="str">
        <x:v>34057356</x:v>
      </x:c>
      <x:c r="B360" s="253" t="str">
        <x:v>WS1</x:v>
      </x:c>
      <x:c r="C360" s="253" t="str">
        <x:v>MB8</x:v>
      </x:c>
      <x:c r="D360" s="262" t="n">
        <x:v>46141.75818287037</x:v>
      </x:c>
      <x:c r="E360" s="259" t="n">
        <x:v>46141.166666666664</x:v>
      </x:c>
      <x:c r="F360" s="253" t="str">
        <x:v>599828</x:v>
      </x:c>
      <x:c r="G360" s="253" t="str">
        <x:v>jaman1975</x:v>
      </x:c>
      <x:c r="H360" s="253" t="str">
        <x:v>Yes</x:v>
      </x:c>
      <x:c r="I360" s="253" t="str">
        <x:v>Elda</x:v>
      </x:c>
      <x:c r="J360" s="253" t="str">
        <x:v>Elda</x:v>
      </x:c>
      <x:c r="K360" s="259" t="n">
        <x:v>45659.166666666664</x:v>
      </x:c>
      <x:c r="L360" s="268" t="str">
        <x:f>IFERROR(VLOOKUP(I360,'Handler-Team Map'!$A$7:$C$17,2,FALSE),"")</x:f>
      </x:c>
      <x:c r="M360" s="268" t="str">
        <x:f>IFERROR(VLOOKUP(I360,'Handler-Team Map'!$A$7:$C$17,3,FALSE),"")</x:f>
      </x:c>
      <x:c r="N360" s="274" t="str">
        <x:v>FT_VM_DEP150_GET50_5X</x:v>
      </x:c>
      <x:c r="O360" s="274" t="str">
        <x:v>VIP BONUS - Deposit 150 Get 50 - 5x TO</x:v>
      </x:c>
      <x:c r="P360" s="274" t="str">
        <x:v>DepositBonus</x:v>
      </x:c>
      <x:c r="Q360" s="274" t="str">
        <x:v>Approved</x:v>
      </x:c>
      <x:c r="R360" s="265" t="n">
        <x:v>50</x:v>
      </x:c>
      <x:c r="S360" s="253" t="str">
        <x:v>Yes</x:v>
      </x:c>
      <x:c r="T360" s="265" t="n">
        <x:v>39920</x:v>
      </x:c>
      <x:c r="U360" s="253" t="str">
        <x:f>IF(AND(S360="Yes",T360=0),"Yes","No")</x:f>
        <x:v>No</x:v>
      </x:c>
      <x:c r="V360" s="253" t="str">
        <x:v>Yes</x:v>
      </x:c>
      <x:c r="W360" s="253" t="str">
        <x:v>Yes</x:v>
      </x:c>
      <x:c r="X360" s="259" t="n">
        <x:v>46141.166666666664</x:v>
      </x:c>
      <x:c r="Y360" s="265" t="n">
        <x:v>6720</x:v>
      </x:c>
      <x:c r="Z360" s="265" t="n">
        <x:v>16410</x:v>
      </x:c>
      <x:c r="AA360" s="253" t="str">
        <x:f>IF(V360="No","Maturing",IF(AND(U360="Yes",Y360&gt;0),"Yes","No"))</x:f>
        <x:v>No</x:v>
      </x:c>
      <x:c r="AB360" s="253" t="str">
        <x:f>IF(W360="No","Maturing",IF(AND(U360="Yes",Z360&gt;0),"Yes","No"))</x:f>
        <x:v>No</x:v>
      </x:c>
      <x:c r="AC360" s="265" t="n">
        <x:v>2675.45</x:v>
      </x:c>
      <x:c r="AD360" s="265" t="n">
        <x:v>7976.07</x:v>
      </x:c>
      <x:c r="AE360" s="271" t="str"/>
      <x:c r="AF360" s="274" t="str">
        <x:v>Not validated - no control/holdout</x:v>
      </x:c>
      <x:c r="AG360" s="277" t="str">
        <x:v>Recovered execution only; assignment date and unclaimed-offer denominator unavailable</x:v>
      </x:c>
    </x:row>
    <x:row r="361">
      <x:c r="A361" s="252" t="str">
        <x:v>34057641</x:v>
      </x:c>
      <x:c r="B361" s="253" t="str">
        <x:v>WS1</x:v>
      </x:c>
      <x:c r="C361" s="253" t="str">
        <x:v>MB8</x:v>
      </x:c>
      <x:c r="D361" s="262" t="n">
        <x:v>46141.77449074074</x:v>
      </x:c>
      <x:c r="E361" s="259" t="n">
        <x:v>46141.166666666664</x:v>
      </x:c>
      <x:c r="F361" s="253" t="str">
        <x:v>567203</x:v>
      </x:c>
      <x:c r="G361" s="253" t="str">
        <x:v>Booboo</x:v>
      </x:c>
      <x:c r="H361" s="253" t="str">
        <x:v>Yes</x:v>
      </x:c>
      <x:c r="I361" s="253" t="str">
        <x:v>Elda</x:v>
      </x:c>
      <x:c r="J361" s="253" t="str">
        <x:v>Elda</x:v>
      </x:c>
      <x:c r="K361" s="259" t="n">
        <x:v>45659.166666666664</x:v>
      </x:c>
      <x:c r="L361" s="268" t="str">
        <x:f>IFERROR(VLOOKUP(I361,'Handler-Team Map'!$A$7:$C$17,2,FALSE),"")</x:f>
      </x:c>
      <x:c r="M361" s="268" t="str">
        <x:f>IFERROR(VLOOKUP(I361,'Handler-Team Map'!$A$7:$C$17,3,FALSE),"")</x:f>
      </x:c>
      <x:c r="N361" s="274" t="str">
        <x:v>FT_VM_DEP1000_GET500_5X</x:v>
      </x:c>
      <x:c r="O361" s="274" t="str">
        <x:v>VIP BONUS - Deposit 1000 Get 500 - 5x TO</x:v>
      </x:c>
      <x:c r="P361" s="274" t="str">
        <x:v>DepositBonus</x:v>
      </x:c>
      <x:c r="Q361" s="274" t="str">
        <x:v>Approved</x:v>
      </x:c>
      <x:c r="R361" s="265" t="n">
        <x:v>500</x:v>
      </x:c>
      <x:c r="S361" s="253" t="str">
        <x:v>Yes</x:v>
      </x:c>
      <x:c r="T361" s="265" t="n">
        <x:v>18551.32</x:v>
      </x:c>
      <x:c r="U361" s="253" t="str">
        <x:f>IF(AND(S361="Yes",T361=0),"Yes","No")</x:f>
        <x:v>No</x:v>
      </x:c>
      <x:c r="V361" s="253" t="str">
        <x:v>Yes</x:v>
      </x:c>
      <x:c r="W361" s="253" t="str">
        <x:v>Yes</x:v>
      </x:c>
      <x:c r="X361" s="259" t="n">
        <x:v>46141.166666666664</x:v>
      </x:c>
      <x:c r="Y361" s="265" t="n">
        <x:v>13691</x:v>
      </x:c>
      <x:c r="Z361" s="265" t="n">
        <x:v>17346.65</x:v>
      </x:c>
      <x:c r="AA361" s="253" t="str">
        <x:f>IF(V361="No","Maturing",IF(AND(U361="Yes",Y361&gt;0),"Yes","No"))</x:f>
        <x:v>No</x:v>
      </x:c>
      <x:c r="AB361" s="253" t="str">
        <x:f>IF(W361="No","Maturing",IF(AND(U361="Yes",Z361&gt;0),"Yes","No"))</x:f>
        <x:v>No</x:v>
      </x:c>
      <x:c r="AC361" s="265" t="n">
        <x:v>5770.35</x:v>
      </x:c>
      <x:c r="AD361" s="265" t="n">
        <x:v>4304.65</x:v>
      </x:c>
      <x:c r="AE361" s="271" t="str"/>
      <x:c r="AF361" s="274" t="str">
        <x:v>Not validated - no control/holdout</x:v>
      </x:c>
      <x:c r="AG361" s="277" t="str">
        <x:v>Recovered execution only; assignment date and unclaimed-offer denominator unavailable</x:v>
      </x:c>
    </x:row>
    <x:row r="362">
      <x:c r="A362" s="252" t="str">
        <x:v>34062016</x:v>
      </x:c>
      <x:c r="B362" s="253" t="str">
        <x:v>WS1</x:v>
      </x:c>
      <x:c r="C362" s="253" t="str">
        <x:v>MB8</x:v>
      </x:c>
      <x:c r="D362" s="262" t="n">
        <x:v>46141.99545138889</x:v>
      </x:c>
      <x:c r="E362" s="259" t="n">
        <x:v>46141.166666666664</x:v>
      </x:c>
      <x:c r="F362" s="253" t="str">
        <x:v>668025</x:v>
      </x:c>
      <x:c r="G362" s="253" t="str">
        <x:v>Dvd1017</x:v>
      </x:c>
      <x:c r="H362" s="253" t="str">
        <x:v>Yes</x:v>
      </x:c>
      <x:c r="I362" s="253" t="str">
        <x:v>Christy</x:v>
      </x:c>
      <x:c r="J362" s="253" t="str">
        <x:v>Christy</x:v>
      </x:c>
      <x:c r="K362" s="259" t="n">
        <x:v>46090.166666666664</x:v>
      </x:c>
      <x:c r="L362" s="268" t="str">
        <x:f>IFERROR(VLOOKUP(I362,'Handler-Team Map'!$A$7:$C$17,2,FALSE),"")</x:f>
      </x:c>
      <x:c r="M362" s="268" t="str">
        <x:f>IFERROR(VLOOKUP(I362,'Handler-Team Map'!$A$7:$C$17,3,FALSE),"")</x:f>
      </x:c>
      <x:c r="N362" s="274" t="str">
        <x:v>FT_VM_DEP600_GET200_5X</x:v>
      </x:c>
      <x:c r="O362" s="274" t="str">
        <x:v>VIP BONUS - Deposit 600 Get 200 - 5x TO</x:v>
      </x:c>
      <x:c r="P362" s="274" t="str">
        <x:v>DepositBonus</x:v>
      </x:c>
      <x:c r="Q362" s="274" t="str">
        <x:v>Approved</x:v>
      </x:c>
      <x:c r="R362" s="265" t="n">
        <x:v>200</x:v>
      </x:c>
      <x:c r="S362" s="253" t="str">
        <x:v>Yes</x:v>
      </x:c>
      <x:c r="T362" s="265" t="n">
        <x:v>1200</x:v>
      </x:c>
      <x:c r="U362" s="253" t="str">
        <x:f>IF(AND(S362="Yes",T362=0),"Yes","No")</x:f>
        <x:v>No</x:v>
      </x:c>
      <x:c r="V362" s="253" t="str">
        <x:v>Yes</x:v>
      </x:c>
      <x:c r="W362" s="253" t="str">
        <x:v>Yes</x:v>
      </x:c>
      <x:c r="X362" s="259" t="n">
        <x:v>46141.166666666664</x:v>
      </x:c>
      <x:c r="Y362" s="265" t="n">
        <x:v>1180</x:v>
      </x:c>
      <x:c r="Z362" s="265" t="n">
        <x:v>1260</x:v>
      </x:c>
      <x:c r="AA362" s="253" t="str">
        <x:f>IF(V362="No","Maturing",IF(AND(U362="Yes",Y362&gt;0),"Yes","No"))</x:f>
        <x:v>No</x:v>
      </x:c>
      <x:c r="AB362" s="253" t="str">
        <x:f>IF(W362="No","Maturing",IF(AND(U362="Yes",Z362&gt;0),"Yes","No"))</x:f>
        <x:v>No</x:v>
      </x:c>
      <x:c r="AC362" s="265" t="n">
        <x:v>1179.05</x:v>
      </x:c>
      <x:c r="AD362" s="265" t="n">
        <x:v>1259.92</x:v>
      </x:c>
      <x:c r="AE362" s="271" t="str"/>
      <x:c r="AF362" s="274" t="str">
        <x:v>Not validated - no control/holdout</x:v>
      </x:c>
      <x:c r="AG362" s="277" t="str">
        <x:v>Recovered execution only; assignment date and unclaimed-offer denominator unavailable</x:v>
      </x:c>
    </x:row>
    <x:row r="363">
      <x:c r="A363" s="252" t="str">
        <x:v>34063303</x:v>
      </x:c>
      <x:c r="B363" s="253" t="str">
        <x:v>WS1</x:v>
      </x:c>
      <x:c r="C363" s="253" t="str">
        <x:v>MB8</x:v>
      </x:c>
      <x:c r="D363" s="262" t="n">
        <x:v>46142.048946759256</x:v>
      </x:c>
      <x:c r="E363" s="259" t="n">
        <x:v>46142.166666666664</x:v>
      </x:c>
      <x:c r="F363" s="253" t="str">
        <x:v>422328</x:v>
      </x:c>
      <x:c r="G363" s="253" t="str">
        <x:v>yap5643</x:v>
      </x:c>
      <x:c r="H363" s="253" t="str">
        <x:v>Yes</x:v>
      </x:c>
      <x:c r="I363" s="253" t="str">
        <x:v>Claire</x:v>
      </x:c>
      <x:c r="J363" s="253" t="str">
        <x:v>Claire</x:v>
      </x:c>
      <x:c r="K363" s="259" t="n">
        <x:v>45659.166666666664</x:v>
      </x:c>
      <x:c r="L363" s="268" t="str">
        <x:f>IFERROR(VLOOKUP(I363,'Handler-Team Map'!$A$7:$C$17,2,FALSE),"")</x:f>
      </x:c>
      <x:c r="M363" s="268" t="str">
        <x:f>IFERROR(VLOOKUP(I363,'Handler-Team Map'!$A$7:$C$17,3,FALSE),"")</x:f>
      </x:c>
      <x:c r="N363" s="274" t="str">
        <x:v>FT_VM_DEP1000_GET1000_1X</x:v>
      </x:c>
      <x:c r="O363" s="274" t="str">
        <x:v>VIP BONUS - Deposit 1000 Get 1000 - 1x TO</x:v>
      </x:c>
      <x:c r="P363" s="274" t="str">
        <x:v>DepositBonus</x:v>
      </x:c>
      <x:c r="Q363" s="274" t="str">
        <x:v>Approved</x:v>
      </x:c>
      <x:c r="R363" s="265" t="n">
        <x:v>1000</x:v>
      </x:c>
      <x:c r="S363" s="253" t="str">
        <x:v>Yes</x:v>
      </x:c>
      <x:c r="T363" s="265" t="n">
        <x:v>390600</x:v>
      </x:c>
      <x:c r="U363" s="253" t="str">
        <x:f>IF(AND(S363="Yes",T363=0),"Yes","No")</x:f>
        <x:v>No</x:v>
      </x:c>
      <x:c r="V363" s="253" t="str">
        <x:v>Yes</x:v>
      </x:c>
      <x:c r="W363" s="253" t="str">
        <x:v>Yes</x:v>
      </x:c>
      <x:c r="X363" s="259" t="n">
        <x:v>46142.166666666664</x:v>
      </x:c>
      <x:c r="Y363" s="265" t="n">
        <x:v>55100</x:v>
      </x:c>
      <x:c r="Z363" s="265" t="n">
        <x:v>113600</x:v>
      </x:c>
      <x:c r="AA363" s="253" t="str">
        <x:f>IF(V363="No","Maturing",IF(AND(U363="Yes",Y363&gt;0),"Yes","No"))</x:f>
        <x:v>No</x:v>
      </x:c>
      <x:c r="AB363" s="253" t="str">
        <x:f>IF(W363="No","Maturing",IF(AND(U363="Yes",Z363&gt;0),"Yes","No"))</x:f>
        <x:v>No</x:v>
      </x:c>
      <x:c r="AC363" s="265" t="n">
        <x:v>54501.6</x:v>
      </x:c>
      <x:c r="AD363" s="265" t="n">
        <x:v>112338.99</x:v>
      </x:c>
      <x:c r="AE363" s="271" t="str"/>
      <x:c r="AF363" s="274" t="str">
        <x:v>Not validated - no control/holdout</x:v>
      </x:c>
      <x:c r="AG363" s="277" t="str">
        <x:v>Recovered execution only; assignment date and unclaimed-offer denominator unavailable</x:v>
      </x:c>
    </x:row>
    <x:row r="364">
      <x:c r="A364" s="252" t="str">
        <x:v>34065436</x:v>
      </x:c>
      <x:c r="B364" s="253" t="str">
        <x:v>WS1</x:v>
      </x:c>
      <x:c r="C364" s="253" t="str">
        <x:v>MB8</x:v>
      </x:c>
      <x:c r="D364" s="262" t="n">
        <x:v>46142.213541666664</x:v>
      </x:c>
      <x:c r="E364" s="259" t="n">
        <x:v>46142.166666666664</x:v>
      </x:c>
      <x:c r="F364" s="253" t="str">
        <x:v>858071</x:v>
      </x:c>
      <x:c r="G364" s="253" t="str">
        <x:v>Joey789</x:v>
      </x:c>
      <x:c r="H364" s="253" t="str">
        <x:v>Yes</x:v>
      </x:c>
      <x:c r="I364" s="253" t="str">
        <x:v>zhen</x:v>
      </x:c>
      <x:c r="J364" s="253" t="str">
        <x:v>zhen</x:v>
      </x:c>
      <x:c r="K364" s="259" t="n">
        <x:v>45880.166666666664</x:v>
      </x:c>
      <x:c r="L364" s="268" t="str">
        <x:f>IFERROR(VLOOKUP(I364,'Handler-Team Map'!$A$7:$C$17,2,FALSE),"")</x:f>
      </x:c>
      <x:c r="M364" s="268" t="str">
        <x:f>IFERROR(VLOOKUP(I364,'Handler-Team Map'!$A$7:$C$17,3,FALSE),"")</x:f>
      </x:c>
      <x:c r="N364" s="274" t="str">
        <x:v>FT_VM_DEP1000_GET500_1X</x:v>
      </x:c>
      <x:c r="O364" s="274" t="str">
        <x:v>VIP BONUS - Deposit 1000 Get 500 - 1x TO</x:v>
      </x:c>
      <x:c r="P364" s="274" t="str">
        <x:v>DepositBonus</x:v>
      </x:c>
      <x:c r="Q364" s="274" t="str">
        <x:v>Approved</x:v>
      </x:c>
      <x:c r="R364" s="265" t="n">
        <x:v>500</x:v>
      </x:c>
      <x:c r="S364" s="253" t="str">
        <x:v>Yes</x:v>
      </x:c>
      <x:c r="T364" s="265" t="n">
        <x:v>6300</x:v>
      </x:c>
      <x:c r="U364" s="253" t="str">
        <x:f>IF(AND(S364="Yes",T364=0),"Yes","No")</x:f>
        <x:v>No</x:v>
      </x:c>
      <x:c r="V364" s="253" t="str">
        <x:v>Yes</x:v>
      </x:c>
      <x:c r="W364" s="253" t="str">
        <x:v>Yes</x:v>
      </x:c>
      <x:c r="X364" s="259" t="n">
        <x:v>46142.166666666664</x:v>
      </x:c>
      <x:c r="Y364" s="265" t="n">
        <x:v>1000</x:v>
      </x:c>
      <x:c r="Z364" s="265" t="n">
        <x:v>1000</x:v>
      </x:c>
      <x:c r="AA364" s="253" t="str">
        <x:f>IF(V364="No","Maturing",IF(AND(U364="Yes",Y364&gt;0),"Yes","No"))</x:f>
        <x:v>No</x:v>
      </x:c>
      <x:c r="AB364" s="253" t="str">
        <x:f>IF(W364="No","Maturing",IF(AND(U364="Yes",Z364&gt;0),"Yes","No"))</x:f>
        <x:v>No</x:v>
      </x:c>
      <x:c r="AC364" s="265" t="n">
        <x:v>999.4</x:v>
      </x:c>
      <x:c r="AD364" s="265" t="n">
        <x:v>999.4</x:v>
      </x:c>
      <x:c r="AE364" s="271" t="str"/>
      <x:c r="AF364" s="274" t="str">
        <x:v>Not validated - no control/holdout</x:v>
      </x:c>
      <x:c r="AG364" s="277" t="str">
        <x:v>Recovered execution only; assignment date and unclaimed-offer denominator unavailable</x:v>
      </x:c>
    </x:row>
    <x:row r="365">
      <x:c r="A365" s="252" t="str">
        <x:v>34065493</x:v>
      </x:c>
      <x:c r="B365" s="253" t="str">
        <x:v>WS1</x:v>
      </x:c>
      <x:c r="C365" s="253" t="str">
        <x:v>MB8</x:v>
      </x:c>
      <x:c r="D365" s="262" t="n">
        <x:v>46142.22273148148</x:v>
      </x:c>
      <x:c r="E365" s="259" t="n">
        <x:v>46142.166666666664</x:v>
      </x:c>
      <x:c r="F365" s="253" t="str">
        <x:v>218256</x:v>
      </x:c>
      <x:c r="G365" s="253" t="str">
        <x:v>Bobby2626</x:v>
      </x:c>
      <x:c r="H365" s="253" t="str">
        <x:v>Yes</x:v>
      </x:c>
      <x:c r="I365" s="253" t="str">
        <x:v>Elda</x:v>
      </x:c>
      <x:c r="J365" s="253" t="str">
        <x:v>Elda</x:v>
      </x:c>
      <x:c r="K365" s="259" t="n">
        <x:v>45659.166666666664</x:v>
      </x:c>
      <x:c r="L365" s="268" t="str">
        <x:f>IFERROR(VLOOKUP(I365,'Handler-Team Map'!$A$7:$C$17,2,FALSE),"")</x:f>
      </x:c>
      <x:c r="M365" s="268" t="str">
        <x:f>IFERROR(VLOOKUP(I365,'Handler-Team Map'!$A$7:$C$17,3,FALSE),"")</x:f>
      </x:c>
      <x:c r="N365" s="274" t="str">
        <x:v>FT_VM_DEP1000_GET700_2X</x:v>
      </x:c>
      <x:c r="O365" s="274" t="str">
        <x:v>VIP BONUS - Deposit 1000 Get 700 - 2x TO</x:v>
      </x:c>
      <x:c r="P365" s="274" t="str">
        <x:v>DepositBonus</x:v>
      </x:c>
      <x:c r="Q365" s="274" t="str">
        <x:v>Approved</x:v>
      </x:c>
      <x:c r="R365" s="265" t="n">
        <x:v>700</x:v>
      </x:c>
      <x:c r="S365" s="253" t="str">
        <x:v>Yes</x:v>
      </x:c>
      <x:c r="T365" s="265" t="n">
        <x:v>7000</x:v>
      </x:c>
      <x:c r="U365" s="253" t="str">
        <x:f>IF(AND(S365="Yes",T365=0),"Yes","No")</x:f>
        <x:v>No</x:v>
      </x:c>
      <x:c r="V365" s="253" t="str">
        <x:v>Yes</x:v>
      </x:c>
      <x:c r="W365" s="253" t="str">
        <x:v>Yes</x:v>
      </x:c>
      <x:c r="X365" s="259" t="n">
        <x:v>46142.166666666664</x:v>
      </x:c>
      <x:c r="Y365" s="265" t="n">
        <x:v>1000</x:v>
      </x:c>
      <x:c r="Z365" s="265" t="n">
        <x:v>12000</x:v>
      </x:c>
      <x:c r="AA365" s="253" t="str">
        <x:f>IF(V365="No","Maturing",IF(AND(U365="Yes",Y365&gt;0),"Yes","No"))</x:f>
        <x:v>No</x:v>
      </x:c>
      <x:c r="AB365" s="253" t="str">
        <x:f>IF(W365="No","Maturing",IF(AND(U365="Yes",Z365&gt;0),"Yes","No"))</x:f>
        <x:v>No</x:v>
      </x:c>
      <x:c r="AC365" s="265" t="n">
        <x:v>964.96</x:v>
      </x:c>
      <x:c r="AD365" s="265" t="n">
        <x:v>-13378.13</x:v>
      </x:c>
      <x:c r="AE365" s="271" t="str"/>
      <x:c r="AF365" s="274" t="str">
        <x:v>Not validated - no control/holdout</x:v>
      </x:c>
      <x:c r="AG365" s="277" t="str">
        <x:v>Recovered execution only; assignment date and unclaimed-offer denominator unavailable</x:v>
      </x:c>
    </x:row>
    <x:row r="366">
      <x:c r="A366" s="252" t="str">
        <x:v>34066139</x:v>
      </x:c>
      <x:c r="B366" s="253" t="str">
        <x:v>WS1</x:v>
      </x:c>
      <x:c r="C366" s="253" t="str">
        <x:v>MB8</x:v>
      </x:c>
      <x:c r="D366" s="262" t="n">
        <x:v>46142.33459490741</x:v>
      </x:c>
      <x:c r="E366" s="259" t="n">
        <x:v>46142.166666666664</x:v>
      </x:c>
      <x:c r="F366" s="253" t="str">
        <x:v>250164</x:v>
      </x:c>
      <x:c r="G366" s="253" t="str">
        <x:v>nazkrin267</x:v>
      </x:c>
      <x:c r="H366" s="253" t="str">
        <x:v>Yes</x:v>
      </x:c>
      <x:c r="I366" s="253" t="str">
        <x:v>Serene</x:v>
      </x:c>
      <x:c r="J366" s="253" t="str">
        <x:v>Serene</x:v>
      </x:c>
      <x:c r="K366" s="259" t="n">
        <x:v>45859.166666666664</x:v>
      </x:c>
      <x:c r="L366" s="268" t="str">
        <x:f>IFERROR(VLOOKUP(I366,'Handler-Team Map'!$A$7:$C$17,2,FALSE),"")</x:f>
      </x:c>
      <x:c r="M366" s="268" t="str">
        <x:f>IFERROR(VLOOKUP(I366,'Handler-Team Map'!$A$7:$C$17,3,FALSE),"")</x:f>
      </x:c>
      <x:c r="N366" s="274" t="str">
        <x:v>FT_VM_DEP1000_GET800_2X</x:v>
      </x:c>
      <x:c r="O366" s="274" t="str">
        <x:v>VIP BONUS - Deposit 1000 Get 800 - 2x TO</x:v>
      </x:c>
      <x:c r="P366" s="274" t="str">
        <x:v>DepositBonus</x:v>
      </x:c>
      <x:c r="Q366" s="274" t="str">
        <x:v>Approved</x:v>
      </x:c>
      <x:c r="R366" s="265" t="n">
        <x:v>800</x:v>
      </x:c>
      <x:c r="S366" s="253" t="str">
        <x:v>Yes</x:v>
      </x:c>
      <x:c r="T366" s="265" t="n">
        <x:v>2138</x:v>
      </x:c>
      <x:c r="U366" s="253" t="str">
        <x:f>IF(AND(S366="Yes",T366=0),"Yes","No")</x:f>
        <x:v>No</x:v>
      </x:c>
      <x:c r="V366" s="253" t="str">
        <x:v>Yes</x:v>
      </x:c>
      <x:c r="W366" s="253" t="str">
        <x:v>Yes</x:v>
      </x:c>
      <x:c r="X366" s="259" t="n">
        <x:v>46142.166666666664</x:v>
      </x:c>
      <x:c r="Y366" s="265" t="n">
        <x:v>1000</x:v>
      </x:c>
      <x:c r="Z366" s="265" t="n">
        <x:v>1000</x:v>
      </x:c>
      <x:c r="AA366" s="253" t="str">
        <x:f>IF(V366="No","Maturing",IF(AND(U366="Yes",Y366&gt;0),"Yes","No"))</x:f>
        <x:v>No</x:v>
      </x:c>
      <x:c r="AB366" s="253" t="str">
        <x:f>IF(W366="No","Maturing",IF(AND(U366="Yes",Z366&gt;0),"Yes","No"))</x:f>
        <x:v>No</x:v>
      </x:c>
      <x:c r="AC366" s="265" t="n">
        <x:v>1088.33</x:v>
      </x:c>
      <x:c r="AD366" s="265" t="n">
        <x:v>1088.32</x:v>
      </x:c>
      <x:c r="AE366" s="271" t="str"/>
      <x:c r="AF366" s="274" t="str">
        <x:v>Not validated - no control/holdout</x:v>
      </x:c>
      <x:c r="AG366" s="277" t="str">
        <x:v>Recovered execution only; assignment date and unclaimed-offer denominator unavailable</x:v>
      </x:c>
    </x:row>
    <x:row r="367">
      <x:c r="A367" s="252" t="str">
        <x:v>34066991</x:v>
      </x:c>
      <x:c r="B367" s="253" t="str">
        <x:v>WS1</x:v>
      </x:c>
      <x:c r="C367" s="253" t="str">
        <x:v>MB8</x:v>
      </x:c>
      <x:c r="D367" s="262" t="n">
        <x:v>46142.4428125</x:v>
      </x:c>
      <x:c r="E367" s="259" t="n">
        <x:v>46142.166666666664</x:v>
      </x:c>
      <x:c r="F367" s="253" t="str">
        <x:v>696727</x:v>
      </x:c>
      <x:c r="G367" s="253" t="str">
        <x:v>nblfrrs44</x:v>
      </x:c>
      <x:c r="H367" s="253" t="str">
        <x:v>Yes</x:v>
      </x:c>
      <x:c r="I367" s="253" t="str">
        <x:v>Claire</x:v>
      </x:c>
      <x:c r="J367" s="253" t="str">
        <x:v>Claire</x:v>
      </x:c>
      <x:c r="K367" s="259" t="n">
        <x:v>46090.166666666664</x:v>
      </x:c>
      <x:c r="L367" s="268" t="str">
        <x:f>IFERROR(VLOOKUP(I367,'Handler-Team Map'!$A$7:$C$17,2,FALSE),"")</x:f>
      </x:c>
      <x:c r="M367" s="268" t="str">
        <x:f>IFERROR(VLOOKUP(I367,'Handler-Team Map'!$A$7:$C$17,3,FALSE),"")</x:f>
      </x:c>
      <x:c r="N367" s="274" t="str">
        <x:v>FT_VM_DEP1000_GET500_5X</x:v>
      </x:c>
      <x:c r="O367" s="274" t="str">
        <x:v>VIP BONUS - Deposit 1000 Get 500 - 5x TO</x:v>
      </x:c>
      <x:c r="P367" s="274" t="str">
        <x:v>DepositBonus</x:v>
      </x:c>
      <x:c r="Q367" s="274" t="str">
        <x:v>Approved</x:v>
      </x:c>
      <x:c r="R367" s="265" t="n">
        <x:v>500</x:v>
      </x:c>
      <x:c r="S367" s="253" t="str">
        <x:v>Yes</x:v>
      </x:c>
      <x:c r="T367" s="265" t="n">
        <x:v>9522</x:v>
      </x:c>
      <x:c r="U367" s="253" t="str">
        <x:f>IF(AND(S367="Yes",T367=0),"Yes","No")</x:f>
        <x:v>No</x:v>
      </x:c>
      <x:c r="V367" s="253" t="str">
        <x:v>Yes</x:v>
      </x:c>
      <x:c r="W367" s="253" t="str">
        <x:v>Yes</x:v>
      </x:c>
      <x:c r="X367" s="259" t="n">
        <x:v>46142.166666666664</x:v>
      </x:c>
      <x:c r="Y367" s="265" t="n">
        <x:v>5050</x:v>
      </x:c>
      <x:c r="Z367" s="265" t="n">
        <x:v>5050</x:v>
      </x:c>
      <x:c r="AA367" s="253" t="str">
        <x:f>IF(V367="No","Maturing",IF(AND(U367="Yes",Y367&gt;0),"Yes","No"))</x:f>
        <x:v>No</x:v>
      </x:c>
      <x:c r="AB367" s="253" t="str">
        <x:f>IF(W367="No","Maturing",IF(AND(U367="Yes",Z367&gt;0),"Yes","No"))</x:f>
        <x:v>No</x:v>
      </x:c>
      <x:c r="AC367" s="265" t="n">
        <x:v>736.87</x:v>
      </x:c>
      <x:c r="AD367" s="265" t="n">
        <x:v>737.29</x:v>
      </x:c>
      <x:c r="AE367" s="271" t="str"/>
      <x:c r="AF367" s="274" t="str">
        <x:v>Not validated - no control/holdout</x:v>
      </x:c>
      <x:c r="AG367" s="277" t="str">
        <x:v>Recovered execution only; assignment date and unclaimed-offer denominator unavailable</x:v>
      </x:c>
    </x:row>
    <x:row r="368">
      <x:c r="A368" s="252" t="str">
        <x:v>34067871</x:v>
      </x:c>
      <x:c r="B368" s="253" t="str">
        <x:v>WS1</x:v>
      </x:c>
      <x:c r="C368" s="253" t="str">
        <x:v>MB8</x:v>
      </x:c>
      <x:c r="D368" s="262" t="n">
        <x:v>46142.51789351852</x:v>
      </x:c>
      <x:c r="E368" s="259" t="n">
        <x:v>46142.166666666664</x:v>
      </x:c>
      <x:c r="F368" s="253" t="str">
        <x:v>771769</x:v>
      </x:c>
      <x:c r="G368" s="253" t="str">
        <x:v>bladegeneration</x:v>
      </x:c>
      <x:c r="H368" s="253" t="str">
        <x:v>Yes</x:v>
      </x:c>
      <x:c r="I368" s="253" t="str">
        <x:v>Elda</x:v>
      </x:c>
      <x:c r="J368" s="253" t="str">
        <x:v>Elda</x:v>
      </x:c>
      <x:c r="K368" s="259" t="n">
        <x:v>45659.166666666664</x:v>
      </x:c>
      <x:c r="L368" s="268" t="str">
        <x:f>IFERROR(VLOOKUP(I368,'Handler-Team Map'!$A$7:$C$17,2,FALSE),"")</x:f>
      </x:c>
      <x:c r="M368" s="268" t="str">
        <x:f>IFERROR(VLOOKUP(I368,'Handler-Team Map'!$A$7:$C$17,3,FALSE),"")</x:f>
      </x:c>
      <x:c r="N368" s="274" t="str">
        <x:v>FT_VM_DEP1000_GET500_5X</x:v>
      </x:c>
      <x:c r="O368" s="274" t="str">
        <x:v>VIP BONUS - Deposit 1000 Get 500 - 5x TO</x:v>
      </x:c>
      <x:c r="P368" s="274" t="str">
        <x:v>DepositBonus</x:v>
      </x:c>
      <x:c r="Q368" s="274" t="str">
        <x:v>Approved</x:v>
      </x:c>
      <x:c r="R368" s="265" t="n">
        <x:v>500</x:v>
      </x:c>
      <x:c r="S368" s="253" t="str">
        <x:v>Yes</x:v>
      </x:c>
      <x:c r="T368" s="265" t="n">
        <x:v>591815</x:v>
      </x:c>
      <x:c r="U368" s="253" t="str">
        <x:f>IF(AND(S368="Yes",T368=0),"Yes","No")</x:f>
        <x:v>No</x:v>
      </x:c>
      <x:c r="V368" s="253" t="str">
        <x:v>Yes</x:v>
      </x:c>
      <x:c r="W368" s="253" t="str">
        <x:v>Yes</x:v>
      </x:c>
      <x:c r="X368" s="259" t="n">
        <x:v>46142.166666666664</x:v>
      </x:c>
      <x:c r="Y368" s="265" t="n">
        <x:v>3100</x:v>
      </x:c>
      <x:c r="Z368" s="265" t="n">
        <x:v>3100</x:v>
      </x:c>
      <x:c r="AA368" s="253" t="str">
        <x:f>IF(V368="No","Maturing",IF(AND(U368="Yes",Y368&gt;0),"Yes","No"))</x:f>
        <x:v>No</x:v>
      </x:c>
      <x:c r="AB368" s="253" t="str">
        <x:f>IF(W368="No","Maturing",IF(AND(U368="Yes",Z368&gt;0),"Yes","No"))</x:f>
        <x:v>No</x:v>
      </x:c>
      <x:c r="AC368" s="265" t="n">
        <x:v>2943.98</x:v>
      </x:c>
      <x:c r="AD368" s="265" t="n">
        <x:v>2943.98</x:v>
      </x:c>
      <x:c r="AE368" s="271" t="str"/>
      <x:c r="AF368" s="274" t="str">
        <x:v>Not validated - no control/holdout</x:v>
      </x:c>
      <x:c r="AG368" s="277" t="str">
        <x:v>Recovered execution only; assignment date and unclaimed-offer denominator unavailable</x:v>
      </x:c>
    </x:row>
    <x:row r="369">
      <x:c r="A369" s="252" t="str">
        <x:v>34068023</x:v>
      </x:c>
      <x:c r="B369" s="253" t="str">
        <x:v>WS1</x:v>
      </x:c>
      <x:c r="C369" s="253" t="str">
        <x:v>MB8</x:v>
      </x:c>
      <x:c r="D369" s="262" t="n">
        <x:v>46142.52819444444</x:v>
      </x:c>
      <x:c r="E369" s="259" t="n">
        <x:v>46142.166666666664</x:v>
      </x:c>
      <x:c r="F369" s="253" t="str">
        <x:v>785193</x:v>
      </x:c>
      <x:c r="G369" s="253" t="str">
        <x:v>Samuel1117</x:v>
      </x:c>
      <x:c r="H369" s="253" t="str">
        <x:v>Yes</x:v>
      </x:c>
      <x:c r="I369" s="253" t="str">
        <x:v>zhen</x:v>
      </x:c>
      <x:c r="J369" s="253" t="str">
        <x:v>zhen</x:v>
      </x:c>
      <x:c r="K369" s="259" t="n">
        <x:v>45880.166666666664</x:v>
      </x:c>
      <x:c r="L369" s="268" t="str">
        <x:f>IFERROR(VLOOKUP(I369,'Handler-Team Map'!$A$7:$C$17,2,FALSE),"")</x:f>
      </x:c>
      <x:c r="M369" s="268" t="str">
        <x:f>IFERROR(VLOOKUP(I369,'Handler-Team Map'!$A$7:$C$17,3,FALSE),"")</x:f>
      </x:c>
      <x:c r="N369" s="274" t="str">
        <x:v>FT_VM_DEP1000_GET800_1X</x:v>
      </x:c>
      <x:c r="O369" s="274" t="str">
        <x:v>VIP BONUS - Deposit 1000 Get 800 - 1x TO</x:v>
      </x:c>
      <x:c r="P369" s="274" t="str">
        <x:v>DepositBonus</x:v>
      </x:c>
      <x:c r="Q369" s="274" t="str">
        <x:v>Approved</x:v>
      </x:c>
      <x:c r="R369" s="265" t="n">
        <x:v>800</x:v>
      </x:c>
      <x:c r="S369" s="253" t="str">
        <x:v>Yes</x:v>
      </x:c>
      <x:c r="T369" s="265" t="n">
        <x:v>1830</x:v>
      </x:c>
      <x:c r="U369" s="253" t="str">
        <x:f>IF(AND(S369="Yes",T369=0),"Yes","No")</x:f>
        <x:v>No</x:v>
      </x:c>
      <x:c r="V369" s="253" t="str">
        <x:v>Yes</x:v>
      </x:c>
      <x:c r="W369" s="253" t="str">
        <x:v>Yes</x:v>
      </x:c>
      <x:c r="X369" s="259" t="n">
        <x:v>46142.166666666664</x:v>
      </x:c>
      <x:c r="Y369" s="265" t="n">
        <x:v>1840</x:v>
      </x:c>
      <x:c r="Z369" s="265" t="n">
        <x:v>1840</x:v>
      </x:c>
      <x:c r="AA369" s="253" t="str">
        <x:f>IF(V369="No","Maturing",IF(AND(U369="Yes",Y369&gt;0),"Yes","No"))</x:f>
        <x:v>No</x:v>
      </x:c>
      <x:c r="AB369" s="253" t="str">
        <x:f>IF(W369="No","Maturing",IF(AND(U369="Yes",Z369&gt;0),"Yes","No"))</x:f>
        <x:v>No</x:v>
      </x:c>
      <x:c r="AC369" s="265" t="n">
        <x:v>1840.24</x:v>
      </x:c>
      <x:c r="AD369" s="265" t="n">
        <x:v>1840.24</x:v>
      </x:c>
      <x:c r="AE369" s="271" t="str"/>
      <x:c r="AF369" s="274" t="str">
        <x:v>Not validated - no control/holdout</x:v>
      </x:c>
      <x:c r="AG369" s="277" t="str">
        <x:v>Recovered execution only; assignment date and unclaimed-offer denominator unavailable</x:v>
      </x:c>
    </x:row>
    <x:row r="370">
      <x:c r="A370" s="252" t="str">
        <x:v>34068834</x:v>
      </x:c>
      <x:c r="B370" s="253" t="str">
        <x:v>WS1</x:v>
      </x:c>
      <x:c r="C370" s="253" t="str">
        <x:v>MB8</x:v>
      </x:c>
      <x:c r="D370" s="262" t="n">
        <x:v>46142.585625</x:v>
      </x:c>
      <x:c r="E370" s="259" t="n">
        <x:v>46142.166666666664</x:v>
      </x:c>
      <x:c r="F370" s="253" t="str">
        <x:v>559454</x:v>
      </x:c>
      <x:c r="G370" s="253" t="str">
        <x:v>aleo66</x:v>
      </x:c>
      <x:c r="H370" s="253" t="str">
        <x:v>Yes</x:v>
      </x:c>
      <x:c r="I370" s="253" t="str">
        <x:v>Serene</x:v>
      </x:c>
      <x:c r="J370" s="253" t="str">
        <x:v>Serene</x:v>
      </x:c>
      <x:c r="K370" s="259" t="n">
        <x:v>45859.166666666664</x:v>
      </x:c>
      <x:c r="L370" s="268" t="str">
        <x:f>IFERROR(VLOOKUP(I370,'Handler-Team Map'!$A$7:$C$17,2,FALSE),"")</x:f>
      </x:c>
      <x:c r="M370" s="268" t="str">
        <x:f>IFERROR(VLOOKUP(I370,'Handler-Team Map'!$A$7:$C$17,3,FALSE),"")</x:f>
      </x:c>
      <x:c r="N370" s="274" t="str">
        <x:v>FT_VM_DEP600_GET200_5X</x:v>
      </x:c>
      <x:c r="O370" s="274" t="str">
        <x:v>VIP BONUS - Deposit 600 Get 200 - 5x TO</x:v>
      </x:c>
      <x:c r="P370" s="274" t="str">
        <x:v>DepositBonus</x:v>
      </x:c>
      <x:c r="Q370" s="274" t="str">
        <x:v>Approved</x:v>
      </x:c>
      <x:c r="R370" s="265" t="n">
        <x:v>200</x:v>
      </x:c>
      <x:c r="S370" s="253" t="str">
        <x:v>Yes</x:v>
      </x:c>
      <x:c r="T370" s="265" t="n">
        <x:v>901735</x:v>
      </x:c>
      <x:c r="U370" s="253" t="str">
        <x:f>IF(AND(S370="Yes",T370=0),"Yes","No")</x:f>
        <x:v>No</x:v>
      </x:c>
      <x:c r="V370" s="253" t="str">
        <x:v>Yes</x:v>
      </x:c>
      <x:c r="W370" s="253" t="str">
        <x:v>Yes</x:v>
      </x:c>
      <x:c r="X370" s="259" t="n">
        <x:v>46142.166666666664</x:v>
      </x:c>
      <x:c r="Y370" s="265" t="n">
        <x:v>559601</x:v>
      </x:c>
      <x:c r="Z370" s="265" t="n">
        <x:v>872301</x:v>
      </x:c>
      <x:c r="AA370" s="253" t="str">
        <x:f>IF(V370="No","Maturing",IF(AND(U370="Yes",Y370&gt;0),"Yes","No"))</x:f>
        <x:v>No</x:v>
      </x:c>
      <x:c r="AB370" s="253" t="str">
        <x:f>IF(W370="No","Maturing",IF(AND(U370="Yes",Z370&gt;0),"Yes","No"))</x:f>
        <x:v>No</x:v>
      </x:c>
      <x:c r="AC370" s="265" t="n">
        <x:v>299567.22</x:v>
      </x:c>
      <x:c r="AD370" s="265" t="n">
        <x:v>420666.48</x:v>
      </x:c>
      <x:c r="AE370" s="271" t="str"/>
      <x:c r="AF370" s="274" t="str">
        <x:v>Not validated - no control/holdout</x:v>
      </x:c>
      <x:c r="AG370" s="277" t="str">
        <x:v>Recovered execution only; assignment date and unclaimed-offer denominator unavailable</x:v>
      </x:c>
    </x:row>
    <x:row r="371">
      <x:c r="A371" s="252" t="str">
        <x:v>34069389</x:v>
      </x:c>
      <x:c r="B371" s="253" t="str">
        <x:v>WS1</x:v>
      </x:c>
      <x:c r="C371" s="253" t="str">
        <x:v>MB8</x:v>
      </x:c>
      <x:c r="D371" s="262" t="n">
        <x:v>46142.622824074075</x:v>
      </x:c>
      <x:c r="E371" s="259" t="n">
        <x:v>46142.166666666664</x:v>
      </x:c>
      <x:c r="F371" s="253" t="str">
        <x:v>438623</x:v>
      </x:c>
      <x:c r="G371" s="253" t="str">
        <x:v>Allaxe88</x:v>
      </x:c>
      <x:c r="H371" s="253" t="str">
        <x:v>Yes</x:v>
      </x:c>
      <x:c r="I371" s="253" t="str">
        <x:v>Claire</x:v>
      </x:c>
      <x:c r="J371" s="253" t="str">
        <x:v>Claire</x:v>
      </x:c>
      <x:c r="K371" s="259" t="n">
        <x:v>46090.166666666664</x:v>
      </x:c>
      <x:c r="L371" s="268" t="str">
        <x:f>IFERROR(VLOOKUP(I371,'Handler-Team Map'!$A$7:$C$17,2,FALSE),"")</x:f>
      </x:c>
      <x:c r="M371" s="268" t="str">
        <x:f>IFERROR(VLOOKUP(I371,'Handler-Team Map'!$A$7:$C$17,3,FALSE),"")</x:f>
      </x:c>
      <x:c r="N371" s="274" t="str">
        <x:v>FT_VM_DEP1000_GET500_5X</x:v>
      </x:c>
      <x:c r="O371" s="274" t="str">
        <x:v>VIP BONUS - Deposit 1000 Get 500 - 5x TO</x:v>
      </x:c>
      <x:c r="P371" s="274" t="str">
        <x:v>DepositBonus</x:v>
      </x:c>
      <x:c r="Q371" s="274" t="str">
        <x:v>Approved</x:v>
      </x:c>
      <x:c r="R371" s="265" t="n">
        <x:v>500</x:v>
      </x:c>
      <x:c r="S371" s="253" t="str">
        <x:v>Yes</x:v>
      </x:c>
      <x:c r="T371" s="265" t="n">
        <x:v>2130</x:v>
      </x:c>
      <x:c r="U371" s="253" t="str">
        <x:f>IF(AND(S371="Yes",T371=0),"Yes","No")</x:f>
        <x:v>No</x:v>
      </x:c>
      <x:c r="V371" s="253" t="str">
        <x:v>Yes</x:v>
      </x:c>
      <x:c r="W371" s="253" t="str">
        <x:v>Yes</x:v>
      </x:c>
      <x:c r="X371" s="259" t="n">
        <x:v>46142.166666666664</x:v>
      </x:c>
      <x:c r="Y371" s="265" t="n">
        <x:v>2000</x:v>
      </x:c>
      <x:c r="Z371" s="265" t="n">
        <x:v>3000</x:v>
      </x:c>
      <x:c r="AA371" s="253" t="str">
        <x:f>IF(V371="No","Maturing",IF(AND(U371="Yes",Y371&gt;0),"Yes","No"))</x:f>
        <x:v>No</x:v>
      </x:c>
      <x:c r="AB371" s="253" t="str">
        <x:f>IF(W371="No","Maturing",IF(AND(U371="Yes",Z371&gt;0),"Yes","No"))</x:f>
        <x:v>No</x:v>
      </x:c>
      <x:c r="AC371" s="265" t="n">
        <x:v>-900.01</x:v>
      </x:c>
      <x:c r="AD371" s="265" t="n">
        <x:v>-558.9</x:v>
      </x:c>
      <x:c r="AE371" s="271" t="str"/>
      <x:c r="AF371" s="274" t="str">
        <x:v>Not validated - no control/holdout</x:v>
      </x:c>
      <x:c r="AG371" s="277" t="str">
        <x:v>Recovered execution only; assignment date and unclaimed-offer denominator unavailable</x:v>
      </x:c>
    </x:row>
    <x:row r="372">
      <x:c r="A372" s="252" t="str">
        <x:v>34069956</x:v>
      </x:c>
      <x:c r="B372" s="253" t="str">
        <x:v>WS1</x:v>
      </x:c>
      <x:c r="C372" s="253" t="str">
        <x:v>MB8</x:v>
      </x:c>
      <x:c r="D372" s="262" t="n">
        <x:v>46142.66491898148</x:v>
      </x:c>
      <x:c r="E372" s="259" t="n">
        <x:v>46142.166666666664</x:v>
      </x:c>
      <x:c r="F372" s="253" t="str">
        <x:v>926540</x:v>
      </x:c>
      <x:c r="G372" s="253" t="str">
        <x:v>BARONGOH</x:v>
      </x:c>
      <x:c r="H372" s="253" t="str">
        <x:v>Yes</x:v>
      </x:c>
      <x:c r="I372" s="253" t="str"/>
      <x:c r="J372" s="253" t="str"/>
      <x:c r="K372" s="259"/>
      <x:c r="L372" s="268" t="str">
        <x:f>IFERROR(VLOOKUP(I372,'Handler-Team Map'!$A$7:$C$17,2,FALSE),"")</x:f>
      </x:c>
      <x:c r="M372" s="268" t="str">
        <x:f>IFERROR(VLOOKUP(I372,'Handler-Team Map'!$A$7:$C$17,3,FALSE),"")</x:f>
      </x:c>
      <x:c r="N372" s="274" t="str">
        <x:v>FT_VM_DEP1000_GET500_1X</x:v>
      </x:c>
      <x:c r="O372" s="274" t="str">
        <x:v>VIP BONUS - Deposit 1000 Get 500 - 1x TO</x:v>
      </x:c>
      <x:c r="P372" s="274" t="str">
        <x:v>DepositBonus</x:v>
      </x:c>
      <x:c r="Q372" s="274" t="str">
        <x:v>Approved</x:v>
      </x:c>
      <x:c r="R372" s="265" t="n">
        <x:v>500</x:v>
      </x:c>
      <x:c r="S372" s="253" t="str">
        <x:v>Yes</x:v>
      </x:c>
      <x:c r="T372" s="265" t="n">
        <x:v>1150</x:v>
      </x:c>
      <x:c r="U372" s="253" t="str">
        <x:f>IF(AND(S372="Yes",T372=0),"Yes","No")</x:f>
        <x:v>No</x:v>
      </x:c>
      <x:c r="V372" s="253" t="str">
        <x:v>Yes</x:v>
      </x:c>
      <x:c r="W372" s="253" t="str">
        <x:v>Yes</x:v>
      </x:c>
      <x:c r="X372" s="259" t="n">
        <x:v>46142.166666666664</x:v>
      </x:c>
      <x:c r="Y372" s="265" t="n">
        <x:v>1000</x:v>
      </x:c>
      <x:c r="Z372" s="265" t="n">
        <x:v>1000</x:v>
      </x:c>
      <x:c r="AA372" s="253" t="str">
        <x:f>IF(V372="No","Maturing",IF(AND(U372="Yes",Y372&gt;0),"Yes","No"))</x:f>
        <x:v>No</x:v>
      </x:c>
      <x:c r="AB372" s="253" t="str">
        <x:f>IF(W372="No","Maturing",IF(AND(U372="Yes",Z372&gt;0),"Yes","No"))</x:f>
        <x:v>No</x:v>
      </x:c>
      <x:c r="AC372" s="265" t="n">
        <x:v>-622.35</x:v>
      </x:c>
      <x:c r="AD372" s="265" t="n">
        <x:v>-622.35</x:v>
      </x:c>
      <x:c r="AE372" s="271" t="str"/>
      <x:c r="AF372" s="274" t="str">
        <x:v>Not validated - no control/holdout</x:v>
      </x:c>
      <x:c r="AG372" s="277" t="str">
        <x:v>Recovered execution only; assignment date and unclaimed-offer denominator unavailable</x:v>
      </x:c>
    </x:row>
    <x:row r="373">
      <x:c r="A373" s="252" t="str">
        <x:v>34069980</x:v>
      </x:c>
      <x:c r="B373" s="253" t="str">
        <x:v>WS1</x:v>
      </x:c>
      <x:c r="C373" s="253" t="str">
        <x:v>MB8</x:v>
      </x:c>
      <x:c r="D373" s="262" t="n">
        <x:v>46142.66767361111</x:v>
      </x:c>
      <x:c r="E373" s="259" t="n">
        <x:v>46142.166666666664</x:v>
      </x:c>
      <x:c r="F373" s="253" t="str">
        <x:v>1075090</x:v>
      </x:c>
      <x:c r="G373" s="253" t="str">
        <x:v>Gerald180119</x:v>
      </x:c>
      <x:c r="H373" s="253" t="str">
        <x:v>Yes</x:v>
      </x:c>
      <x:c r="I373" s="253" t="str">
        <x:v>Jiahui</x:v>
      </x:c>
      <x:c r="J373" s="253" t="str">
        <x:v>Jiahui</x:v>
      </x:c>
      <x:c r="K373" s="259" t="n">
        <x:v>45797.166666666664</x:v>
      </x:c>
      <x:c r="L373" s="268" t="str">
        <x:f>IFERROR(VLOOKUP(I373,'Handler-Team Map'!$A$7:$C$17,2,FALSE),"")</x:f>
      </x:c>
      <x:c r="M373" s="268" t="str">
        <x:f>IFERROR(VLOOKUP(I373,'Handler-Team Map'!$A$7:$C$17,3,FALSE),"")</x:f>
      </x:c>
      <x:c r="N373" s="274" t="str">
        <x:v>FT_VM_DEP600_GET200_5X</x:v>
      </x:c>
      <x:c r="O373" s="274" t="str">
        <x:v>VIP BONUS - Deposit 600 Get 200 - 5x TO</x:v>
      </x:c>
      <x:c r="P373" s="274" t="str">
        <x:v>DepositBonus</x:v>
      </x:c>
      <x:c r="Q373" s="274" t="str">
        <x:v>Approved</x:v>
      </x:c>
      <x:c r="R373" s="265" t="n">
        <x:v>200</x:v>
      </x:c>
      <x:c r="S373" s="253" t="str">
        <x:v>Yes</x:v>
      </x:c>
      <x:c r="T373" s="265" t="n">
        <x:v>3200</x:v>
      </x:c>
      <x:c r="U373" s="253" t="str">
        <x:f>IF(AND(S373="Yes",T373=0),"Yes","No")</x:f>
        <x:v>No</x:v>
      </x:c>
      <x:c r="V373" s="253" t="str">
        <x:v>Yes</x:v>
      </x:c>
      <x:c r="W373" s="253" t="str">
        <x:v>Yes</x:v>
      </x:c>
      <x:c r="X373" s="259" t="n">
        <x:v>46142.166666666664</x:v>
      </x:c>
      <x:c r="Y373" s="265" t="n">
        <x:v>2290</x:v>
      </x:c>
      <x:c r="Z373" s="265" t="n">
        <x:v>5070</x:v>
      </x:c>
      <x:c r="AA373" s="253" t="str">
        <x:f>IF(V373="No","Maturing",IF(AND(U373="Yes",Y373&gt;0),"Yes","No"))</x:f>
        <x:v>No</x:v>
      </x:c>
      <x:c r="AB373" s="253" t="str">
        <x:f>IF(W373="No","Maturing",IF(AND(U373="Yes",Z373&gt;0),"Yes","No"))</x:f>
        <x:v>No</x:v>
      </x:c>
      <x:c r="AC373" s="265" t="n">
        <x:v>-215.38</x:v>
      </x:c>
      <x:c r="AD373" s="265" t="n">
        <x:v>-241.04</x:v>
      </x:c>
      <x:c r="AE373" s="271" t="str"/>
      <x:c r="AF373" s="274" t="str">
        <x:v>Not validated - no control/holdout</x:v>
      </x:c>
      <x:c r="AG373" s="277" t="str">
        <x:v>Recovered execution only; assignment date and unclaimed-offer denominator unavailable</x:v>
      </x:c>
    </x:row>
    <x:row r="374">
      <x:c r="A374" s="252" t="str">
        <x:v>34070650</x:v>
      </x:c>
      <x:c r="B374" s="253" t="str">
        <x:v>WS1</x:v>
      </x:c>
      <x:c r="C374" s="253" t="str">
        <x:v>MB8</x:v>
      </x:c>
      <x:c r="D374" s="262" t="n">
        <x:v>46142.71241898148</x:v>
      </x:c>
      <x:c r="E374" s="259" t="n">
        <x:v>46142.166666666664</x:v>
      </x:c>
      <x:c r="F374" s="253" t="str">
        <x:v>625524</x:v>
      </x:c>
      <x:c r="G374" s="253" t="str">
        <x:v>Jeremy1992</x:v>
      </x:c>
      <x:c r="H374" s="253" t="str">
        <x:v>Yes</x:v>
      </x:c>
      <x:c r="I374" s="253" t="str">
        <x:v>Sheena</x:v>
      </x:c>
      <x:c r="J374" s="253" t="str">
        <x:v>Sheena</x:v>
      </x:c>
      <x:c r="K374" s="259" t="n">
        <x:v>45910.166666666664</x:v>
      </x:c>
      <x:c r="L374" s="268" t="str">
        <x:f>IFERROR(VLOOKUP(I374,'Handler-Team Map'!$A$7:$C$17,2,FALSE),"")</x:f>
      </x:c>
      <x:c r="M374" s="268" t="str">
        <x:f>IFERROR(VLOOKUP(I374,'Handler-Team Map'!$A$7:$C$17,3,FALSE),"")</x:f>
      </x:c>
      <x:c r="N374" s="274" t="str">
        <x:v>FT_VM_DEP1000_GET500_5X</x:v>
      </x:c>
      <x:c r="O374" s="274" t="str">
        <x:v>VIP BONUS - Deposit 1000 Get 500 - 5x TO</x:v>
      </x:c>
      <x:c r="P374" s="274" t="str">
        <x:v>DepositBonus</x:v>
      </x:c>
      <x:c r="Q374" s="274" t="str">
        <x:v>Approved</x:v>
      </x:c>
      <x:c r="R374" s="265" t="n">
        <x:v>500</x:v>
      </x:c>
      <x:c r="S374" s="253" t="str">
        <x:v>Yes</x:v>
      </x:c>
      <x:c r="T374" s="265" t="n">
        <x:v>331280.39</x:v>
      </x:c>
      <x:c r="U374" s="253" t="str">
        <x:f>IF(AND(S374="Yes",T374=0),"Yes","No")</x:f>
        <x:v>No</x:v>
      </x:c>
      <x:c r="V374" s="253" t="str">
        <x:v>Yes</x:v>
      </x:c>
      <x:c r="W374" s="253" t="str">
        <x:v>Yes</x:v>
      </x:c>
      <x:c r="X374" s="259" t="n">
        <x:v>46142.166666666664</x:v>
      </x:c>
      <x:c r="Y374" s="265" t="n">
        <x:v>63233.24</x:v>
      </x:c>
      <x:c r="Z374" s="265" t="n">
        <x:v>158755.38</x:v>
      </x:c>
      <x:c r="AA374" s="253" t="str">
        <x:f>IF(V374="No","Maturing",IF(AND(U374="Yes",Y374&gt;0),"Yes","No"))</x:f>
        <x:v>No</x:v>
      </x:c>
      <x:c r="AB374" s="253" t="str">
        <x:f>IF(W374="No","Maturing",IF(AND(U374="Yes",Z374&gt;0),"Yes","No"))</x:f>
        <x:v>No</x:v>
      </x:c>
      <x:c r="AC374" s="265" t="n">
        <x:v>-428.57</x:v>
      </x:c>
      <x:c r="AD374" s="265" t="n">
        <x:v>-17459.34</x:v>
      </x:c>
      <x:c r="AE374" s="271" t="str"/>
      <x:c r="AF374" s="274" t="str">
        <x:v>Not validated - no control/holdout</x:v>
      </x:c>
      <x:c r="AG374" s="277" t="str">
        <x:v>Recovered execution only; assignment date and unclaimed-offer denominator unavailable</x:v>
      </x:c>
    </x:row>
    <x:row r="375">
      <x:c r="A375" s="252" t="str">
        <x:v>34071309</x:v>
      </x:c>
      <x:c r="B375" s="253" t="str">
        <x:v>WS1</x:v>
      </x:c>
      <x:c r="C375" s="253" t="str">
        <x:v>MB8</x:v>
      </x:c>
      <x:c r="D375" s="262" t="n">
        <x:v>46142.7553587963</x:v>
      </x:c>
      <x:c r="E375" s="259" t="n">
        <x:v>46142.166666666664</x:v>
      </x:c>
      <x:c r="F375" s="253" t="str">
        <x:v>546546</x:v>
      </x:c>
      <x:c r="G375" s="253" t="str">
        <x:v>Thanabalan</x:v>
      </x:c>
      <x:c r="H375" s="253" t="str">
        <x:v>Yes</x:v>
      </x:c>
      <x:c r="I375" s="253" t="str">
        <x:v>Claire</x:v>
      </x:c>
      <x:c r="J375" s="253" t="str">
        <x:v>Claire</x:v>
      </x:c>
      <x:c r="K375" s="259" t="n">
        <x:v>45659.166666666664</x:v>
      </x:c>
      <x:c r="L375" s="268" t="str">
        <x:f>IFERROR(VLOOKUP(I375,'Handler-Team Map'!$A$7:$C$17,2,FALSE),"")</x:f>
      </x:c>
      <x:c r="M375" s="268" t="str">
        <x:f>IFERROR(VLOOKUP(I375,'Handler-Team Map'!$A$7:$C$17,3,FALSE),"")</x:f>
      </x:c>
      <x:c r="N375" s="274" t="str">
        <x:v>FT_VM_DEP1000_GET500_5X</x:v>
      </x:c>
      <x:c r="O375" s="274" t="str">
        <x:v>VIP BONUS - Deposit 1000 Get 500 - 5x TO</x:v>
      </x:c>
      <x:c r="P375" s="274" t="str">
        <x:v>DepositBonus</x:v>
      </x:c>
      <x:c r="Q375" s="274" t="str">
        <x:v>Approved</x:v>
      </x:c>
      <x:c r="R375" s="265" t="n">
        <x:v>500</x:v>
      </x:c>
      <x:c r="S375" s="253" t="str">
        <x:v>Yes</x:v>
      </x:c>
      <x:c r="T375" s="265" t="n">
        <x:v>57300</x:v>
      </x:c>
      <x:c r="U375" s="253" t="str">
        <x:f>IF(AND(S375="Yes",T375=0),"Yes","No")</x:f>
        <x:v>No</x:v>
      </x:c>
      <x:c r="V375" s="253" t="str">
        <x:v>Yes</x:v>
      </x:c>
      <x:c r="W375" s="253" t="str">
        <x:v>Yes</x:v>
      </x:c>
      <x:c r="X375" s="259" t="n">
        <x:v>46142.166666666664</x:v>
      </x:c>
      <x:c r="Y375" s="265" t="n">
        <x:v>1000</x:v>
      </x:c>
      <x:c r="Z375" s="265" t="n">
        <x:v>2490</x:v>
      </x:c>
      <x:c r="AA375" s="253" t="str">
        <x:f>IF(V375="No","Maturing",IF(AND(U375="Yes",Y375&gt;0),"Yes","No"))</x:f>
        <x:v>No</x:v>
      </x:c>
      <x:c r="AB375" s="253" t="str">
        <x:f>IF(W375="No","Maturing",IF(AND(U375="Yes",Z375&gt;0),"Yes","No"))</x:f>
        <x:v>No</x:v>
      </x:c>
      <x:c r="AC375" s="265" t="n">
        <x:v>999.99</x:v>
      </x:c>
      <x:c r="AD375" s="265" t="n">
        <x:v>2490.51</x:v>
      </x:c>
      <x:c r="AE375" s="271" t="str"/>
      <x:c r="AF375" s="274" t="str">
        <x:v>Not validated - no control/holdout</x:v>
      </x:c>
      <x:c r="AG375" s="277" t="str">
        <x:v>Recovered execution only; assignment date and unclaimed-offer denominator unavailable</x:v>
      </x:c>
    </x:row>
    <x:row r="376">
      <x:c r="A376" s="252" t="str">
        <x:v>34071563</x:v>
      </x:c>
      <x:c r="B376" s="253" t="str">
        <x:v>WS1</x:v>
      </x:c>
      <x:c r="C376" s="253" t="str">
        <x:v>MB8</x:v>
      </x:c>
      <x:c r="D376" s="262" t="n">
        <x:v>46142.77185185185</x:v>
      </x:c>
      <x:c r="E376" s="259" t="n">
        <x:v>46142.166666666664</x:v>
      </x:c>
      <x:c r="F376" s="253" t="str">
        <x:v>779246</x:v>
      </x:c>
      <x:c r="G376" s="253" t="str">
        <x:v>hhhooi</x:v>
      </x:c>
      <x:c r="H376" s="253" t="str">
        <x:v>Yes</x:v>
      </x:c>
      <x:c r="I376" s="253" t="str">
        <x:v>Tammy</x:v>
      </x:c>
      <x:c r="J376" s="253" t="str">
        <x:v>Tammy</x:v>
      </x:c>
      <x:c r="K376" s="259" t="n">
        <x:v>46028.166666666664</x:v>
      </x:c>
      <x:c r="L376" s="268" t="str">
        <x:f>IFERROR(VLOOKUP(I376,'Handler-Team Map'!$A$7:$C$17,2,FALSE),"")</x:f>
      </x:c>
      <x:c r="M376" s="268" t="str">
        <x:f>IFERROR(VLOOKUP(I376,'Handler-Team Map'!$A$7:$C$17,3,FALSE),"")</x:f>
      </x:c>
      <x:c r="N376" s="274" t="str">
        <x:v>FT_VM_DEP1000_GET800_1X</x:v>
      </x:c>
      <x:c r="O376" s="274" t="str">
        <x:v>VIP BONUS - Deposit 1000 Get 800 - 1x TO</x:v>
      </x:c>
      <x:c r="P376" s="274" t="str">
        <x:v>DepositBonus</x:v>
      </x:c>
      <x:c r="Q376" s="274" t="str">
        <x:v>Approved</x:v>
      </x:c>
      <x:c r="R376" s="265" t="n">
        <x:v>800</x:v>
      </x:c>
      <x:c r="S376" s="253" t="str">
        <x:v>Yes</x:v>
      </x:c>
      <x:c r="T376" s="265" t="n">
        <x:v>1000</x:v>
      </x:c>
      <x:c r="U376" s="253" t="str">
        <x:f>IF(AND(S376="Yes",T376=0),"Yes","No")</x:f>
        <x:v>No</x:v>
      </x:c>
      <x:c r="V376" s="253" t="str">
        <x:v>Yes</x:v>
      </x:c>
      <x:c r="W376" s="253" t="str">
        <x:v>Yes</x:v>
      </x:c>
      <x:c r="X376" s="259" t="n">
        <x:v>46142.166666666664</x:v>
      </x:c>
      <x:c r="Y376" s="265" t="n">
        <x:v>1000</x:v>
      </x:c>
      <x:c r="Z376" s="265" t="n">
        <x:v>1000</x:v>
      </x:c>
      <x:c r="AA376" s="253" t="str">
        <x:f>IF(V376="No","Maturing",IF(AND(U376="Yes",Y376&gt;0),"Yes","No"))</x:f>
        <x:v>No</x:v>
      </x:c>
      <x:c r="AB376" s="253" t="str">
        <x:f>IF(W376="No","Maturing",IF(AND(U376="Yes",Z376&gt;0),"Yes","No"))</x:f>
        <x:v>No</x:v>
      </x:c>
      <x:c r="AC376" s="265" t="n">
        <x:v>992.5</x:v>
      </x:c>
      <x:c r="AD376" s="265" t="n">
        <x:v>992.5</x:v>
      </x:c>
      <x:c r="AE376" s="271" t="str"/>
      <x:c r="AF376" s="274" t="str">
        <x:v>Not validated - no control/holdout</x:v>
      </x:c>
      <x:c r="AG376" s="277" t="str">
        <x:v>Recovered execution only; assignment date and unclaimed-offer denominator unavailable</x:v>
      </x:c>
    </x:row>
    <x:row r="377">
      <x:c r="A377" s="252" t="str">
        <x:v>34072171</x:v>
      </x:c>
      <x:c r="B377" s="253" t="str">
        <x:v>WS1</x:v>
      </x:c>
      <x:c r="C377" s="253" t="str">
        <x:v>MB8</x:v>
      </x:c>
      <x:c r="D377" s="262" t="n">
        <x:v>46142.811631944445</x:v>
      </x:c>
      <x:c r="E377" s="259" t="n">
        <x:v>46142.166666666664</x:v>
      </x:c>
      <x:c r="F377" s="253" t="str">
        <x:v>185699</x:v>
      </x:c>
      <x:c r="G377" s="253" t="str">
        <x:v>Andy089</x:v>
      </x:c>
      <x:c r="H377" s="253" t="str">
        <x:v>Yes</x:v>
      </x:c>
      <x:c r="I377" s="253" t="str">
        <x:v>zhen</x:v>
      </x:c>
      <x:c r="J377" s="253" t="str">
        <x:v>zhen</x:v>
      </x:c>
      <x:c r="K377" s="259" t="n">
        <x:v>46090.166666666664</x:v>
      </x:c>
      <x:c r="L377" s="268" t="str">
        <x:f>IFERROR(VLOOKUP(I377,'Handler-Team Map'!$A$7:$C$17,2,FALSE),"")</x:f>
      </x:c>
      <x:c r="M377" s="268" t="str">
        <x:f>IFERROR(VLOOKUP(I377,'Handler-Team Map'!$A$7:$C$17,3,FALSE),"")</x:f>
      </x:c>
      <x:c r="N377" s="274" t="str">
        <x:v>FT_VM_DEP1000_GET500_5X</x:v>
      </x:c>
      <x:c r="O377" s="274" t="str">
        <x:v>VIP BONUS - Deposit 1000 Get 500 - 5x TO</x:v>
      </x:c>
      <x:c r="P377" s="274" t="str">
        <x:v>DepositBonus</x:v>
      </x:c>
      <x:c r="Q377" s="274" t="str">
        <x:v>Approved</x:v>
      </x:c>
      <x:c r="R377" s="265" t="n">
        <x:v>500</x:v>
      </x:c>
      <x:c r="S377" s="253" t="str">
        <x:v>Yes</x:v>
      </x:c>
      <x:c r="T377" s="265" t="n">
        <x:v>7700</x:v>
      </x:c>
      <x:c r="U377" s="253" t="str">
        <x:f>IF(AND(S377="Yes",T377=0),"Yes","No")</x:f>
        <x:v>No</x:v>
      </x:c>
      <x:c r="V377" s="253" t="str">
        <x:v>Yes</x:v>
      </x:c>
      <x:c r="W377" s="253" t="str">
        <x:v>Yes</x:v>
      </x:c>
      <x:c r="X377" s="259" t="n">
        <x:v>46142.166666666664</x:v>
      </x:c>
      <x:c r="Y377" s="265" t="n">
        <x:v>2800</x:v>
      </x:c>
      <x:c r="Z377" s="265" t="n">
        <x:v>2800</x:v>
      </x:c>
      <x:c r="AA377" s="253" t="str">
        <x:f>IF(V377="No","Maturing",IF(AND(U377="Yes",Y377&gt;0),"Yes","No"))</x:f>
        <x:v>No</x:v>
      </x:c>
      <x:c r="AB377" s="253" t="str">
        <x:f>IF(W377="No","Maturing",IF(AND(U377="Yes",Z377&gt;0),"Yes","No"))</x:f>
        <x:v>No</x:v>
      </x:c>
      <x:c r="AC377" s="265" t="n">
        <x:v>597.84</x:v>
      </x:c>
      <x:c r="AD377" s="265" t="n">
        <x:v>598.02</x:v>
      </x:c>
      <x:c r="AE377" s="271" t="str"/>
      <x:c r="AF377" s="274" t="str">
        <x:v>Not validated - no control/holdout</x:v>
      </x:c>
      <x:c r="AG377" s="277" t="str">
        <x:v>Recovered execution only; assignment date and unclaimed-offer denominator unavailable</x:v>
      </x:c>
    </x:row>
    <x:row r="378">
      <x:c r="A378" s="252" t="str">
        <x:v>34073561</x:v>
      </x:c>
      <x:c r="B378" s="253" t="str">
        <x:v>WS1</x:v>
      </x:c>
      <x:c r="C378" s="253" t="str">
        <x:v>MB8</x:v>
      </x:c>
      <x:c r="D378" s="262" t="n">
        <x:v>46142.89828703704</x:v>
      </x:c>
      <x:c r="E378" s="259" t="n">
        <x:v>46142.166666666664</x:v>
      </x:c>
      <x:c r="F378" s="253" t="str">
        <x:v>813028</x:v>
      </x:c>
      <x:c r="G378" s="253" t="str">
        <x:v>Kspro</x:v>
      </x:c>
      <x:c r="H378" s="253" t="str">
        <x:v>Yes</x:v>
      </x:c>
      <x:c r="I378" s="253" t="str">
        <x:v>Serene</x:v>
      </x:c>
      <x:c r="J378" s="253" t="str">
        <x:v>Serene</x:v>
      </x:c>
      <x:c r="K378" s="259" t="n">
        <x:v>46090.166666666664</x:v>
      </x:c>
      <x:c r="L378" s="268" t="str">
        <x:f>IFERROR(VLOOKUP(I378,'Handler-Team Map'!$A$7:$C$17,2,FALSE),"")</x:f>
      </x:c>
      <x:c r="M378" s="268" t="str">
        <x:f>IFERROR(VLOOKUP(I378,'Handler-Team Map'!$A$7:$C$17,3,FALSE),"")</x:f>
      </x:c>
      <x:c r="N378" s="274" t="str">
        <x:v>FT_VM_DEP1000_GET800_1X</x:v>
      </x:c>
      <x:c r="O378" s="274" t="str">
        <x:v>VIP BONUS - Deposit 1000 Get 800 - 1x TO</x:v>
      </x:c>
      <x:c r="P378" s="274" t="str">
        <x:v>DepositBonus</x:v>
      </x:c>
      <x:c r="Q378" s="274" t="str">
        <x:v>Approved</x:v>
      </x:c>
      <x:c r="R378" s="265" t="n">
        <x:v>800</x:v>
      </x:c>
      <x:c r="S378" s="253" t="str">
        <x:v>Yes</x:v>
      </x:c>
      <x:c r="T378" s="265" t="n">
        <x:v>3000</x:v>
      </x:c>
      <x:c r="U378" s="253" t="str">
        <x:f>IF(AND(S378="Yes",T378=0),"Yes","No")</x:f>
        <x:v>No</x:v>
      </x:c>
      <x:c r="V378" s="253" t="str">
        <x:v>Yes</x:v>
      </x:c>
      <x:c r="W378" s="253" t="str">
        <x:v>Yes</x:v>
      </x:c>
      <x:c r="X378" s="259" t="n">
        <x:v>46142.166666666664</x:v>
      </x:c>
      <x:c r="Y378" s="265" t="n">
        <x:v>1000</x:v>
      </x:c>
      <x:c r="Z378" s="265" t="n">
        <x:v>1000</x:v>
      </x:c>
      <x:c r="AA378" s="253" t="str">
        <x:f>IF(V378="No","Maturing",IF(AND(U378="Yes",Y378&gt;0),"Yes","No"))</x:f>
        <x:v>No</x:v>
      </x:c>
      <x:c r="AB378" s="253" t="str">
        <x:f>IF(W378="No","Maturing",IF(AND(U378="Yes",Z378&gt;0),"Yes","No"))</x:f>
        <x:v>No</x:v>
      </x:c>
      <x:c r="AC378" s="265" t="n">
        <x:v>-23.07</x:v>
      </x:c>
      <x:c r="AD378" s="265" t="n">
        <x:v>-23.07</x:v>
      </x:c>
      <x:c r="AE378" s="271" t="str"/>
      <x:c r="AF378" s="274" t="str">
        <x:v>Not validated - no control/holdout</x:v>
      </x:c>
      <x:c r="AG378" s="277" t="str">
        <x:v>Recovered execution only; assignment date and unclaimed-offer denominator unavailable</x:v>
      </x:c>
    </x:row>
    <x:row r="379">
      <x:c r="A379" s="252" t="str">
        <x:v>34074218</x:v>
      </x:c>
      <x:c r="B379" s="253" t="str">
        <x:v>WS1</x:v>
      </x:c>
      <x:c r="C379" s="253" t="str">
        <x:v>MB8</x:v>
      </x:c>
      <x:c r="D379" s="262" t="n">
        <x:v>46142.93461805556</x:v>
      </x:c>
      <x:c r="E379" s="259" t="n">
        <x:v>46142.166666666664</x:v>
      </x:c>
      <x:c r="F379" s="253" t="str">
        <x:v>37007</x:v>
      </x:c>
      <x:c r="G379" s="253" t="str">
        <x:v>KuLelaki</x:v>
      </x:c>
      <x:c r="H379" s="253" t="str">
        <x:v>Yes</x:v>
      </x:c>
      <x:c r="I379" s="253" t="str">
        <x:v>Elda</x:v>
      </x:c>
      <x:c r="J379" s="253" t="str">
        <x:v>Elda</x:v>
      </x:c>
      <x:c r="K379" s="259" t="n">
        <x:v>45659.166666666664</x:v>
      </x:c>
      <x:c r="L379" s="268" t="str">
        <x:f>IFERROR(VLOOKUP(I379,'Handler-Team Map'!$A$7:$C$17,2,FALSE),"")</x:f>
      </x:c>
      <x:c r="M379" s="268" t="str">
        <x:f>IFERROR(VLOOKUP(I379,'Handler-Team Map'!$A$7:$C$17,3,FALSE),"")</x:f>
      </x:c>
      <x:c r="N379" s="274" t="str">
        <x:v>FT_VM_DEP1000_GET900_1X</x:v>
      </x:c>
      <x:c r="O379" s="274" t="str">
        <x:v>VIP BONUS - Deposit 1000 Get 900 - 1x TO</x:v>
      </x:c>
      <x:c r="P379" s="274" t="str">
        <x:v>DepositBonus</x:v>
      </x:c>
      <x:c r="Q379" s="274" t="str">
        <x:v>Approved</x:v>
      </x:c>
      <x:c r="R379" s="265" t="n">
        <x:v>900</x:v>
      </x:c>
      <x:c r="S379" s="253" t="str">
        <x:v>Yes</x:v>
      </x:c>
      <x:c r="T379" s="265" t="n">
        <x:v>1000</x:v>
      </x:c>
      <x:c r="U379" s="253" t="str">
        <x:f>IF(AND(S379="Yes",T379=0),"Yes","No")</x:f>
        <x:v>No</x:v>
      </x:c>
      <x:c r="V379" s="253" t="str">
        <x:v>Yes</x:v>
      </x:c>
      <x:c r="W379" s="253" t="str">
        <x:v>Yes</x:v>
      </x:c>
      <x:c r="X379" s="259" t="n">
        <x:v>46142.166666666664</x:v>
      </x:c>
      <x:c r="Y379" s="265" t="n">
        <x:v>1000</x:v>
      </x:c>
      <x:c r="Z379" s="265" t="n">
        <x:v>1000</x:v>
      </x:c>
      <x:c r="AA379" s="253" t="str">
        <x:f>IF(V379="No","Maturing",IF(AND(U379="Yes",Y379&gt;0),"Yes","No"))</x:f>
        <x:v>No</x:v>
      </x:c>
      <x:c r="AB379" s="253" t="str">
        <x:f>IF(W379="No","Maturing",IF(AND(U379="Yes",Z379&gt;0),"Yes","No"))</x:f>
        <x:v>No</x:v>
      </x:c>
      <x:c r="AC379" s="265" t="n">
        <x:v>-1700.93</x:v>
      </x:c>
      <x:c r="AD379" s="265" t="n">
        <x:v>-1700.43</x:v>
      </x:c>
      <x:c r="AE379" s="271" t="str"/>
      <x:c r="AF379" s="274" t="str">
        <x:v>Not validated - no control/holdout</x:v>
      </x:c>
      <x:c r="AG379" s="277" t="str">
        <x:v>Recovered execution only; assignment date and unclaimed-offer denominator unavailable</x:v>
      </x:c>
    </x:row>
    <x:row r="380">
      <x:c r="A380" s="252" t="str">
        <x:v>34074778</x:v>
      </x:c>
      <x:c r="B380" s="253" t="str">
        <x:v>WS1</x:v>
      </x:c>
      <x:c r="C380" s="253" t="str">
        <x:v>MB8</x:v>
      </x:c>
      <x:c r="D380" s="262" t="n">
        <x:v>46142.96283564815</x:v>
      </x:c>
      <x:c r="E380" s="259" t="n">
        <x:v>46142.166666666664</x:v>
      </x:c>
      <x:c r="F380" s="253" t="str">
        <x:v>529566</x:v>
      </x:c>
      <x:c r="G380" s="253" t="str">
        <x:v>Akip7708</x:v>
      </x:c>
      <x:c r="H380" s="253" t="str">
        <x:v>Yes</x:v>
      </x:c>
      <x:c r="I380" s="253" t="str">
        <x:v>Christy</x:v>
      </x:c>
      <x:c r="J380" s="253" t="str">
        <x:v>Christy</x:v>
      </x:c>
      <x:c r="K380" s="259" t="n">
        <x:v>45831.166666666664</x:v>
      </x:c>
      <x:c r="L380" s="268" t="str">
        <x:f>IFERROR(VLOOKUP(I380,'Handler-Team Map'!$A$7:$C$17,2,FALSE),"")</x:f>
      </x:c>
      <x:c r="M380" s="268" t="str">
        <x:f>IFERROR(VLOOKUP(I380,'Handler-Team Map'!$A$7:$C$17,3,FALSE),"")</x:f>
      </x:c>
      <x:c r="N380" s="274" t="str">
        <x:v>FT_VM_DEP150_GET50_5X</x:v>
      </x:c>
      <x:c r="O380" s="274" t="str">
        <x:v>VIP BONUS - Deposit 150 Get 50 - 5x TO</x:v>
      </x:c>
      <x:c r="P380" s="274" t="str">
        <x:v>DepositBonus</x:v>
      </x:c>
      <x:c r="Q380" s="274" t="str">
        <x:v>Approved</x:v>
      </x:c>
      <x:c r="R380" s="265" t="n">
        <x:v>50</x:v>
      </x:c>
      <x:c r="S380" s="253" t="str">
        <x:v>Yes</x:v>
      </x:c>
      <x:c r="T380" s="265" t="n">
        <x:v>2880</x:v>
      </x:c>
      <x:c r="U380" s="253" t="str">
        <x:f>IF(AND(S380="Yes",T380=0),"Yes","No")</x:f>
        <x:v>No</x:v>
      </x:c>
      <x:c r="V380" s="253" t="str">
        <x:v>Yes</x:v>
      </x:c>
      <x:c r="W380" s="253" t="str">
        <x:v>Yes</x:v>
      </x:c>
      <x:c r="X380" s="259" t="n">
        <x:v>46142.166666666664</x:v>
      </x:c>
      <x:c r="Y380" s="265" t="n">
        <x:v>2301</x:v>
      </x:c>
      <x:c r="Z380" s="265" t="n">
        <x:v>2901</x:v>
      </x:c>
      <x:c r="AA380" s="253" t="str">
        <x:f>IF(V380="No","Maturing",IF(AND(U380="Yes",Y380&gt;0),"Yes","No"))</x:f>
        <x:v>No</x:v>
      </x:c>
      <x:c r="AB380" s="253" t="str">
        <x:f>IF(W380="No","Maturing",IF(AND(U380="Yes",Z380&gt;0),"Yes","No"))</x:f>
        <x:v>No</x:v>
      </x:c>
      <x:c r="AC380" s="265" t="n">
        <x:v>1937.18</x:v>
      </x:c>
      <x:c r="AD380" s="265" t="n">
        <x:v>-4033.01</x:v>
      </x:c>
      <x:c r="AE380" s="271" t="str"/>
      <x:c r="AF380" s="274" t="str">
        <x:v>Not validated - no control/holdout</x:v>
      </x:c>
      <x:c r="AG380" s="277" t="str">
        <x:v>Recovered execution only; assignment date and unclaimed-offer denominator unavailable</x:v>
      </x:c>
    </x:row>
    <x:row r="381">
      <x:c r="A381" s="252" t="str">
        <x:v>34075033</x:v>
      </x:c>
      <x:c r="B381" s="253" t="str">
        <x:v>WS1</x:v>
      </x:c>
      <x:c r="C381" s="253" t="str">
        <x:v>MB8</x:v>
      </x:c>
      <x:c r="D381" s="262" t="n">
        <x:v>46142.97513888889</x:v>
      </x:c>
      <x:c r="E381" s="259" t="n">
        <x:v>46142.166666666664</x:v>
      </x:c>
      <x:c r="F381" s="253" t="str">
        <x:v>266564</x:v>
      </x:c>
      <x:c r="G381" s="253" t="str">
        <x:v>Vodka74838e8</x:v>
      </x:c>
      <x:c r="H381" s="253" t="str">
        <x:v>Yes</x:v>
      </x:c>
      <x:c r="I381" s="253" t="str">
        <x:v>zhen</x:v>
      </x:c>
      <x:c r="J381" s="253" t="str">
        <x:v>zhen</x:v>
      </x:c>
      <x:c r="K381" s="259" t="n">
        <x:v>46090.166666666664</x:v>
      </x:c>
      <x:c r="L381" s="268" t="str">
        <x:f>IFERROR(VLOOKUP(I381,'Handler-Team Map'!$A$7:$C$17,2,FALSE),"")</x:f>
      </x:c>
      <x:c r="M381" s="268" t="str">
        <x:f>IFERROR(VLOOKUP(I381,'Handler-Team Map'!$A$7:$C$17,3,FALSE),"")</x:f>
      </x:c>
      <x:c r="N381" s="274" t="str">
        <x:v>FT_VM_DEP1000_GET500_5X</x:v>
      </x:c>
      <x:c r="O381" s="274" t="str">
        <x:v>VIP BONUS - Deposit 1000 Get 500 - 5x TO</x:v>
      </x:c>
      <x:c r="P381" s="274" t="str">
        <x:v>DepositBonus</x:v>
      </x:c>
      <x:c r="Q381" s="274" t="str">
        <x:v>Approved</x:v>
      </x:c>
      <x:c r="R381" s="265" t="n">
        <x:v>500</x:v>
      </x:c>
      <x:c r="S381" s="253" t="str">
        <x:v>Yes</x:v>
      </x:c>
      <x:c r="T381" s="265" t="n">
        <x:v>34550</x:v>
      </x:c>
      <x:c r="U381" s="253" t="str">
        <x:f>IF(AND(S381="Yes",T381=0),"Yes","No")</x:f>
        <x:v>No</x:v>
      </x:c>
      <x:c r="V381" s="253" t="str">
        <x:v>Yes</x:v>
      </x:c>
      <x:c r="W381" s="253" t="str">
        <x:v>Yes</x:v>
      </x:c>
      <x:c r="X381" s="259" t="n">
        <x:v>46142.166666666664</x:v>
      </x:c>
      <x:c r="Y381" s="265" t="n">
        <x:v>17170</x:v>
      </x:c>
      <x:c r="Z381" s="265" t="n">
        <x:v>20950</x:v>
      </x:c>
      <x:c r="AA381" s="253" t="str">
        <x:f>IF(V381="No","Maturing",IF(AND(U381="Yes",Y381&gt;0),"Yes","No"))</x:f>
        <x:v>No</x:v>
      </x:c>
      <x:c r="AB381" s="253" t="str">
        <x:f>IF(W381="No","Maturing",IF(AND(U381="Yes",Z381&gt;0),"Yes","No"))</x:f>
        <x:v>No</x:v>
      </x:c>
      <x:c r="AC381" s="265" t="n">
        <x:v>12062.71</x:v>
      </x:c>
      <x:c r="AD381" s="265" t="n">
        <x:v>15706.32</x:v>
      </x:c>
      <x:c r="AE381" s="271" t="str"/>
      <x:c r="AF381" s="274" t="str">
        <x:v>Not validated - no control/holdout</x:v>
      </x:c>
      <x:c r="AG381" s="277" t="str">
        <x:v>Recovered execution only; assignment date and unclaimed-offer denominator unavailable</x:v>
      </x:c>
    </x:row>
    <x:row r="382">
      <x:c r="A382" s="252" t="str">
        <x:v>34075150</x:v>
      </x:c>
      <x:c r="B382" s="253" t="str">
        <x:v>WS1</x:v>
      </x:c>
      <x:c r="C382" s="253" t="str">
        <x:v>MB8</x:v>
      </x:c>
      <x:c r="D382" s="262" t="n">
        <x:v>46142.98170138889</x:v>
      </x:c>
      <x:c r="E382" s="259" t="n">
        <x:v>46142.166666666664</x:v>
      </x:c>
      <x:c r="F382" s="253" t="str">
        <x:v>1181391</x:v>
      </x:c>
      <x:c r="G382" s="253" t="str">
        <x:v>Kook27</x:v>
      </x:c>
      <x:c r="H382" s="253" t="str">
        <x:v>Yes</x:v>
      </x:c>
      <x:c r="I382" s="253" t="str">
        <x:v>Jiahui</x:v>
      </x:c>
      <x:c r="J382" s="253" t="str">
        <x:v>Jiahui</x:v>
      </x:c>
      <x:c r="K382" s="259" t="n">
        <x:v>45811.166666666664</x:v>
      </x:c>
      <x:c r="L382" s="268" t="str">
        <x:f>IFERROR(VLOOKUP(I382,'Handler-Team Map'!$A$7:$C$17,2,FALSE),"")</x:f>
      </x:c>
      <x:c r="M382" s="268" t="str">
        <x:f>IFERROR(VLOOKUP(I382,'Handler-Team Map'!$A$7:$C$17,3,FALSE),"")</x:f>
      </x:c>
      <x:c r="N382" s="274" t="str">
        <x:v>FT_VM_DEP1000_GET700_1X</x:v>
      </x:c>
      <x:c r="O382" s="274" t="str">
        <x:v>VIP BONUS - Deposit 1000 Get 700 - 1x TO</x:v>
      </x:c>
      <x:c r="P382" s="274" t="str">
        <x:v>DepositBonus</x:v>
      </x:c>
      <x:c r="Q382" s="274" t="str">
        <x:v>Approved</x:v>
      </x:c>
      <x:c r="R382" s="265" t="n">
        <x:v>700</x:v>
      </x:c>
      <x:c r="S382" s="253" t="str">
        <x:v>Yes</x:v>
      </x:c>
      <x:c r="T382" s="265" t="n">
        <x:v>4700</x:v>
      </x:c>
      <x:c r="U382" s="253" t="str">
        <x:f>IF(AND(S382="Yes",T382=0),"Yes","No")</x:f>
        <x:v>No</x:v>
      </x:c>
      <x:c r="V382" s="253" t="str">
        <x:v>Yes</x:v>
      </x:c>
      <x:c r="W382" s="253" t="str">
        <x:v>Yes</x:v>
      </x:c>
      <x:c r="X382" s="259" t="n">
        <x:v>46142.166666666664</x:v>
      </x:c>
      <x:c r="Y382" s="265" t="n">
        <x:v>1000</x:v>
      </x:c>
      <x:c r="Z382" s="265" t="n">
        <x:v>1000</x:v>
      </x:c>
      <x:c r="AA382" s="253" t="str">
        <x:f>IF(V382="No","Maturing",IF(AND(U382="Yes",Y382&gt;0),"Yes","No"))</x:f>
        <x:v>No</x:v>
      </x:c>
      <x:c r="AB382" s="253" t="str">
        <x:f>IF(W382="No","Maturing",IF(AND(U382="Yes",Z382&gt;0),"Yes","No"))</x:f>
        <x:v>No</x:v>
      </x:c>
      <x:c r="AC382" s="265" t="n">
        <x:v>-2249.36</x:v>
      </x:c>
      <x:c r="AD382" s="265" t="n">
        <x:v>-2249.36</x:v>
      </x:c>
      <x:c r="AE382" s="271" t="str"/>
      <x:c r="AF382" s="274" t="str">
        <x:v>Not validated - no control/holdout</x:v>
      </x:c>
      <x:c r="AG382" s="277" t="str">
        <x:v>Recovered execution only; assignment date and unclaimed-offer denominator unavailable</x:v>
      </x:c>
    </x:row>
    <x:row r="383">
      <x:c r="A383" s="252" t="str">
        <x:v>34075224</x:v>
      </x:c>
      <x:c r="B383" s="253" t="str">
        <x:v>WS1</x:v>
      </x:c>
      <x:c r="C383" s="253" t="str">
        <x:v>MB8</x:v>
      </x:c>
      <x:c r="D383" s="262" t="n">
        <x:v>46142.98415509259</x:v>
      </x:c>
      <x:c r="E383" s="259" t="n">
        <x:v>46142.166666666664</x:v>
      </x:c>
      <x:c r="F383" s="253" t="str">
        <x:v>432416</x:v>
      </x:c>
      <x:c r="G383" s="253" t="str">
        <x:v>tommy9029</x:v>
      </x:c>
      <x:c r="H383" s="253" t="str">
        <x:v>Yes</x:v>
      </x:c>
      <x:c r="I383" s="253" t="str">
        <x:v>Sheena</x:v>
      </x:c>
      <x:c r="J383" s="253" t="str">
        <x:v>Sheena</x:v>
      </x:c>
      <x:c r="K383" s="259" t="n">
        <x:v>45852.166666666664</x:v>
      </x:c>
      <x:c r="L383" s="268" t="str">
        <x:f>IFERROR(VLOOKUP(I383,'Handler-Team Map'!$A$7:$C$17,2,FALSE),"")</x:f>
      </x:c>
      <x:c r="M383" s="268" t="str">
        <x:f>IFERROR(VLOOKUP(I383,'Handler-Team Map'!$A$7:$C$17,3,FALSE),"")</x:f>
      </x:c>
      <x:c r="N383" s="274" t="str">
        <x:v>FT_VM_DEP300_GET100_5X</x:v>
      </x:c>
      <x:c r="O383" s="274" t="str">
        <x:v>VIP BONUS - Deposit 300 Get 100 - 5x TO</x:v>
      </x:c>
      <x:c r="P383" s="274" t="str">
        <x:v>DepositBonus</x:v>
      </x:c>
      <x:c r="Q383" s="274" t="str">
        <x:v>Approved</x:v>
      </x:c>
      <x:c r="R383" s="265" t="n">
        <x:v>100</x:v>
      </x:c>
      <x:c r="S383" s="253" t="str">
        <x:v>Yes</x:v>
      </x:c>
      <x:c r="T383" s="265" t="n">
        <x:v>1890</x:v>
      </x:c>
      <x:c r="U383" s="253" t="str">
        <x:f>IF(AND(S383="Yes",T383=0),"Yes","No")</x:f>
        <x:v>No</x:v>
      </x:c>
      <x:c r="V383" s="253" t="str">
        <x:v>Yes</x:v>
      </x:c>
      <x:c r="W383" s="253" t="str">
        <x:v>Yes</x:v>
      </x:c>
      <x:c r="X383" s="259" t="n">
        <x:v>46142.166666666664</x:v>
      </x:c>
      <x:c r="Y383" s="265" t="n">
        <x:v>380</x:v>
      </x:c>
      <x:c r="Z383" s="265" t="n">
        <x:v>380</x:v>
      </x:c>
      <x:c r="AA383" s="253" t="str">
        <x:f>IF(V383="No","Maturing",IF(AND(U383="Yes",Y383&gt;0),"Yes","No"))</x:f>
        <x:v>No</x:v>
      </x:c>
      <x:c r="AB383" s="253" t="str">
        <x:f>IF(W383="No","Maturing",IF(AND(U383="Yes",Z383&gt;0),"Yes","No"))</x:f>
        <x:v>No</x:v>
      </x:c>
      <x:c r="AC383" s="265" t="n">
        <x:v>375.91</x:v>
      </x:c>
      <x:c r="AD383" s="265" t="n">
        <x:v>405.1</x:v>
      </x:c>
      <x:c r="AE383" s="271" t="str"/>
      <x:c r="AF383" s="274" t="str">
        <x:v>Not validated - no control/holdout</x:v>
      </x:c>
      <x:c r="AG383" s="277" t="str">
        <x:v>Recovered execution only; assignment date and unclaimed-offer denominator unavailable</x:v>
      </x:c>
    </x:row>
    <x:row r="384">
      <x:c r="A384" s="252" t="str">
        <x:v>34076313</x:v>
      </x:c>
      <x:c r="B384" s="253" t="str">
        <x:v>WS1</x:v>
      </x:c>
      <x:c r="C384" s="253" t="str">
        <x:v>MB8</x:v>
      </x:c>
      <x:c r="D384" s="262" t="n">
        <x:v>46143.02790509259</x:v>
      </x:c>
      <x:c r="E384" s="259" t="n">
        <x:v>46143.166666666664</x:v>
      </x:c>
      <x:c r="F384" s="253" t="str">
        <x:v>648954</x:v>
      </x:c>
      <x:c r="G384" s="253" t="str">
        <x:v>Jesh16</x:v>
      </x:c>
      <x:c r="H384" s="253" t="str">
        <x:v>Yes</x:v>
      </x:c>
      <x:c r="I384" s="253" t="str">
        <x:v>Claire</x:v>
      </x:c>
      <x:c r="J384" s="253" t="str">
        <x:v>Claire</x:v>
      </x:c>
      <x:c r="K384" s="259" t="n">
        <x:v>45659.166666666664</x:v>
      </x:c>
      <x:c r="L384" s="268" t="str">
        <x:f>IFERROR(VLOOKUP(I384,'Handler-Team Map'!$A$7:$C$17,2,FALSE),"")</x:f>
      </x:c>
      <x:c r="M384" s="268" t="str">
        <x:f>IFERROR(VLOOKUP(I384,'Handler-Team Map'!$A$7:$C$17,3,FALSE),"")</x:f>
      </x:c>
      <x:c r="N384" s="274" t="str">
        <x:v>FT_VM_DEP1000_GET500_5X</x:v>
      </x:c>
      <x:c r="O384" s="274" t="str">
        <x:v>VIP BONUS - Deposit 1000 Get 500 - 5x TO</x:v>
      </x:c>
      <x:c r="P384" s="274" t="str">
        <x:v>DepositBonus</x:v>
      </x:c>
      <x:c r="Q384" s="274" t="str">
        <x:v>Approved</x:v>
      </x:c>
      <x:c r="R384" s="265" t="n">
        <x:v>500</x:v>
      </x:c>
      <x:c r="S384" s="253" t="str">
        <x:v>Yes</x:v>
      </x:c>
      <x:c r="T384" s="265" t="n">
        <x:v>86560</x:v>
      </x:c>
      <x:c r="U384" s="253" t="str">
        <x:f>IF(AND(S384="Yes",T384=0),"Yes","No")</x:f>
        <x:v>No</x:v>
      </x:c>
      <x:c r="V384" s="253" t="str">
        <x:v>Yes</x:v>
      </x:c>
      <x:c r="W384" s="253" t="str">
        <x:v>Yes</x:v>
      </x:c>
      <x:c r="X384" s="259" t="n">
        <x:v>46143.166666666664</x:v>
      </x:c>
      <x:c r="Y384" s="265" t="n">
        <x:v>34230</x:v>
      </x:c>
      <x:c r="Z384" s="265" t="n">
        <x:v>85420</x:v>
      </x:c>
      <x:c r="AA384" s="253" t="str">
        <x:f>IF(V384="No","Maturing",IF(AND(U384="Yes",Y384&gt;0),"Yes","No"))</x:f>
        <x:v>No</x:v>
      </x:c>
      <x:c r="AB384" s="253" t="str">
        <x:f>IF(W384="No","Maturing",IF(AND(U384="Yes",Z384&gt;0),"Yes","No"))</x:f>
        <x:v>No</x:v>
      </x:c>
      <x:c r="AC384" s="265" t="n">
        <x:v>8230.88</x:v>
      </x:c>
      <x:c r="AD384" s="265" t="n">
        <x:v>3837.5</x:v>
      </x:c>
      <x:c r="AE384" s="271" t="str"/>
      <x:c r="AF384" s="274" t="str">
        <x:v>Not validated - no control/holdout</x:v>
      </x:c>
      <x:c r="AG384" s="277" t="str">
        <x:v>Recovered execution only; assignment date and unclaimed-offer denominator unavailable</x:v>
      </x:c>
    </x:row>
    <x:row r="385">
      <x:c r="A385" s="252" t="str">
        <x:v>34076663</x:v>
      </x:c>
      <x:c r="B385" s="253" t="str">
        <x:v>WS1</x:v>
      </x:c>
      <x:c r="C385" s="253" t="str">
        <x:v>MB8</x:v>
      </x:c>
      <x:c r="D385" s="262" t="n">
        <x:v>46143.0421875</x:v>
      </x:c>
      <x:c r="E385" s="259" t="n">
        <x:v>46143.166666666664</x:v>
      </x:c>
      <x:c r="F385" s="253" t="str">
        <x:v>546636</x:v>
      </x:c>
      <x:c r="G385" s="253" t="str">
        <x:v>SONGC</x:v>
      </x:c>
      <x:c r="H385" s="253" t="str">
        <x:v>Yes</x:v>
      </x:c>
      <x:c r="I385" s="253" t="str">
        <x:v>zhen</x:v>
      </x:c>
      <x:c r="J385" s="253" t="str">
        <x:v>zhen</x:v>
      </x:c>
      <x:c r="K385" s="259" t="n">
        <x:v>45985.166666666664</x:v>
      </x:c>
      <x:c r="L385" s="268" t="str">
        <x:f>IFERROR(VLOOKUP(I385,'Handler-Team Map'!$A$7:$C$17,2,FALSE),"")</x:f>
      </x:c>
      <x:c r="M385" s="268" t="str">
        <x:f>IFERROR(VLOOKUP(I385,'Handler-Team Map'!$A$7:$C$17,3,FALSE),"")</x:f>
      </x:c>
      <x:c r="N385" s="274" t="str">
        <x:v>FT_VM_DEP1000_GET900_2X</x:v>
      </x:c>
      <x:c r="O385" s="274" t="str">
        <x:v>VIP BONUS - Deposit 1000 Get 900 - 2x TO</x:v>
      </x:c>
      <x:c r="P385" s="274" t="str">
        <x:v>DepositBonus</x:v>
      </x:c>
      <x:c r="Q385" s="274" t="str">
        <x:v>Approved</x:v>
      </x:c>
      <x:c r="R385" s="265" t="n">
        <x:v>900</x:v>
      </x:c>
      <x:c r="S385" s="253" t="str">
        <x:v>Yes</x:v>
      </x:c>
      <x:c r="T385" s="265" t="n">
        <x:v>11333</x:v>
      </x:c>
      <x:c r="U385" s="253" t="str">
        <x:f>IF(AND(S385="Yes",T385=0),"Yes","No")</x:f>
        <x:v>No</x:v>
      </x:c>
      <x:c r="V385" s="253" t="str">
        <x:v>Yes</x:v>
      </x:c>
      <x:c r="W385" s="253" t="str">
        <x:v>Yes</x:v>
      </x:c>
      <x:c r="X385" s="259" t="n">
        <x:v>46143.166666666664</x:v>
      </x:c>
      <x:c r="Y385" s="265" t="n">
        <x:v>4420</x:v>
      </x:c>
      <x:c r="Z385" s="265" t="n">
        <x:v>18204.6</x:v>
      </x:c>
      <x:c r="AA385" s="253" t="str">
        <x:f>IF(V385="No","Maturing",IF(AND(U385="Yes",Y385&gt;0),"Yes","No"))</x:f>
        <x:v>No</x:v>
      </x:c>
      <x:c r="AB385" s="253" t="str">
        <x:f>IF(W385="No","Maturing",IF(AND(U385="Yes",Z385&gt;0),"Yes","No"))</x:f>
        <x:v>No</x:v>
      </x:c>
      <x:c r="AC385" s="265" t="n">
        <x:v>-5060.98</x:v>
      </x:c>
      <x:c r="AD385" s="265" t="n">
        <x:v>-7616.61</x:v>
      </x:c>
      <x:c r="AE385" s="271" t="str"/>
      <x:c r="AF385" s="274" t="str">
        <x:v>Not validated - no control/holdout</x:v>
      </x:c>
      <x:c r="AG385" s="277" t="str">
        <x:v>Recovered execution only; assignment date and unclaimed-offer denominator unavailable</x:v>
      </x:c>
    </x:row>
    <x:row r="386">
      <x:c r="A386" s="252" t="str">
        <x:v>34078975</x:v>
      </x:c>
      <x:c r="B386" s="253" t="str">
        <x:v>WS1</x:v>
      </x:c>
      <x:c r="C386" s="253" t="str">
        <x:v>MB8</x:v>
      </x:c>
      <x:c r="D386" s="262" t="n">
        <x:v>46143.16815972222</x:v>
      </x:c>
      <x:c r="E386" s="259" t="n">
        <x:v>46143.166666666664</x:v>
      </x:c>
      <x:c r="F386" s="253" t="str">
        <x:v>38910</x:v>
      </x:c>
      <x:c r="G386" s="253" t="str">
        <x:v>Snowy2kaki</x:v>
      </x:c>
      <x:c r="H386" s="253" t="str">
        <x:v>Yes</x:v>
      </x:c>
      <x:c r="I386" s="253" t="str">
        <x:v>Claire</x:v>
      </x:c>
      <x:c r="J386" s="253" t="str">
        <x:v>Claire</x:v>
      </x:c>
      <x:c r="K386" s="259" t="n">
        <x:v>45659.166666666664</x:v>
      </x:c>
      <x:c r="L386" s="268" t="str">
        <x:f>IFERROR(VLOOKUP(I386,'Handler-Team Map'!$A$7:$C$17,2,FALSE),"")</x:f>
      </x:c>
      <x:c r="M386" s="268" t="str">
        <x:f>IFERROR(VLOOKUP(I386,'Handler-Team Map'!$A$7:$C$17,3,FALSE),"")</x:f>
      </x:c>
      <x:c r="N386" s="274" t="str">
        <x:v>FT_VM_DEP1000_GET1000_1X</x:v>
      </x:c>
      <x:c r="O386" s="274" t="str">
        <x:v>VIP BONUS - Deposit 1000 Get 1000 - 1x TO</x:v>
      </x:c>
      <x:c r="P386" s="274" t="str">
        <x:v>DepositBonus</x:v>
      </x:c>
      <x:c r="Q386" s="274" t="str">
        <x:v>Approved</x:v>
      </x:c>
      <x:c r="R386" s="265" t="n">
        <x:v>1000</x:v>
      </x:c>
      <x:c r="S386" s="253" t="str">
        <x:v>Yes</x:v>
      </x:c>
      <x:c r="T386" s="265" t="n">
        <x:v>126800</x:v>
      </x:c>
      <x:c r="U386" s="253" t="str">
        <x:f>IF(AND(S386="Yes",T386=0),"Yes","No")</x:f>
        <x:v>No</x:v>
      </x:c>
      <x:c r="V386" s="253" t="str">
        <x:v>Yes</x:v>
      </x:c>
      <x:c r="W386" s="253" t="str">
        <x:v>Yes</x:v>
      </x:c>
      <x:c r="X386" s="259" t="n">
        <x:v>46143.166666666664</x:v>
      </x:c>
      <x:c r="Y386" s="265" t="n">
        <x:v>17900</x:v>
      </x:c>
      <x:c r="Z386" s="265" t="n">
        <x:v>138900</x:v>
      </x:c>
      <x:c r="AA386" s="253" t="str">
        <x:f>IF(V386="No","Maturing",IF(AND(U386="Yes",Y386&gt;0),"Yes","No"))</x:f>
        <x:v>No</x:v>
      </x:c>
      <x:c r="AB386" s="253" t="str">
        <x:f>IF(W386="No","Maturing",IF(AND(U386="Yes",Z386&gt;0),"Yes","No"))</x:f>
        <x:v>No</x:v>
      </x:c>
      <x:c r="AC386" s="265" t="n">
        <x:v>17977.07</x:v>
      </x:c>
      <x:c r="AD386" s="265" t="n">
        <x:v>88349.93</x:v>
      </x:c>
      <x:c r="AE386" s="271" t="str"/>
      <x:c r="AF386" s="274" t="str">
        <x:v>Not validated - no control/holdout</x:v>
      </x:c>
      <x:c r="AG386" s="277" t="str">
        <x:v>Recovered execution only; assignment date and unclaimed-offer denominator unavailable</x:v>
      </x:c>
    </x:row>
    <x:row r="387">
      <x:c r="A387" s="252" t="str">
        <x:v>34080364</x:v>
      </x:c>
      <x:c r="B387" s="253" t="str">
        <x:v>WS1</x:v>
      </x:c>
      <x:c r="C387" s="253" t="str">
        <x:v>MB8</x:v>
      </x:c>
      <x:c r="D387" s="262" t="n">
        <x:v>46143.36840277778</x:v>
      </x:c>
      <x:c r="E387" s="259" t="n">
        <x:v>46143.166666666664</x:v>
      </x:c>
      <x:c r="F387" s="253" t="str">
        <x:v>579706</x:v>
      </x:c>
      <x:c r="G387" s="253" t="str">
        <x:v>wilson89</x:v>
      </x:c>
      <x:c r="H387" s="253" t="str">
        <x:v>Yes</x:v>
      </x:c>
      <x:c r="I387" s="253" t="str">
        <x:v>Jiahui</x:v>
      </x:c>
      <x:c r="J387" s="253" t="str">
        <x:v>Jiahui</x:v>
      </x:c>
      <x:c r="K387" s="259" t="n">
        <x:v>45811.166666666664</x:v>
      </x:c>
      <x:c r="L387" s="268" t="str">
        <x:f>IFERROR(VLOOKUP(I387,'Handler-Team Map'!$A$7:$C$17,2,FALSE),"")</x:f>
      </x:c>
      <x:c r="M387" s="268" t="str">
        <x:f>IFERROR(VLOOKUP(I387,'Handler-Team Map'!$A$7:$C$17,3,FALSE),"")</x:f>
      </x:c>
      <x:c r="N387" s="274" t="str">
        <x:v>FT_VM_DEP1000_GET500_5X</x:v>
      </x:c>
      <x:c r="O387" s="274" t="str">
        <x:v>VIP BONUS - Deposit 1000 Get 500 - 5x TO</x:v>
      </x:c>
      <x:c r="P387" s="274" t="str">
        <x:v>DepositBonus</x:v>
      </x:c>
      <x:c r="Q387" s="274" t="str">
        <x:v>Approved</x:v>
      </x:c>
      <x:c r="R387" s="265" t="n">
        <x:v>500</x:v>
      </x:c>
      <x:c r="S387" s="253" t="str">
        <x:v>Yes</x:v>
      </x:c>
      <x:c r="T387" s="265" t="n">
        <x:v>700</x:v>
      </x:c>
      <x:c r="U387" s="253" t="str">
        <x:f>IF(AND(S387="Yes",T387=0),"Yes","No")</x:f>
        <x:v>No</x:v>
      </x:c>
      <x:c r="V387" s="253" t="str">
        <x:v>Yes</x:v>
      </x:c>
      <x:c r="W387" s="253" t="str">
        <x:v>Yes</x:v>
      </x:c>
      <x:c r="X387" s="259" t="n">
        <x:v>46143.166666666664</x:v>
      </x:c>
      <x:c r="Y387" s="265" t="n">
        <x:v>1080</x:v>
      </x:c>
      <x:c r="Z387" s="265" t="n">
        <x:v>1180</x:v>
      </x:c>
      <x:c r="AA387" s="253" t="str">
        <x:f>IF(V387="No","Maturing",IF(AND(U387="Yes",Y387&gt;0),"Yes","No"))</x:f>
        <x:v>No</x:v>
      </x:c>
      <x:c r="AB387" s="253" t="str">
        <x:f>IF(W387="No","Maturing",IF(AND(U387="Yes",Z387&gt;0),"Yes","No"))</x:f>
        <x:v>No</x:v>
      </x:c>
      <x:c r="AC387" s="265" t="n">
        <x:v>1079.9</x:v>
      </x:c>
      <x:c r="AD387" s="265" t="n">
        <x:v>1178.3</x:v>
      </x:c>
      <x:c r="AE387" s="271" t="str"/>
      <x:c r="AF387" s="274" t="str">
        <x:v>Not validated - no control/holdout</x:v>
      </x:c>
      <x:c r="AG387" s="277" t="str">
        <x:v>Recovered execution only; assignment date and unclaimed-offer denominator unavailable</x:v>
      </x:c>
    </x:row>
    <x:row r="388">
      <x:c r="A388" s="252" t="str">
        <x:v>34083625</x:v>
      </x:c>
      <x:c r="B388" s="253" t="str">
        <x:v>WS1</x:v>
      </x:c>
      <x:c r="C388" s="253" t="str">
        <x:v>MB8</x:v>
      </x:c>
      <x:c r="D388" s="262" t="n">
        <x:v>46143.643379629626</x:v>
      </x:c>
      <x:c r="E388" s="259" t="n">
        <x:v>46143.166666666664</x:v>
      </x:c>
      <x:c r="F388" s="253" t="str">
        <x:v>673118</x:v>
      </x:c>
      <x:c r="G388" s="253" t="str">
        <x:v>Hashim007</x:v>
      </x:c>
      <x:c r="H388" s="253" t="str">
        <x:v>Yes</x:v>
      </x:c>
      <x:c r="I388" s="253" t="str">
        <x:v>Elda</x:v>
      </x:c>
      <x:c r="J388" s="253" t="str">
        <x:v>Elda</x:v>
      </x:c>
      <x:c r="K388" s="259" t="n">
        <x:v>45779.166666666664</x:v>
      </x:c>
      <x:c r="L388" s="268" t="str">
        <x:f>IFERROR(VLOOKUP(I388,'Handler-Team Map'!$A$7:$C$17,2,FALSE),"")</x:f>
      </x:c>
      <x:c r="M388" s="268" t="str">
        <x:f>IFERROR(VLOOKUP(I388,'Handler-Team Map'!$A$7:$C$17,3,FALSE),"")</x:f>
      </x:c>
      <x:c r="N388" s="274" t="str">
        <x:v>FT_VM_DEP300_GET100_5X</x:v>
      </x:c>
      <x:c r="O388" s="274" t="str">
        <x:v>VIP BONUS - Deposit 300 Get 100 - 5x TO</x:v>
      </x:c>
      <x:c r="P388" s="274" t="str">
        <x:v>DepositBonus</x:v>
      </x:c>
      <x:c r="Q388" s="274" t="str">
        <x:v>Approved</x:v>
      </x:c>
      <x:c r="R388" s="265" t="n">
        <x:v>100</x:v>
      </x:c>
      <x:c r="S388" s="253" t="str">
        <x:v>Yes</x:v>
      </x:c>
      <x:c r="T388" s="265" t="n">
        <x:v>3300</x:v>
      </x:c>
      <x:c r="U388" s="253" t="str">
        <x:f>IF(AND(S388="Yes",T388=0),"Yes","No")</x:f>
        <x:v>No</x:v>
      </x:c>
      <x:c r="V388" s="253" t="str">
        <x:v>Yes</x:v>
      </x:c>
      <x:c r="W388" s="253" t="str">
        <x:v>Yes</x:v>
      </x:c>
      <x:c r="X388" s="259" t="n">
        <x:v>46143.166666666664</x:v>
      </x:c>
      <x:c r="Y388" s="265" t="n">
        <x:v>1150</x:v>
      </x:c>
      <x:c r="Z388" s="265" t="n">
        <x:v>3912.87</x:v>
      </x:c>
      <x:c r="AA388" s="253" t="str">
        <x:f>IF(V388="No","Maturing",IF(AND(U388="Yes",Y388&gt;0),"Yes","No"))</x:f>
        <x:v>No</x:v>
      </x:c>
      <x:c r="AB388" s="253" t="str">
        <x:f>IF(W388="No","Maturing",IF(AND(U388="Yes",Z388&gt;0),"Yes","No"))</x:f>
        <x:v>No</x:v>
      </x:c>
      <x:c r="AC388" s="265" t="n">
        <x:v>808.09</x:v>
      </x:c>
      <x:c r="AD388" s="265" t="n">
        <x:v>3518.37</x:v>
      </x:c>
      <x:c r="AE388" s="271" t="str"/>
      <x:c r="AF388" s="274" t="str">
        <x:v>Not validated - no control/holdout</x:v>
      </x:c>
      <x:c r="AG388" s="277" t="str">
        <x:v>Recovered execution only; assignment date and unclaimed-offer denominator unavailable</x:v>
      </x:c>
    </x:row>
    <x:row r="389">
      <x:c r="A389" s="252" t="str">
        <x:v>34083913</x:v>
      </x:c>
      <x:c r="B389" s="253" t="str">
        <x:v>WS1</x:v>
      </x:c>
      <x:c r="C389" s="253" t="str">
        <x:v>MB8</x:v>
      </x:c>
      <x:c r="D389" s="262" t="n">
        <x:v>46143.655069444445</x:v>
      </x:c>
      <x:c r="E389" s="259" t="n">
        <x:v>46143.166666666664</x:v>
      </x:c>
      <x:c r="F389" s="253" t="str">
        <x:v>856604</x:v>
      </x:c>
      <x:c r="G389" s="253" t="str">
        <x:v>hwings79</x:v>
      </x:c>
      <x:c r="H389" s="253" t="str">
        <x:v>Yes</x:v>
      </x:c>
      <x:c r="I389" s="253" t="str">
        <x:v>Claire</x:v>
      </x:c>
      <x:c r="J389" s="253" t="str">
        <x:v>Claire</x:v>
      </x:c>
      <x:c r="K389" s="259" t="n">
        <x:v>45887.166666666664</x:v>
      </x:c>
      <x:c r="L389" s="268" t="str">
        <x:f>IFERROR(VLOOKUP(I389,'Handler-Team Map'!$A$7:$C$17,2,FALSE),"")</x:f>
      </x:c>
      <x:c r="M389" s="268" t="str">
        <x:f>IFERROR(VLOOKUP(I389,'Handler-Team Map'!$A$7:$C$17,3,FALSE),"")</x:f>
      </x:c>
      <x:c r="N389" s="274" t="str">
        <x:v>FT_VM_DEP1000_GET500_5X</x:v>
      </x:c>
      <x:c r="O389" s="274" t="str">
        <x:v>VIP BONUS - Deposit 1000 Get 500 - 5x TO</x:v>
      </x:c>
      <x:c r="P389" s="274" t="str">
        <x:v>DepositBonus</x:v>
      </x:c>
      <x:c r="Q389" s="274" t="str">
        <x:v>Approved</x:v>
      </x:c>
      <x:c r="R389" s="265" t="n">
        <x:v>500</x:v>
      </x:c>
      <x:c r="S389" s="253" t="str">
        <x:v>Yes</x:v>
      </x:c>
      <x:c r="T389" s="265" t="n">
        <x:v>54610</x:v>
      </x:c>
      <x:c r="U389" s="253" t="str">
        <x:f>IF(AND(S389="Yes",T389=0),"Yes","No")</x:f>
        <x:v>No</x:v>
      </x:c>
      <x:c r="V389" s="253" t="str">
        <x:v>Yes</x:v>
      </x:c>
      <x:c r="W389" s="253" t="str">
        <x:v>Yes</x:v>
      </x:c>
      <x:c r="X389" s="259" t="n">
        <x:v>46143.166666666664</x:v>
      </x:c>
      <x:c r="Y389" s="265" t="n">
        <x:v>2860</x:v>
      </x:c>
      <x:c r="Z389" s="265" t="n">
        <x:v>2860</x:v>
      </x:c>
      <x:c r="AA389" s="253" t="str">
        <x:f>IF(V389="No","Maturing",IF(AND(U389="Yes",Y389&gt;0),"Yes","No"))</x:f>
        <x:v>No</x:v>
      </x:c>
      <x:c r="AB389" s="253" t="str">
        <x:f>IF(W389="No","Maturing",IF(AND(U389="Yes",Z389&gt;0),"Yes","No"))</x:f>
        <x:v>No</x:v>
      </x:c>
      <x:c r="AC389" s="265" t="n">
        <x:v>-224.21</x:v>
      </x:c>
      <x:c r="AD389" s="265" t="n">
        <x:v>-220.93</x:v>
      </x:c>
      <x:c r="AE389" s="271" t="str"/>
      <x:c r="AF389" s="274" t="str">
        <x:v>Not validated - no control/holdout</x:v>
      </x:c>
      <x:c r="AG389" s="277" t="str">
        <x:v>Recovered execution only; assignment date and unclaimed-offer denominator unavailable</x:v>
      </x:c>
    </x:row>
    <x:row r="390">
      <x:c r="A390" s="252" t="str">
        <x:v>34084410</x:v>
      </x:c>
      <x:c r="B390" s="253" t="str">
        <x:v>WS1</x:v>
      </x:c>
      <x:c r="C390" s="253" t="str">
        <x:v>MB8</x:v>
      </x:c>
      <x:c r="D390" s="262" t="n">
        <x:v>46143.677037037036</x:v>
      </x:c>
      <x:c r="E390" s="259" t="n">
        <x:v>46143.166666666664</x:v>
      </x:c>
      <x:c r="F390" s="253" t="str">
        <x:v>144118</x:v>
      </x:c>
      <x:c r="G390" s="253" t="str">
        <x:v>Mark777</x:v>
      </x:c>
      <x:c r="H390" s="253" t="str">
        <x:v>Yes</x:v>
      </x:c>
      <x:c r="I390" s="253" t="str"/>
      <x:c r="J390" s="253" t="str"/>
      <x:c r="K390" s="259"/>
      <x:c r="L390" s="268" t="str">
        <x:f>IFERROR(VLOOKUP(I390,'Handler-Team Map'!$A$7:$C$17,2,FALSE),"")</x:f>
      </x:c>
      <x:c r="M390" s="268" t="str">
        <x:f>IFERROR(VLOOKUP(I390,'Handler-Team Map'!$A$7:$C$17,3,FALSE),"")</x:f>
      </x:c>
      <x:c r="N390" s="274" t="str">
        <x:v>FT_VM_DEP800_GET400_1X</x:v>
      </x:c>
      <x:c r="O390" s="274" t="str">
        <x:v>VIP BONUS - Deposit 800 Get 400 - 1x TO</x:v>
      </x:c>
      <x:c r="P390" s="274" t="str">
        <x:v>DepositBonus</x:v>
      </x:c>
      <x:c r="Q390" s="274" t="str">
        <x:v>Approved</x:v>
      </x:c>
      <x:c r="R390" s="265" t="n">
        <x:v>400</x:v>
      </x:c>
      <x:c r="S390" s="253" t="str">
        <x:v>Yes</x:v>
      </x:c>
      <x:c r="T390" s="265" t="n">
        <x:v>500</x:v>
      </x:c>
      <x:c r="U390" s="253" t="str">
        <x:f>IF(AND(S390="Yes",T390=0),"Yes","No")</x:f>
        <x:v>No</x:v>
      </x:c>
      <x:c r="V390" s="253" t="str">
        <x:v>Yes</x:v>
      </x:c>
      <x:c r="W390" s="253" t="str">
        <x:v>Yes</x:v>
      </x:c>
      <x:c r="X390" s="259" t="n">
        <x:v>46143.166666666664</x:v>
      </x:c>
      <x:c r="Y390" s="265" t="n">
        <x:v>800</x:v>
      </x:c>
      <x:c r="Z390" s="265" t="n">
        <x:v>800</x:v>
      </x:c>
      <x:c r="AA390" s="253" t="str">
        <x:f>IF(V390="No","Maturing",IF(AND(U390="Yes",Y390&gt;0),"Yes","No"))</x:f>
        <x:v>No</x:v>
      </x:c>
      <x:c r="AB390" s="253" t="str">
        <x:f>IF(W390="No","Maturing",IF(AND(U390="Yes",Z390&gt;0),"Yes","No"))</x:f>
        <x:v>No</x:v>
      </x:c>
      <x:c r="AC390" s="265" t="n">
        <x:v>800.6</x:v>
      </x:c>
      <x:c r="AD390" s="265" t="n">
        <x:v>800.6</x:v>
      </x:c>
      <x:c r="AE390" s="271" t="str"/>
      <x:c r="AF390" s="274" t="str">
        <x:v>Not validated - no control/holdout</x:v>
      </x:c>
      <x:c r="AG390" s="277" t="str">
        <x:v>Recovered execution only; assignment date and unclaimed-offer denominator unavailable</x:v>
      </x:c>
    </x:row>
    <x:row r="391">
      <x:c r="A391" s="252" t="str">
        <x:v>34084950</x:v>
      </x:c>
      <x:c r="B391" s="253" t="str">
        <x:v>WS1</x:v>
      </x:c>
      <x:c r="C391" s="253" t="str">
        <x:v>MB8</x:v>
      </x:c>
      <x:c r="D391" s="262" t="n">
        <x:v>46143.70365740741</x:v>
      </x:c>
      <x:c r="E391" s="259" t="n">
        <x:v>46143.166666666664</x:v>
      </x:c>
      <x:c r="F391" s="253" t="str">
        <x:v>113180</x:v>
      </x:c>
      <x:c r="G391" s="253" t="str">
        <x:v>Hazel</x:v>
      </x:c>
      <x:c r="H391" s="253" t="str">
        <x:v>Yes</x:v>
      </x:c>
      <x:c r="I391" s="253" t="str">
        <x:v>Serene</x:v>
      </x:c>
      <x:c r="J391" s="253" t="str">
        <x:v>Serene</x:v>
      </x:c>
      <x:c r="K391" s="259" t="n">
        <x:v>45831.166666666664</x:v>
      </x:c>
      <x:c r="L391" s="268" t="str">
        <x:f>IFERROR(VLOOKUP(I391,'Handler-Team Map'!$A$7:$C$17,2,FALSE),"")</x:f>
      </x:c>
      <x:c r="M391" s="268" t="str">
        <x:f>IFERROR(VLOOKUP(I391,'Handler-Team Map'!$A$7:$C$17,3,FALSE),"")</x:f>
      </x:c>
      <x:c r="N391" s="274" t="str">
        <x:v>FT_VM_DEP1000_GET500_5X</x:v>
      </x:c>
      <x:c r="O391" s="274" t="str">
        <x:v>VIP BONUS - Deposit 1000 Get 500 - 5x TO</x:v>
      </x:c>
      <x:c r="P391" s="274" t="str">
        <x:v>DepositBonus</x:v>
      </x:c>
      <x:c r="Q391" s="274" t="str">
        <x:v>Approved</x:v>
      </x:c>
      <x:c r="R391" s="265" t="n">
        <x:v>500</x:v>
      </x:c>
      <x:c r="S391" s="253" t="str">
        <x:v>Yes</x:v>
      </x:c>
      <x:c r="T391" s="265" t="n">
        <x:v>4000</x:v>
      </x:c>
      <x:c r="U391" s="253" t="str">
        <x:f>IF(AND(S391="Yes",T391=0),"Yes","No")</x:f>
        <x:v>No</x:v>
      </x:c>
      <x:c r="V391" s="253" t="str">
        <x:v>Yes</x:v>
      </x:c>
      <x:c r="W391" s="253" t="str">
        <x:v>Yes</x:v>
      </x:c>
      <x:c r="X391" s="259" t="n">
        <x:v>46143.166666666664</x:v>
      </x:c>
      <x:c r="Y391" s="265" t="n">
        <x:v>1000</x:v>
      </x:c>
      <x:c r="Z391" s="265" t="n">
        <x:v>2000</x:v>
      </x:c>
      <x:c r="AA391" s="253" t="str">
        <x:f>IF(V391="No","Maturing",IF(AND(U391="Yes",Y391&gt;0),"Yes","No"))</x:f>
        <x:v>No</x:v>
      </x:c>
      <x:c r="AB391" s="253" t="str">
        <x:f>IF(W391="No","Maturing",IF(AND(U391="Yes",Z391&gt;0),"Yes","No"))</x:f>
        <x:v>No</x:v>
      </x:c>
      <x:c r="AC391" s="265" t="n">
        <x:v>606.09</x:v>
      </x:c>
      <x:c r="AD391" s="265" t="n">
        <x:v>958.98</x:v>
      </x:c>
      <x:c r="AE391" s="271" t="str"/>
      <x:c r="AF391" s="274" t="str">
        <x:v>Not validated - no control/holdout</x:v>
      </x:c>
      <x:c r="AG391" s="277" t="str">
        <x:v>Recovered execution only; assignment date and unclaimed-offer denominator unavailable</x:v>
      </x:c>
    </x:row>
    <x:row r="392">
      <x:c r="A392" s="252" t="str">
        <x:v>34090367</x:v>
      </x:c>
      <x:c r="B392" s="253" t="str">
        <x:v>WS1</x:v>
      </x:c>
      <x:c r="C392" s="253" t="str">
        <x:v>MB8</x:v>
      </x:c>
      <x:c r="D392" s="262" t="n">
        <x:v>46144.0109375</x:v>
      </x:c>
      <x:c r="E392" s="259" t="n">
        <x:v>46144.166666666664</x:v>
      </x:c>
      <x:c r="F392" s="253" t="str">
        <x:v>840299</x:v>
      </x:c>
      <x:c r="G392" s="253" t="str">
        <x:v>Rich2004</x:v>
      </x:c>
      <x:c r="H392" s="253" t="str">
        <x:v>Yes</x:v>
      </x:c>
      <x:c r="I392" s="253" t="str"/>
      <x:c r="J392" s="253" t="str"/>
      <x:c r="K392" s="259"/>
      <x:c r="L392" s="268" t="str">
        <x:f>IFERROR(VLOOKUP(I392,'Handler-Team Map'!$A$7:$C$17,2,FALSE),"")</x:f>
      </x:c>
      <x:c r="M392" s="268" t="str">
        <x:f>IFERROR(VLOOKUP(I392,'Handler-Team Map'!$A$7:$C$17,3,FALSE),"")</x:f>
      </x:c>
      <x:c r="N392" s="274" t="str">
        <x:v>FT_VM_DEP800_GET400_1X</x:v>
      </x:c>
      <x:c r="O392" s="274" t="str">
        <x:v>VIP BONUS - Deposit 800 Get 400 - 1x TO</x:v>
      </x:c>
      <x:c r="P392" s="274" t="str">
        <x:v>DepositBonus</x:v>
      </x:c>
      <x:c r="Q392" s="274" t="str">
        <x:v>Approved</x:v>
      </x:c>
      <x:c r="R392" s="265" t="n">
        <x:v>400</x:v>
      </x:c>
      <x:c r="S392" s="253" t="str">
        <x:v>Yes</x:v>
      </x:c>
      <x:c r="T392" s="265" t="n">
        <x:v>30</x:v>
      </x:c>
      <x:c r="U392" s="253" t="str">
        <x:f>IF(AND(S392="Yes",T392=0),"Yes","No")</x:f>
        <x:v>No</x:v>
      </x:c>
      <x:c r="V392" s="253" t="str">
        <x:v>Yes</x:v>
      </x:c>
      <x:c r="W392" s="253" t="str">
        <x:v>Yes</x:v>
      </x:c>
      <x:c r="X392" s="259" t="n">
        <x:v>46144.166666666664</x:v>
      </x:c>
      <x:c r="Y392" s="265" t="n">
        <x:v>2000</x:v>
      </x:c>
      <x:c r="Z392" s="265" t="n">
        <x:v>2000</x:v>
      </x:c>
      <x:c r="AA392" s="253" t="str">
        <x:f>IF(V392="No","Maturing",IF(AND(U392="Yes",Y392&gt;0),"Yes","No"))</x:f>
        <x:v>No</x:v>
      </x:c>
      <x:c r="AB392" s="253" t="str">
        <x:f>IF(W392="No","Maturing",IF(AND(U392="Yes",Z392&gt;0),"Yes","No"))</x:f>
        <x:v>No</x:v>
      </x:c>
      <x:c r="AC392" s="265" t="n">
        <x:v>1998.98</x:v>
      </x:c>
      <x:c r="AD392" s="265" t="n">
        <x:v>2000.54</x:v>
      </x:c>
      <x:c r="AE392" s="271" t="str"/>
      <x:c r="AF392" s="274" t="str">
        <x:v>Not validated - no control/holdout</x:v>
      </x:c>
      <x:c r="AG392" s="277" t="str">
        <x:v>Recovered execution only; assignment date and unclaimed-offer denominator unavailable</x:v>
      </x:c>
    </x:row>
    <x:row r="393">
      <x:c r="A393" s="252" t="str">
        <x:v>34101602</x:v>
      </x:c>
      <x:c r="B393" s="253" t="str">
        <x:v>WS1</x:v>
      </x:c>
      <x:c r="C393" s="253" t="str">
        <x:v>MB8</x:v>
      </x:c>
      <x:c r="D393" s="262" t="n">
        <x:v>46144.87207175926</x:v>
      </x:c>
      <x:c r="E393" s="259" t="n">
        <x:v>46144.166666666664</x:v>
      </x:c>
      <x:c r="F393" s="253" t="str">
        <x:v>685663</x:v>
      </x:c>
      <x:c r="G393" s="253" t="str">
        <x:v>Cristian98</x:v>
      </x:c>
      <x:c r="H393" s="253" t="str">
        <x:v>Yes</x:v>
      </x:c>
      <x:c r="I393" s="253" t="str">
        <x:v>Elda</x:v>
      </x:c>
      <x:c r="J393" s="253" t="str">
        <x:v>Elda</x:v>
      </x:c>
      <x:c r="K393" s="259" t="n">
        <x:v>45790.166666666664</x:v>
      </x:c>
      <x:c r="L393" s="268" t="str">
        <x:f>IFERROR(VLOOKUP(I393,'Handler-Team Map'!$A$7:$C$17,2,FALSE),"")</x:f>
      </x:c>
      <x:c r="M393" s="268" t="str">
        <x:f>IFERROR(VLOOKUP(I393,'Handler-Team Map'!$A$7:$C$17,3,FALSE),"")</x:f>
      </x:c>
      <x:c r="N393" s="274" t="str">
        <x:v>FT_VM_DEP1000_GET500_5X</x:v>
      </x:c>
      <x:c r="O393" s="274" t="str">
        <x:v>VIP BONUS - Deposit 1000 Get 500 - 5x TO</x:v>
      </x:c>
      <x:c r="P393" s="274" t="str">
        <x:v>DepositBonus</x:v>
      </x:c>
      <x:c r="Q393" s="274" t="str">
        <x:v>Approved</x:v>
      </x:c>
      <x:c r="R393" s="265" t="n">
        <x:v>500</x:v>
      </x:c>
      <x:c r="S393" s="253" t="str">
        <x:v>Yes</x:v>
      </x:c>
      <x:c r="T393" s="265" t="n">
        <x:v>34978</x:v>
      </x:c>
      <x:c r="U393" s="253" t="str">
        <x:f>IF(AND(S393="Yes",T393=0),"Yes","No")</x:f>
        <x:v>No</x:v>
      </x:c>
      <x:c r="V393" s="253" t="str">
        <x:v>Yes</x:v>
      </x:c>
      <x:c r="W393" s="253" t="str">
        <x:v>Yes</x:v>
      </x:c>
      <x:c r="X393" s="259" t="n">
        <x:v>46144.166666666664</x:v>
      </x:c>
      <x:c r="Y393" s="265" t="n">
        <x:v>7575</x:v>
      </x:c>
      <x:c r="Z393" s="265" t="n">
        <x:v>7575</x:v>
      </x:c>
      <x:c r="AA393" s="253" t="str">
        <x:f>IF(V393="No","Maturing",IF(AND(U393="Yes",Y393&gt;0),"Yes","No"))</x:f>
        <x:v>No</x:v>
      </x:c>
      <x:c r="AB393" s="253" t="str">
        <x:f>IF(W393="No","Maturing",IF(AND(U393="Yes",Z393&gt;0),"Yes","No"))</x:f>
        <x:v>No</x:v>
      </x:c>
      <x:c r="AC393" s="265" t="n">
        <x:v>6817.49</x:v>
      </x:c>
      <x:c r="AD393" s="265" t="n">
        <x:v>6817.49</x:v>
      </x:c>
      <x:c r="AE393" s="271" t="str"/>
      <x:c r="AF393" s="274" t="str">
        <x:v>Not validated - no control/holdout</x:v>
      </x:c>
      <x:c r="AG393" s="277" t="str">
        <x:v>Recovered execution only; assignment date and unclaimed-offer denominator unavailable</x:v>
      </x:c>
    </x:row>
    <x:row r="394">
      <x:c r="A394" s="252" t="str">
        <x:v>34101650</x:v>
      </x:c>
      <x:c r="B394" s="253" t="str">
        <x:v>WS1</x:v>
      </x:c>
      <x:c r="C394" s="253" t="str">
        <x:v>MB8</x:v>
      </x:c>
      <x:c r="D394" s="262" t="n">
        <x:v>46144.87238425926</x:v>
      </x:c>
      <x:c r="E394" s="259" t="n">
        <x:v>46144.166666666664</x:v>
      </x:c>
      <x:c r="F394" s="253" t="str">
        <x:v>442581</x:v>
      </x:c>
      <x:c r="G394" s="253" t="str">
        <x:v>Royloh1288</x:v>
      </x:c>
      <x:c r="H394" s="253" t="str">
        <x:v>Yes</x:v>
      </x:c>
      <x:c r="I394" s="253" t="str">
        <x:v>Jiahui</x:v>
      </x:c>
      <x:c r="J394" s="253" t="str">
        <x:v>Jiahui</x:v>
      </x:c>
      <x:c r="K394" s="259" t="n">
        <x:v>46090.166666666664</x:v>
      </x:c>
      <x:c r="L394" s="268" t="str">
        <x:f>IFERROR(VLOOKUP(I394,'Handler-Team Map'!$A$7:$C$17,2,FALSE),"")</x:f>
      </x:c>
      <x:c r="M394" s="268" t="str">
        <x:f>IFERROR(VLOOKUP(I394,'Handler-Team Map'!$A$7:$C$17,3,FALSE),"")</x:f>
      </x:c>
      <x:c r="N394" s="274" t="str">
        <x:v>FT_VM_DEP1000_GET1000_1X</x:v>
      </x:c>
      <x:c r="O394" s="274" t="str">
        <x:v>VIP BONUS - Deposit 1000 Get 1000 - 1x TO</x:v>
      </x:c>
      <x:c r="P394" s="274" t="str">
        <x:v>DepositBonus</x:v>
      </x:c>
      <x:c r="Q394" s="274" t="str">
        <x:v>Approved</x:v>
      </x:c>
      <x:c r="R394" s="265" t="n">
        <x:v>1000</x:v>
      </x:c>
      <x:c r="S394" s="253" t="str">
        <x:v>Yes</x:v>
      </x:c>
      <x:c r="T394" s="265" t="n">
        <x:v>40000</x:v>
      </x:c>
      <x:c r="U394" s="253" t="str">
        <x:f>IF(AND(S394="Yes",T394=0),"Yes","No")</x:f>
        <x:v>No</x:v>
      </x:c>
      <x:c r="V394" s="253" t="str">
        <x:v>Yes</x:v>
      </x:c>
      <x:c r="W394" s="253" t="str">
        <x:v>Yes</x:v>
      </x:c>
      <x:c r="X394" s="259" t="n">
        <x:v>46144.166666666664</x:v>
      </x:c>
      <x:c r="Y394" s="265" t="n">
        <x:v>21000</x:v>
      </x:c>
      <x:c r="Z394" s="265" t="n">
        <x:v>67000</x:v>
      </x:c>
      <x:c r="AA394" s="253" t="str">
        <x:f>IF(V394="No","Maturing",IF(AND(U394="Yes",Y394&gt;0),"Yes","No"))</x:f>
        <x:v>No</x:v>
      </x:c>
      <x:c r="AB394" s="253" t="str">
        <x:f>IF(W394="No","Maturing",IF(AND(U394="Yes",Z394&gt;0),"Yes","No"))</x:f>
        <x:v>No</x:v>
      </x:c>
      <x:c r="AC394" s="265" t="n">
        <x:v>-11229.24</x:v>
      </x:c>
      <x:c r="AD394" s="265" t="n">
        <x:v>8626.5</x:v>
      </x:c>
      <x:c r="AE394" s="271" t="str"/>
      <x:c r="AF394" s="274" t="str">
        <x:v>Not validated - no control/holdout</x:v>
      </x:c>
      <x:c r="AG394" s="277" t="str">
        <x:v>Recovered execution only; assignment date and unclaimed-offer denominator unavailable</x:v>
      </x:c>
    </x:row>
    <x:row r="395">
      <x:c r="A395" s="252" t="str">
        <x:v>34115310</x:v>
      </x:c>
      <x:c r="B395" s="253" t="str">
        <x:v>WS1</x:v>
      </x:c>
      <x:c r="C395" s="253" t="str">
        <x:v>MB8</x:v>
      </x:c>
      <x:c r="D395" s="262" t="n">
        <x:v>46145.8559837963</x:v>
      </x:c>
      <x:c r="E395" s="259" t="n">
        <x:v>46145.166666666664</x:v>
      </x:c>
      <x:c r="F395" s="253" t="str">
        <x:v>605081</x:v>
      </x:c>
      <x:c r="G395" s="253" t="str">
        <x:v>xxdra</x:v>
      </x:c>
      <x:c r="H395" s="253" t="str">
        <x:v>Yes</x:v>
      </x:c>
      <x:c r="I395" s="253" t="str">
        <x:v>Mikki</x:v>
      </x:c>
      <x:c r="J395" s="253" t="str">
        <x:v>Mikki</x:v>
      </x:c>
      <x:c r="K395" s="259" t="n">
        <x:v>45993.166666666664</x:v>
      </x:c>
      <x:c r="L395" s="268" t="str">
        <x:f>IFERROR(VLOOKUP(I395,'Handler-Team Map'!$A$7:$C$17,2,FALSE),"")</x:f>
      </x:c>
      <x:c r="M395" s="268" t="str">
        <x:f>IFERROR(VLOOKUP(I395,'Handler-Team Map'!$A$7:$C$17,3,FALSE),"")</x:f>
      </x:c>
      <x:c r="N395" s="274" t="str">
        <x:v>FT_VM_DEP1000_GET500_5X</x:v>
      </x:c>
      <x:c r="O395" s="274" t="str">
        <x:v>VIP BONUS - Deposit 1000 Get 500 - 5x TO</x:v>
      </x:c>
      <x:c r="P395" s="274" t="str">
        <x:v>DepositBonus</x:v>
      </x:c>
      <x:c r="Q395" s="274" t="str">
        <x:v>Approved</x:v>
      </x:c>
      <x:c r="R395" s="265" t="n">
        <x:v>500</x:v>
      </x:c>
      <x:c r="S395" s="253" t="str">
        <x:v>Yes</x:v>
      </x:c>
      <x:c r="T395" s="265" t="n">
        <x:v>8494</x:v>
      </x:c>
      <x:c r="U395" s="253" t="str">
        <x:f>IF(AND(S395="Yes",T395=0),"Yes","No")</x:f>
        <x:v>No</x:v>
      </x:c>
      <x:c r="V395" s="253" t="str">
        <x:v>Yes</x:v>
      </x:c>
      <x:c r="W395" s="253" t="str">
        <x:v>Yes</x:v>
      </x:c>
      <x:c r="X395" s="259" t="n">
        <x:v>46145.166666666664</x:v>
      </x:c>
      <x:c r="Y395" s="265" t="n">
        <x:v>3190</x:v>
      </x:c>
      <x:c r="Z395" s="265" t="n">
        <x:v>11450</x:v>
      </x:c>
      <x:c r="AA395" s="253" t="str">
        <x:f>IF(V395="No","Maturing",IF(AND(U395="Yes",Y395&gt;0),"Yes","No"))</x:f>
        <x:v>No</x:v>
      </x:c>
      <x:c r="AB395" s="253" t="str">
        <x:f>IF(W395="No","Maturing",IF(AND(U395="Yes",Z395&gt;0),"Yes","No"))</x:f>
        <x:v>No</x:v>
      </x:c>
      <x:c r="AC395" s="265" t="n">
        <x:v>1276.91</x:v>
      </x:c>
      <x:c r="AD395" s="265" t="n">
        <x:v>6500.38</x:v>
      </x:c>
      <x:c r="AE395" s="271" t="str"/>
      <x:c r="AF395" s="274" t="str">
        <x:v>Not validated - no control/holdout</x:v>
      </x:c>
      <x:c r="AG395" s="277" t="str">
        <x:v>Recovered execution only; assignment date and unclaimed-offer denominator unavailable</x:v>
      </x:c>
    </x:row>
    <x:row r="396">
      <x:c r="A396" s="252" t="str">
        <x:v>34115424</x:v>
      </x:c>
      <x:c r="B396" s="253" t="str">
        <x:v>WS1</x:v>
      </x:c>
      <x:c r="C396" s="253" t="str">
        <x:v>MB8</x:v>
      </x:c>
      <x:c r="D396" s="262" t="n">
        <x:v>46145.86356481481</x:v>
      </x:c>
      <x:c r="E396" s="259" t="n">
        <x:v>46145.166666666664</x:v>
      </x:c>
      <x:c r="F396" s="253" t="str">
        <x:v>984098</x:v>
      </x:c>
      <x:c r="G396" s="253" t="str">
        <x:v>fran88</x:v>
      </x:c>
      <x:c r="H396" s="253" t="str">
        <x:v>Yes</x:v>
      </x:c>
      <x:c r="I396" s="253" t="str"/>
      <x:c r="J396" s="253" t="str"/>
      <x:c r="K396" s="259"/>
      <x:c r="L396" s="268" t="str">
        <x:f>IFERROR(VLOOKUP(I396,'Handler-Team Map'!$A$7:$C$17,2,FALSE),"")</x:f>
      </x:c>
      <x:c r="M396" s="268" t="str">
        <x:f>IFERROR(VLOOKUP(I396,'Handler-Team Map'!$A$7:$C$17,3,FALSE),"")</x:f>
      </x:c>
      <x:c r="N396" s="274" t="str">
        <x:v>FT_VM_DEP700_GET300_2X</x:v>
      </x:c>
      <x:c r="O396" s="274" t="str">
        <x:v>VIP BONUS - Deposit 700 Get 300 - 2x TO</x:v>
      </x:c>
      <x:c r="P396" s="274" t="str">
        <x:v>DepositBonus</x:v>
      </x:c>
      <x:c r="Q396" s="274" t="str">
        <x:v>Approved</x:v>
      </x:c>
      <x:c r="R396" s="265" t="n">
        <x:v>300</x:v>
      </x:c>
      <x:c r="S396" s="253" t="str">
        <x:v>Yes</x:v>
      </x:c>
      <x:c r="T396" s="265" t="n">
        <x:v>800</x:v>
      </x:c>
      <x:c r="U396" s="253" t="str">
        <x:f>IF(AND(S396="Yes",T396=0),"Yes","No")</x:f>
        <x:v>No</x:v>
      </x:c>
      <x:c r="V396" s="253" t="str">
        <x:v>Yes</x:v>
      </x:c>
      <x:c r="W396" s="253" t="str">
        <x:v>Yes</x:v>
      </x:c>
      <x:c r="X396" s="259" t="n">
        <x:v>46145.166666666664</x:v>
      </x:c>
      <x:c r="Y396" s="265" t="n">
        <x:v>2189.91</x:v>
      </x:c>
      <x:c r="Z396" s="265" t="n">
        <x:v>3234.19</x:v>
      </x:c>
      <x:c r="AA396" s="253" t="str">
        <x:f>IF(V396="No","Maturing",IF(AND(U396="Yes",Y396&gt;0),"Yes","No"))</x:f>
        <x:v>No</x:v>
      </x:c>
      <x:c r="AB396" s="253" t="str">
        <x:f>IF(W396="No","Maturing",IF(AND(U396="Yes",Z396&gt;0),"Yes","No"))</x:f>
        <x:v>No</x:v>
      </x:c>
      <x:c r="AC396" s="265" t="n">
        <x:v>-4756.09</x:v>
      </x:c>
      <x:c r="AD396" s="265" t="n">
        <x:v>-8725.51</x:v>
      </x:c>
      <x:c r="AE396" s="271" t="str"/>
      <x:c r="AF396" s="274" t="str">
        <x:v>Not validated - no control/holdout</x:v>
      </x:c>
      <x:c r="AG396" s="277" t="str">
        <x:v>Recovered execution only; assignment date and unclaimed-offer denominator unavailable</x:v>
      </x:c>
    </x:row>
    <x:row r="397">
      <x:c r="A397" s="252" t="str">
        <x:v>34115928</x:v>
      </x:c>
      <x:c r="B397" s="253" t="str">
        <x:v>WS1</x:v>
      </x:c>
      <x:c r="C397" s="253" t="str">
        <x:v>MB8</x:v>
      </x:c>
      <x:c r="D397" s="262" t="n">
        <x:v>46145.88961805555</x:v>
      </x:c>
      <x:c r="E397" s="259" t="n">
        <x:v>46145.166666666664</x:v>
      </x:c>
      <x:c r="F397" s="253" t="str">
        <x:v>450303</x:v>
      </x:c>
      <x:c r="G397" s="253" t="str">
        <x:v>Agnes13</x:v>
      </x:c>
      <x:c r="H397" s="253" t="str">
        <x:v>Yes</x:v>
      </x:c>
      <x:c r="I397" s="253" t="str"/>
      <x:c r="J397" s="253" t="str"/>
      <x:c r="K397" s="259"/>
      <x:c r="L397" s="268" t="str">
        <x:f>IFERROR(VLOOKUP(I397,'Handler-Team Map'!$A$7:$C$17,2,FALSE),"")</x:f>
      </x:c>
      <x:c r="M397" s="268" t="str">
        <x:f>IFERROR(VLOOKUP(I397,'Handler-Team Map'!$A$7:$C$17,3,FALSE),"")</x:f>
      </x:c>
      <x:c r="N397" s="274" t="str">
        <x:v>FT_VM_DEP1000_GET500_1X</x:v>
      </x:c>
      <x:c r="O397" s="274" t="str">
        <x:v>VIP BONUS - Deposit 1000 Get 500 - 1x TO</x:v>
      </x:c>
      <x:c r="P397" s="274" t="str">
        <x:v>DepositBonus</x:v>
      </x:c>
      <x:c r="Q397" s="274" t="str">
        <x:v>Approved</x:v>
      </x:c>
      <x:c r="R397" s="265" t="n">
        <x:v>500</x:v>
      </x:c>
      <x:c r="S397" s="253" t="str">
        <x:v>Yes</x:v>
      </x:c>
      <x:c r="T397" s="265" t="n">
        <x:v>2000</x:v>
      </x:c>
      <x:c r="U397" s="253" t="str">
        <x:f>IF(AND(S397="Yes",T397=0),"Yes","No")</x:f>
        <x:v>No</x:v>
      </x:c>
      <x:c r="V397" s="253" t="str">
        <x:v>Yes</x:v>
      </x:c>
      <x:c r="W397" s="253" t="str">
        <x:v>Yes</x:v>
      </x:c>
      <x:c r="X397" s="259" t="n">
        <x:v>46145.166666666664</x:v>
      </x:c>
      <x:c r="Y397" s="265" t="n">
        <x:v>1000</x:v>
      </x:c>
      <x:c r="Z397" s="265" t="n">
        <x:v>1000</x:v>
      </x:c>
      <x:c r="AA397" s="253" t="str">
        <x:f>IF(V397="No","Maturing",IF(AND(U397="Yes",Y397&gt;0),"Yes","No"))</x:f>
        <x:v>No</x:v>
      </x:c>
      <x:c r="AB397" s="253" t="str">
        <x:f>IF(W397="No","Maturing",IF(AND(U397="Yes",Z397&gt;0),"Yes","No"))</x:f>
        <x:v>No</x:v>
      </x:c>
      <x:c r="AC397" s="265" t="n">
        <x:v>1078.5</x:v>
      </x:c>
      <x:c r="AD397" s="265" t="n">
        <x:v>1078.5</x:v>
      </x:c>
      <x:c r="AE397" s="271" t="str"/>
      <x:c r="AF397" s="274" t="str">
        <x:v>Not validated - no control/holdout</x:v>
      </x:c>
      <x:c r="AG397" s="277" t="str">
        <x:v>Recovered execution only; assignment date and unclaimed-offer denominator unavailable</x:v>
      </x:c>
    </x:row>
    <x:row r="398">
      <x:c r="A398" s="252" t="str">
        <x:v>34119859</x:v>
      </x:c>
      <x:c r="B398" s="253" t="str">
        <x:v>WS1</x:v>
      </x:c>
      <x:c r="C398" s="253" t="str">
        <x:v>MB8</x:v>
      </x:c>
      <x:c r="D398" s="262" t="n">
        <x:v>46146.07915509259</x:v>
      </x:c>
      <x:c r="E398" s="259" t="n">
        <x:v>46146.166666666664</x:v>
      </x:c>
      <x:c r="F398" s="253" t="str">
        <x:v>703993</x:v>
      </x:c>
      <x:c r="G398" s="253" t="str">
        <x:v>Themin99</x:v>
      </x:c>
      <x:c r="H398" s="253" t="str">
        <x:v>Yes</x:v>
      </x:c>
      <x:c r="I398" s="253" t="str"/>
      <x:c r="J398" s="253" t="str"/>
      <x:c r="K398" s="259"/>
      <x:c r="L398" s="268" t="str">
        <x:f>IFERROR(VLOOKUP(I398,'Handler-Team Map'!$A$7:$C$17,2,FALSE),"")</x:f>
      </x:c>
      <x:c r="M398" s="268" t="str">
        <x:f>IFERROR(VLOOKUP(I398,'Handler-Team Map'!$A$7:$C$17,3,FALSE),"")</x:f>
      </x:c>
      <x:c r="N398" s="274" t="str">
        <x:v>FT_VM_DEP800_GET400_1X</x:v>
      </x:c>
      <x:c r="O398" s="274" t="str">
        <x:v>VIP BONUS - Deposit 800 Get 400 - 1x TO</x:v>
      </x:c>
      <x:c r="P398" s="274" t="str">
        <x:v>DepositBonus</x:v>
      </x:c>
      <x:c r="Q398" s="274" t="str">
        <x:v>Approved</x:v>
      </x:c>
      <x:c r="R398" s="265" t="n">
        <x:v>400</x:v>
      </x:c>
      <x:c r="S398" s="253" t="str">
        <x:v>Yes</x:v>
      </x:c>
      <x:c r="T398" s="265" t="n">
        <x:v>50</x:v>
      </x:c>
      <x:c r="U398" s="253" t="str">
        <x:f>IF(AND(S398="Yes",T398=0),"Yes","No")</x:f>
        <x:v>No</x:v>
      </x:c>
      <x:c r="V398" s="253" t="str">
        <x:v>Yes</x:v>
      </x:c>
      <x:c r="W398" s="253" t="str">
        <x:v>Yes</x:v>
      </x:c>
      <x:c r="X398" s="259" t="n">
        <x:v>46146.166666666664</x:v>
      </x:c>
      <x:c r="Y398" s="265" t="n">
        <x:v>1680</x:v>
      </x:c>
      <x:c r="Z398" s="265" t="n">
        <x:v>1680</x:v>
      </x:c>
      <x:c r="AA398" s="253" t="str">
        <x:f>IF(V398="No","Maturing",IF(AND(U398="Yes",Y398&gt;0),"Yes","No"))</x:f>
        <x:v>No</x:v>
      </x:c>
      <x:c r="AB398" s="253" t="str">
        <x:f>IF(W398="No","Maturing",IF(AND(U398="Yes",Z398&gt;0),"Yes","No"))</x:f>
        <x:v>No</x:v>
      </x:c>
      <x:c r="AC398" s="265" t="n">
        <x:v>1679.75</x:v>
      </x:c>
      <x:c r="AD398" s="265" t="n">
        <x:v>1679.75</x:v>
      </x:c>
      <x:c r="AE398" s="271" t="str"/>
      <x:c r="AF398" s="274" t="str">
        <x:v>Not validated - no control/holdout</x:v>
      </x:c>
      <x:c r="AG398" s="277" t="str">
        <x:v>Recovered execution only; assignment date and unclaimed-offer denominator unavailable</x:v>
      </x:c>
    </x:row>
    <x:row r="399">
      <x:c r="A399" s="252" t="str">
        <x:v>34124076</x:v>
      </x:c>
      <x:c r="B399" s="253" t="str">
        <x:v>WS1</x:v>
      </x:c>
      <x:c r="C399" s="253" t="str">
        <x:v>MB8</x:v>
      </x:c>
      <x:c r="D399" s="262" t="n">
        <x:v>46146.570810185185</x:v>
      </x:c>
      <x:c r="E399" s="259" t="n">
        <x:v>46146.166666666664</x:v>
      </x:c>
      <x:c r="F399" s="253" t="str">
        <x:v>521114</x:v>
      </x:c>
      <x:c r="G399" s="253" t="str">
        <x:v>Nzboss8181</x:v>
      </x:c>
      <x:c r="H399" s="253" t="str">
        <x:v>Yes</x:v>
      </x:c>
      <x:c r="I399" s="253" t="str">
        <x:v>Claire</x:v>
      </x:c>
      <x:c r="J399" s="253" t="str">
        <x:v>Claire</x:v>
      </x:c>
      <x:c r="K399" s="259" t="n">
        <x:v>45659.166666666664</x:v>
      </x:c>
      <x:c r="L399" s="268" t="str">
        <x:f>IFERROR(VLOOKUP(I399,'Handler-Team Map'!$A$7:$C$17,2,FALSE),"")</x:f>
      </x:c>
      <x:c r="M399" s="268" t="str">
        <x:f>IFERROR(VLOOKUP(I399,'Handler-Team Map'!$A$7:$C$17,3,FALSE),"")</x:f>
      </x:c>
      <x:c r="N399" s="274" t="str">
        <x:v>FT_VM_DEP1000_GET900_2X</x:v>
      </x:c>
      <x:c r="O399" s="274" t="str">
        <x:v>VIP BONUS - Deposit 1000 Get 900 - 2x TO</x:v>
      </x:c>
      <x:c r="P399" s="274" t="str">
        <x:v>DepositBonus</x:v>
      </x:c>
      <x:c r="Q399" s="274" t="str">
        <x:v>Approved</x:v>
      </x:c>
      <x:c r="R399" s="265" t="n">
        <x:v>900</x:v>
      </x:c>
      <x:c r="S399" s="253" t="str">
        <x:v>Yes</x:v>
      </x:c>
      <x:c r="T399" s="265" t="n">
        <x:v>272700</x:v>
      </x:c>
      <x:c r="U399" s="253" t="str">
        <x:f>IF(AND(S399="Yes",T399=0),"Yes","No")</x:f>
        <x:v>No</x:v>
      </x:c>
      <x:c r="V399" s="253" t="str">
        <x:v>Yes</x:v>
      </x:c>
      <x:c r="W399" s="253" t="str">
        <x:v>Yes</x:v>
      </x:c>
      <x:c r="X399" s="259" t="n">
        <x:v>46146.166666666664</x:v>
      </x:c>
      <x:c r="Y399" s="265" t="n">
        <x:v>62500</x:v>
      </x:c>
      <x:c r="Z399" s="265" t="n">
        <x:v>119400</x:v>
      </x:c>
      <x:c r="AA399" s="253" t="str">
        <x:f>IF(V399="No","Maturing",IF(AND(U399="Yes",Y399&gt;0),"Yes","No"))</x:f>
        <x:v>No</x:v>
      </x:c>
      <x:c r="AB399" s="253" t="str">
        <x:f>IF(W399="No","Maturing",IF(AND(U399="Yes",Z399&gt;0),"Yes","No"))</x:f>
        <x:v>No</x:v>
      </x:c>
      <x:c r="AC399" s="265" t="n">
        <x:v>33271.95</x:v>
      </x:c>
      <x:c r="AD399" s="265" t="n">
        <x:v>76415.25</x:v>
      </x:c>
      <x:c r="AE399" s="271" t="str"/>
      <x:c r="AF399" s="274" t="str">
        <x:v>Not validated - no control/holdout</x:v>
      </x:c>
      <x:c r="AG399" s="277" t="str">
        <x:v>Recovered execution only; assignment date and unclaimed-offer denominator unavailable</x:v>
      </x:c>
    </x:row>
    <x:row r="400">
      <x:c r="A400" s="252" t="str">
        <x:v>34124478</x:v>
      </x:c>
      <x:c r="B400" s="253" t="str">
        <x:v>WS1</x:v>
      </x:c>
      <x:c r="C400" s="253" t="str">
        <x:v>MB8</x:v>
      </x:c>
      <x:c r="D400" s="262" t="n">
        <x:v>46146.59885416667</x:v>
      </x:c>
      <x:c r="E400" s="259" t="n">
        <x:v>46146.166666666664</x:v>
      </x:c>
      <x:c r="F400" s="253" t="str">
        <x:v>166091</x:v>
      </x:c>
      <x:c r="G400" s="253" t="str">
        <x:v>Len25</x:v>
      </x:c>
      <x:c r="H400" s="253" t="str">
        <x:v>Yes</x:v>
      </x:c>
      <x:c r="I400" s="253" t="str">
        <x:v>Christy</x:v>
      </x:c>
      <x:c r="J400" s="253" t="str">
        <x:v>Christy</x:v>
      </x:c>
      <x:c r="K400" s="259" t="n">
        <x:v>45831.166666666664</x:v>
      </x:c>
      <x:c r="L400" s="268" t="str">
        <x:f>IFERROR(VLOOKUP(I400,'Handler-Team Map'!$A$7:$C$17,2,FALSE),"")</x:f>
      </x:c>
      <x:c r="M400" s="268" t="str">
        <x:f>IFERROR(VLOOKUP(I400,'Handler-Team Map'!$A$7:$C$17,3,FALSE),"")</x:f>
      </x:c>
      <x:c r="N400" s="274" t="str">
        <x:v>FT_VM_DEP150_GET50_5X</x:v>
      </x:c>
      <x:c r="O400" s="274" t="str">
        <x:v>VIP BONUS - Deposit 150 Get 50 - 5x TO</x:v>
      </x:c>
      <x:c r="P400" s="274" t="str">
        <x:v>DepositBonus</x:v>
      </x:c>
      <x:c r="Q400" s="274" t="str">
        <x:v>Approved</x:v>
      </x:c>
      <x:c r="R400" s="265" t="n">
        <x:v>50</x:v>
      </x:c>
      <x:c r="S400" s="253" t="str">
        <x:v>Yes</x:v>
      </x:c>
      <x:c r="T400" s="265" t="n">
        <x:v>17205.08</x:v>
      </x:c>
      <x:c r="U400" s="253" t="str">
        <x:f>IF(AND(S400="Yes",T400=0),"Yes","No")</x:f>
        <x:v>No</x:v>
      </x:c>
      <x:c r="V400" s="253" t="str">
        <x:v>Yes</x:v>
      </x:c>
      <x:c r="W400" s="253" t="str">
        <x:v>Yes</x:v>
      </x:c>
      <x:c r="X400" s="259" t="n">
        <x:v>46146.166666666664</x:v>
      </x:c>
      <x:c r="Y400" s="265" t="n">
        <x:v>3860</x:v>
      </x:c>
      <x:c r="Z400" s="265" t="n">
        <x:v>8805</x:v>
      </x:c>
      <x:c r="AA400" s="253" t="str">
        <x:f>IF(V400="No","Maturing",IF(AND(U400="Yes",Y400&gt;0),"Yes","No"))</x:f>
        <x:v>No</x:v>
      </x:c>
      <x:c r="AB400" s="253" t="str">
        <x:f>IF(W400="No","Maturing",IF(AND(U400="Yes",Z400&gt;0),"Yes","No"))</x:f>
        <x:v>No</x:v>
      </x:c>
      <x:c r="AC400" s="265" t="n">
        <x:v>1251.16</x:v>
      </x:c>
      <x:c r="AD400" s="265" t="n">
        <x:v>6220.16</x:v>
      </x:c>
      <x:c r="AE400" s="271" t="str"/>
      <x:c r="AF400" s="274" t="str">
        <x:v>Not validated - no control/holdout</x:v>
      </x:c>
      <x:c r="AG400" s="277" t="str">
        <x:v>Recovered execution only; assignment date and unclaimed-offer denominator unavailable</x:v>
      </x:c>
    </x:row>
    <x:row r="401">
      <x:c r="A401" s="252" t="str">
        <x:v>34124700</x:v>
      </x:c>
      <x:c r="B401" s="253" t="str">
        <x:v>WS1</x:v>
      </x:c>
      <x:c r="C401" s="253" t="str">
        <x:v>MB8</x:v>
      </x:c>
      <x:c r="D401" s="262" t="n">
        <x:v>46146.61523148148</x:v>
      </x:c>
      <x:c r="E401" s="259" t="n">
        <x:v>46146.166666666664</x:v>
      </x:c>
      <x:c r="F401" s="253" t="str">
        <x:v>476510</x:v>
      </x:c>
      <x:c r="G401" s="253" t="str">
        <x:v>giinshen</x:v>
      </x:c>
      <x:c r="H401" s="253" t="str">
        <x:v>Yes</x:v>
      </x:c>
      <x:c r="I401" s="253" t="str">
        <x:v>Claire</x:v>
      </x:c>
      <x:c r="J401" s="253" t="str">
        <x:v>Claire</x:v>
      </x:c>
      <x:c r="K401" s="259" t="n">
        <x:v>45659.166666666664</x:v>
      </x:c>
      <x:c r="L401" s="268" t="str">
        <x:f>IFERROR(VLOOKUP(I401,'Handler-Team Map'!$A$7:$C$17,2,FALSE),"")</x:f>
      </x:c>
      <x:c r="M401" s="268" t="str">
        <x:f>IFERROR(VLOOKUP(I401,'Handler-Team Map'!$A$7:$C$17,3,FALSE),"")</x:f>
      </x:c>
      <x:c r="N401" s="274" t="str">
        <x:v>FT_VM_DEP800_GET400_1X</x:v>
      </x:c>
      <x:c r="O401" s="274" t="str">
        <x:v>VIP BONUS - Deposit 800 Get 400 - 1x TO</x:v>
      </x:c>
      <x:c r="P401" s="274" t="str">
        <x:v>DepositBonus</x:v>
      </x:c>
      <x:c r="Q401" s="274" t="str">
        <x:v>Approved</x:v>
      </x:c>
      <x:c r="R401" s="265" t="n">
        <x:v>400</x:v>
      </x:c>
      <x:c r="S401" s="253" t="str">
        <x:v>Yes</x:v>
      </x:c>
      <x:c r="T401" s="265" t="n">
        <x:v>89700</x:v>
      </x:c>
      <x:c r="U401" s="253" t="str">
        <x:f>IF(AND(S401="Yes",T401=0),"Yes","No")</x:f>
        <x:v>No</x:v>
      </x:c>
      <x:c r="V401" s="253" t="str">
        <x:v>Yes</x:v>
      </x:c>
      <x:c r="W401" s="253" t="str">
        <x:v>Yes</x:v>
      </x:c>
      <x:c r="X401" s="259" t="n">
        <x:v>46146.166666666664</x:v>
      </x:c>
      <x:c r="Y401" s="265" t="n">
        <x:v>8800</x:v>
      </x:c>
      <x:c r="Z401" s="265" t="n">
        <x:v>9800</x:v>
      </x:c>
      <x:c r="AA401" s="253" t="str">
        <x:f>IF(V401="No","Maturing",IF(AND(U401="Yes",Y401&gt;0),"Yes","No"))</x:f>
        <x:v>No</x:v>
      </x:c>
      <x:c r="AB401" s="253" t="str">
        <x:f>IF(W401="No","Maturing",IF(AND(U401="Yes",Z401&gt;0),"Yes","No"))</x:f>
        <x:v>No</x:v>
      </x:c>
      <x:c r="AC401" s="265" t="n">
        <x:v>-913.67</x:v>
      </x:c>
      <x:c r="AD401" s="265" t="n">
        <x:v>86.33</x:v>
      </x:c>
      <x:c r="AE401" s="271" t="str"/>
      <x:c r="AF401" s="274" t="str">
        <x:v>Not validated - no control/holdout</x:v>
      </x:c>
      <x:c r="AG401" s="277" t="str">
        <x:v>Recovered execution only; assignment date and unclaimed-offer denominator unavailable</x:v>
      </x:c>
    </x:row>
    <x:row r="402">
      <x:c r="A402" s="252" t="str">
        <x:v>34124715</x:v>
      </x:c>
      <x:c r="B402" s="253" t="str">
        <x:v>WS1</x:v>
      </x:c>
      <x:c r="C402" s="253" t="str">
        <x:v>MB8</x:v>
      </x:c>
      <x:c r="D402" s="262" t="n">
        <x:v>46146.61597222222</x:v>
      </x:c>
      <x:c r="E402" s="259" t="n">
        <x:v>46146.166666666664</x:v>
      </x:c>
      <x:c r="F402" s="253" t="str">
        <x:v>827371</x:v>
      </x:c>
      <x:c r="G402" s="253" t="str">
        <x:v>marc187</x:v>
      </x:c>
      <x:c r="H402" s="253" t="str">
        <x:v>Yes</x:v>
      </x:c>
      <x:c r="I402" s="253" t="str">
        <x:v>Claire</x:v>
      </x:c>
      <x:c r="J402" s="253" t="str">
        <x:v>Claire</x:v>
      </x:c>
      <x:c r="K402" s="259" t="n">
        <x:v>45755.166666666664</x:v>
      </x:c>
      <x:c r="L402" s="268" t="str">
        <x:f>IFERROR(VLOOKUP(I402,'Handler-Team Map'!$A$7:$C$17,2,FALSE),"")</x:f>
      </x:c>
      <x:c r="M402" s="268" t="str">
        <x:f>IFERROR(VLOOKUP(I402,'Handler-Team Map'!$A$7:$C$17,3,FALSE),"")</x:f>
      </x:c>
      <x:c r="N402" s="274" t="str">
        <x:v>FT_VM_DEP1000_GET1000_2X</x:v>
      </x:c>
      <x:c r="O402" s="274" t="str">
        <x:v>VIP BONUS - Deposit 1000 Get 1000 - 2x TO</x:v>
      </x:c>
      <x:c r="P402" s="274" t="str">
        <x:v>DepositBonus</x:v>
      </x:c>
      <x:c r="Q402" s="274" t="str">
        <x:v>Approved</x:v>
      </x:c>
      <x:c r="R402" s="265" t="n">
        <x:v>1000</x:v>
      </x:c>
      <x:c r="S402" s="253" t="str">
        <x:v>Yes</x:v>
      </x:c>
      <x:c r="T402" s="265" t="n">
        <x:v>1796915.6</x:v>
      </x:c>
      <x:c r="U402" s="253" t="str">
        <x:f>IF(AND(S402="Yes",T402=0),"Yes","No")</x:f>
        <x:v>No</x:v>
      </x:c>
      <x:c r="V402" s="253" t="str">
        <x:v>Yes</x:v>
      </x:c>
      <x:c r="W402" s="253" t="str">
        <x:v>Yes</x:v>
      </x:c>
      <x:c r="X402" s="259" t="n">
        <x:v>46146.166666666664</x:v>
      </x:c>
      <x:c r="Y402" s="265" t="n">
        <x:v>478383.88</x:v>
      </x:c>
      <x:c r="Z402" s="265" t="n">
        <x:v>963439.79</x:v>
      </x:c>
      <x:c r="AA402" s="253" t="str">
        <x:f>IF(V402="No","Maturing",IF(AND(U402="Yes",Y402&gt;0),"Yes","No"))</x:f>
        <x:v>No</x:v>
      </x:c>
      <x:c r="AB402" s="253" t="str">
        <x:f>IF(W402="No","Maturing",IF(AND(U402="Yes",Z402&gt;0),"Yes","No"))</x:f>
        <x:v>No</x:v>
      </x:c>
      <x:c r="AC402" s="265" t="n">
        <x:v>213650.18</x:v>
      </x:c>
      <x:c r="AD402" s="265" t="n">
        <x:v>362313.68</x:v>
      </x:c>
      <x:c r="AE402" s="271" t="str"/>
      <x:c r="AF402" s="274" t="str">
        <x:v>Not validated - no control/holdout</x:v>
      </x:c>
      <x:c r="AG402" s="277" t="str">
        <x:v>Recovered execution only; assignment date and unclaimed-offer denominator unavailable</x:v>
      </x:c>
    </x:row>
    <x:row r="403">
      <x:c r="A403" s="252" t="str">
        <x:v>34125011</x:v>
      </x:c>
      <x:c r="B403" s="253" t="str">
        <x:v>WS1</x:v>
      </x:c>
      <x:c r="C403" s="253" t="str">
        <x:v>MB8</x:v>
      </x:c>
      <x:c r="D403" s="262" t="n">
        <x:v>46146.63863425926</x:v>
      </x:c>
      <x:c r="E403" s="259" t="n">
        <x:v>46146.166666666664</x:v>
      </x:c>
      <x:c r="F403" s="253" t="str">
        <x:v>856604</x:v>
      </x:c>
      <x:c r="G403" s="253" t="str">
        <x:v>hwings79</x:v>
      </x:c>
      <x:c r="H403" s="253" t="str">
        <x:v>Yes</x:v>
      </x:c>
      <x:c r="I403" s="253" t="str">
        <x:v>Claire</x:v>
      </x:c>
      <x:c r="J403" s="253" t="str">
        <x:v>Claire</x:v>
      </x:c>
      <x:c r="K403" s="259" t="n">
        <x:v>45887.166666666664</x:v>
      </x:c>
      <x:c r="L403" s="268" t="str">
        <x:f>IFERROR(VLOOKUP(I403,'Handler-Team Map'!$A$7:$C$17,2,FALSE),"")</x:f>
      </x:c>
      <x:c r="M403" s="268" t="str">
        <x:f>IFERROR(VLOOKUP(I403,'Handler-Team Map'!$A$7:$C$17,3,FALSE),"")</x:f>
      </x:c>
      <x:c r="N403" s="274" t="str">
        <x:v>FT_VM_DEP600_GET200_5X</x:v>
      </x:c>
      <x:c r="O403" s="274" t="str">
        <x:v>VIP BONUS - Deposit 600 Get 200 - 5x TO</x:v>
      </x:c>
      <x:c r="P403" s="274" t="str">
        <x:v>DepositBonus</x:v>
      </x:c>
      <x:c r="Q403" s="274" t="str">
        <x:v>Approved</x:v>
      </x:c>
      <x:c r="R403" s="265" t="n">
        <x:v>200</x:v>
      </x:c>
      <x:c r="S403" s="253" t="str">
        <x:v>Yes</x:v>
      </x:c>
      <x:c r="T403" s="265" t="n">
        <x:v>48840</x:v>
      </x:c>
      <x:c r="U403" s="253" t="str">
        <x:f>IF(AND(S403="Yes",T403=0),"Yes","No")</x:f>
        <x:v>No</x:v>
      </x:c>
      <x:c r="V403" s="253" t="str">
        <x:v>Yes</x:v>
      </x:c>
      <x:c r="W403" s="253" t="str">
        <x:v>Yes</x:v>
      </x:c>
      <x:c r="X403" s="259" t="n">
        <x:v>46146.166666666664</x:v>
      </x:c>
      <x:c r="Y403" s="265" t="n">
        <x:v>1860</x:v>
      </x:c>
      <x:c r="Z403" s="265" t="n">
        <x:v>1860</x:v>
      </x:c>
      <x:c r="AA403" s="253" t="str">
        <x:f>IF(V403="No","Maturing",IF(AND(U403="Yes",Y403&gt;0),"Yes","No"))</x:f>
        <x:v>No</x:v>
      </x:c>
      <x:c r="AB403" s="253" t="str">
        <x:f>IF(W403="No","Maturing",IF(AND(U403="Yes",Z403&gt;0),"Yes","No"))</x:f>
        <x:v>No</x:v>
      </x:c>
      <x:c r="AC403" s="265" t="n">
        <x:v>1759.83</x:v>
      </x:c>
      <x:c r="AD403" s="265" t="n">
        <x:v>1759.8</x:v>
      </x:c>
      <x:c r="AE403" s="271" t="str"/>
      <x:c r="AF403" s="274" t="str">
        <x:v>Not validated - no control/holdout</x:v>
      </x:c>
      <x:c r="AG403" s="277" t="str">
        <x:v>Recovered execution only; assignment date and unclaimed-offer denominator unavailable</x:v>
      </x:c>
    </x:row>
    <x:row r="404">
      <x:c r="A404" s="252" t="str">
        <x:v>34125231</x:v>
      </x:c>
      <x:c r="B404" s="253" t="str">
        <x:v>WS1</x:v>
      </x:c>
      <x:c r="C404" s="253" t="str">
        <x:v>MB8</x:v>
      </x:c>
      <x:c r="D404" s="262" t="n">
        <x:v>46146.65207175926</x:v>
      </x:c>
      <x:c r="E404" s="259" t="n">
        <x:v>46146.166666666664</x:v>
      </x:c>
      <x:c r="F404" s="253" t="str">
        <x:v>647438</x:v>
      </x:c>
      <x:c r="G404" s="253" t="str">
        <x:v>seng0911</x:v>
      </x:c>
      <x:c r="H404" s="253" t="str">
        <x:v>Yes</x:v>
      </x:c>
      <x:c r="I404" s="253" t="str">
        <x:v>Christy</x:v>
      </x:c>
      <x:c r="J404" s="253" t="str">
        <x:v>Christy</x:v>
      </x:c>
      <x:c r="K404" s="259" t="n">
        <x:v>45859.166666666664</x:v>
      </x:c>
      <x:c r="L404" s="268" t="str">
        <x:f>IFERROR(VLOOKUP(I404,'Handler-Team Map'!$A$7:$C$17,2,FALSE),"")</x:f>
      </x:c>
      <x:c r="M404" s="268" t="str">
        <x:f>IFERROR(VLOOKUP(I404,'Handler-Team Map'!$A$7:$C$17,3,FALSE),"")</x:f>
      </x:c>
      <x:c r="N404" s="274" t="str">
        <x:v>FT_VM_DEP600_GET200_5X</x:v>
      </x:c>
      <x:c r="O404" s="274" t="str">
        <x:v>VIP BONUS - Deposit 600 Get 200 - 5x TO</x:v>
      </x:c>
      <x:c r="P404" s="274" t="str">
        <x:v>DepositBonus</x:v>
      </x:c>
      <x:c r="Q404" s="274" t="str">
        <x:v>Approved</x:v>
      </x:c>
      <x:c r="R404" s="265" t="n">
        <x:v>200</x:v>
      </x:c>
      <x:c r="S404" s="253" t="str">
        <x:v>Yes</x:v>
      </x:c>
      <x:c r="T404" s="265" t="n">
        <x:v>1100</x:v>
      </x:c>
      <x:c r="U404" s="253" t="str">
        <x:f>IF(AND(S404="Yes",T404=0),"Yes","No")</x:f>
        <x:v>No</x:v>
      </x:c>
      <x:c r="V404" s="253" t="str">
        <x:v>Yes</x:v>
      </x:c>
      <x:c r="W404" s="253" t="str">
        <x:v>Yes</x:v>
      </x:c>
      <x:c r="X404" s="259" t="n">
        <x:v>46146.166666666664</x:v>
      </x:c>
      <x:c r="Y404" s="265" t="n">
        <x:v>900</x:v>
      </x:c>
      <x:c r="Z404" s="265" t="n">
        <x:v>900</x:v>
      </x:c>
      <x:c r="AA404" s="253" t="str">
        <x:f>IF(V404="No","Maturing",IF(AND(U404="Yes",Y404&gt;0),"Yes","No"))</x:f>
        <x:v>No</x:v>
      </x:c>
      <x:c r="AB404" s="253" t="str">
        <x:f>IF(W404="No","Maturing",IF(AND(U404="Yes",Z404&gt;0),"Yes","No"))</x:f>
        <x:v>No</x:v>
      </x:c>
      <x:c r="AC404" s="265" t="n">
        <x:v>135.05</x:v>
      </x:c>
      <x:c r="AD404" s="265" t="n">
        <x:v>150.45</x:v>
      </x:c>
      <x:c r="AE404" s="271" t="str"/>
      <x:c r="AF404" s="274" t="str">
        <x:v>Not validated - no control/holdout</x:v>
      </x:c>
      <x:c r="AG404" s="277" t="str">
        <x:v>Recovered execution only; assignment date and unclaimed-offer denominator unavailable</x:v>
      </x:c>
    </x:row>
    <x:row r="405">
      <x:c r="A405" s="252" t="str">
        <x:v>34125269</x:v>
      </x:c>
      <x:c r="B405" s="253" t="str">
        <x:v>WS1</x:v>
      </x:c>
      <x:c r="C405" s="253" t="str">
        <x:v>MB8</x:v>
      </x:c>
      <x:c r="D405" s="262" t="n">
        <x:v>46146.65515046296</x:v>
      </x:c>
      <x:c r="E405" s="259" t="n">
        <x:v>46146.166666666664</x:v>
      </x:c>
      <x:c r="F405" s="253" t="str">
        <x:v>306733</x:v>
      </x:c>
      <x:c r="G405" s="253" t="str">
        <x:v>HC5140</x:v>
      </x:c>
      <x:c r="H405" s="253" t="str">
        <x:v>Yes</x:v>
      </x:c>
      <x:c r="I405" s="253" t="str">
        <x:v>Claire</x:v>
      </x:c>
      <x:c r="J405" s="253" t="str">
        <x:v>Claire</x:v>
      </x:c>
      <x:c r="K405" s="259" t="n">
        <x:v>45659.166666666664</x:v>
      </x:c>
      <x:c r="L405" s="268" t="str">
        <x:f>IFERROR(VLOOKUP(I405,'Handler-Team Map'!$A$7:$C$17,2,FALSE),"")</x:f>
      </x:c>
      <x:c r="M405" s="268" t="str">
        <x:f>IFERROR(VLOOKUP(I405,'Handler-Team Map'!$A$7:$C$17,3,FALSE),"")</x:f>
      </x:c>
      <x:c r="N405" s="274" t="str">
        <x:v>FT_VM_DEP1000_GET500_5X</x:v>
      </x:c>
      <x:c r="O405" s="274" t="str">
        <x:v>VIP BONUS - Deposit 1000 Get 500 - 5x TO</x:v>
      </x:c>
      <x:c r="P405" s="274" t="str">
        <x:v>DepositBonus</x:v>
      </x:c>
      <x:c r="Q405" s="274" t="str">
        <x:v>Approved</x:v>
      </x:c>
      <x:c r="R405" s="265" t="n">
        <x:v>500</x:v>
      </x:c>
      <x:c r="S405" s="253" t="str">
        <x:v>Yes</x:v>
      </x:c>
      <x:c r="T405" s="265" t="n">
        <x:v>142728</x:v>
      </x:c>
      <x:c r="U405" s="253" t="str">
        <x:f>IF(AND(S405="Yes",T405=0),"Yes","No")</x:f>
        <x:v>No</x:v>
      </x:c>
      <x:c r="V405" s="253" t="str">
        <x:v>Yes</x:v>
      </x:c>
      <x:c r="W405" s="253" t="str">
        <x:v>Yes</x:v>
      </x:c>
      <x:c r="X405" s="259" t="n">
        <x:v>46146.166666666664</x:v>
      </x:c>
      <x:c r="Y405" s="265" t="n">
        <x:v>58500</x:v>
      </x:c>
      <x:c r="Z405" s="265" t="n">
        <x:v>139950</x:v>
      </x:c>
      <x:c r="AA405" s="253" t="str">
        <x:f>IF(V405="No","Maturing",IF(AND(U405="Yes",Y405&gt;0),"Yes","No"))</x:f>
        <x:v>No</x:v>
      </x:c>
      <x:c r="AB405" s="253" t="str">
        <x:f>IF(W405="No","Maturing",IF(AND(U405="Yes",Z405&gt;0),"Yes","No"))</x:f>
        <x:v>No</x:v>
      </x:c>
      <x:c r="AC405" s="265" t="n">
        <x:v>-14981.78</x:v>
      </x:c>
      <x:c r="AD405" s="265" t="n">
        <x:v>-12.03</x:v>
      </x:c>
      <x:c r="AE405" s="271" t="str"/>
      <x:c r="AF405" s="274" t="str">
        <x:v>Not validated - no control/holdout</x:v>
      </x:c>
      <x:c r="AG405" s="277" t="str">
        <x:v>Recovered execution only; assignment date and unclaimed-offer denominator unavailable</x:v>
      </x:c>
    </x:row>
    <x:row r="406">
      <x:c r="A406" s="252" t="str">
        <x:v>34125335</x:v>
      </x:c>
      <x:c r="B406" s="253" t="str">
        <x:v>WS1</x:v>
      </x:c>
      <x:c r="C406" s="253" t="str">
        <x:v>MB8</x:v>
      </x:c>
      <x:c r="D406" s="262" t="n">
        <x:v>46146.65826388889</x:v>
      </x:c>
      <x:c r="E406" s="259" t="n">
        <x:v>46146.166666666664</x:v>
      </x:c>
      <x:c r="F406" s="253" t="str">
        <x:v>650335</x:v>
      </x:c>
      <x:c r="G406" s="253" t="str">
        <x:v>Azrulshah</x:v>
      </x:c>
      <x:c r="H406" s="253" t="str">
        <x:v>Yes</x:v>
      </x:c>
      <x:c r="I406" s="253" t="str">
        <x:v>Elda</x:v>
      </x:c>
      <x:c r="J406" s="253" t="str">
        <x:v>Elda</x:v>
      </x:c>
      <x:c r="K406" s="259" t="n">
        <x:v>45659.166666666664</x:v>
      </x:c>
      <x:c r="L406" s="268" t="str">
        <x:f>IFERROR(VLOOKUP(I406,'Handler-Team Map'!$A$7:$C$17,2,FALSE),"")</x:f>
      </x:c>
      <x:c r="M406" s="268" t="str">
        <x:f>IFERROR(VLOOKUP(I406,'Handler-Team Map'!$A$7:$C$17,3,FALSE),"")</x:f>
      </x:c>
      <x:c r="N406" s="274" t="str">
        <x:v>FT_VM_DEP300_GET100_5X</x:v>
      </x:c>
      <x:c r="O406" s="274" t="str">
        <x:v>VIP BONUS - Deposit 300 Get 100 - 5x TO</x:v>
      </x:c>
      <x:c r="P406" s="274" t="str">
        <x:v>DepositBonus</x:v>
      </x:c>
      <x:c r="Q406" s="274" t="str">
        <x:v>Approved</x:v>
      </x:c>
      <x:c r="R406" s="265" t="n">
        <x:v>100</x:v>
      </x:c>
      <x:c r="S406" s="253" t="str">
        <x:v>Yes</x:v>
      </x:c>
      <x:c r="T406" s="265" t="n">
        <x:v>12187</x:v>
      </x:c>
      <x:c r="U406" s="253" t="str">
        <x:f>IF(AND(S406="Yes",T406=0),"Yes","No")</x:f>
        <x:v>No</x:v>
      </x:c>
      <x:c r="V406" s="253" t="str">
        <x:v>Yes</x:v>
      </x:c>
      <x:c r="W406" s="253" t="str">
        <x:v>Yes</x:v>
      </x:c>
      <x:c r="X406" s="259" t="n">
        <x:v>46146.166666666664</x:v>
      </x:c>
      <x:c r="Y406" s="265" t="n">
        <x:v>2934</x:v>
      </x:c>
      <x:c r="Z406" s="265" t="n">
        <x:v>8274</x:v>
      </x:c>
      <x:c r="AA406" s="253" t="str">
        <x:f>IF(V406="No","Maturing",IF(AND(U406="Yes",Y406&gt;0),"Yes","No"))</x:f>
        <x:v>No</x:v>
      </x:c>
      <x:c r="AB406" s="253" t="str">
        <x:f>IF(W406="No","Maturing",IF(AND(U406="Yes",Z406&gt;0),"Yes","No"))</x:f>
        <x:v>No</x:v>
      </x:c>
      <x:c r="AC406" s="265" t="n">
        <x:v>130.29</x:v>
      </x:c>
      <x:c r="AD406" s="265" t="n">
        <x:v>1568.8</x:v>
      </x:c>
      <x:c r="AE406" s="271" t="str"/>
      <x:c r="AF406" s="274" t="str">
        <x:v>Not validated - no control/holdout</x:v>
      </x:c>
      <x:c r="AG406" s="277" t="str">
        <x:v>Recovered execution only; assignment date and unclaimed-offer denominator unavailable</x:v>
      </x:c>
    </x:row>
    <x:row r="407">
      <x:c r="A407" s="252" t="str">
        <x:v>34125358</x:v>
      </x:c>
      <x:c r="B407" s="253" t="str">
        <x:v>WS1</x:v>
      </x:c>
      <x:c r="C407" s="253" t="str">
        <x:v>MB8</x:v>
      </x:c>
      <x:c r="D407" s="262" t="n">
        <x:v>46146.660833333335</x:v>
      </x:c>
      <x:c r="E407" s="259" t="n">
        <x:v>46146.166666666664</x:v>
      </x:c>
      <x:c r="F407" s="253" t="str">
        <x:v>302345</x:v>
      </x:c>
      <x:c r="G407" s="253" t="str">
        <x:v>bujiangfatt</x:v>
      </x:c>
      <x:c r="H407" s="253" t="str">
        <x:v>Yes</x:v>
      </x:c>
      <x:c r="I407" s="253" t="str">
        <x:v>Elda</x:v>
      </x:c>
      <x:c r="J407" s="253" t="str">
        <x:v>Elda</x:v>
      </x:c>
      <x:c r="K407" s="259" t="n">
        <x:v>45659.166666666664</x:v>
      </x:c>
      <x:c r="L407" s="268" t="str">
        <x:f>IFERROR(VLOOKUP(I407,'Handler-Team Map'!$A$7:$C$17,2,FALSE),"")</x:f>
      </x:c>
      <x:c r="M407" s="268" t="str">
        <x:f>IFERROR(VLOOKUP(I407,'Handler-Team Map'!$A$7:$C$17,3,FALSE),"")</x:f>
      </x:c>
      <x:c r="N407" s="274" t="str">
        <x:v>FT_VM_DEP700_GET300_1X</x:v>
      </x:c>
      <x:c r="O407" s="274" t="str">
        <x:v>VIP BONUS - Deposit 700 Get 300 - 1x TO</x:v>
      </x:c>
      <x:c r="P407" s="274" t="str">
        <x:v>DepositBonus</x:v>
      </x:c>
      <x:c r="Q407" s="274" t="str">
        <x:v>Approved</x:v>
      </x:c>
      <x:c r="R407" s="265" t="n">
        <x:v>300</x:v>
      </x:c>
      <x:c r="S407" s="253" t="str">
        <x:v>Yes</x:v>
      </x:c>
      <x:c r="T407" s="265" t="n">
        <x:v>19630</x:v>
      </x:c>
      <x:c r="U407" s="253" t="str">
        <x:f>IF(AND(S407="Yes",T407=0),"Yes","No")</x:f>
        <x:v>No</x:v>
      </x:c>
      <x:c r="V407" s="253" t="str">
        <x:v>Yes</x:v>
      </x:c>
      <x:c r="W407" s="253" t="str">
        <x:v>Yes</x:v>
      </x:c>
      <x:c r="X407" s="259" t="n">
        <x:v>46146.166666666664</x:v>
      </x:c>
      <x:c r="Y407" s="265" t="n">
        <x:v>860</x:v>
      </x:c>
      <x:c r="Z407" s="265" t="n">
        <x:v>2510</x:v>
      </x:c>
      <x:c r="AA407" s="253" t="str">
        <x:f>IF(V407="No","Maturing",IF(AND(U407="Yes",Y407&gt;0),"Yes","No"))</x:f>
        <x:v>No</x:v>
      </x:c>
      <x:c r="AB407" s="253" t="str">
        <x:f>IF(W407="No","Maturing",IF(AND(U407="Yes",Z407&gt;0),"Yes","No"))</x:f>
        <x:v>No</x:v>
      </x:c>
      <x:c r="AC407" s="265" t="n">
        <x:v>-433.91</x:v>
      </x:c>
      <x:c r="AD407" s="265" t="n">
        <x:v>1217.91</x:v>
      </x:c>
      <x:c r="AE407" s="271" t="str"/>
      <x:c r="AF407" s="274" t="str">
        <x:v>Not validated - no control/holdout</x:v>
      </x:c>
      <x:c r="AG407" s="277" t="str">
        <x:v>Recovered execution only; assignment date and unclaimed-offer denominator unavailable</x:v>
      </x:c>
    </x:row>
    <x:row r="408">
      <x:c r="A408" s="252" t="str">
        <x:v>34125404</x:v>
      </x:c>
      <x:c r="B408" s="253" t="str">
        <x:v>WS1</x:v>
      </x:c>
      <x:c r="C408" s="253" t="str">
        <x:v>MB8</x:v>
      </x:c>
      <x:c r="D408" s="262" t="n">
        <x:v>46146.663506944446</x:v>
      </x:c>
      <x:c r="E408" s="259" t="n">
        <x:v>46146.166666666664</x:v>
      </x:c>
      <x:c r="F408" s="253" t="str">
        <x:v>938720</x:v>
      </x:c>
      <x:c r="G408" s="253" t="str">
        <x:v>Sutheshkumar</x:v>
      </x:c>
      <x:c r="H408" s="253" t="str">
        <x:v>Yes</x:v>
      </x:c>
      <x:c r="I408" s="253" t="str">
        <x:v>Tammy</x:v>
      </x:c>
      <x:c r="J408" s="253" t="str">
        <x:v>Tammy</x:v>
      </x:c>
      <x:c r="K408" s="259" t="n">
        <x:v>45951.166666666664</x:v>
      </x:c>
      <x:c r="L408" s="268" t="str">
        <x:f>IFERROR(VLOOKUP(I408,'Handler-Team Map'!$A$7:$C$17,2,FALSE),"")</x:f>
      </x:c>
      <x:c r="M408" s="268" t="str">
        <x:f>IFERROR(VLOOKUP(I408,'Handler-Team Map'!$A$7:$C$17,3,FALSE),"")</x:f>
      </x:c>
      <x:c r="N408" s="274" t="str">
        <x:v>FT_VM_DEP700_GET300_2X</x:v>
      </x:c>
      <x:c r="O408" s="274" t="str">
        <x:v>VIP BONUS - Deposit 700 Get 300 - 2x TO</x:v>
      </x:c>
      <x:c r="P408" s="274" t="str">
        <x:v>DepositBonus</x:v>
      </x:c>
      <x:c r="Q408" s="274" t="str">
        <x:v>Approved</x:v>
      </x:c>
      <x:c r="R408" s="265" t="n">
        <x:v>300</x:v>
      </x:c>
      <x:c r="S408" s="253" t="str">
        <x:v>Yes</x:v>
      </x:c>
      <x:c r="T408" s="265" t="n">
        <x:v>79620.5</x:v>
      </x:c>
      <x:c r="U408" s="253" t="str">
        <x:f>IF(AND(S408="Yes",T408=0),"Yes","No")</x:f>
        <x:v>No</x:v>
      </x:c>
      <x:c r="V408" s="253" t="str">
        <x:v>Yes</x:v>
      </x:c>
      <x:c r="W408" s="253" t="str">
        <x:v>Yes</x:v>
      </x:c>
      <x:c r="X408" s="259" t="n">
        <x:v>46146.166666666664</x:v>
      </x:c>
      <x:c r="Y408" s="265" t="n">
        <x:v>15051</x:v>
      </x:c>
      <x:c r="Z408" s="265" t="n">
        <x:v>21862</x:v>
      </x:c>
      <x:c r="AA408" s="253" t="str">
        <x:f>IF(V408="No","Maturing",IF(AND(U408="Yes",Y408&gt;0),"Yes","No"))</x:f>
        <x:v>No</x:v>
      </x:c>
      <x:c r="AB408" s="253" t="str">
        <x:f>IF(W408="No","Maturing",IF(AND(U408="Yes",Z408&gt;0),"Yes","No"))</x:f>
        <x:v>No</x:v>
      </x:c>
      <x:c r="AC408" s="265" t="n">
        <x:v>7191.04</x:v>
      </x:c>
      <x:c r="AD408" s="265" t="n">
        <x:v>9002.03</x:v>
      </x:c>
      <x:c r="AE408" s="271" t="str"/>
      <x:c r="AF408" s="274" t="str">
        <x:v>Not validated - no control/holdout</x:v>
      </x:c>
      <x:c r="AG408" s="277" t="str">
        <x:v>Recovered execution only; assignment date and unclaimed-offer denominator unavailable</x:v>
      </x:c>
    </x:row>
    <x:row r="409">
      <x:c r="A409" s="252" t="str">
        <x:v>34125620</x:v>
      </x:c>
      <x:c r="B409" s="253" t="str">
        <x:v>WS1</x:v>
      </x:c>
      <x:c r="C409" s="253" t="str">
        <x:v>MB8</x:v>
      </x:c>
      <x:c r="D409" s="262" t="n">
        <x:v>46146.676932870374</x:v>
      </x:c>
      <x:c r="E409" s="259" t="n">
        <x:v>46146.166666666664</x:v>
      </x:c>
      <x:c r="F409" s="253" t="str">
        <x:v>170763</x:v>
      </x:c>
      <x:c r="G409" s="253" t="str">
        <x:v>60192762302</x:v>
      </x:c>
      <x:c r="H409" s="253" t="str">
        <x:v>Yes</x:v>
      </x:c>
      <x:c r="I409" s="253" t="str">
        <x:v>Claire</x:v>
      </x:c>
      <x:c r="J409" s="253" t="str">
        <x:v>Claire</x:v>
      </x:c>
      <x:c r="K409" s="259" t="n">
        <x:v>45659.166666666664</x:v>
      </x:c>
      <x:c r="L409" s="268" t="str">
        <x:f>IFERROR(VLOOKUP(I409,'Handler-Team Map'!$A$7:$C$17,2,FALSE),"")</x:f>
      </x:c>
      <x:c r="M409" s="268" t="str">
        <x:f>IFERROR(VLOOKUP(I409,'Handler-Team Map'!$A$7:$C$17,3,FALSE),"")</x:f>
      </x:c>
      <x:c r="N409" s="274" t="str">
        <x:v>FT_VM_DEP150_GET50_5X</x:v>
      </x:c>
      <x:c r="O409" s="274" t="str">
        <x:v>VIP BONUS - Deposit 150 Get 50 - 5x TO</x:v>
      </x:c>
      <x:c r="P409" s="274" t="str">
        <x:v>DepositBonus</x:v>
      </x:c>
      <x:c r="Q409" s="274" t="str">
        <x:v>Approved</x:v>
      </x:c>
      <x:c r="R409" s="265" t="n">
        <x:v>50</x:v>
      </x:c>
      <x:c r="S409" s="253" t="str">
        <x:v>Yes</x:v>
      </x:c>
      <x:c r="T409" s="265" t="n">
        <x:v>17435</x:v>
      </x:c>
      <x:c r="U409" s="253" t="str">
        <x:f>IF(AND(S409="Yes",T409=0),"Yes","No")</x:f>
        <x:v>No</x:v>
      </x:c>
      <x:c r="V409" s="253" t="str">
        <x:v>Yes</x:v>
      </x:c>
      <x:c r="W409" s="253" t="str">
        <x:v>Yes</x:v>
      </x:c>
      <x:c r="X409" s="259" t="n">
        <x:v>46146.166666666664</x:v>
      </x:c>
      <x:c r="Y409" s="265" t="n">
        <x:v>1820</x:v>
      </x:c>
      <x:c r="Z409" s="265" t="n">
        <x:v>2140</x:v>
      </x:c>
      <x:c r="AA409" s="253" t="str">
        <x:f>IF(V409="No","Maturing",IF(AND(U409="Yes",Y409&gt;0),"Yes","No"))</x:f>
        <x:v>No</x:v>
      </x:c>
      <x:c r="AB409" s="253" t="str">
        <x:f>IF(W409="No","Maturing",IF(AND(U409="Yes",Z409&gt;0),"Yes","No"))</x:f>
        <x:v>No</x:v>
      </x:c>
      <x:c r="AC409" s="265" t="n">
        <x:v>917.74</x:v>
      </x:c>
      <x:c r="AD409" s="265" t="n">
        <x:v>1244.39</x:v>
      </x:c>
      <x:c r="AE409" s="271" t="str"/>
      <x:c r="AF409" s="274" t="str">
        <x:v>Not validated - no control/holdout</x:v>
      </x:c>
      <x:c r="AG409" s="277" t="str">
        <x:v>Recovered execution only; assignment date and unclaimed-offer denominator unavailable</x:v>
      </x:c>
    </x:row>
    <x:row r="410">
      <x:c r="A410" s="252" t="str">
        <x:v>34125682</x:v>
      </x:c>
      <x:c r="B410" s="253" t="str">
        <x:v>WS1</x:v>
      </x:c>
      <x:c r="C410" s="253" t="str">
        <x:v>MB8</x:v>
      </x:c>
      <x:c r="D410" s="262" t="n">
        <x:v>46146.68046296296</x:v>
      </x:c>
      <x:c r="E410" s="259" t="n">
        <x:v>46146.166666666664</x:v>
      </x:c>
      <x:c r="F410" s="253" t="str">
        <x:v>254348</x:v>
      </x:c>
      <x:c r="G410" s="253" t="str">
        <x:v>Bryan93csj</x:v>
      </x:c>
      <x:c r="H410" s="253" t="str">
        <x:v>Yes</x:v>
      </x:c>
      <x:c r="I410" s="253" t="str">
        <x:v>Tammy</x:v>
      </x:c>
      <x:c r="J410" s="253" t="str">
        <x:v>Tammy</x:v>
      </x:c>
      <x:c r="K410" s="259" t="n">
        <x:v>46028.166666666664</x:v>
      </x:c>
      <x:c r="L410" s="268" t="str">
        <x:f>IFERROR(VLOOKUP(I410,'Handler-Team Map'!$A$7:$C$17,2,FALSE),"")</x:f>
      </x:c>
      <x:c r="M410" s="268" t="str">
        <x:f>IFERROR(VLOOKUP(I410,'Handler-Team Map'!$A$7:$C$17,3,FALSE),"")</x:f>
      </x:c>
      <x:c r="N410" s="274" t="str">
        <x:v>FT_VM_DEP1000_GET1000_1X</x:v>
      </x:c>
      <x:c r="O410" s="274" t="str">
        <x:v>VIP BONUS - Deposit 1000 Get 1000 - 1x TO</x:v>
      </x:c>
      <x:c r="P410" s="274" t="str">
        <x:v>DepositBonus</x:v>
      </x:c>
      <x:c r="Q410" s="274" t="str">
        <x:v>Approved</x:v>
      </x:c>
      <x:c r="R410" s="265" t="n">
        <x:v>1000</x:v>
      </x:c>
      <x:c r="S410" s="253" t="str">
        <x:v>Yes</x:v>
      </x:c>
      <x:c r="T410" s="265" t="n">
        <x:v>57000</x:v>
      </x:c>
      <x:c r="U410" s="253" t="str">
        <x:f>IF(AND(S410="Yes",T410=0),"Yes","No")</x:f>
        <x:v>No</x:v>
      </x:c>
      <x:c r="V410" s="253" t="str">
        <x:v>Yes</x:v>
      </x:c>
      <x:c r="W410" s="253" t="str">
        <x:v>Yes</x:v>
      </x:c>
      <x:c r="X410" s="259" t="n">
        <x:v>46146.166666666664</x:v>
      </x:c>
      <x:c r="Y410" s="265" t="n">
        <x:v>1000</x:v>
      </x:c>
      <x:c r="Z410" s="265" t="n">
        <x:v>1000</x:v>
      </x:c>
      <x:c r="AA410" s="253" t="str">
        <x:f>IF(V410="No","Maturing",IF(AND(U410="Yes",Y410&gt;0),"Yes","No"))</x:f>
        <x:v>No</x:v>
      </x:c>
      <x:c r="AB410" s="253" t="str">
        <x:f>IF(W410="No","Maturing",IF(AND(U410="Yes",Z410&gt;0),"Yes","No"))</x:f>
        <x:v>No</x:v>
      </x:c>
      <x:c r="AC410" s="265" t="n">
        <x:v>998.69</x:v>
      </x:c>
      <x:c r="AD410" s="265" t="n">
        <x:v>998.69</x:v>
      </x:c>
      <x:c r="AE410" s="271" t="str"/>
      <x:c r="AF410" s="274" t="str">
        <x:v>Not validated - no control/holdout</x:v>
      </x:c>
      <x:c r="AG410" s="277" t="str">
        <x:v>Recovered execution only; assignment date and unclaimed-offer denominator unavailable</x:v>
      </x:c>
    </x:row>
    <x:row r="411">
      <x:c r="A411" s="252" t="str">
        <x:v>34126112</x:v>
      </x:c>
      <x:c r="B411" s="253" t="str">
        <x:v>WS1</x:v>
      </x:c>
      <x:c r="C411" s="253" t="str">
        <x:v>MB8</x:v>
      </x:c>
      <x:c r="D411" s="262" t="n">
        <x:v>46146.705196759256</x:v>
      </x:c>
      <x:c r="E411" s="259" t="n">
        <x:v>46146.166666666664</x:v>
      </x:c>
      <x:c r="F411" s="253" t="str">
        <x:v>1199745</x:v>
      </x:c>
      <x:c r="G411" s="253" t="str">
        <x:v>azlikeche2237</x:v>
      </x:c>
      <x:c r="H411" s="253" t="str">
        <x:v>Yes</x:v>
      </x:c>
      <x:c r="I411" s="253" t="str">
        <x:v>Serene</x:v>
      </x:c>
      <x:c r="J411" s="253" t="str">
        <x:v>Serene</x:v>
      </x:c>
      <x:c r="K411" s="259" t="n">
        <x:v>46105.166666666664</x:v>
      </x:c>
      <x:c r="L411" s="268" t="str">
        <x:f>IFERROR(VLOOKUP(I411,'Handler-Team Map'!$A$7:$C$17,2,FALSE),"")</x:f>
      </x:c>
      <x:c r="M411" s="268" t="str">
        <x:f>IFERROR(VLOOKUP(I411,'Handler-Team Map'!$A$7:$C$17,3,FALSE),"")</x:f>
      </x:c>
      <x:c r="N411" s="274" t="str">
        <x:v>FT_VM_DEP150_GET50_5X</x:v>
      </x:c>
      <x:c r="O411" s="274" t="str">
        <x:v>VIP BONUS - Deposit 150 Get 50 - 5x TO</x:v>
      </x:c>
      <x:c r="P411" s="274" t="str">
        <x:v>DepositBonus</x:v>
      </x:c>
      <x:c r="Q411" s="274" t="str">
        <x:v>Approved</x:v>
      </x:c>
      <x:c r="R411" s="265" t="n">
        <x:v>50</x:v>
      </x:c>
      <x:c r="S411" s="253" t="str">
        <x:v>Yes</x:v>
      </x:c>
      <x:c r="T411" s="265" t="n">
        <x:v>28200</x:v>
      </x:c>
      <x:c r="U411" s="253" t="str">
        <x:f>IF(AND(S411="Yes",T411=0),"Yes","No")</x:f>
        <x:v>No</x:v>
      </x:c>
      <x:c r="V411" s="253" t="str">
        <x:v>Yes</x:v>
      </x:c>
      <x:c r="W411" s="253" t="str">
        <x:v>Yes</x:v>
      </x:c>
      <x:c r="X411" s="259" t="n">
        <x:v>46146.166666666664</x:v>
      </x:c>
      <x:c r="Y411" s="265" t="n">
        <x:v>4080</x:v>
      </x:c>
      <x:c r="Z411" s="265" t="n">
        <x:v>5980</x:v>
      </x:c>
      <x:c r="AA411" s="253" t="str">
        <x:f>IF(V411="No","Maturing",IF(AND(U411="Yes",Y411&gt;0),"Yes","No"))</x:f>
        <x:v>No</x:v>
      </x:c>
      <x:c r="AB411" s="253" t="str">
        <x:f>IF(W411="No","Maturing",IF(AND(U411="Yes",Z411&gt;0),"Yes","No"))</x:f>
        <x:v>No</x:v>
      </x:c>
      <x:c r="AC411" s="265" t="n">
        <x:v>1314.82</x:v>
      </x:c>
      <x:c r="AD411" s="265" t="n">
        <x:v>-2980.13</x:v>
      </x:c>
      <x:c r="AE411" s="271" t="str"/>
      <x:c r="AF411" s="274" t="str">
        <x:v>Not validated - no control/holdout</x:v>
      </x:c>
      <x:c r="AG411" s="277" t="str">
        <x:v>Recovered execution only; assignment date and unclaimed-offer denominator unavailable</x:v>
      </x:c>
    </x:row>
    <x:row r="412">
      <x:c r="A412" s="252" t="str">
        <x:v>34126212</x:v>
      </x:c>
      <x:c r="B412" s="253" t="str">
        <x:v>WS1</x:v>
      </x:c>
      <x:c r="C412" s="253" t="str">
        <x:v>MB8</x:v>
      </x:c>
      <x:c r="D412" s="262" t="n">
        <x:v>46146.70945601852</x:v>
      </x:c>
      <x:c r="E412" s="259" t="n">
        <x:v>46146.166666666664</x:v>
      </x:c>
      <x:c r="F412" s="253" t="str">
        <x:v>587646</x:v>
      </x:c>
      <x:c r="G412" s="253" t="str">
        <x:v>arilrich</x:v>
      </x:c>
      <x:c r="H412" s="253" t="str">
        <x:v>Yes</x:v>
      </x:c>
      <x:c r="I412" s="253" t="str">
        <x:v>Christy</x:v>
      </x:c>
      <x:c r="J412" s="253" t="str">
        <x:v>Christy</x:v>
      </x:c>
      <x:c r="K412" s="259" t="n">
        <x:v>45831.166666666664</x:v>
      </x:c>
      <x:c r="L412" s="268" t="str">
        <x:f>IFERROR(VLOOKUP(I412,'Handler-Team Map'!$A$7:$C$17,2,FALSE),"")</x:f>
      </x:c>
      <x:c r="M412" s="268" t="str">
        <x:f>IFERROR(VLOOKUP(I412,'Handler-Team Map'!$A$7:$C$17,3,FALSE),"")</x:f>
      </x:c>
      <x:c r="N412" s="274" t="str">
        <x:v>FT_VM_DEP1000_GET500_5X</x:v>
      </x:c>
      <x:c r="O412" s="274" t="str">
        <x:v>VIP BONUS - Deposit 1000 Get 500 - 5x TO</x:v>
      </x:c>
      <x:c r="P412" s="274" t="str">
        <x:v>DepositBonus</x:v>
      </x:c>
      <x:c r="Q412" s="274" t="str">
        <x:v>Approved</x:v>
      </x:c>
      <x:c r="R412" s="265" t="n">
        <x:v>500</x:v>
      </x:c>
      <x:c r="S412" s="253" t="str">
        <x:v>Yes</x:v>
      </x:c>
      <x:c r="T412" s="265" t="n">
        <x:v>10920</x:v>
      </x:c>
      <x:c r="U412" s="253" t="str">
        <x:f>IF(AND(S412="Yes",T412=0),"Yes","No")</x:f>
        <x:v>No</x:v>
      </x:c>
      <x:c r="V412" s="253" t="str">
        <x:v>Yes</x:v>
      </x:c>
      <x:c r="W412" s="253" t="str">
        <x:v>Yes</x:v>
      </x:c>
      <x:c r="X412" s="259" t="n">
        <x:v>46146.166666666664</x:v>
      </x:c>
      <x:c r="Y412" s="265" t="n">
        <x:v>1160</x:v>
      </x:c>
      <x:c r="Z412" s="265" t="n">
        <x:v>3160</x:v>
      </x:c>
      <x:c r="AA412" s="253" t="str">
        <x:f>IF(V412="No","Maturing",IF(AND(U412="Yes",Y412&gt;0),"Yes","No"))</x:f>
        <x:v>No</x:v>
      </x:c>
      <x:c r="AB412" s="253" t="str">
        <x:f>IF(W412="No","Maturing",IF(AND(U412="Yes",Z412&gt;0),"Yes","No"))</x:f>
        <x:v>No</x:v>
      </x:c>
      <x:c r="AC412" s="265" t="n">
        <x:v>-3044.7</x:v>
      </x:c>
      <x:c r="AD412" s="265" t="n">
        <x:v>-1044.69</x:v>
      </x:c>
      <x:c r="AE412" s="271" t="str"/>
      <x:c r="AF412" s="274" t="str">
        <x:v>Not validated - no control/holdout</x:v>
      </x:c>
      <x:c r="AG412" s="277" t="str">
        <x:v>Recovered execution only; assignment date and unclaimed-offer denominator unavailable</x:v>
      </x:c>
    </x:row>
    <x:row r="413">
      <x:c r="A413" s="252" t="str">
        <x:v>34126274</x:v>
      </x:c>
      <x:c r="B413" s="253" t="str">
        <x:v>WS1</x:v>
      </x:c>
      <x:c r="C413" s="253" t="str">
        <x:v>MB8</x:v>
      </x:c>
      <x:c r="D413" s="262" t="n">
        <x:v>46146.71436342593</x:v>
      </x:c>
      <x:c r="E413" s="259" t="n">
        <x:v>46146.166666666664</x:v>
      </x:c>
      <x:c r="F413" s="253" t="str">
        <x:v>1123881</x:v>
      </x:c>
      <x:c r="G413" s="253" t="str">
        <x:v>Hc11a9999008</x:v>
      </x:c>
      <x:c r="H413" s="253" t="str">
        <x:v>Yes</x:v>
      </x:c>
      <x:c r="I413" s="253" t="str"/>
      <x:c r="J413" s="253" t="str"/>
      <x:c r="K413" s="259"/>
      <x:c r="L413" s="268" t="str">
        <x:f>IFERROR(VLOOKUP(I413,'Handler-Team Map'!$A$7:$C$17,2,FALSE),"")</x:f>
      </x:c>
      <x:c r="M413" s="268" t="str">
        <x:f>IFERROR(VLOOKUP(I413,'Handler-Team Map'!$A$7:$C$17,3,FALSE),"")</x:f>
      </x:c>
      <x:c r="N413" s="274" t="str">
        <x:v>FT_VM_DEP700_GET300_2X</x:v>
      </x:c>
      <x:c r="O413" s="274" t="str">
        <x:v>VIP BONUS - Deposit 700 Get 300 - 2x TO</x:v>
      </x:c>
      <x:c r="P413" s="274" t="str">
        <x:v>DepositBonus</x:v>
      </x:c>
      <x:c r="Q413" s="274" t="str">
        <x:v>Approved</x:v>
      </x:c>
      <x:c r="R413" s="265" t="n">
        <x:v>300</x:v>
      </x:c>
      <x:c r="S413" s="253" t="str">
        <x:v>Yes</x:v>
      </x:c>
      <x:c r="T413" s="265" t="n">
        <x:v>200</x:v>
      </x:c>
      <x:c r="U413" s="253" t="str">
        <x:f>IF(AND(S413="Yes",T413=0),"Yes","No")</x:f>
        <x:v>No</x:v>
      </x:c>
      <x:c r="V413" s="253" t="str">
        <x:v>Yes</x:v>
      </x:c>
      <x:c r="W413" s="253" t="str">
        <x:v>Yes</x:v>
      </x:c>
      <x:c r="X413" s="259" t="n">
        <x:v>46146.166666666664</x:v>
      </x:c>
      <x:c r="Y413" s="265" t="n">
        <x:v>1500</x:v>
      </x:c>
      <x:c r="Z413" s="265" t="n">
        <x:v>2893</x:v>
      </x:c>
      <x:c r="AA413" s="253" t="str">
        <x:f>IF(V413="No","Maturing",IF(AND(U413="Yes",Y413&gt;0),"Yes","No"))</x:f>
        <x:v>No</x:v>
      </x:c>
      <x:c r="AB413" s="253" t="str">
        <x:f>IF(W413="No","Maturing",IF(AND(U413="Yes",Z413&gt;0),"Yes","No"))</x:f>
        <x:v>No</x:v>
      </x:c>
      <x:c r="AC413" s="265" t="n">
        <x:v>-789.8</x:v>
      </x:c>
      <x:c r="AD413" s="265" t="n">
        <x:v>257.58</x:v>
      </x:c>
      <x:c r="AE413" s="271" t="str"/>
      <x:c r="AF413" s="274" t="str">
        <x:v>Not validated - no control/holdout</x:v>
      </x:c>
      <x:c r="AG413" s="277" t="str">
        <x:v>Recovered execution only; assignment date and unclaimed-offer denominator unavailable</x:v>
      </x:c>
    </x:row>
    <x:row r="414">
      <x:c r="A414" s="252" t="str">
        <x:v>34126460</x:v>
      </x:c>
      <x:c r="B414" s="253" t="str">
        <x:v>WS1</x:v>
      </x:c>
      <x:c r="C414" s="253" t="str">
        <x:v>MB8</x:v>
      </x:c>
      <x:c r="D414" s="262" t="n">
        <x:v>46146.725590277776</x:v>
      </x:c>
      <x:c r="E414" s="259" t="n">
        <x:v>46146.166666666664</x:v>
      </x:c>
      <x:c r="F414" s="253" t="str">
        <x:v>489812</x:v>
      </x:c>
      <x:c r="G414" s="253" t="str">
        <x:v>C0132475770</x:v>
      </x:c>
      <x:c r="H414" s="253" t="str">
        <x:v>Yes</x:v>
      </x:c>
      <x:c r="I414" s="253" t="str">
        <x:v>Elda</x:v>
      </x:c>
      <x:c r="J414" s="253" t="str">
        <x:v>Elda</x:v>
      </x:c>
      <x:c r="K414" s="259" t="n">
        <x:v>45659.166666666664</x:v>
      </x:c>
      <x:c r="L414" s="268" t="str">
        <x:f>IFERROR(VLOOKUP(I414,'Handler-Team Map'!$A$7:$C$17,2,FALSE),"")</x:f>
      </x:c>
      <x:c r="M414" s="268" t="str">
        <x:f>IFERROR(VLOOKUP(I414,'Handler-Team Map'!$A$7:$C$17,3,FALSE),"")</x:f>
      </x:c>
      <x:c r="N414" s="274" t="str">
        <x:v>FT_VM_DEP1000_GET500_5X</x:v>
      </x:c>
      <x:c r="O414" s="274" t="str">
        <x:v>VIP BONUS - Deposit 1000 Get 500 - 5x TO</x:v>
      </x:c>
      <x:c r="P414" s="274" t="str">
        <x:v>DepositBonus</x:v>
      </x:c>
      <x:c r="Q414" s="274" t="str">
        <x:v>Approved</x:v>
      </x:c>
      <x:c r="R414" s="265" t="n">
        <x:v>500</x:v>
      </x:c>
      <x:c r="S414" s="253" t="str">
        <x:v>Yes</x:v>
      </x:c>
      <x:c r="T414" s="265" t="n">
        <x:v>1500</x:v>
      </x:c>
      <x:c r="U414" s="253" t="str">
        <x:f>IF(AND(S414="Yes",T414=0),"Yes","No")</x:f>
        <x:v>No</x:v>
      </x:c>
      <x:c r="V414" s="253" t="str">
        <x:v>Yes</x:v>
      </x:c>
      <x:c r="W414" s="253" t="str">
        <x:v>Yes</x:v>
      </x:c>
      <x:c r="X414" s="259" t="n">
        <x:v>46146.166666666664</x:v>
      </x:c>
      <x:c r="Y414" s="265" t="n">
        <x:v>7500</x:v>
      </x:c>
      <x:c r="Z414" s="265" t="n">
        <x:v>8000</x:v>
      </x:c>
      <x:c r="AA414" s="253" t="str">
        <x:f>IF(V414="No","Maturing",IF(AND(U414="Yes",Y414&gt;0),"Yes","No"))</x:f>
        <x:v>No</x:v>
      </x:c>
      <x:c r="AB414" s="253" t="str">
        <x:f>IF(W414="No","Maturing",IF(AND(U414="Yes",Z414&gt;0),"Yes","No"))</x:f>
        <x:v>No</x:v>
      </x:c>
      <x:c r="AC414" s="265" t="n">
        <x:v>125.17</x:v>
      </x:c>
      <x:c r="AD414" s="265" t="n">
        <x:v>301.85</x:v>
      </x:c>
      <x:c r="AE414" s="271" t="str"/>
      <x:c r="AF414" s="274" t="str">
        <x:v>Not validated - no control/holdout</x:v>
      </x:c>
      <x:c r="AG414" s="277" t="str">
        <x:v>Recovered execution only; assignment date and unclaimed-offer denominator unavailable</x:v>
      </x:c>
    </x:row>
    <x:row r="415">
      <x:c r="A415" s="252" t="str">
        <x:v>34126582</x:v>
      </x:c>
      <x:c r="B415" s="253" t="str">
        <x:v>WS1</x:v>
      </x:c>
      <x:c r="C415" s="253" t="str">
        <x:v>MB8</x:v>
      </x:c>
      <x:c r="D415" s="262" t="n">
        <x:v>46146.733715277776</x:v>
      </x:c>
      <x:c r="E415" s="259" t="n">
        <x:v>46146.166666666664</x:v>
      </x:c>
      <x:c r="F415" s="253" t="str">
        <x:v>710888</x:v>
      </x:c>
      <x:c r="G415" s="253" t="str">
        <x:v>Tasnim17</x:v>
      </x:c>
      <x:c r="H415" s="253" t="str">
        <x:v>Yes</x:v>
      </x:c>
      <x:c r="I415" s="253" t="str">
        <x:v>Kam</x:v>
      </x:c>
      <x:c r="J415" s="253" t="str">
        <x:v>Kam</x:v>
      </x:c>
      <x:c r="K415" s="259" t="n">
        <x:v>45817.166666666664</x:v>
      </x:c>
      <x:c r="L415" s="268" t="str">
        <x:f>IFERROR(VLOOKUP(I415,'Handler-Team Map'!$A$7:$C$17,2,FALSE),"")</x:f>
      </x:c>
      <x:c r="M415" s="268" t="str">
        <x:f>IFERROR(VLOOKUP(I415,'Handler-Team Map'!$A$7:$C$17,3,FALSE),"")</x:f>
      </x:c>
      <x:c r="N415" s="274" t="str">
        <x:v>FT_VM_DEP700_GET300_2X</x:v>
      </x:c>
      <x:c r="O415" s="274" t="str">
        <x:v>VIP BONUS - Deposit 700 Get 300 - 2x TO</x:v>
      </x:c>
      <x:c r="P415" s="274" t="str">
        <x:v>DepositBonus</x:v>
      </x:c>
      <x:c r="Q415" s="274" t="str">
        <x:v>Approved</x:v>
      </x:c>
      <x:c r="R415" s="265" t="n">
        <x:v>300</x:v>
      </x:c>
      <x:c r="S415" s="253" t="str">
        <x:v>Yes</x:v>
      </x:c>
      <x:c r="T415" s="265" t="n">
        <x:v>3650</x:v>
      </x:c>
      <x:c r="U415" s="253" t="str">
        <x:f>IF(AND(S415="Yes",T415=0),"Yes","No")</x:f>
        <x:v>No</x:v>
      </x:c>
      <x:c r="V415" s="253" t="str">
        <x:v>Yes</x:v>
      </x:c>
      <x:c r="W415" s="253" t="str">
        <x:v>Yes</x:v>
      </x:c>
      <x:c r="X415" s="259" t="n">
        <x:v>46146.166666666664</x:v>
      </x:c>
      <x:c r="Y415" s="265" t="n">
        <x:v>850</x:v>
      </x:c>
      <x:c r="Z415" s="265" t="n">
        <x:v>850</x:v>
      </x:c>
      <x:c r="AA415" s="253" t="str">
        <x:f>IF(V415="No","Maturing",IF(AND(U415="Yes",Y415&gt;0),"Yes","No"))</x:f>
        <x:v>No</x:v>
      </x:c>
      <x:c r="AB415" s="253" t="str">
        <x:f>IF(W415="No","Maturing",IF(AND(U415="Yes",Z415&gt;0),"Yes","No"))</x:f>
        <x:v>No</x:v>
      </x:c>
      <x:c r="AC415" s="265" t="n">
        <x:v>-1.34</x:v>
      </x:c>
      <x:c r="AD415" s="265" t="n">
        <x:v>-0.09</x:v>
      </x:c>
      <x:c r="AE415" s="271" t="str"/>
      <x:c r="AF415" s="274" t="str">
        <x:v>Not validated - no control/holdout</x:v>
      </x:c>
      <x:c r="AG415" s="277" t="str">
        <x:v>Recovered execution only; assignment date and unclaimed-offer denominator unavailable</x:v>
      </x:c>
    </x:row>
    <x:row r="416">
      <x:c r="A416" s="252" t="str">
        <x:v>34126854</x:v>
      </x:c>
      <x:c r="B416" s="253" t="str">
        <x:v>WS1</x:v>
      </x:c>
      <x:c r="C416" s="253" t="str">
        <x:v>MB8</x:v>
      </x:c>
      <x:c r="D416" s="262" t="n">
        <x:v>46146.75467592593</x:v>
      </x:c>
      <x:c r="E416" s="259" t="n">
        <x:v>46146.166666666664</x:v>
      </x:c>
      <x:c r="F416" s="253" t="str">
        <x:v>228125</x:v>
      </x:c>
      <x:c r="G416" s="253" t="str">
        <x:v>Hanapi241165</x:v>
      </x:c>
      <x:c r="H416" s="253" t="str">
        <x:v>Yes</x:v>
      </x:c>
      <x:c r="I416" s="253" t="str">
        <x:v>Elda</x:v>
      </x:c>
      <x:c r="J416" s="253" t="str">
        <x:v>Elda</x:v>
      </x:c>
      <x:c r="K416" s="259" t="n">
        <x:v>45659.166666666664</x:v>
      </x:c>
      <x:c r="L416" s="268" t="str">
        <x:f>IFERROR(VLOOKUP(I416,'Handler-Team Map'!$A$7:$C$17,2,FALSE),"")</x:f>
      </x:c>
      <x:c r="M416" s="268" t="str">
        <x:f>IFERROR(VLOOKUP(I416,'Handler-Team Map'!$A$7:$C$17,3,FALSE),"")</x:f>
      </x:c>
      <x:c r="N416" s="274" t="str">
        <x:v>FT_VM_DEP1000_GET500_5X</x:v>
      </x:c>
      <x:c r="O416" s="274" t="str">
        <x:v>VIP BONUS - Deposit 1000 Get 500 - 5x TO</x:v>
      </x:c>
      <x:c r="P416" s="274" t="str">
        <x:v>DepositBonus</x:v>
      </x:c>
      <x:c r="Q416" s="274" t="str">
        <x:v>Approved</x:v>
      </x:c>
      <x:c r="R416" s="265" t="n">
        <x:v>500</x:v>
      </x:c>
      <x:c r="S416" s="253" t="str">
        <x:v>Yes</x:v>
      </x:c>
      <x:c r="T416" s="265" t="n">
        <x:v>15100</x:v>
      </x:c>
      <x:c r="U416" s="253" t="str">
        <x:f>IF(AND(S416="Yes",T416=0),"Yes","No")</x:f>
        <x:v>No</x:v>
      </x:c>
      <x:c r="V416" s="253" t="str">
        <x:v>Yes</x:v>
      </x:c>
      <x:c r="W416" s="253" t="str">
        <x:v>Yes</x:v>
      </x:c>
      <x:c r="X416" s="259" t="n">
        <x:v>46146.166666666664</x:v>
      </x:c>
      <x:c r="Y416" s="265" t="n">
        <x:v>4500</x:v>
      </x:c>
      <x:c r="Z416" s="265" t="n">
        <x:v>6500</x:v>
      </x:c>
      <x:c r="AA416" s="253" t="str">
        <x:f>IF(V416="No","Maturing",IF(AND(U416="Yes",Y416&gt;0),"Yes","No"))</x:f>
        <x:v>No</x:v>
      </x:c>
      <x:c r="AB416" s="253" t="str">
        <x:f>IF(W416="No","Maturing",IF(AND(U416="Yes",Z416&gt;0),"Yes","No"))</x:f>
        <x:v>No</x:v>
      </x:c>
      <x:c r="AC416" s="265" t="n">
        <x:v>2670.44</x:v>
      </x:c>
      <x:c r="AD416" s="265" t="n">
        <x:v>2919.55</x:v>
      </x:c>
      <x:c r="AE416" s="271" t="str"/>
      <x:c r="AF416" s="274" t="str">
        <x:v>Not validated - no control/holdout</x:v>
      </x:c>
      <x:c r="AG416" s="277" t="str">
        <x:v>Recovered execution only; assignment date and unclaimed-offer denominator unavailable</x:v>
      </x:c>
    </x:row>
    <x:row r="417">
      <x:c r="A417" s="252" t="str">
        <x:v>34126833</x:v>
      </x:c>
      <x:c r="B417" s="253" t="str">
        <x:v>WS1</x:v>
      </x:c>
      <x:c r="C417" s="253" t="str">
        <x:v>MB8</x:v>
      </x:c>
      <x:c r="D417" s="262" t="n">
        <x:v>46146.75497685185</x:v>
      </x:c>
      <x:c r="E417" s="259" t="n">
        <x:v>46146.166666666664</x:v>
      </x:c>
      <x:c r="F417" s="253" t="str">
        <x:v>161355</x:v>
      </x:c>
      <x:c r="G417" s="253" t="str">
        <x:v>Ryan8</x:v>
      </x:c>
      <x:c r="H417" s="253" t="str">
        <x:v>Yes</x:v>
      </x:c>
      <x:c r="I417" s="253" t="str">
        <x:v>Elda</x:v>
      </x:c>
      <x:c r="J417" s="253" t="str">
        <x:v>Elda</x:v>
      </x:c>
      <x:c r="K417" s="259" t="n">
        <x:v>45659.166666666664</x:v>
      </x:c>
      <x:c r="L417" s="268" t="str">
        <x:f>IFERROR(VLOOKUP(I417,'Handler-Team Map'!$A$7:$C$17,2,FALSE),"")</x:f>
      </x:c>
      <x:c r="M417" s="268" t="str">
        <x:f>IFERROR(VLOOKUP(I417,'Handler-Team Map'!$A$7:$C$17,3,FALSE),"")</x:f>
      </x:c>
      <x:c r="N417" s="274" t="str">
        <x:v>FT_VM_DEP1000_GET500_5X</x:v>
      </x:c>
      <x:c r="O417" s="274" t="str">
        <x:v>VIP BONUS - Deposit 1000 Get 500 - 5x TO</x:v>
      </x:c>
      <x:c r="P417" s="274" t="str">
        <x:v>DepositBonus</x:v>
      </x:c>
      <x:c r="Q417" s="274" t="str">
        <x:v>Approved</x:v>
      </x:c>
      <x:c r="R417" s="265" t="n">
        <x:v>500</x:v>
      </x:c>
      <x:c r="S417" s="253" t="str">
        <x:v>Yes</x:v>
      </x:c>
      <x:c r="T417" s="265" t="n">
        <x:v>19260</x:v>
      </x:c>
      <x:c r="U417" s="253" t="str">
        <x:f>IF(AND(S417="Yes",T417=0),"Yes","No")</x:f>
        <x:v>No</x:v>
      </x:c>
      <x:c r="V417" s="253" t="str">
        <x:v>Yes</x:v>
      </x:c>
      <x:c r="W417" s="253" t="str">
        <x:v>Yes</x:v>
      </x:c>
      <x:c r="X417" s="259" t="n">
        <x:v>46146.166666666664</x:v>
      </x:c>
      <x:c r="Y417" s="265" t="n">
        <x:v>19030</x:v>
      </x:c>
      <x:c r="Z417" s="265" t="n">
        <x:v>32470</x:v>
      </x:c>
      <x:c r="AA417" s="253" t="str">
        <x:f>IF(V417="No","Maturing",IF(AND(U417="Yes",Y417&gt;0),"Yes","No"))</x:f>
        <x:v>No</x:v>
      </x:c>
      <x:c r="AB417" s="253" t="str">
        <x:f>IF(W417="No","Maturing",IF(AND(U417="Yes",Z417&gt;0),"Yes","No"))</x:f>
        <x:v>No</x:v>
      </x:c>
      <x:c r="AC417" s="265" t="n">
        <x:v>13767.08</x:v>
      </x:c>
      <x:c r="AD417" s="265" t="n">
        <x:v>10108.8</x:v>
      </x:c>
      <x:c r="AE417" s="271" t="str"/>
      <x:c r="AF417" s="274" t="str">
        <x:v>Not validated - no control/holdout</x:v>
      </x:c>
      <x:c r="AG417" s="277" t="str">
        <x:v>Recovered execution only; assignment date and unclaimed-offer denominator unavailable</x:v>
      </x:c>
    </x:row>
    <x:row r="418">
      <x:c r="A418" s="252" t="str">
        <x:v>34126924</x:v>
      </x:c>
      <x:c r="B418" s="253" t="str">
        <x:v>WS1</x:v>
      </x:c>
      <x:c r="C418" s="253" t="str">
        <x:v>MB8</x:v>
      </x:c>
      <x:c r="D418" s="262" t="n">
        <x:v>46146.7628125</x:v>
      </x:c>
      <x:c r="E418" s="259" t="n">
        <x:v>46146.166666666664</x:v>
      </x:c>
      <x:c r="F418" s="253" t="str">
        <x:v>461077</x:v>
      </x:c>
      <x:c r="G418" s="253" t="str">
        <x:v>Chenghe</x:v>
      </x:c>
      <x:c r="H418" s="253" t="str">
        <x:v>Yes</x:v>
      </x:c>
      <x:c r="I418" s="253" t="str">
        <x:v>Claire</x:v>
      </x:c>
      <x:c r="J418" s="253" t="str">
        <x:v>Claire</x:v>
      </x:c>
      <x:c r="K418" s="259" t="n">
        <x:v>45659.166666666664</x:v>
      </x:c>
      <x:c r="L418" s="268" t="str">
        <x:f>IFERROR(VLOOKUP(I418,'Handler-Team Map'!$A$7:$C$17,2,FALSE),"")</x:f>
      </x:c>
      <x:c r="M418" s="268" t="str">
        <x:f>IFERROR(VLOOKUP(I418,'Handler-Team Map'!$A$7:$C$17,3,FALSE),"")</x:f>
      </x:c>
      <x:c r="N418" s="274" t="str">
        <x:v>FT_VM_DEP1200_GET600_2X</x:v>
      </x:c>
      <x:c r="O418" s="274" t="str">
        <x:v>VIP BONUS - Deposit 1200 Get 600 - 2x TO</x:v>
      </x:c>
      <x:c r="P418" s="274" t="str">
        <x:v>DepositBonus</x:v>
      </x:c>
      <x:c r="Q418" s="274" t="str">
        <x:v>Approved</x:v>
      </x:c>
      <x:c r="R418" s="265" t="n">
        <x:v>600</x:v>
      </x:c>
      <x:c r="S418" s="253" t="str">
        <x:v>Yes</x:v>
      </x:c>
      <x:c r="T418" s="265" t="n">
        <x:v>116650</x:v>
      </x:c>
      <x:c r="U418" s="253" t="str">
        <x:f>IF(AND(S418="Yes",T418=0),"Yes","No")</x:f>
        <x:v>No</x:v>
      </x:c>
      <x:c r="V418" s="253" t="str">
        <x:v>Yes</x:v>
      </x:c>
      <x:c r="W418" s="253" t="str">
        <x:v>Yes</x:v>
      </x:c>
      <x:c r="X418" s="259" t="n">
        <x:v>46146.166666666664</x:v>
      </x:c>
      <x:c r="Y418" s="265" t="n">
        <x:v>70600</x:v>
      </x:c>
      <x:c r="Z418" s="265" t="n">
        <x:v>127400</x:v>
      </x:c>
      <x:c r="AA418" s="253" t="str">
        <x:f>IF(V418="No","Maturing",IF(AND(U418="Yes",Y418&gt;0),"Yes","No"))</x:f>
        <x:v>No</x:v>
      </x:c>
      <x:c r="AB418" s="253" t="str">
        <x:f>IF(W418="No","Maturing",IF(AND(U418="Yes",Z418&gt;0),"Yes","No"))</x:f>
        <x:v>No</x:v>
      </x:c>
      <x:c r="AC418" s="265" t="n">
        <x:v>17895.13</x:v>
      </x:c>
      <x:c r="AD418" s="265" t="n">
        <x:v>32995.21</x:v>
      </x:c>
      <x:c r="AE418" s="271" t="str"/>
      <x:c r="AF418" s="274" t="str">
        <x:v>Not validated - no control/holdout</x:v>
      </x:c>
      <x:c r="AG418" s="277" t="str">
        <x:v>Recovered execution only; assignment date and unclaimed-offer denominator unavailable</x:v>
      </x:c>
    </x:row>
    <x:row r="419">
      <x:c r="A419" s="252" t="str">
        <x:v>34127716</x:v>
      </x:c>
      <x:c r="B419" s="253" t="str">
        <x:v>WS1</x:v>
      </x:c>
      <x:c r="C419" s="253" t="str">
        <x:v>MB8</x:v>
      </x:c>
      <x:c r="D419" s="262" t="n">
        <x:v>46146.8212037037</x:v>
      </x:c>
      <x:c r="E419" s="259" t="n">
        <x:v>46146.166666666664</x:v>
      </x:c>
      <x:c r="F419" s="253" t="str">
        <x:v>1075090</x:v>
      </x:c>
      <x:c r="G419" s="253" t="str">
        <x:v>Gerald180119</x:v>
      </x:c>
      <x:c r="H419" s="253" t="str">
        <x:v>Yes</x:v>
      </x:c>
      <x:c r="I419" s="253" t="str">
        <x:v>Jiahui</x:v>
      </x:c>
      <x:c r="J419" s="253" t="str">
        <x:v>Jiahui</x:v>
      </x:c>
      <x:c r="K419" s="259" t="n">
        <x:v>45797.166666666664</x:v>
      </x:c>
      <x:c r="L419" s="268" t="str">
        <x:f>IFERROR(VLOOKUP(I419,'Handler-Team Map'!$A$7:$C$17,2,FALSE),"")</x:f>
      </x:c>
      <x:c r="M419" s="268" t="str">
        <x:f>IFERROR(VLOOKUP(I419,'Handler-Team Map'!$A$7:$C$17,3,FALSE),"")</x:f>
      </x:c>
      <x:c r="N419" s="274" t="str">
        <x:v>FT_VM_DEP700_GET300_2X</x:v>
      </x:c>
      <x:c r="O419" s="274" t="str">
        <x:v>VIP BONUS - Deposit 700 Get 300 - 2x TO</x:v>
      </x:c>
      <x:c r="P419" s="274" t="str">
        <x:v>DepositBonus</x:v>
      </x:c>
      <x:c r="Q419" s="274" t="str">
        <x:v>Approved</x:v>
      </x:c>
      <x:c r="R419" s="265" t="n">
        <x:v>300</x:v>
      </x:c>
      <x:c r="S419" s="253" t="str">
        <x:v>Yes</x:v>
      </x:c>
      <x:c r="T419" s="265" t="n">
        <x:v>3090</x:v>
      </x:c>
      <x:c r="U419" s="253" t="str">
        <x:f>IF(AND(S419="Yes",T419=0),"Yes","No")</x:f>
        <x:v>No</x:v>
      </x:c>
      <x:c r="V419" s="253" t="str">
        <x:v>Yes</x:v>
      </x:c>
      <x:c r="W419" s="253" t="str">
        <x:v>Yes</x:v>
      </x:c>
      <x:c r="X419" s="259" t="n">
        <x:v>46146.166666666664</x:v>
      </x:c>
      <x:c r="Y419" s="265" t="n">
        <x:v>2730</x:v>
      </x:c>
      <x:c r="Z419" s="265" t="n">
        <x:v>3680</x:v>
      </x:c>
      <x:c r="AA419" s="253" t="str">
        <x:f>IF(V419="No","Maturing",IF(AND(U419="Yes",Y419&gt;0),"Yes","No"))</x:f>
        <x:v>No</x:v>
      </x:c>
      <x:c r="AB419" s="253" t="str">
        <x:f>IF(W419="No","Maturing",IF(AND(U419="Yes",Z419&gt;0),"Yes","No"))</x:f>
        <x:v>No</x:v>
      </x:c>
      <x:c r="AC419" s="265" t="n">
        <x:v>179.11</x:v>
      </x:c>
      <x:c r="AD419" s="265" t="n">
        <x:v>879.82</x:v>
      </x:c>
      <x:c r="AE419" s="271" t="str"/>
      <x:c r="AF419" s="274" t="str">
        <x:v>Not validated - no control/holdout</x:v>
      </x:c>
      <x:c r="AG419" s="277" t="str">
        <x:v>Recovered execution only; assignment date and unclaimed-offer denominator unavailable</x:v>
      </x:c>
    </x:row>
    <x:row r="420">
      <x:c r="A420" s="252" t="str">
        <x:v>34128309</x:v>
      </x:c>
      <x:c r="B420" s="253" t="str">
        <x:v>WS1</x:v>
      </x:c>
      <x:c r="C420" s="253" t="str">
        <x:v>MB8</x:v>
      </x:c>
      <x:c r="D420" s="262" t="n">
        <x:v>46146.85638888889</x:v>
      </x:c>
      <x:c r="E420" s="259" t="n">
        <x:v>46146.166666666664</x:v>
      </x:c>
      <x:c r="F420" s="253" t="str">
        <x:v>1153667</x:v>
      </x:c>
      <x:c r="G420" s="253" t="str">
        <x:v>fushigiguy</x:v>
      </x:c>
      <x:c r="H420" s="253" t="str">
        <x:v>Yes</x:v>
      </x:c>
      <x:c r="I420" s="253" t="str">
        <x:v>Elda</x:v>
      </x:c>
      <x:c r="J420" s="253" t="str">
        <x:v>Elda</x:v>
      </x:c>
      <x:c r="K420" s="259" t="n">
        <x:v>45659.166666666664</x:v>
      </x:c>
      <x:c r="L420" s="268" t="str">
        <x:f>IFERROR(VLOOKUP(I420,'Handler-Team Map'!$A$7:$C$17,2,FALSE),"")</x:f>
      </x:c>
      <x:c r="M420" s="268" t="str">
        <x:f>IFERROR(VLOOKUP(I420,'Handler-Team Map'!$A$7:$C$17,3,FALSE),"")</x:f>
      </x:c>
      <x:c r="N420" s="274" t="str">
        <x:v>FT_VM_DEP600_GET200_2X</x:v>
      </x:c>
      <x:c r="O420" s="274" t="str">
        <x:v>VIP BONUS - Deposit 600 Get 200 - 2x TO</x:v>
      </x:c>
      <x:c r="P420" s="274" t="str">
        <x:v>DepositBonus</x:v>
      </x:c>
      <x:c r="Q420" s="274" t="str">
        <x:v>Approved</x:v>
      </x:c>
      <x:c r="R420" s="265" t="n">
        <x:v>200</x:v>
      </x:c>
      <x:c r="S420" s="253" t="str">
        <x:v>Yes</x:v>
      </x:c>
      <x:c r="T420" s="265" t="n">
        <x:v>11200</x:v>
      </x:c>
      <x:c r="U420" s="253" t="str">
        <x:f>IF(AND(S420="Yes",T420=0),"Yes","No")</x:f>
        <x:v>No</x:v>
      </x:c>
      <x:c r="V420" s="253" t="str">
        <x:v>Yes</x:v>
      </x:c>
      <x:c r="W420" s="253" t="str">
        <x:v>Yes</x:v>
      </x:c>
      <x:c r="X420" s="259" t="n">
        <x:v>46146.166666666664</x:v>
      </x:c>
      <x:c r="Y420" s="265" t="n">
        <x:v>2000</x:v>
      </x:c>
      <x:c r="Z420" s="265" t="n">
        <x:v>2000</x:v>
      </x:c>
      <x:c r="AA420" s="253" t="str">
        <x:f>IF(V420="No","Maturing",IF(AND(U420="Yes",Y420&gt;0),"Yes","No"))</x:f>
        <x:v>No</x:v>
      </x:c>
      <x:c r="AB420" s="253" t="str">
        <x:f>IF(W420="No","Maturing",IF(AND(U420="Yes",Z420&gt;0),"Yes","No"))</x:f>
        <x:v>No</x:v>
      </x:c>
      <x:c r="AC420" s="265" t="n">
        <x:v>1978.92</x:v>
      </x:c>
      <x:c r="AD420" s="265" t="n">
        <x:v>2009.7</x:v>
      </x:c>
      <x:c r="AE420" s="271" t="str"/>
      <x:c r="AF420" s="274" t="str">
        <x:v>Not validated - no control/holdout</x:v>
      </x:c>
      <x:c r="AG420" s="277" t="str">
        <x:v>Recovered execution only; assignment date and unclaimed-offer denominator unavailable</x:v>
      </x:c>
    </x:row>
    <x:row r="421">
      <x:c r="A421" s="252" t="str">
        <x:v>34128431</x:v>
      </x:c>
      <x:c r="B421" s="253" t="str">
        <x:v>WS1</x:v>
      </x:c>
      <x:c r="C421" s="253" t="str">
        <x:v>MB8</x:v>
      </x:c>
      <x:c r="D421" s="262" t="n">
        <x:v>46146.862604166665</x:v>
      </x:c>
      <x:c r="E421" s="259" t="n">
        <x:v>46146.166666666664</x:v>
      </x:c>
      <x:c r="F421" s="253" t="str">
        <x:v>609181</x:v>
      </x:c>
      <x:c r="G421" s="253" t="str">
        <x:v>Tamyusiong</x:v>
      </x:c>
      <x:c r="H421" s="253" t="str">
        <x:v>Yes</x:v>
      </x:c>
      <x:c r="I421" s="253" t="str">
        <x:v>Christy</x:v>
      </x:c>
      <x:c r="J421" s="253" t="str">
        <x:v>Christy</x:v>
      </x:c>
      <x:c r="K421" s="259" t="n">
        <x:v>45859.166666666664</x:v>
      </x:c>
      <x:c r="L421" s="268" t="str">
        <x:f>IFERROR(VLOOKUP(I421,'Handler-Team Map'!$A$7:$C$17,2,FALSE),"")</x:f>
      </x:c>
      <x:c r="M421" s="268" t="str">
        <x:f>IFERROR(VLOOKUP(I421,'Handler-Team Map'!$A$7:$C$17,3,FALSE),"")</x:f>
      </x:c>
      <x:c r="N421" s="274" t="str">
        <x:v>FT_VM_DEP1000_GET800_1X</x:v>
      </x:c>
      <x:c r="O421" s="274" t="str">
        <x:v>VIP BONUS - Deposit 1000 Get 800 - 1x TO</x:v>
      </x:c>
      <x:c r="P421" s="274" t="str">
        <x:v>DepositBonus</x:v>
      </x:c>
      <x:c r="Q421" s="274" t="str">
        <x:v>Approved</x:v>
      </x:c>
      <x:c r="R421" s="265" t="n">
        <x:v>800</x:v>
      </x:c>
      <x:c r="S421" s="253" t="str">
        <x:v>Yes</x:v>
      </x:c>
      <x:c r="T421" s="265" t="n">
        <x:v>5400</x:v>
      </x:c>
      <x:c r="U421" s="253" t="str">
        <x:f>IF(AND(S421="Yes",T421=0),"Yes","No")</x:f>
        <x:v>No</x:v>
      </x:c>
      <x:c r="V421" s="253" t="str">
        <x:v>Yes</x:v>
      </x:c>
      <x:c r="W421" s="253" t="str">
        <x:v>Yes</x:v>
      </x:c>
      <x:c r="X421" s="259" t="n">
        <x:v>46146.166666666664</x:v>
      </x:c>
      <x:c r="Y421" s="265" t="n">
        <x:v>2380</x:v>
      </x:c>
      <x:c r="Z421" s="265" t="n">
        <x:v>2580</x:v>
      </x:c>
      <x:c r="AA421" s="253" t="str">
        <x:f>IF(V421="No","Maturing",IF(AND(U421="Yes",Y421&gt;0),"Yes","No"))</x:f>
        <x:v>No</x:v>
      </x:c>
      <x:c r="AB421" s="253" t="str">
        <x:f>IF(W421="No","Maturing",IF(AND(U421="Yes",Z421&gt;0),"Yes","No"))</x:f>
        <x:v>No</x:v>
      </x:c>
      <x:c r="AC421" s="265" t="n">
        <x:v>-1432.17</x:v>
      </x:c>
      <x:c r="AD421" s="265" t="n">
        <x:v>-1220.29</x:v>
      </x:c>
      <x:c r="AE421" s="271" t="str"/>
      <x:c r="AF421" s="274" t="str">
        <x:v>Not validated - no control/holdout</x:v>
      </x:c>
      <x:c r="AG421" s="277" t="str">
        <x:v>Recovered execution only; assignment date and unclaimed-offer denominator unavailable</x:v>
      </x:c>
    </x:row>
    <x:row r="422">
      <x:c r="A422" s="252" t="str">
        <x:v>34128594</x:v>
      </x:c>
      <x:c r="B422" s="253" t="str">
        <x:v>WS1</x:v>
      </x:c>
      <x:c r="C422" s="253" t="str">
        <x:v>MB8</x:v>
      </x:c>
      <x:c r="D422" s="262" t="n">
        <x:v>46146.87335648148</x:v>
      </x:c>
      <x:c r="E422" s="259" t="n">
        <x:v>46146.166666666664</x:v>
      </x:c>
      <x:c r="F422" s="253" t="str">
        <x:v>567203</x:v>
      </x:c>
      <x:c r="G422" s="253" t="str">
        <x:v>Booboo</x:v>
      </x:c>
      <x:c r="H422" s="253" t="str">
        <x:v>Yes</x:v>
      </x:c>
      <x:c r="I422" s="253" t="str">
        <x:v>Elda</x:v>
      </x:c>
      <x:c r="J422" s="253" t="str">
        <x:v>Elda</x:v>
      </x:c>
      <x:c r="K422" s="259" t="n">
        <x:v>45659.166666666664</x:v>
      </x:c>
      <x:c r="L422" s="268" t="str">
        <x:f>IFERROR(VLOOKUP(I422,'Handler-Team Map'!$A$7:$C$17,2,FALSE),"")</x:f>
      </x:c>
      <x:c r="M422" s="268" t="str">
        <x:f>IFERROR(VLOOKUP(I422,'Handler-Team Map'!$A$7:$C$17,3,FALSE),"")</x:f>
      </x:c>
      <x:c r="N422" s="274" t="str">
        <x:v>FT_VM_DEP1000_GET500_5X</x:v>
      </x:c>
      <x:c r="O422" s="274" t="str">
        <x:v>VIP BONUS - Deposit 1000 Get 500 - 5x TO</x:v>
      </x:c>
      <x:c r="P422" s="274" t="str">
        <x:v>DepositBonus</x:v>
      </x:c>
      <x:c r="Q422" s="274" t="str">
        <x:v>Approved</x:v>
      </x:c>
      <x:c r="R422" s="265" t="n">
        <x:v>500</x:v>
      </x:c>
      <x:c r="S422" s="253" t="str">
        <x:v>Yes</x:v>
      </x:c>
      <x:c r="T422" s="265" t="n">
        <x:v>22392.32</x:v>
      </x:c>
      <x:c r="U422" s="253" t="str">
        <x:f>IF(AND(S422="Yes",T422=0),"Yes","No")</x:f>
        <x:v>No</x:v>
      </x:c>
      <x:c r="V422" s="253" t="str">
        <x:v>Yes</x:v>
      </x:c>
      <x:c r="W422" s="253" t="str">
        <x:v>Yes</x:v>
      </x:c>
      <x:c r="X422" s="259" t="n">
        <x:v>46146.166666666664</x:v>
      </x:c>
      <x:c r="Y422" s="265" t="n">
        <x:v>9087.15</x:v>
      </x:c>
      <x:c r="Z422" s="265" t="n">
        <x:v>34426.65</x:v>
      </x:c>
      <x:c r="AA422" s="253" t="str">
        <x:f>IF(V422="No","Maturing",IF(AND(U422="Yes",Y422&gt;0),"Yes","No"))</x:f>
        <x:v>No</x:v>
      </x:c>
      <x:c r="AB422" s="253" t="str">
        <x:f>IF(W422="No","Maturing",IF(AND(U422="Yes",Z422&gt;0),"Yes","No"))</x:f>
        <x:v>No</x:v>
      </x:c>
      <x:c r="AC422" s="265" t="n">
        <x:v>-415.6</x:v>
      </x:c>
      <x:c r="AD422" s="265" t="n">
        <x:v>10730.38</x:v>
      </x:c>
      <x:c r="AE422" s="271" t="str"/>
      <x:c r="AF422" s="274" t="str">
        <x:v>Not validated - no control/holdout</x:v>
      </x:c>
      <x:c r="AG422" s="277" t="str">
        <x:v>Recovered execution only; assignment date and unclaimed-offer denominator unavailable</x:v>
      </x:c>
    </x:row>
    <x:row r="423">
      <x:c r="A423" s="252" t="str">
        <x:v>34129998</x:v>
      </x:c>
      <x:c r="B423" s="253" t="str">
        <x:v>WS1</x:v>
      </x:c>
      <x:c r="C423" s="253" t="str">
        <x:v>MB8</x:v>
      </x:c>
      <x:c r="D423" s="262" t="n">
        <x:v>46146.941157407404</x:v>
      </x:c>
      <x:c r="E423" s="259" t="n">
        <x:v>46146.166666666664</x:v>
      </x:c>
      <x:c r="F423" s="253" t="str">
        <x:v>548421</x:v>
      </x:c>
      <x:c r="G423" s="253" t="str">
        <x:v>RibutPetir</x:v>
      </x:c>
      <x:c r="H423" s="253" t="str">
        <x:v>Yes</x:v>
      </x:c>
      <x:c r="I423" s="253" t="str"/>
      <x:c r="J423" s="253" t="str"/>
      <x:c r="K423" s="259"/>
      <x:c r="L423" s="268" t="str">
        <x:f>IFERROR(VLOOKUP(I423,'Handler-Team Map'!$A$7:$C$17,2,FALSE),"")</x:f>
      </x:c>
      <x:c r="M423" s="268" t="str">
        <x:f>IFERROR(VLOOKUP(I423,'Handler-Team Map'!$A$7:$C$17,3,FALSE),"")</x:f>
      </x:c>
      <x:c r="N423" s="274" t="str">
        <x:v>FT_VM_DEP800_GET400_1X</x:v>
      </x:c>
      <x:c r="O423" s="274" t="str">
        <x:v>VIP BONUS - Deposit 800 Get 400 - 1x TO</x:v>
      </x:c>
      <x:c r="P423" s="274" t="str">
        <x:v>DepositBonus</x:v>
      </x:c>
      <x:c r="Q423" s="274" t="str">
        <x:v>Approved</x:v>
      </x:c>
      <x:c r="R423" s="265" t="n">
        <x:v>400</x:v>
      </x:c>
      <x:c r="S423" s="253" t="str">
        <x:v>Yes</x:v>
      </x:c>
      <x:c r="T423" s="265" t="n">
        <x:v>1300</x:v>
      </x:c>
      <x:c r="U423" s="253" t="str">
        <x:f>IF(AND(S423="Yes",T423=0),"Yes","No")</x:f>
        <x:v>No</x:v>
      </x:c>
      <x:c r="V423" s="253" t="str">
        <x:v>Yes</x:v>
      </x:c>
      <x:c r="W423" s="253" t="str">
        <x:v>Yes</x:v>
      </x:c>
      <x:c r="X423" s="259" t="n">
        <x:v>46146.166666666664</x:v>
      </x:c>
      <x:c r="Y423" s="265" t="n">
        <x:v>880</x:v>
      </x:c>
      <x:c r="Z423" s="265" t="n">
        <x:v>1080</x:v>
      </x:c>
      <x:c r="AA423" s="253" t="str">
        <x:f>IF(V423="No","Maturing",IF(AND(U423="Yes",Y423&gt;0),"Yes","No"))</x:f>
        <x:v>No</x:v>
      </x:c>
      <x:c r="AB423" s="253" t="str">
        <x:f>IF(W423="No","Maturing",IF(AND(U423="Yes",Z423&gt;0),"Yes","No"))</x:f>
        <x:v>No</x:v>
      </x:c>
      <x:c r="AC423" s="265" t="n">
        <x:v>491.96</x:v>
      </x:c>
      <x:c r="AD423" s="265" t="n">
        <x:v>691.73</x:v>
      </x:c>
      <x:c r="AE423" s="271" t="str"/>
      <x:c r="AF423" s="274" t="str">
        <x:v>Not validated - no control/holdout</x:v>
      </x:c>
      <x:c r="AG423" s="277" t="str">
        <x:v>Recovered execution only; assignment date and unclaimed-offer denominator unavailable</x:v>
      </x:c>
    </x:row>
    <x:row r="424">
      <x:c r="A424" s="252" t="str">
        <x:v>34130083</x:v>
      </x:c>
      <x:c r="B424" s="253" t="str">
        <x:v>WS1</x:v>
      </x:c>
      <x:c r="C424" s="253" t="str">
        <x:v>MB8</x:v>
      </x:c>
      <x:c r="D424" s="262" t="n">
        <x:v>46146.94445601852</x:v>
      </x:c>
      <x:c r="E424" s="259" t="n">
        <x:v>46146.166666666664</x:v>
      </x:c>
      <x:c r="F424" s="253" t="str">
        <x:v>605081</x:v>
      </x:c>
      <x:c r="G424" s="253" t="str">
        <x:v>xxdra</x:v>
      </x:c>
      <x:c r="H424" s="253" t="str">
        <x:v>Yes</x:v>
      </x:c>
      <x:c r="I424" s="253" t="str">
        <x:v>Mikki</x:v>
      </x:c>
      <x:c r="J424" s="253" t="str">
        <x:v>Mikki</x:v>
      </x:c>
      <x:c r="K424" s="259" t="n">
        <x:v>45993.166666666664</x:v>
      </x:c>
      <x:c r="L424" s="268" t="str">
        <x:f>IFERROR(VLOOKUP(I424,'Handler-Team Map'!$A$7:$C$17,2,FALSE),"")</x:f>
      </x:c>
      <x:c r="M424" s="268" t="str">
        <x:f>IFERROR(VLOOKUP(I424,'Handler-Team Map'!$A$7:$C$17,3,FALSE),"")</x:f>
      </x:c>
      <x:c r="N424" s="274" t="str">
        <x:v>FT_VM_DEP1000_GET500_5X</x:v>
      </x:c>
      <x:c r="O424" s="274" t="str">
        <x:v>VIP BONUS - Deposit 1000 Get 500 - 5x TO</x:v>
      </x:c>
      <x:c r="P424" s="274" t="str">
        <x:v>DepositBonus</x:v>
      </x:c>
      <x:c r="Q424" s="274" t="str">
        <x:v>Approved</x:v>
      </x:c>
      <x:c r="R424" s="265" t="n">
        <x:v>500</x:v>
      </x:c>
      <x:c r="S424" s="253" t="str">
        <x:v>Yes</x:v>
      </x:c>
      <x:c r="T424" s="265" t="n">
        <x:v>9494</x:v>
      </x:c>
      <x:c r="U424" s="253" t="str">
        <x:f>IF(AND(S424="Yes",T424=0),"Yes","No")</x:f>
        <x:v>No</x:v>
      </x:c>
      <x:c r="V424" s="253" t="str">
        <x:v>Yes</x:v>
      </x:c>
      <x:c r="W424" s="253" t="str">
        <x:v>Yes</x:v>
      </x:c>
      <x:c r="X424" s="259" t="n">
        <x:v>46146.166666666664</x:v>
      </x:c>
      <x:c r="Y424" s="265" t="n">
        <x:v>2190</x:v>
      </x:c>
      <x:c r="Z424" s="265" t="n">
        <x:v>10450</x:v>
      </x:c>
      <x:c r="AA424" s="253" t="str">
        <x:f>IF(V424="No","Maturing",IF(AND(U424="Yes",Y424&gt;0),"Yes","No"))</x:f>
        <x:v>No</x:v>
      </x:c>
      <x:c r="AB424" s="253" t="str">
        <x:f>IF(W424="No","Maturing",IF(AND(U424="Yes",Z424&gt;0),"Yes","No"))</x:f>
        <x:v>No</x:v>
      </x:c>
      <x:c r="AC424" s="265" t="n">
        <x:v>1664.22</x:v>
      </x:c>
      <x:c r="AD424" s="265" t="n">
        <x:v>7401.2</x:v>
      </x:c>
      <x:c r="AE424" s="271" t="str"/>
      <x:c r="AF424" s="274" t="str">
        <x:v>Not validated - no control/holdout</x:v>
      </x:c>
      <x:c r="AG424" s="277" t="str">
        <x:v>Recovered execution only; assignment date and unclaimed-offer denominator unavailable</x:v>
      </x:c>
    </x:row>
    <x:row r="425">
      <x:c r="A425" s="252" t="str">
        <x:v>34130456</x:v>
      </x:c>
      <x:c r="B425" s="253" t="str">
        <x:v>WS1</x:v>
      </x:c>
      <x:c r="C425" s="253" t="str">
        <x:v>MB8</x:v>
      </x:c>
      <x:c r="D425" s="262" t="n">
        <x:v>46146.96194444445</x:v>
      </x:c>
      <x:c r="E425" s="259" t="n">
        <x:v>46146.166666666664</x:v>
      </x:c>
      <x:c r="F425" s="253" t="str">
        <x:v>32407</x:v>
      </x:c>
      <x:c r="G425" s="253" t="str">
        <x:v>Arechoy79</x:v>
      </x:c>
      <x:c r="H425" s="253" t="str">
        <x:v>Yes</x:v>
      </x:c>
      <x:c r="I425" s="253" t="str">
        <x:v>Kam</x:v>
      </x:c>
      <x:c r="J425" s="253" t="str">
        <x:v>Kam</x:v>
      </x:c>
      <x:c r="K425" s="259" t="n">
        <x:v>45817.166666666664</x:v>
      </x:c>
      <x:c r="L425" s="268" t="str">
        <x:f>IFERROR(VLOOKUP(I425,'Handler-Team Map'!$A$7:$C$17,2,FALSE),"")</x:f>
      </x:c>
      <x:c r="M425" s="268" t="str">
        <x:f>IFERROR(VLOOKUP(I425,'Handler-Team Map'!$A$7:$C$17,3,FALSE),"")</x:f>
      </x:c>
      <x:c r="N425" s="274" t="str">
        <x:v>FT_VM_DEP1000_GET500_5X</x:v>
      </x:c>
      <x:c r="O425" s="274" t="str">
        <x:v>VIP BONUS - Deposit 1000 Get 500 - 5x TO</x:v>
      </x:c>
      <x:c r="P425" s="274" t="str">
        <x:v>DepositBonus</x:v>
      </x:c>
      <x:c r="Q425" s="274" t="str">
        <x:v>Approved</x:v>
      </x:c>
      <x:c r="R425" s="265" t="n">
        <x:v>500</x:v>
      </x:c>
      <x:c r="S425" s="253" t="str">
        <x:v>Yes</x:v>
      </x:c>
      <x:c r="T425" s="265" t="n">
        <x:v>1630</x:v>
      </x:c>
      <x:c r="U425" s="253" t="str">
        <x:f>IF(AND(S425="Yes",T425=0),"Yes","No")</x:f>
        <x:v>No</x:v>
      </x:c>
      <x:c r="V425" s="253" t="str">
        <x:v>Yes</x:v>
      </x:c>
      <x:c r="W425" s="253" t="str">
        <x:v>Yes</x:v>
      </x:c>
      <x:c r="X425" s="259" t="n">
        <x:v>46146.166666666664</x:v>
      </x:c>
      <x:c r="Y425" s="265" t="n">
        <x:v>1600</x:v>
      </x:c>
      <x:c r="Z425" s="265" t="n">
        <x:v>1800</x:v>
      </x:c>
      <x:c r="AA425" s="253" t="str">
        <x:f>IF(V425="No","Maturing",IF(AND(U425="Yes",Y425&gt;0),"Yes","No"))</x:f>
        <x:v>No</x:v>
      </x:c>
      <x:c r="AB425" s="253" t="str">
        <x:f>IF(W425="No","Maturing",IF(AND(U425="Yes",Z425&gt;0),"Yes","No"))</x:f>
        <x:v>No</x:v>
      </x:c>
      <x:c r="AC425" s="265" t="n">
        <x:v>1599.15</x:v>
      </x:c>
      <x:c r="AD425" s="265" t="n">
        <x:v>1796.52</x:v>
      </x:c>
      <x:c r="AE425" s="271" t="str"/>
      <x:c r="AF425" s="274" t="str">
        <x:v>Not validated - no control/holdout</x:v>
      </x:c>
      <x:c r="AG425" s="277" t="str">
        <x:v>Recovered execution only; assignment date and unclaimed-offer denominator unavailable</x:v>
      </x:c>
    </x:row>
    <x:row r="426">
      <x:c r="A426" s="252" t="str">
        <x:v>34131598</x:v>
      </x:c>
      <x:c r="B426" s="253" t="str">
        <x:v>WS1</x:v>
      </x:c>
      <x:c r="C426" s="253" t="str">
        <x:v>MB8</x:v>
      </x:c>
      <x:c r="D426" s="262" t="n">
        <x:v>46147.01520833333</x:v>
      </x:c>
      <x:c r="E426" s="259" t="n">
        <x:v>46147.166666666664</x:v>
      </x:c>
      <x:c r="F426" s="253" t="str">
        <x:v>527053</x:v>
      </x:c>
      <x:c r="G426" s="253" t="str">
        <x:v>Jim63999</x:v>
      </x:c>
      <x:c r="H426" s="253" t="str">
        <x:v>Yes</x:v>
      </x:c>
      <x:c r="I426" s="253" t="str">
        <x:v>Christy</x:v>
      </x:c>
      <x:c r="J426" s="253" t="str">
        <x:v>Christy</x:v>
      </x:c>
      <x:c r="K426" s="259" t="n">
        <x:v>46090.166666666664</x:v>
      </x:c>
      <x:c r="L426" s="268" t="str">
        <x:f>IFERROR(VLOOKUP(I426,'Handler-Team Map'!$A$7:$C$17,2,FALSE),"")</x:f>
      </x:c>
      <x:c r="M426" s="268" t="str">
        <x:f>IFERROR(VLOOKUP(I426,'Handler-Team Map'!$A$7:$C$17,3,FALSE),"")</x:f>
      </x:c>
      <x:c r="N426" s="274" t="str">
        <x:v>FT_VM_DEP1000_GET700_1X</x:v>
      </x:c>
      <x:c r="O426" s="274" t="str">
        <x:v>VIP BONUS - Deposit 1000 Get 700 - 1x TO</x:v>
      </x:c>
      <x:c r="P426" s="274" t="str">
        <x:v>DepositBonus</x:v>
      </x:c>
      <x:c r="Q426" s="274" t="str">
        <x:v>Approved</x:v>
      </x:c>
      <x:c r="R426" s="265" t="n">
        <x:v>700</x:v>
      </x:c>
      <x:c r="S426" s="253" t="str">
        <x:v>Yes</x:v>
      </x:c>
      <x:c r="T426" s="265" t="n">
        <x:v>850</x:v>
      </x:c>
      <x:c r="U426" s="253" t="str">
        <x:f>IF(AND(S426="Yes",T426=0),"Yes","No")</x:f>
        <x:v>No</x:v>
      </x:c>
      <x:c r="V426" s="253" t="str">
        <x:v>Yes</x:v>
      </x:c>
      <x:c r="W426" s="253" t="str">
        <x:v>Yes</x:v>
      </x:c>
      <x:c r="X426" s="259" t="n">
        <x:v>46147.166666666664</x:v>
      </x:c>
      <x:c r="Y426" s="265" t="n">
        <x:v>1000</x:v>
      </x:c>
      <x:c r="Z426" s="265" t="n">
        <x:v>1000</x:v>
      </x:c>
      <x:c r="AA426" s="253" t="str">
        <x:f>IF(V426="No","Maturing",IF(AND(U426="Yes",Y426&gt;0),"Yes","No"))</x:f>
        <x:v>No</x:v>
      </x:c>
      <x:c r="AB426" s="253" t="str">
        <x:f>IF(W426="No","Maturing",IF(AND(U426="Yes",Z426&gt;0),"Yes","No"))</x:f>
        <x:v>No</x:v>
      </x:c>
      <x:c r="AC426" s="265" t="n">
        <x:v>-1000.57</x:v>
      </x:c>
      <x:c r="AD426" s="265" t="n">
        <x:v>-1000.57</x:v>
      </x:c>
      <x:c r="AE426" s="271" t="str"/>
      <x:c r="AF426" s="274" t="str">
        <x:v>Not validated - no control/holdout</x:v>
      </x:c>
      <x:c r="AG426" s="277" t="str">
        <x:v>Recovered execution only; assignment date and unclaimed-offer denominator unavailable</x:v>
      </x:c>
    </x:row>
    <x:row r="427">
      <x:c r="A427" s="252" t="str">
        <x:v>34132407</x:v>
      </x:c>
      <x:c r="B427" s="253" t="str">
        <x:v>WS1</x:v>
      </x:c>
      <x:c r="C427" s="253" t="str">
        <x:v>MB8</x:v>
      </x:c>
      <x:c r="D427" s="262" t="n">
        <x:v>46147.04850694445</x:v>
      </x:c>
      <x:c r="E427" s="259" t="n">
        <x:v>46147.166666666664</x:v>
      </x:c>
      <x:c r="F427" s="253" t="str">
        <x:v>417109</x:v>
      </x:c>
      <x:c r="G427" s="253" t="str">
        <x:v>Wongsoonkhoon</x:v>
      </x:c>
      <x:c r="H427" s="253" t="str">
        <x:v>Yes</x:v>
      </x:c>
      <x:c r="I427" s="253" t="str">
        <x:v>Christy</x:v>
      </x:c>
      <x:c r="J427" s="253" t="str">
        <x:v>Christy</x:v>
      </x:c>
      <x:c r="K427" s="259" t="n">
        <x:v>45831.166666666664</x:v>
      </x:c>
      <x:c r="L427" s="268" t="str">
        <x:f>IFERROR(VLOOKUP(I427,'Handler-Team Map'!$A$7:$C$17,2,FALSE),"")</x:f>
      </x:c>
      <x:c r="M427" s="268" t="str">
        <x:f>IFERROR(VLOOKUP(I427,'Handler-Team Map'!$A$7:$C$17,3,FALSE),"")</x:f>
      </x:c>
      <x:c r="N427" s="274" t="str">
        <x:v>FT_VM_DEP300_GET100_5X</x:v>
      </x:c>
      <x:c r="O427" s="274" t="str">
        <x:v>VIP BONUS - Deposit 300 Get 100 - 5x TO</x:v>
      </x:c>
      <x:c r="P427" s="274" t="str">
        <x:v>DepositBonus</x:v>
      </x:c>
      <x:c r="Q427" s="274" t="str">
        <x:v>Approved</x:v>
      </x:c>
      <x:c r="R427" s="265" t="n">
        <x:v>100</x:v>
      </x:c>
      <x:c r="S427" s="253" t="str">
        <x:v>Yes</x:v>
      </x:c>
      <x:c r="T427" s="265" t="n">
        <x:v>4680</x:v>
      </x:c>
      <x:c r="U427" s="253" t="str">
        <x:f>IF(AND(S427="Yes",T427=0),"Yes","No")</x:f>
        <x:v>No</x:v>
      </x:c>
      <x:c r="V427" s="253" t="str">
        <x:v>Yes</x:v>
      </x:c>
      <x:c r="W427" s="253" t="str">
        <x:v>Yes</x:v>
      </x:c>
      <x:c r="X427" s="259" t="n">
        <x:v>46147.166666666664</x:v>
      </x:c>
      <x:c r="Y427" s="265" t="n">
        <x:v>4680</x:v>
      </x:c>
      <x:c r="Z427" s="265" t="n">
        <x:v>9480</x:v>
      </x:c>
      <x:c r="AA427" s="253" t="str">
        <x:f>IF(V427="No","Maturing",IF(AND(U427="Yes",Y427&gt;0),"Yes","No"))</x:f>
        <x:v>No</x:v>
      </x:c>
      <x:c r="AB427" s="253" t="str">
        <x:f>IF(W427="No","Maturing",IF(AND(U427="Yes",Z427&gt;0),"Yes","No"))</x:f>
        <x:v>No</x:v>
      </x:c>
      <x:c r="AC427" s="265" t="n">
        <x:v>2270.12</x:v>
      </x:c>
      <x:c r="AD427" s="265" t="n">
        <x:v>-2120.06</x:v>
      </x:c>
      <x:c r="AE427" s="271" t="str"/>
      <x:c r="AF427" s="274" t="str">
        <x:v>Not validated - no control/holdout</x:v>
      </x:c>
      <x:c r="AG427" s="277" t="str">
        <x:v>Recovered execution only; assignment date and unclaimed-offer denominator unavailable</x:v>
      </x:c>
    </x:row>
    <x:row r="428">
      <x:c r="A428" s="252" t="str">
        <x:v>34135532</x:v>
      </x:c>
      <x:c r="B428" s="253" t="str">
        <x:v>WS1</x:v>
      </x:c>
      <x:c r="C428" s="253" t="str">
        <x:v>MB8</x:v>
      </x:c>
      <x:c r="D428" s="262" t="n">
        <x:v>46147.35818287037</x:v>
      </x:c>
      <x:c r="E428" s="259" t="n">
        <x:v>46147.166666666664</x:v>
      </x:c>
      <x:c r="F428" s="253" t="str">
        <x:v>1190425</x:v>
      </x:c>
      <x:c r="G428" s="253" t="str">
        <x:v>Lorry</x:v>
      </x:c>
      <x:c r="H428" s="253" t="str">
        <x:v>Yes</x:v>
      </x:c>
      <x:c r="I428" s="253" t="str">
        <x:v>Serene</x:v>
      </x:c>
      <x:c r="J428" s="253" t="str">
        <x:v>Serene</x:v>
      </x:c>
      <x:c r="K428" s="259" t="n">
        <x:v>46077.166666666664</x:v>
      </x:c>
      <x:c r="L428" s="268" t="str">
        <x:f>IFERROR(VLOOKUP(I428,'Handler-Team Map'!$A$7:$C$17,2,FALSE),"")</x:f>
      </x:c>
      <x:c r="M428" s="268" t="str">
        <x:f>IFERROR(VLOOKUP(I428,'Handler-Team Map'!$A$7:$C$17,3,FALSE),"")</x:f>
      </x:c>
      <x:c r="N428" s="274" t="str">
        <x:v>FT_VM_DEP700_GET300_2X</x:v>
      </x:c>
      <x:c r="O428" s="274" t="str">
        <x:v>VIP BONUS - Deposit 700 Get 300 - 2x TO</x:v>
      </x:c>
      <x:c r="P428" s="274" t="str">
        <x:v>DepositBonus</x:v>
      </x:c>
      <x:c r="Q428" s="274" t="str">
        <x:v>Approved</x:v>
      </x:c>
      <x:c r="R428" s="265" t="n">
        <x:v>300</x:v>
      </x:c>
      <x:c r="S428" s="253" t="str">
        <x:v>Yes</x:v>
      </x:c>
      <x:c r="T428" s="265" t="n">
        <x:v>192322.76</x:v>
      </x:c>
      <x:c r="U428" s="253" t="str">
        <x:f>IF(AND(S428="Yes",T428=0),"Yes","No")</x:f>
        <x:v>No</x:v>
      </x:c>
      <x:c r="V428" s="253" t="str">
        <x:v>Yes</x:v>
      </x:c>
      <x:c r="W428" s="253" t="str">
        <x:v>Yes</x:v>
      </x:c>
      <x:c r="X428" s="259" t="n">
        <x:v>46147.166666666664</x:v>
      </x:c>
      <x:c r="Y428" s="265" t="n">
        <x:v>70162.1</x:v>
      </x:c>
      <x:c r="Z428" s="265" t="n">
        <x:v>103001.13</x:v>
      </x:c>
      <x:c r="AA428" s="253" t="str">
        <x:f>IF(V428="No","Maturing",IF(AND(U428="Yes",Y428&gt;0),"Yes","No"))</x:f>
        <x:v>No</x:v>
      </x:c>
      <x:c r="AB428" s="253" t="str">
        <x:f>IF(W428="No","Maturing",IF(AND(U428="Yes",Z428&gt;0),"Yes","No"))</x:f>
        <x:v>No</x:v>
      </x:c>
      <x:c r="AC428" s="265" t="n">
        <x:v>-6238.23</x:v>
      </x:c>
      <x:c r="AD428" s="265" t="n">
        <x:v>7958.86</x:v>
      </x:c>
      <x:c r="AE428" s="271" t="str"/>
      <x:c r="AF428" s="274" t="str">
        <x:v>Not validated - no control/holdout</x:v>
      </x:c>
      <x:c r="AG428" s="277" t="str">
        <x:v>Recovered execution only; assignment date and unclaimed-offer denominator unavailable</x:v>
      </x:c>
    </x:row>
    <x:row r="429">
      <x:c r="A429" s="252" t="str">
        <x:v>34135932</x:v>
      </x:c>
      <x:c r="B429" s="253" t="str">
        <x:v>WS1</x:v>
      </x:c>
      <x:c r="C429" s="253" t="str">
        <x:v>MB8</x:v>
      </x:c>
      <x:c r="D429" s="262" t="n">
        <x:v>46147.4015625</x:v>
      </x:c>
      <x:c r="E429" s="259" t="n">
        <x:v>46147.166666666664</x:v>
      </x:c>
      <x:c r="F429" s="253" t="str">
        <x:v>587328</x:v>
      </x:c>
      <x:c r="G429" s="253" t="str">
        <x:v>momiji123</x:v>
      </x:c>
      <x:c r="H429" s="253" t="str">
        <x:v>Yes</x:v>
      </x:c>
      <x:c r="I429" s="253" t="str">
        <x:v>zhen</x:v>
      </x:c>
      <x:c r="J429" s="253" t="str">
        <x:v>zhen</x:v>
      </x:c>
      <x:c r="K429" s="259" t="n">
        <x:v>45922.166666666664</x:v>
      </x:c>
      <x:c r="L429" s="268" t="str">
        <x:f>IFERROR(VLOOKUP(I429,'Handler-Team Map'!$A$7:$C$17,2,FALSE),"")</x:f>
      </x:c>
      <x:c r="M429" s="268" t="str">
        <x:f>IFERROR(VLOOKUP(I429,'Handler-Team Map'!$A$7:$C$17,3,FALSE),"")</x:f>
      </x:c>
      <x:c r="N429" s="274" t="str">
        <x:v>FT_VM_DEP300_GET100_5X</x:v>
      </x:c>
      <x:c r="O429" s="274" t="str">
        <x:v>VIP BONUS - Deposit 300 Get 100 - 5x TO</x:v>
      </x:c>
      <x:c r="P429" s="274" t="str">
        <x:v>DepositBonus</x:v>
      </x:c>
      <x:c r="Q429" s="274" t="str">
        <x:v>Approved</x:v>
      </x:c>
      <x:c r="R429" s="265" t="n">
        <x:v>100</x:v>
      </x:c>
      <x:c r="S429" s="253" t="str">
        <x:v>Yes</x:v>
      </x:c>
      <x:c r="T429" s="265" t="n">
        <x:v>4900</x:v>
      </x:c>
      <x:c r="U429" s="253" t="str">
        <x:f>IF(AND(S429="Yes",T429=0),"Yes","No")</x:f>
        <x:v>No</x:v>
      </x:c>
      <x:c r="V429" s="253" t="str">
        <x:v>Yes</x:v>
      </x:c>
      <x:c r="W429" s="253" t="str">
        <x:v>Yes</x:v>
      </x:c>
      <x:c r="X429" s="259" t="n">
        <x:v>46147.166666666664</x:v>
      </x:c>
      <x:c r="Y429" s="265" t="n">
        <x:v>650</x:v>
      </x:c>
      <x:c r="Z429" s="265" t="n">
        <x:v>650</x:v>
      </x:c>
      <x:c r="AA429" s="253" t="str">
        <x:f>IF(V429="No","Maturing",IF(AND(U429="Yes",Y429&gt;0),"Yes","No"))</x:f>
        <x:v>No</x:v>
      </x:c>
      <x:c r="AB429" s="253" t="str">
        <x:f>IF(W429="No","Maturing",IF(AND(U429="Yes",Z429&gt;0),"Yes","No"))</x:f>
        <x:v>No</x:v>
      </x:c>
      <x:c r="AC429" s="265" t="n">
        <x:v>523.12</x:v>
      </x:c>
      <x:c r="AD429" s="265" t="n">
        <x:v>523.12</x:v>
      </x:c>
      <x:c r="AE429" s="271" t="str"/>
      <x:c r="AF429" s="274" t="str">
        <x:v>Not validated - no control/holdout</x:v>
      </x:c>
      <x:c r="AG429" s="277" t="str">
        <x:v>Recovered execution only; assignment date and unclaimed-offer denominator unavailable</x:v>
      </x:c>
    </x:row>
    <x:row r="430">
      <x:c r="A430" s="252" t="str">
        <x:v>34135946</x:v>
      </x:c>
      <x:c r="B430" s="253" t="str">
        <x:v>WS1</x:v>
      </x:c>
      <x:c r="C430" s="253" t="str">
        <x:v>MB8</x:v>
      </x:c>
      <x:c r="D430" s="262" t="n">
        <x:v>46147.404398148145</x:v>
      </x:c>
      <x:c r="E430" s="259" t="n">
        <x:v>46147.166666666664</x:v>
      </x:c>
      <x:c r="F430" s="253" t="str">
        <x:v>973981</x:v>
      </x:c>
      <x:c r="G430" s="253" t="str">
        <x:v>sulugerek</x:v>
      </x:c>
      <x:c r="H430" s="253" t="str">
        <x:v>Yes</x:v>
      </x:c>
      <x:c r="I430" s="253" t="str"/>
      <x:c r="J430" s="253" t="str"/>
      <x:c r="K430" s="259"/>
      <x:c r="L430" s="268" t="str">
        <x:f>IFERROR(VLOOKUP(I430,'Handler-Team Map'!$A$7:$C$17,2,FALSE),"")</x:f>
      </x:c>
      <x:c r="M430" s="268" t="str">
        <x:f>IFERROR(VLOOKUP(I430,'Handler-Team Map'!$A$7:$C$17,3,FALSE),"")</x:f>
      </x:c>
      <x:c r="N430" s="274" t="str">
        <x:v>FT_VM_DEP600_GET200_5X</x:v>
      </x:c>
      <x:c r="O430" s="274" t="str">
        <x:v>VIP BONUS - Deposit 600 Get 200 - 5x TO</x:v>
      </x:c>
      <x:c r="P430" s="274" t="str">
        <x:v>DepositBonus</x:v>
      </x:c>
      <x:c r="Q430" s="274" t="str">
        <x:v>Approved</x:v>
      </x:c>
      <x:c r="R430" s="265" t="n">
        <x:v>200</x:v>
      </x:c>
      <x:c r="S430" s="253" t="str">
        <x:v>Yes</x:v>
      </x:c>
      <x:c r="T430" s="265" t="n">
        <x:v>6558</x:v>
      </x:c>
      <x:c r="U430" s="253" t="str">
        <x:f>IF(AND(S430="Yes",T430=0),"Yes","No")</x:f>
        <x:v>No</x:v>
      </x:c>
      <x:c r="V430" s="253" t="str">
        <x:v>Yes</x:v>
      </x:c>
      <x:c r="W430" s="253" t="str">
        <x:v>Yes</x:v>
      </x:c>
      <x:c r="X430" s="259" t="n">
        <x:v>46147.166666666664</x:v>
      </x:c>
      <x:c r="Y430" s="265" t="n">
        <x:v>780</x:v>
      </x:c>
      <x:c r="Z430" s="265" t="n">
        <x:v>1880</x:v>
      </x:c>
      <x:c r="AA430" s="253" t="str">
        <x:f>IF(V430="No","Maturing",IF(AND(U430="Yes",Y430&gt;0),"Yes","No"))</x:f>
        <x:v>No</x:v>
      </x:c>
      <x:c r="AB430" s="253" t="str">
        <x:f>IF(W430="No","Maturing",IF(AND(U430="Yes",Z430&gt;0),"Yes","No"))</x:f>
        <x:v>No</x:v>
      </x:c>
      <x:c r="AC430" s="265" t="n">
        <x:v>379.42</x:v>
      </x:c>
      <x:c r="AD430" s="265" t="n">
        <x:v>1479.22</x:v>
      </x:c>
      <x:c r="AE430" s="271" t="str"/>
      <x:c r="AF430" s="274" t="str">
        <x:v>Not validated - no control/holdout</x:v>
      </x:c>
      <x:c r="AG430" s="277" t="str">
        <x:v>Recovered execution only; assignment date and unclaimed-offer denominator unavailable</x:v>
      </x:c>
    </x:row>
    <x:row r="431">
      <x:c r="A431" s="252" t="str">
        <x:v>34136134</x:v>
      </x:c>
      <x:c r="B431" s="253" t="str">
        <x:v>WS1</x:v>
      </x:c>
      <x:c r="C431" s="253" t="str">
        <x:v>MB8</x:v>
      </x:c>
      <x:c r="D431" s="262" t="n">
        <x:v>46147.42822916667</x:v>
      </x:c>
      <x:c r="E431" s="259" t="n">
        <x:v>46147.166666666664</x:v>
      </x:c>
      <x:c r="F431" s="253" t="str">
        <x:v>834759</x:v>
      </x:c>
      <x:c r="G431" s="253" t="str">
        <x:v>chenyeow</x:v>
      </x:c>
      <x:c r="H431" s="253" t="str">
        <x:v>Yes</x:v>
      </x:c>
      <x:c r="I431" s="253" t="str">
        <x:v>zhen</x:v>
      </x:c>
      <x:c r="J431" s="253" t="str">
        <x:v>zhen</x:v>
      </x:c>
      <x:c r="K431" s="259" t="n">
        <x:v>45922.166666666664</x:v>
      </x:c>
      <x:c r="L431" s="268" t="str">
        <x:f>IFERROR(VLOOKUP(I431,'Handler-Team Map'!$A$7:$C$17,2,FALSE),"")</x:f>
      </x:c>
      <x:c r="M431" s="268" t="str">
        <x:f>IFERROR(VLOOKUP(I431,'Handler-Team Map'!$A$7:$C$17,3,FALSE),"")</x:f>
      </x:c>
      <x:c r="N431" s="274" t="str">
        <x:v>FT_VM_DEP1000_GET500_5X</x:v>
      </x:c>
      <x:c r="O431" s="274" t="str">
        <x:v>VIP BONUS - Deposit 1000 Get 500 - 5x TO</x:v>
      </x:c>
      <x:c r="P431" s="274" t="str">
        <x:v>DepositBonus</x:v>
      </x:c>
      <x:c r="Q431" s="274" t="str">
        <x:v>Approved</x:v>
      </x:c>
      <x:c r="R431" s="265" t="n">
        <x:v>500</x:v>
      </x:c>
      <x:c r="S431" s="253" t="str">
        <x:v>Yes</x:v>
      </x:c>
      <x:c r="T431" s="265" t="n">
        <x:v>1000</x:v>
      </x:c>
      <x:c r="U431" s="253" t="str">
        <x:f>IF(AND(S431="Yes",T431=0),"Yes","No")</x:f>
        <x:v>No</x:v>
      </x:c>
      <x:c r="V431" s="253" t="str">
        <x:v>Yes</x:v>
      </x:c>
      <x:c r="W431" s="253" t="str">
        <x:v>Yes</x:v>
      </x:c>
      <x:c r="X431" s="259" t="n">
        <x:v>46147.166666666664</x:v>
      </x:c>
      <x:c r="Y431" s="265" t="n">
        <x:v>2000</x:v>
      </x:c>
      <x:c r="Z431" s="265" t="n">
        <x:v>2000</x:v>
      </x:c>
      <x:c r="AA431" s="253" t="str">
        <x:f>IF(V431="No","Maturing",IF(AND(U431="Yes",Y431&gt;0),"Yes","No"))</x:f>
        <x:v>No</x:v>
      </x:c>
      <x:c r="AB431" s="253" t="str">
        <x:f>IF(W431="No","Maturing",IF(AND(U431="Yes",Z431&gt;0),"Yes","No"))</x:f>
        <x:v>No</x:v>
      </x:c>
      <x:c r="AC431" s="265" t="n">
        <x:v>2001.71</x:v>
      </x:c>
      <x:c r="AD431" s="265" t="n">
        <x:v>2001.71</x:v>
      </x:c>
      <x:c r="AE431" s="271" t="str"/>
      <x:c r="AF431" s="274" t="str">
        <x:v>Not validated - no control/holdout</x:v>
      </x:c>
      <x:c r="AG431" s="277" t="str">
        <x:v>Recovered execution only; assignment date and unclaimed-offer denominator unavailable</x:v>
      </x:c>
    </x:row>
    <x:row r="432">
      <x:c r="A432" s="252" t="str">
        <x:v>34137131</x:v>
      </x:c>
      <x:c r="B432" s="253" t="str">
        <x:v>WS1</x:v>
      </x:c>
      <x:c r="C432" s="253" t="str">
        <x:v>MB8</x:v>
      </x:c>
      <x:c r="D432" s="262" t="n">
        <x:v>46147.51851851852</x:v>
      </x:c>
      <x:c r="E432" s="259" t="n">
        <x:v>46147.166666666664</x:v>
      </x:c>
      <x:c r="F432" s="253" t="str">
        <x:v>773891</x:v>
      </x:c>
      <x:c r="G432" s="253" t="str">
        <x:v>arifls</x:v>
      </x:c>
      <x:c r="H432" s="253" t="str">
        <x:v>Yes</x:v>
      </x:c>
      <x:c r="I432" s="253" t="str">
        <x:v>Tammy</x:v>
      </x:c>
      <x:c r="J432" s="253" t="str">
        <x:v>Tammy</x:v>
      </x:c>
      <x:c r="K432" s="259" t="n">
        <x:v>45951.166666666664</x:v>
      </x:c>
      <x:c r="L432" s="268" t="str">
        <x:f>IFERROR(VLOOKUP(I432,'Handler-Team Map'!$A$7:$C$17,2,FALSE),"")</x:f>
      </x:c>
      <x:c r="M432" s="268" t="str">
        <x:f>IFERROR(VLOOKUP(I432,'Handler-Team Map'!$A$7:$C$17,3,FALSE),"")</x:f>
      </x:c>
      <x:c r="N432" s="274" t="str">
        <x:v>FT_VM_DEP300_GET100_5X</x:v>
      </x:c>
      <x:c r="O432" s="274" t="str">
        <x:v>VIP BONUS - Deposit 300 Get 100 - 5x TO</x:v>
      </x:c>
      <x:c r="P432" s="274" t="str">
        <x:v>DepositBonus</x:v>
      </x:c>
      <x:c r="Q432" s="274" t="str">
        <x:v>Approved</x:v>
      </x:c>
      <x:c r="R432" s="265" t="n">
        <x:v>100</x:v>
      </x:c>
      <x:c r="S432" s="253" t="str">
        <x:v>Yes</x:v>
      </x:c>
      <x:c r="T432" s="265" t="n">
        <x:v>13200</x:v>
      </x:c>
      <x:c r="U432" s="253" t="str">
        <x:f>IF(AND(S432="Yes",T432=0),"Yes","No")</x:f>
        <x:v>No</x:v>
      </x:c>
      <x:c r="V432" s="253" t="str">
        <x:v>Yes</x:v>
      </x:c>
      <x:c r="W432" s="253" t="str">
        <x:v>Yes</x:v>
      </x:c>
      <x:c r="X432" s="259" t="n">
        <x:v>46147.166666666664</x:v>
      </x:c>
      <x:c r="Y432" s="265" t="n">
        <x:v>24300</x:v>
      </x:c>
      <x:c r="Z432" s="265" t="n">
        <x:v>24500</x:v>
      </x:c>
      <x:c r="AA432" s="253" t="str">
        <x:f>IF(V432="No","Maturing",IF(AND(U432="Yes",Y432&gt;0),"Yes","No"))</x:f>
        <x:v>No</x:v>
      </x:c>
      <x:c r="AB432" s="253" t="str">
        <x:f>IF(W432="No","Maturing",IF(AND(U432="Yes",Z432&gt;0),"Yes","No"))</x:f>
        <x:v>No</x:v>
      </x:c>
      <x:c r="AC432" s="265" t="n">
        <x:v>-11091.6</x:v>
      </x:c>
      <x:c r="AD432" s="265" t="n">
        <x:v>-10890.93</x:v>
      </x:c>
      <x:c r="AE432" s="271" t="str"/>
      <x:c r="AF432" s="274" t="str">
        <x:v>Not validated - no control/holdout</x:v>
      </x:c>
      <x:c r="AG432" s="277" t="str">
        <x:v>Recovered execution only; assignment date and unclaimed-offer denominator unavailable</x:v>
      </x:c>
    </x:row>
    <x:row r="433">
      <x:c r="A433" s="252" t="str">
        <x:v>34137840</x:v>
      </x:c>
      <x:c r="B433" s="253" t="str">
        <x:v>WS1</x:v>
      </x:c>
      <x:c r="C433" s="253" t="str">
        <x:v>MB8</x:v>
      </x:c>
      <x:c r="D433" s="262" t="n">
        <x:v>46147.56967592592</x:v>
      </x:c>
      <x:c r="E433" s="259" t="n">
        <x:v>46147.166666666664</x:v>
      </x:c>
      <x:c r="F433" s="253" t="str">
        <x:v>532295</x:v>
      </x:c>
      <x:c r="G433" s="253" t="str">
        <x:v>tonyass</x:v>
      </x:c>
      <x:c r="H433" s="253" t="str">
        <x:v>Yes</x:v>
      </x:c>
      <x:c r="I433" s="253" t="str">
        <x:v>Elda</x:v>
      </x:c>
      <x:c r="J433" s="253" t="str">
        <x:v>Elda</x:v>
      </x:c>
      <x:c r="K433" s="259" t="n">
        <x:v>45659.166666666664</x:v>
      </x:c>
      <x:c r="L433" s="268" t="str">
        <x:f>IFERROR(VLOOKUP(I433,'Handler-Team Map'!$A$7:$C$17,2,FALSE),"")</x:f>
      </x:c>
      <x:c r="M433" s="268" t="str">
        <x:f>IFERROR(VLOOKUP(I433,'Handler-Team Map'!$A$7:$C$17,3,FALSE),"")</x:f>
      </x:c>
      <x:c r="N433" s="274" t="str">
        <x:v>FT_VM_DEP1000_GET500_5X</x:v>
      </x:c>
      <x:c r="O433" s="274" t="str">
        <x:v>VIP BONUS - Deposit 1000 Get 500 - 5x TO</x:v>
      </x:c>
      <x:c r="P433" s="274" t="str">
        <x:v>DepositBonus</x:v>
      </x:c>
      <x:c r="Q433" s="274" t="str">
        <x:v>Approved</x:v>
      </x:c>
      <x:c r="R433" s="265" t="n">
        <x:v>500</x:v>
      </x:c>
      <x:c r="S433" s="253" t="str">
        <x:v>Yes</x:v>
      </x:c>
      <x:c r="T433" s="265" t="n">
        <x:v>8100</x:v>
      </x:c>
      <x:c r="U433" s="253" t="str">
        <x:f>IF(AND(S433="Yes",T433=0),"Yes","No")</x:f>
        <x:v>No</x:v>
      </x:c>
      <x:c r="V433" s="253" t="str">
        <x:v>Yes</x:v>
      </x:c>
      <x:c r="W433" s="253" t="str">
        <x:v>Yes</x:v>
      </x:c>
      <x:c r="X433" s="259" t="n">
        <x:v>46147.166666666664</x:v>
      </x:c>
      <x:c r="Y433" s="265" t="n">
        <x:v>2500</x:v>
      </x:c>
      <x:c r="Z433" s="265" t="n">
        <x:v>5500</x:v>
      </x:c>
      <x:c r="AA433" s="253" t="str">
        <x:f>IF(V433="No","Maturing",IF(AND(U433="Yes",Y433&gt;0),"Yes","No"))</x:f>
        <x:v>No</x:v>
      </x:c>
      <x:c r="AB433" s="253" t="str">
        <x:f>IF(W433="No","Maturing",IF(AND(U433="Yes",Z433&gt;0),"Yes","No"))</x:f>
        <x:v>No</x:v>
      </x:c>
      <x:c r="AC433" s="265" t="n">
        <x:v>1917.72</x:v>
      </x:c>
      <x:c r="AD433" s="265" t="n">
        <x:v>-249.53</x:v>
      </x:c>
      <x:c r="AE433" s="271" t="str"/>
      <x:c r="AF433" s="274" t="str">
        <x:v>Not validated - no control/holdout</x:v>
      </x:c>
      <x:c r="AG433" s="277" t="str">
        <x:v>Recovered execution only; assignment date and unclaimed-offer denominator unavailable</x:v>
      </x:c>
    </x:row>
    <x:row r="434">
      <x:c r="A434" s="252" t="str">
        <x:v>34138637</x:v>
      </x:c>
      <x:c r="B434" s="253" t="str">
        <x:v>WS1</x:v>
      </x:c>
      <x:c r="C434" s="253" t="str">
        <x:v>MB8</x:v>
      </x:c>
      <x:c r="D434" s="262" t="n">
        <x:v>46147.62907407407</x:v>
      </x:c>
      <x:c r="E434" s="259" t="n">
        <x:v>46147.166666666664</x:v>
      </x:c>
      <x:c r="F434" s="253" t="str">
        <x:v>655054</x:v>
      </x:c>
      <x:c r="G434" s="253" t="str">
        <x:v>Celebi</x:v>
      </x:c>
      <x:c r="H434" s="253" t="str">
        <x:v>Yes</x:v>
      </x:c>
      <x:c r="I434" s="253" t="str">
        <x:v>zhen</x:v>
      </x:c>
      <x:c r="J434" s="253" t="str">
        <x:v>zhen</x:v>
      </x:c>
      <x:c r="K434" s="259" t="n">
        <x:v>45985.166666666664</x:v>
      </x:c>
      <x:c r="L434" s="268" t="str">
        <x:f>IFERROR(VLOOKUP(I434,'Handler-Team Map'!$A$7:$C$17,2,FALSE),"")</x:f>
      </x:c>
      <x:c r="M434" s="268" t="str">
        <x:f>IFERROR(VLOOKUP(I434,'Handler-Team Map'!$A$7:$C$17,3,FALSE),"")</x:f>
      </x:c>
      <x:c r="N434" s="274" t="str">
        <x:v>FT_VM_DEP1000_GET500_5X</x:v>
      </x:c>
      <x:c r="O434" s="274" t="str">
        <x:v>VIP BONUS - Deposit 1000 Get 500 - 5x TO</x:v>
      </x:c>
      <x:c r="P434" s="274" t="str">
        <x:v>DepositBonus</x:v>
      </x:c>
      <x:c r="Q434" s="274" t="str">
        <x:v>Approved</x:v>
      </x:c>
      <x:c r="R434" s="265" t="n">
        <x:v>500</x:v>
      </x:c>
      <x:c r="S434" s="253" t="str">
        <x:v>Yes</x:v>
      </x:c>
      <x:c r="T434" s="265" t="n">
        <x:v>4270</x:v>
      </x:c>
      <x:c r="U434" s="253" t="str">
        <x:f>IF(AND(S434="Yes",T434=0),"Yes","No")</x:f>
        <x:v>No</x:v>
      </x:c>
      <x:c r="V434" s="253" t="str">
        <x:v>Yes</x:v>
      </x:c>
      <x:c r="W434" s="253" t="str">
        <x:v>Yes</x:v>
      </x:c>
      <x:c r="X434" s="259" t="n">
        <x:v>46147.166666666664</x:v>
      </x:c>
      <x:c r="Y434" s="265" t="n">
        <x:v>30900</x:v>
      </x:c>
      <x:c r="Z434" s="265" t="n">
        <x:v>35755</x:v>
      </x:c>
      <x:c r="AA434" s="253" t="str">
        <x:f>IF(V434="No","Maturing",IF(AND(U434="Yes",Y434&gt;0),"Yes","No"))</x:f>
        <x:v>No</x:v>
      </x:c>
      <x:c r="AB434" s="253" t="str">
        <x:f>IF(W434="No","Maturing",IF(AND(U434="Yes",Z434&gt;0),"Yes","No"))</x:f>
        <x:v>No</x:v>
      </x:c>
      <x:c r="AC434" s="265" t="n">
        <x:v>27819.92</x:v>
      </x:c>
      <x:c r="AD434" s="265" t="n">
        <x:v>31783.51</x:v>
      </x:c>
      <x:c r="AE434" s="271" t="str"/>
      <x:c r="AF434" s="274" t="str">
        <x:v>Not validated - no control/holdout</x:v>
      </x:c>
      <x:c r="AG434" s="277" t="str">
        <x:v>Recovered execution only; assignment date and unclaimed-offer denominator unavailable</x:v>
      </x:c>
    </x:row>
    <x:row r="435">
      <x:c r="A435" s="252" t="str">
        <x:v>34138687</x:v>
      </x:c>
      <x:c r="B435" s="253" t="str">
        <x:v>WS1</x:v>
      </x:c>
      <x:c r="C435" s="253" t="str">
        <x:v>MB8</x:v>
      </x:c>
      <x:c r="D435" s="262" t="n">
        <x:v>46147.63366898148</x:v>
      </x:c>
      <x:c r="E435" s="259" t="n">
        <x:v>46147.166666666664</x:v>
      </x:c>
      <x:c r="F435" s="253" t="str">
        <x:v>478019</x:v>
      </x:c>
      <x:c r="G435" s="253" t="str">
        <x:v>Latino65</x:v>
      </x:c>
      <x:c r="H435" s="253" t="str">
        <x:v>Yes</x:v>
      </x:c>
      <x:c r="I435" s="253" t="str">
        <x:v>Claire</x:v>
      </x:c>
      <x:c r="J435" s="253" t="str">
        <x:v>Claire</x:v>
      </x:c>
      <x:c r="K435" s="259" t="n">
        <x:v>45790.166666666664</x:v>
      </x:c>
      <x:c r="L435" s="268" t="str">
        <x:f>IFERROR(VLOOKUP(I435,'Handler-Team Map'!$A$7:$C$17,2,FALSE),"")</x:f>
      </x:c>
      <x:c r="M435" s="268" t="str">
        <x:f>IFERROR(VLOOKUP(I435,'Handler-Team Map'!$A$7:$C$17,3,FALSE),"")</x:f>
      </x:c>
      <x:c r="N435" s="274" t="str">
        <x:v>FT_VM_DEP300_GET100_5X</x:v>
      </x:c>
      <x:c r="O435" s="274" t="str">
        <x:v>VIP BONUS - Deposit 300 Get 100 - 5x TO</x:v>
      </x:c>
      <x:c r="P435" s="274" t="str">
        <x:v>DepositBonus</x:v>
      </x:c>
      <x:c r="Q435" s="274" t="str">
        <x:v>Approved</x:v>
      </x:c>
      <x:c r="R435" s="265" t="n">
        <x:v>100</x:v>
      </x:c>
      <x:c r="S435" s="253" t="str">
        <x:v>Yes</x:v>
      </x:c>
      <x:c r="T435" s="265" t="n">
        <x:v>22038</x:v>
      </x:c>
      <x:c r="U435" s="253" t="str">
        <x:f>IF(AND(S435="Yes",T435=0),"Yes","No")</x:f>
        <x:v>No</x:v>
      </x:c>
      <x:c r="V435" s="253" t="str">
        <x:v>Yes</x:v>
      </x:c>
      <x:c r="W435" s="253" t="str">
        <x:v>Yes</x:v>
      </x:c>
      <x:c r="X435" s="259" t="n">
        <x:v>46147.166666666664</x:v>
      </x:c>
      <x:c r="Y435" s="265" t="n">
        <x:v>3343</x:v>
      </x:c>
      <x:c r="Z435" s="265" t="n">
        <x:v>3343</x:v>
      </x:c>
      <x:c r="AA435" s="253" t="str">
        <x:f>IF(V435="No","Maturing",IF(AND(U435="Yes",Y435&gt;0),"Yes","No"))</x:f>
        <x:v>No</x:v>
      </x:c>
      <x:c r="AB435" s="253" t="str">
        <x:f>IF(W435="No","Maturing",IF(AND(U435="Yes",Z435&gt;0),"Yes","No"))</x:f>
        <x:v>No</x:v>
      </x:c>
      <x:c r="AC435" s="265" t="n">
        <x:v>244.55</x:v>
      </x:c>
      <x:c r="AD435" s="265" t="n">
        <x:v>244.54</x:v>
      </x:c>
      <x:c r="AE435" s="271" t="str"/>
      <x:c r="AF435" s="274" t="str">
        <x:v>Not validated - no control/holdout</x:v>
      </x:c>
      <x:c r="AG435" s="277" t="str">
        <x:v>Recovered execution only; assignment date and unclaimed-offer denominator unavailable</x:v>
      </x:c>
    </x:row>
    <x:row r="436">
      <x:c r="A436" s="252" t="str">
        <x:v>34139386</x:v>
      </x:c>
      <x:c r="B436" s="253" t="str">
        <x:v>WS1</x:v>
      </x:c>
      <x:c r="C436" s="253" t="str">
        <x:v>MB8</x:v>
      </x:c>
      <x:c r="D436" s="262" t="n">
        <x:v>46147.67946759259</x:v>
      </x:c>
      <x:c r="E436" s="259" t="n">
        <x:v>46147.166666666664</x:v>
      </x:c>
      <x:c r="F436" s="253" t="str">
        <x:v>478946</x:v>
      </x:c>
      <x:c r="G436" s="253" t="str">
        <x:v>hau88</x:v>
      </x:c>
      <x:c r="H436" s="253" t="str">
        <x:v>Yes</x:v>
      </x:c>
      <x:c r="I436" s="253" t="str">
        <x:v>Elda</x:v>
      </x:c>
      <x:c r="J436" s="253" t="str">
        <x:v>Elda</x:v>
      </x:c>
      <x:c r="K436" s="259" t="n">
        <x:v>45659.166666666664</x:v>
      </x:c>
      <x:c r="L436" s="268" t="str">
        <x:f>IFERROR(VLOOKUP(I436,'Handler-Team Map'!$A$7:$C$17,2,FALSE),"")</x:f>
      </x:c>
      <x:c r="M436" s="268" t="str">
        <x:f>IFERROR(VLOOKUP(I436,'Handler-Team Map'!$A$7:$C$17,3,FALSE),"")</x:f>
      </x:c>
      <x:c r="N436" s="274" t="str">
        <x:v>FT_VM_DEP1000_GET800_2X</x:v>
      </x:c>
      <x:c r="O436" s="274" t="str">
        <x:v>VIP BONUS - Deposit 1000 Get 800 - 2x TO</x:v>
      </x:c>
      <x:c r="P436" s="274" t="str">
        <x:v>DepositBonus</x:v>
      </x:c>
      <x:c r="Q436" s="274" t="str">
        <x:v>Approved</x:v>
      </x:c>
      <x:c r="R436" s="265" t="n">
        <x:v>800</x:v>
      </x:c>
      <x:c r="S436" s="253" t="str">
        <x:v>Yes</x:v>
      </x:c>
      <x:c r="T436" s="265" t="n">
        <x:v>638</x:v>
      </x:c>
      <x:c r="U436" s="253" t="str">
        <x:f>IF(AND(S436="Yes",T436=0),"Yes","No")</x:f>
        <x:v>No</x:v>
      </x:c>
      <x:c r="V436" s="253" t="str">
        <x:v>Yes</x:v>
      </x:c>
      <x:c r="W436" s="253" t="str">
        <x:v>Yes</x:v>
      </x:c>
      <x:c r="X436" s="259" t="n">
        <x:v>46147.166666666664</x:v>
      </x:c>
      <x:c r="Y436" s="265" t="n">
        <x:v>6288</x:v>
      </x:c>
      <x:c r="Z436" s="265" t="n">
        <x:v>6378</x:v>
      </x:c>
      <x:c r="AA436" s="253" t="str">
        <x:f>IF(V436="No","Maturing",IF(AND(U436="Yes",Y436&gt;0),"Yes","No"))</x:f>
        <x:v>No</x:v>
      </x:c>
      <x:c r="AB436" s="253" t="str">
        <x:f>IF(W436="No","Maturing",IF(AND(U436="Yes",Z436&gt;0),"Yes","No"))</x:f>
        <x:v>No</x:v>
      </x:c>
      <x:c r="AC436" s="265" t="n">
        <x:v>5588.1</x:v>
      </x:c>
      <x:c r="AD436" s="265" t="n">
        <x:v>5678.18</x:v>
      </x:c>
      <x:c r="AE436" s="271" t="str"/>
      <x:c r="AF436" s="274" t="str">
        <x:v>Not validated - no control/holdout</x:v>
      </x:c>
      <x:c r="AG436" s="277" t="str">
        <x:v>Recovered execution only; assignment date and unclaimed-offer denominator unavailable</x:v>
      </x:c>
    </x:row>
    <x:row r="437">
      <x:c r="A437" s="252" t="str">
        <x:v>34139690</x:v>
      </x:c>
      <x:c r="B437" s="253" t="str">
        <x:v>WS1</x:v>
      </x:c>
      <x:c r="C437" s="253" t="str">
        <x:v>MB8</x:v>
      </x:c>
      <x:c r="D437" s="262" t="n">
        <x:v>46147.70101851852</x:v>
      </x:c>
      <x:c r="E437" s="259" t="n">
        <x:v>46147.166666666664</x:v>
      </x:c>
      <x:c r="F437" s="253" t="str">
        <x:v>635105</x:v>
      </x:c>
      <x:c r="G437" s="253" t="str">
        <x:v>Jason9494</x:v>
      </x:c>
      <x:c r="H437" s="253" t="str">
        <x:v>Yes</x:v>
      </x:c>
      <x:c r="I437" s="253" t="str">
        <x:v>Claire</x:v>
      </x:c>
      <x:c r="J437" s="253" t="str">
        <x:v>Claire</x:v>
      </x:c>
      <x:c r="K437" s="259" t="n">
        <x:v>45790.166666666664</x:v>
      </x:c>
      <x:c r="L437" s="268" t="str">
        <x:f>IFERROR(VLOOKUP(I437,'Handler-Team Map'!$A$7:$C$17,2,FALSE),"")</x:f>
      </x:c>
      <x:c r="M437" s="268" t="str">
        <x:f>IFERROR(VLOOKUP(I437,'Handler-Team Map'!$A$7:$C$17,3,FALSE),"")</x:f>
      </x:c>
      <x:c r="N437" s="274" t="str">
        <x:v>FT_VM_DEP1000_GET500_2X</x:v>
      </x:c>
      <x:c r="O437" s="274" t="str">
        <x:v>VIP BONUS - Deposit 1000 Get 500 - 2x TO</x:v>
      </x:c>
      <x:c r="P437" s="274" t="str">
        <x:v>DepositBonus</x:v>
      </x:c>
      <x:c r="Q437" s="274" t="str">
        <x:v>Approved</x:v>
      </x:c>
      <x:c r="R437" s="265" t="n">
        <x:v>500</x:v>
      </x:c>
      <x:c r="S437" s="253" t="str">
        <x:v>Yes</x:v>
      </x:c>
      <x:c r="T437" s="265" t="n">
        <x:v>1200</x:v>
      </x:c>
      <x:c r="U437" s="253" t="str">
        <x:f>IF(AND(S437="Yes",T437=0),"Yes","No")</x:f>
        <x:v>No</x:v>
      </x:c>
      <x:c r="V437" s="253" t="str">
        <x:v>Yes</x:v>
      </x:c>
      <x:c r="W437" s="253" t="str">
        <x:v>Yes</x:v>
      </x:c>
      <x:c r="X437" s="259" t="n">
        <x:v>46147.166666666664</x:v>
      </x:c>
      <x:c r="Y437" s="265" t="n">
        <x:v>1000</x:v>
      </x:c>
      <x:c r="Z437" s="265" t="n">
        <x:v>2000</x:v>
      </x:c>
      <x:c r="AA437" s="253" t="str">
        <x:f>IF(V437="No","Maturing",IF(AND(U437="Yes",Y437&gt;0),"Yes","No"))</x:f>
        <x:v>No</x:v>
      </x:c>
      <x:c r="AB437" s="253" t="str">
        <x:f>IF(W437="No","Maturing",IF(AND(U437="Yes",Z437&gt;0),"Yes","No"))</x:f>
        <x:v>No</x:v>
      </x:c>
      <x:c r="AC437" s="265" t="n">
        <x:v>1007.64</x:v>
      </x:c>
      <x:c r="AD437" s="265" t="n">
        <x:v>2007.12</x:v>
      </x:c>
      <x:c r="AE437" s="271" t="str"/>
      <x:c r="AF437" s="274" t="str">
        <x:v>Not validated - no control/holdout</x:v>
      </x:c>
      <x:c r="AG437" s="277" t="str">
        <x:v>Recovered execution only; assignment date and unclaimed-offer denominator unavailable</x:v>
      </x:c>
    </x:row>
    <x:row r="438">
      <x:c r="A438" s="252" t="str">
        <x:v>34140077</x:v>
      </x:c>
      <x:c r="B438" s="253" t="str">
        <x:v>WS1</x:v>
      </x:c>
      <x:c r="C438" s="253" t="str">
        <x:v>MB8</x:v>
      </x:c>
      <x:c r="D438" s="262" t="n">
        <x:v>46147.728125</x:v>
      </x:c>
      <x:c r="E438" s="259" t="n">
        <x:v>46147.166666666664</x:v>
      </x:c>
      <x:c r="F438" s="253" t="str">
        <x:v>666090</x:v>
      </x:c>
      <x:c r="G438" s="253" t="str">
        <x:v>Anthony1</x:v>
      </x:c>
      <x:c r="H438" s="253" t="str">
        <x:v>Yes</x:v>
      </x:c>
      <x:c r="I438" s="253" t="str">
        <x:v>Mikki</x:v>
      </x:c>
      <x:c r="J438" s="253" t="str">
        <x:v>Mikki</x:v>
      </x:c>
      <x:c r="K438" s="259" t="n">
        <x:v>45993.166666666664</x:v>
      </x:c>
      <x:c r="L438" s="268" t="str">
        <x:f>IFERROR(VLOOKUP(I438,'Handler-Team Map'!$A$7:$C$17,2,FALSE),"")</x:f>
      </x:c>
      <x:c r="M438" s="268" t="str">
        <x:f>IFERROR(VLOOKUP(I438,'Handler-Team Map'!$A$7:$C$17,3,FALSE),"")</x:f>
      </x:c>
      <x:c r="N438" s="274" t="str">
        <x:v>FT_VM_DEP600_GET200_5X</x:v>
      </x:c>
      <x:c r="O438" s="274" t="str">
        <x:v>VIP BONUS - Deposit 600 Get 200 - 5x TO</x:v>
      </x:c>
      <x:c r="P438" s="274" t="str">
        <x:v>DepositBonus</x:v>
      </x:c>
      <x:c r="Q438" s="274" t="str">
        <x:v>Approved</x:v>
      </x:c>
      <x:c r="R438" s="265" t="n">
        <x:v>200</x:v>
      </x:c>
      <x:c r="S438" s="253" t="str">
        <x:v>Yes</x:v>
      </x:c>
      <x:c r="T438" s="265" t="n">
        <x:v>3880</x:v>
      </x:c>
      <x:c r="U438" s="253" t="str">
        <x:f>IF(AND(S438="Yes",T438=0),"Yes","No")</x:f>
        <x:v>No</x:v>
      </x:c>
      <x:c r="V438" s="253" t="str">
        <x:v>Yes</x:v>
      </x:c>
      <x:c r="W438" s="253" t="str">
        <x:v>Yes</x:v>
      </x:c>
      <x:c r="X438" s="259" t="n">
        <x:v>46147.166666666664</x:v>
      </x:c>
      <x:c r="Y438" s="265" t="n">
        <x:v>630</x:v>
      </x:c>
      <x:c r="Z438" s="265" t="n">
        <x:v>630</x:v>
      </x:c>
      <x:c r="AA438" s="253" t="str">
        <x:f>IF(V438="No","Maturing",IF(AND(U438="Yes",Y438&gt;0),"Yes","No"))</x:f>
        <x:v>No</x:v>
      </x:c>
      <x:c r="AB438" s="253" t="str">
        <x:f>IF(W438="No","Maturing",IF(AND(U438="Yes",Z438&gt;0),"Yes","No"))</x:f>
        <x:v>No</x:v>
      </x:c>
      <x:c r="AC438" s="265" t="n">
        <x:v>-514</x:v>
      </x:c>
      <x:c r="AD438" s="265" t="n">
        <x:v>-514</x:v>
      </x:c>
      <x:c r="AE438" s="271" t="str"/>
      <x:c r="AF438" s="274" t="str">
        <x:v>Not validated - no control/holdout</x:v>
      </x:c>
      <x:c r="AG438" s="277" t="str">
        <x:v>Recovered execution only; assignment date and unclaimed-offer denominator unavailable</x:v>
      </x:c>
    </x:row>
    <x:row r="439">
      <x:c r="A439" s="252" t="str">
        <x:v>34141388</x:v>
      </x:c>
      <x:c r="B439" s="253" t="str">
        <x:v>WS1</x:v>
      </x:c>
      <x:c r="C439" s="253" t="str">
        <x:v>MB8</x:v>
      </x:c>
      <x:c r="D439" s="262" t="n">
        <x:v>46147.81716435185</x:v>
      </x:c>
      <x:c r="E439" s="259" t="n">
        <x:v>46147.166666666664</x:v>
      </x:c>
      <x:c r="F439" s="253" t="str">
        <x:v>189694</x:v>
      </x:c>
      <x:c r="G439" s="253" t="str">
        <x:v>wilson123</x:v>
      </x:c>
      <x:c r="H439" s="253" t="str">
        <x:v>Yes</x:v>
      </x:c>
      <x:c r="I439" s="253" t="str"/>
      <x:c r="J439" s="253" t="str"/>
      <x:c r="K439" s="259"/>
      <x:c r="L439" s="268" t="str">
        <x:f>IFERROR(VLOOKUP(I439,'Handler-Team Map'!$A$7:$C$17,2,FALSE),"")</x:f>
      </x:c>
      <x:c r="M439" s="268" t="str">
        <x:f>IFERROR(VLOOKUP(I439,'Handler-Team Map'!$A$7:$C$17,3,FALSE),"")</x:f>
      </x:c>
      <x:c r="N439" s="274" t="str">
        <x:v>FT_VM_DEP1000_GET500_1X</x:v>
      </x:c>
      <x:c r="O439" s="274" t="str">
        <x:v>VIP BONUS - Deposit 1000 Get 500 - 1x TO</x:v>
      </x:c>
      <x:c r="P439" s="274" t="str">
        <x:v>DepositBonus</x:v>
      </x:c>
      <x:c r="Q439" s="274" t="str">
        <x:v>Approved</x:v>
      </x:c>
      <x:c r="R439" s="265" t="n">
        <x:v>500</x:v>
      </x:c>
      <x:c r="S439" s="253" t="str">
        <x:v>Yes</x:v>
      </x:c>
      <x:c r="T439" s="265" t="n">
        <x:v>0</x:v>
      </x:c>
      <x:c r="U439" s="253" t="str">
        <x:f>IF(AND(S439="Yes",T439=0),"Yes","No")</x:f>
        <x:v>Yes</x:v>
      </x:c>
      <x:c r="V439" s="253" t="str">
        <x:v>Yes</x:v>
      </x:c>
      <x:c r="W439" s="253" t="str">
        <x:v>Yes</x:v>
      </x:c>
      <x:c r="X439" s="259" t="n">
        <x:v>46147.166666666664</x:v>
      </x:c>
      <x:c r="Y439" s="265" t="n">
        <x:v>1000</x:v>
      </x:c>
      <x:c r="Z439" s="265" t="n">
        <x:v>1000</x:v>
      </x:c>
      <x:c r="AA439" s="253" t="str">
        <x:f>IF(V439="No","Maturing",IF(AND(U439="Yes",Y439&gt;0),"Yes","No"))</x:f>
        <x:v>Yes</x:v>
      </x:c>
      <x:c r="AB439" s="253" t="str">
        <x:f>IF(W439="No","Maturing",IF(AND(U439="Yes",Z439&gt;0),"Yes","No"))</x:f>
        <x:v>Yes</x:v>
      </x:c>
      <x:c r="AC439" s="265" t="n">
        <x:v>996.61</x:v>
      </x:c>
      <x:c r="AD439" s="265" t="n">
        <x:v>996.61</x:v>
      </x:c>
      <x:c r="AE439" s="271" t="str"/>
      <x:c r="AF439" s="274" t="str">
        <x:v>Not validated - no control/holdout</x:v>
      </x:c>
      <x:c r="AG439" s="277" t="str">
        <x:v>Recovered execution only; assignment date and unclaimed-offer denominator unavailable</x:v>
      </x:c>
    </x:row>
    <x:row r="440">
      <x:c r="A440" s="252" t="str">
        <x:v>34142427</x:v>
      </x:c>
      <x:c r="B440" s="253" t="str">
        <x:v>WS1</x:v>
      </x:c>
      <x:c r="C440" s="253" t="str">
        <x:v>MB8</x:v>
      </x:c>
      <x:c r="D440" s="262" t="n">
        <x:v>46147.88505787037</x:v>
      </x:c>
      <x:c r="E440" s="259" t="n">
        <x:v>46147.166666666664</x:v>
      </x:c>
      <x:c r="F440" s="253" t="str">
        <x:v>570706</x:v>
      </x:c>
      <x:c r="G440" s="253" t="str">
        <x:v>Soh890922</x:v>
      </x:c>
      <x:c r="H440" s="253" t="str">
        <x:v>Yes</x:v>
      </x:c>
      <x:c r="I440" s="253" t="str"/>
      <x:c r="J440" s="253" t="str"/>
      <x:c r="K440" s="259"/>
      <x:c r="L440" s="268" t="str">
        <x:f>IFERROR(VLOOKUP(I440,'Handler-Team Map'!$A$7:$C$17,2,FALSE),"")</x:f>
      </x:c>
      <x:c r="M440" s="268" t="str">
        <x:f>IFERROR(VLOOKUP(I440,'Handler-Team Map'!$A$7:$C$17,3,FALSE),"")</x:f>
      </x:c>
      <x:c r="N440" s="274" t="str">
        <x:v>FT_VM_DEP600_GET200_5X</x:v>
      </x:c>
      <x:c r="O440" s="274" t="str">
        <x:v>VIP BONUS - Deposit 600 Get 200 - 5x TO</x:v>
      </x:c>
      <x:c r="P440" s="274" t="str">
        <x:v>DepositBonus</x:v>
      </x:c>
      <x:c r="Q440" s="274" t="str">
        <x:v>Approved</x:v>
      </x:c>
      <x:c r="R440" s="265" t="n">
        <x:v>200</x:v>
      </x:c>
      <x:c r="S440" s="253" t="str">
        <x:v>Yes</x:v>
      </x:c>
      <x:c r="T440" s="265" t="n">
        <x:v>1950</x:v>
      </x:c>
      <x:c r="U440" s="253" t="str">
        <x:f>IF(AND(S440="Yes",T440=0),"Yes","No")</x:f>
        <x:v>No</x:v>
      </x:c>
      <x:c r="V440" s="253" t="str">
        <x:v>Yes</x:v>
      </x:c>
      <x:c r="W440" s="253" t="str">
        <x:v>Yes</x:v>
      </x:c>
      <x:c r="X440" s="259" t="n">
        <x:v>46147.166666666664</x:v>
      </x:c>
      <x:c r="Y440" s="265" t="n">
        <x:v>800</x:v>
      </x:c>
      <x:c r="Z440" s="265" t="n">
        <x:v>1100</x:v>
      </x:c>
      <x:c r="AA440" s="253" t="str">
        <x:f>IF(V440="No","Maturing",IF(AND(U440="Yes",Y440&gt;0),"Yes","No"))</x:f>
        <x:v>No</x:v>
      </x:c>
      <x:c r="AB440" s="253" t="str">
        <x:f>IF(W440="No","Maturing",IF(AND(U440="Yes",Z440&gt;0),"Yes","No"))</x:f>
        <x:v>No</x:v>
      </x:c>
      <x:c r="AC440" s="265" t="n">
        <x:v>808.39</x:v>
      </x:c>
      <x:c r="AD440" s="265" t="n">
        <x:v>1108.45</x:v>
      </x:c>
      <x:c r="AE440" s="271" t="str"/>
      <x:c r="AF440" s="274" t="str">
        <x:v>Not validated - no control/holdout</x:v>
      </x:c>
      <x:c r="AG440" s="277" t="str">
        <x:v>Recovered execution only; assignment date and unclaimed-offer denominator unavailable</x:v>
      </x:c>
    </x:row>
    <x:row r="441">
      <x:c r="A441" s="252" t="str">
        <x:v>34143077</x:v>
      </x:c>
      <x:c r="B441" s="253" t="str">
        <x:v>WS1</x:v>
      </x:c>
      <x:c r="C441" s="253" t="str">
        <x:v>MB8</x:v>
      </x:c>
      <x:c r="D441" s="262" t="n">
        <x:v>46147.92333333333</x:v>
      </x:c>
      <x:c r="E441" s="259" t="n">
        <x:v>46147.166666666664</x:v>
      </x:c>
      <x:c r="F441" s="253" t="str">
        <x:v>1044016</x:v>
      </x:c>
      <x:c r="G441" s="253" t="str">
        <x:v>crapssam</x:v>
      </x:c>
      <x:c r="H441" s="253" t="str">
        <x:v>Yes</x:v>
      </x:c>
      <x:c r="I441" s="253" t="str">
        <x:v>Christy</x:v>
      </x:c>
      <x:c r="J441" s="253" t="str">
        <x:v>Christy</x:v>
      </x:c>
      <x:c r="K441" s="259" t="n">
        <x:v>45831.166666666664</x:v>
      </x:c>
      <x:c r="L441" s="268" t="str">
        <x:f>IFERROR(VLOOKUP(I441,'Handler-Team Map'!$A$7:$C$17,2,FALSE),"")</x:f>
      </x:c>
      <x:c r="M441" s="268" t="str">
        <x:f>IFERROR(VLOOKUP(I441,'Handler-Team Map'!$A$7:$C$17,3,FALSE),"")</x:f>
      </x:c>
      <x:c r="N441" s="274" t="str">
        <x:v>FT_VM_DEP1000_GET500_5X</x:v>
      </x:c>
      <x:c r="O441" s="274" t="str">
        <x:v>VIP BONUS - Deposit 1000 Get 500 - 5x TO</x:v>
      </x:c>
      <x:c r="P441" s="274" t="str">
        <x:v>DepositBonus</x:v>
      </x:c>
      <x:c r="Q441" s="274" t="str">
        <x:v>Approved</x:v>
      </x:c>
      <x:c r="R441" s="265" t="n">
        <x:v>500</x:v>
      </x:c>
      <x:c r="S441" s="253" t="str">
        <x:v>Yes</x:v>
      </x:c>
      <x:c r="T441" s="265" t="n">
        <x:v>16600</x:v>
      </x:c>
      <x:c r="U441" s="253" t="str">
        <x:f>IF(AND(S441="Yes",T441=0),"Yes","No")</x:f>
        <x:v>No</x:v>
      </x:c>
      <x:c r="V441" s="253" t="str">
        <x:v>Yes</x:v>
      </x:c>
      <x:c r="W441" s="253" t="str">
        <x:v>Yes</x:v>
      </x:c>
      <x:c r="X441" s="259" t="n">
        <x:v>46147.166666666664</x:v>
      </x:c>
      <x:c r="Y441" s="265" t="n">
        <x:v>3480</x:v>
      </x:c>
      <x:c r="Z441" s="265" t="n">
        <x:v>5180</x:v>
      </x:c>
      <x:c r="AA441" s="253" t="str">
        <x:f>IF(V441="No","Maturing",IF(AND(U441="Yes",Y441&gt;0),"Yes","No"))</x:f>
        <x:v>No</x:v>
      </x:c>
      <x:c r="AB441" s="253" t="str">
        <x:f>IF(W441="No","Maturing",IF(AND(U441="Yes",Z441&gt;0),"Yes","No"))</x:f>
        <x:v>No</x:v>
      </x:c>
      <x:c r="AC441" s="265" t="n">
        <x:v>3442.17</x:v>
      </x:c>
      <x:c r="AD441" s="265" t="n">
        <x:v>5213.22</x:v>
      </x:c>
      <x:c r="AE441" s="271" t="str"/>
      <x:c r="AF441" s="274" t="str">
        <x:v>Not validated - no control/holdout</x:v>
      </x:c>
      <x:c r="AG441" s="277" t="str">
        <x:v>Recovered execution only; assignment date and unclaimed-offer denominator unavailable</x:v>
      </x:c>
    </x:row>
    <x:row r="442">
      <x:c r="A442" s="252" t="str">
        <x:v>34143181</x:v>
      </x:c>
      <x:c r="B442" s="253" t="str">
        <x:v>WS1</x:v>
      </x:c>
      <x:c r="C442" s="253" t="str">
        <x:v>MB8</x:v>
      </x:c>
      <x:c r="D442" s="262" t="n">
        <x:v>46147.92699074074</x:v>
      </x:c>
      <x:c r="E442" s="259" t="n">
        <x:v>46147.166666666664</x:v>
      </x:c>
      <x:c r="F442" s="253" t="str">
        <x:v>310009</x:v>
      </x:c>
      <x:c r="G442" s="253" t="str">
        <x:v>Cikopat87</x:v>
      </x:c>
      <x:c r="H442" s="253" t="str">
        <x:v>Yes</x:v>
      </x:c>
      <x:c r="I442" s="253" t="str">
        <x:v>Elda</x:v>
      </x:c>
      <x:c r="J442" s="253" t="str">
        <x:v>Elda</x:v>
      </x:c>
      <x:c r="K442" s="259" t="n">
        <x:v>45659.166666666664</x:v>
      </x:c>
      <x:c r="L442" s="268" t="str">
        <x:f>IFERROR(VLOOKUP(I442,'Handler-Team Map'!$A$7:$C$17,2,FALSE),"")</x:f>
      </x:c>
      <x:c r="M442" s="268" t="str">
        <x:f>IFERROR(VLOOKUP(I442,'Handler-Team Map'!$A$7:$C$17,3,FALSE),"")</x:f>
      </x:c>
      <x:c r="N442" s="274" t="str">
        <x:v>FT_VM_DEP1000_GET800_2X</x:v>
      </x:c>
      <x:c r="O442" s="274" t="str">
        <x:v>VIP BONUS - Deposit 1000 Get 800 - 2x TO</x:v>
      </x:c>
      <x:c r="P442" s="274" t="str">
        <x:v>DepositBonus</x:v>
      </x:c>
      <x:c r="Q442" s="274" t="str">
        <x:v>Approved</x:v>
      </x:c>
      <x:c r="R442" s="265" t="n">
        <x:v>800</x:v>
      </x:c>
      <x:c r="S442" s="253" t="str">
        <x:v>Yes</x:v>
      </x:c>
      <x:c r="T442" s="265" t="n">
        <x:v>1440</x:v>
      </x:c>
      <x:c r="U442" s="253" t="str">
        <x:f>IF(AND(S442="Yes",T442=0),"Yes","No")</x:f>
        <x:v>No</x:v>
      </x:c>
      <x:c r="V442" s="253" t="str">
        <x:v>Yes</x:v>
      </x:c>
      <x:c r="W442" s="253" t="str">
        <x:v>Yes</x:v>
      </x:c>
      <x:c r="X442" s="259" t="n">
        <x:v>46147.166666666664</x:v>
      </x:c>
      <x:c r="Y442" s="265" t="n">
        <x:v>1000</x:v>
      </x:c>
      <x:c r="Z442" s="265" t="n">
        <x:v>1000</x:v>
      </x:c>
      <x:c r="AA442" s="253" t="str">
        <x:f>IF(V442="No","Maturing",IF(AND(U442="Yes",Y442&gt;0),"Yes","No"))</x:f>
        <x:v>No</x:v>
      </x:c>
      <x:c r="AB442" s="253" t="str">
        <x:f>IF(W442="No","Maturing",IF(AND(U442="Yes",Z442&gt;0),"Yes","No"))</x:f>
        <x:v>No</x:v>
      </x:c>
      <x:c r="AC442" s="265" t="n">
        <x:v>999.86</x:v>
      </x:c>
      <x:c r="AD442" s="265" t="n">
        <x:v>999.86</x:v>
      </x:c>
      <x:c r="AE442" s="271" t="str"/>
      <x:c r="AF442" s="274" t="str">
        <x:v>Not validated - no control/holdout</x:v>
      </x:c>
      <x:c r="AG442" s="277" t="str">
        <x:v>Recovered execution only; assignment date and unclaimed-offer denominator unavailable</x:v>
      </x:c>
    </x:row>
    <x:row r="443">
      <x:c r="A443" s="252" t="str">
        <x:v>34143191</x:v>
      </x:c>
      <x:c r="B443" s="253" t="str">
        <x:v>WS1</x:v>
      </x:c>
      <x:c r="C443" s="253" t="str">
        <x:v>MB8</x:v>
      </x:c>
      <x:c r="D443" s="262" t="n">
        <x:v>46147.927152777775</x:v>
      </x:c>
      <x:c r="E443" s="259" t="n">
        <x:v>46147.166666666664</x:v>
      </x:c>
      <x:c r="F443" s="253" t="str">
        <x:v>934695</x:v>
      </x:c>
      <x:c r="G443" s="253" t="str">
        <x:v>Wil123</x:v>
      </x:c>
      <x:c r="H443" s="253" t="str">
        <x:v>Yes</x:v>
      </x:c>
      <x:c r="I443" s="253" t="str">
        <x:v>Claire</x:v>
      </x:c>
      <x:c r="J443" s="253" t="str">
        <x:v>Claire</x:v>
      </x:c>
      <x:c r="K443" s="259" t="n">
        <x:v>45659.166666666664</x:v>
      </x:c>
      <x:c r="L443" s="268" t="str">
        <x:f>IFERROR(VLOOKUP(I443,'Handler-Team Map'!$A$7:$C$17,2,FALSE),"")</x:f>
      </x:c>
      <x:c r="M443" s="268" t="str">
        <x:f>IFERROR(VLOOKUP(I443,'Handler-Team Map'!$A$7:$C$17,3,FALSE),"")</x:f>
      </x:c>
      <x:c r="N443" s="274" t="str">
        <x:v>FT_VM_DEP1000_GET800_2X</x:v>
      </x:c>
      <x:c r="O443" s="274" t="str">
        <x:v>VIP BONUS - Deposit 1000 Get 800 - 2x TO</x:v>
      </x:c>
      <x:c r="P443" s="274" t="str">
        <x:v>DepositBonus</x:v>
      </x:c>
      <x:c r="Q443" s="274" t="str">
        <x:v>Approved</x:v>
      </x:c>
      <x:c r="R443" s="265" t="n">
        <x:v>800</x:v>
      </x:c>
      <x:c r="S443" s="253" t="str">
        <x:v>Yes</x:v>
      </x:c>
      <x:c r="T443" s="265" t="n">
        <x:v>2900</x:v>
      </x:c>
      <x:c r="U443" s="253" t="str">
        <x:f>IF(AND(S443="Yes",T443=0),"Yes","No")</x:f>
        <x:v>No</x:v>
      </x:c>
      <x:c r="V443" s="253" t="str">
        <x:v>Yes</x:v>
      </x:c>
      <x:c r="W443" s="253" t="str">
        <x:v>Yes</x:v>
      </x:c>
      <x:c r="X443" s="259" t="n">
        <x:v>46147.166666666664</x:v>
      </x:c>
      <x:c r="Y443" s="265" t="n">
        <x:v>2000</x:v>
      </x:c>
      <x:c r="Z443" s="265" t="n">
        <x:v>2000</x:v>
      </x:c>
      <x:c r="AA443" s="253" t="str">
        <x:f>IF(V443="No","Maturing",IF(AND(U443="Yes",Y443&gt;0),"Yes","No"))</x:f>
        <x:v>No</x:v>
      </x:c>
      <x:c r="AB443" s="253" t="str">
        <x:f>IF(W443="No","Maturing",IF(AND(U443="Yes",Z443&gt;0),"Yes","No"))</x:f>
        <x:v>No</x:v>
      </x:c>
      <x:c r="AC443" s="265" t="n">
        <x:v>681.45</x:v>
      </x:c>
      <x:c r="AD443" s="265" t="n">
        <x:v>685.93</x:v>
      </x:c>
      <x:c r="AE443" s="271" t="str"/>
      <x:c r="AF443" s="274" t="str">
        <x:v>Not validated - no control/holdout</x:v>
      </x:c>
      <x:c r="AG443" s="277" t="str">
        <x:v>Recovered execution only; assignment date and unclaimed-offer denominator unavailable</x:v>
      </x:c>
    </x:row>
    <x:row r="444">
      <x:c r="A444" s="252" t="str">
        <x:v>34143296</x:v>
      </x:c>
      <x:c r="B444" s="253" t="str">
        <x:v>WS1</x:v>
      </x:c>
      <x:c r="C444" s="253" t="str">
        <x:v>MB8</x:v>
      </x:c>
      <x:c r="D444" s="262" t="n">
        <x:v>46147.93241898148</x:v>
      </x:c>
      <x:c r="E444" s="259" t="n">
        <x:v>46147.166666666664</x:v>
      </x:c>
      <x:c r="F444" s="253" t="str">
        <x:v>546437</x:v>
      </x:c>
      <x:c r="G444" s="253" t="str">
        <x:v>Devils</x:v>
      </x:c>
      <x:c r="H444" s="253" t="str">
        <x:v>Yes</x:v>
      </x:c>
      <x:c r="I444" s="253" t="str">
        <x:v>Elda</x:v>
      </x:c>
      <x:c r="J444" s="253" t="str">
        <x:v>Elda</x:v>
      </x:c>
      <x:c r="K444" s="259" t="n">
        <x:v>45659.166666666664</x:v>
      </x:c>
      <x:c r="L444" s="268" t="str">
        <x:f>IFERROR(VLOOKUP(I444,'Handler-Team Map'!$A$7:$C$17,2,FALSE),"")</x:f>
      </x:c>
      <x:c r="M444" s="268" t="str">
        <x:f>IFERROR(VLOOKUP(I444,'Handler-Team Map'!$A$7:$C$17,3,FALSE),"")</x:f>
      </x:c>
      <x:c r="N444" s="274" t="str">
        <x:v>FT_VM_DEP300_GET100_2X</x:v>
      </x:c>
      <x:c r="O444" s="274" t="str">
        <x:v>VIP BONUS - Deposit 300 Get 100 - 2x TO</x:v>
      </x:c>
      <x:c r="P444" s="274" t="str">
        <x:v>DepositBonus</x:v>
      </x:c>
      <x:c r="Q444" s="274" t="str">
        <x:v>Approved</x:v>
      </x:c>
      <x:c r="R444" s="265" t="n">
        <x:v>100</x:v>
      </x:c>
      <x:c r="S444" s="253" t="str">
        <x:v>Yes</x:v>
      </x:c>
      <x:c r="T444" s="265" t="n">
        <x:v>21740</x:v>
      </x:c>
      <x:c r="U444" s="253" t="str">
        <x:f>IF(AND(S444="Yes",T444=0),"Yes","No")</x:f>
        <x:v>No</x:v>
      </x:c>
      <x:c r="V444" s="253" t="str">
        <x:v>Yes</x:v>
      </x:c>
      <x:c r="W444" s="253" t="str">
        <x:v>Yes</x:v>
      </x:c>
      <x:c r="X444" s="259" t="n">
        <x:v>46147.166666666664</x:v>
      </x:c>
      <x:c r="Y444" s="265" t="n">
        <x:v>1860</x:v>
      </x:c>
      <x:c r="Z444" s="265" t="n">
        <x:v>2680</x:v>
      </x:c>
      <x:c r="AA444" s="253" t="str">
        <x:f>IF(V444="No","Maturing",IF(AND(U444="Yes",Y444&gt;0),"Yes","No"))</x:f>
        <x:v>No</x:v>
      </x:c>
      <x:c r="AB444" s="253" t="str">
        <x:f>IF(W444="No","Maturing",IF(AND(U444="Yes",Z444&gt;0),"Yes","No"))</x:f>
        <x:v>No</x:v>
      </x:c>
      <x:c r="AC444" s="265" t="n">
        <x:v>622.2</x:v>
      </x:c>
      <x:c r="AD444" s="265" t="n">
        <x:v>10.82</x:v>
      </x:c>
      <x:c r="AE444" s="271" t="str"/>
      <x:c r="AF444" s="274" t="str">
        <x:v>Not validated - no control/holdout</x:v>
      </x:c>
      <x:c r="AG444" s="277" t="str">
        <x:v>Recovered execution only; assignment date and unclaimed-offer denominator unavailable</x:v>
      </x:c>
    </x:row>
    <x:row r="445">
      <x:c r="A445" s="252" t="str">
        <x:v>34143343</x:v>
      </x:c>
      <x:c r="B445" s="253" t="str">
        <x:v>WS1</x:v>
      </x:c>
      <x:c r="C445" s="253" t="str">
        <x:v>MB8</x:v>
      </x:c>
      <x:c r="D445" s="262" t="n">
        <x:v>46147.934386574074</x:v>
      </x:c>
      <x:c r="E445" s="259" t="n">
        <x:v>46147.166666666664</x:v>
      </x:c>
      <x:c r="F445" s="253" t="str">
        <x:v>1181005</x:v>
      </x:c>
      <x:c r="G445" s="253" t="str">
        <x:v>Mathi7002</x:v>
      </x:c>
      <x:c r="H445" s="253" t="str">
        <x:v>Yes</x:v>
      </x:c>
      <x:c r="I445" s="253" t="str">
        <x:v>Mikki</x:v>
      </x:c>
      <x:c r="J445" s="253" t="str">
        <x:v>Mikki</x:v>
      </x:c>
      <x:c r="K445" s="259" t="n">
        <x:v>45993.166666666664</x:v>
      </x:c>
      <x:c r="L445" s="268" t="str">
        <x:f>IFERROR(VLOOKUP(I445,'Handler-Team Map'!$A$7:$C$17,2,FALSE),"")</x:f>
      </x:c>
      <x:c r="M445" s="268" t="str">
        <x:f>IFERROR(VLOOKUP(I445,'Handler-Team Map'!$A$7:$C$17,3,FALSE),"")</x:f>
      </x:c>
      <x:c r="N445" s="274" t="str">
        <x:v>FT_VM_DEP150_GET50_5X</x:v>
      </x:c>
      <x:c r="O445" s="274" t="str">
        <x:v>VIP BONUS - Deposit 150 Get 50 - 5x TO</x:v>
      </x:c>
      <x:c r="P445" s="274" t="str">
        <x:v>DepositBonus</x:v>
      </x:c>
      <x:c r="Q445" s="274" t="str">
        <x:v>Approved</x:v>
      </x:c>
      <x:c r="R445" s="265" t="n">
        <x:v>50</x:v>
      </x:c>
      <x:c r="S445" s="253" t="str">
        <x:v>Yes</x:v>
      </x:c>
      <x:c r="T445" s="265" t="n">
        <x:v>10070</x:v>
      </x:c>
      <x:c r="U445" s="253" t="str">
        <x:f>IF(AND(S445="Yes",T445=0),"Yes","No")</x:f>
        <x:v>No</x:v>
      </x:c>
      <x:c r="V445" s="253" t="str">
        <x:v>Yes</x:v>
      </x:c>
      <x:c r="W445" s="253" t="str">
        <x:v>Yes</x:v>
      </x:c>
      <x:c r="X445" s="259" t="n">
        <x:v>46147.166666666664</x:v>
      </x:c>
      <x:c r="Y445" s="265" t="n">
        <x:v>5560</x:v>
      </x:c>
      <x:c r="Z445" s="265" t="n">
        <x:v>5990</x:v>
      </x:c>
      <x:c r="AA445" s="253" t="str">
        <x:f>IF(V445="No","Maturing",IF(AND(U445="Yes",Y445&gt;0),"Yes","No"))</x:f>
        <x:v>No</x:v>
      </x:c>
      <x:c r="AB445" s="253" t="str">
        <x:f>IF(W445="No","Maturing",IF(AND(U445="Yes",Z445&gt;0),"Yes","No"))</x:f>
        <x:v>No</x:v>
      </x:c>
      <x:c r="AC445" s="265" t="n">
        <x:v>270.58</x:v>
      </x:c>
      <x:c r="AD445" s="265" t="n">
        <x:v>450.59</x:v>
      </x:c>
      <x:c r="AE445" s="271" t="str"/>
      <x:c r="AF445" s="274" t="str">
        <x:v>Not validated - no control/holdout</x:v>
      </x:c>
      <x:c r="AG445" s="277" t="str">
        <x:v>Recovered execution only; assignment date and unclaimed-offer denominator unavailable</x:v>
      </x:c>
    </x:row>
    <x:row r="446">
      <x:c r="A446" s="252" t="str">
        <x:v>34144485</x:v>
      </x:c>
      <x:c r="B446" s="253" t="str">
        <x:v>WS1</x:v>
      </x:c>
      <x:c r="C446" s="253" t="str">
        <x:v>MB8</x:v>
      </x:c>
      <x:c r="D446" s="262" t="n">
        <x:v>46147.97880787037</x:v>
      </x:c>
      <x:c r="E446" s="259" t="n">
        <x:v>46147.166666666664</x:v>
      </x:c>
      <x:c r="F446" s="253" t="str">
        <x:v>529545</x:v>
      </x:c>
      <x:c r="G446" s="253" t="str">
        <x:v>Chihtsung</x:v>
      </x:c>
      <x:c r="H446" s="253" t="str">
        <x:v>Yes</x:v>
      </x:c>
      <x:c r="I446" s="253" t="str">
        <x:v>Claire</x:v>
      </x:c>
      <x:c r="J446" s="253" t="str">
        <x:v>Claire</x:v>
      </x:c>
      <x:c r="K446" s="259" t="n">
        <x:v>46083.166666666664</x:v>
      </x:c>
      <x:c r="L446" s="268" t="str">
        <x:f>IFERROR(VLOOKUP(I446,'Handler-Team Map'!$A$7:$C$17,2,FALSE),"")</x:f>
      </x:c>
      <x:c r="M446" s="268" t="str">
        <x:f>IFERROR(VLOOKUP(I446,'Handler-Team Map'!$A$7:$C$17,3,FALSE),"")</x:f>
      </x:c>
      <x:c r="N446" s="274" t="str">
        <x:v>FT_VM_DEP1000_GET900_1X</x:v>
      </x:c>
      <x:c r="O446" s="274" t="str">
        <x:v>VIP BONUS - Deposit 1000 Get 900 - 1x TO</x:v>
      </x:c>
      <x:c r="P446" s="274" t="str">
        <x:v>DepositBonus</x:v>
      </x:c>
      <x:c r="Q446" s="274" t="str">
        <x:v>Approved</x:v>
      </x:c>
      <x:c r="R446" s="265" t="n">
        <x:v>900</x:v>
      </x:c>
      <x:c r="S446" s="253" t="str">
        <x:v>Yes</x:v>
      </x:c>
      <x:c r="T446" s="265" t="n">
        <x:v>27500</x:v>
      </x:c>
      <x:c r="U446" s="253" t="str">
        <x:f>IF(AND(S446="Yes",T446=0),"Yes","No")</x:f>
        <x:v>No</x:v>
      </x:c>
      <x:c r="V446" s="253" t="str">
        <x:v>Yes</x:v>
      </x:c>
      <x:c r="W446" s="253" t="str">
        <x:v>Yes</x:v>
      </x:c>
      <x:c r="X446" s="259" t="n">
        <x:v>46147.166666666664</x:v>
      </x:c>
      <x:c r="Y446" s="265" t="n">
        <x:v>25500</x:v>
      </x:c>
      <x:c r="Z446" s="265" t="n">
        <x:v>27500</x:v>
      </x:c>
      <x:c r="AA446" s="253" t="str">
        <x:f>IF(V446="No","Maturing",IF(AND(U446="Yes",Y446&gt;0),"Yes","No"))</x:f>
        <x:v>No</x:v>
      </x:c>
      <x:c r="AB446" s="253" t="str">
        <x:f>IF(W446="No","Maturing",IF(AND(U446="Yes",Z446&gt;0),"Yes","No"))</x:f>
        <x:v>No</x:v>
      </x:c>
      <x:c r="AC446" s="265" t="n">
        <x:v>15006.93</x:v>
      </x:c>
      <x:c r="AD446" s="265" t="n">
        <x:v>9784.75</x:v>
      </x:c>
      <x:c r="AE446" s="271" t="str"/>
      <x:c r="AF446" s="274" t="str">
        <x:v>Not validated - no control/holdout</x:v>
      </x:c>
      <x:c r="AG446" s="277" t="str">
        <x:v>Recovered execution only; assignment date and unclaimed-offer denominator unavailable</x:v>
      </x:c>
    </x:row>
    <x:row r="447">
      <x:c r="A447" s="252" t="str">
        <x:v>34144683</x:v>
      </x:c>
      <x:c r="B447" s="253" t="str">
        <x:v>WS1</x:v>
      </x:c>
      <x:c r="C447" s="253" t="str">
        <x:v>MB8</x:v>
      </x:c>
      <x:c r="D447" s="262" t="n">
        <x:v>46147.9878125</x:v>
      </x:c>
      <x:c r="E447" s="259" t="n">
        <x:v>46147.166666666664</x:v>
      </x:c>
      <x:c r="F447" s="253" t="str">
        <x:v>612280</x:v>
      </x:c>
      <x:c r="G447" s="253" t="str">
        <x:v>Sarfaraz1</x:v>
      </x:c>
      <x:c r="H447" s="253" t="str">
        <x:v>Yes</x:v>
      </x:c>
      <x:c r="I447" s="253" t="str"/>
      <x:c r="J447" s="253" t="str"/>
      <x:c r="K447" s="259"/>
      <x:c r="L447" s="268" t="str">
        <x:f>IFERROR(VLOOKUP(I447,'Handler-Team Map'!$A$7:$C$17,2,FALSE),"")</x:f>
      </x:c>
      <x:c r="M447" s="268" t="str">
        <x:f>IFERROR(VLOOKUP(I447,'Handler-Team Map'!$A$7:$C$17,3,FALSE),"")</x:f>
      </x:c>
      <x:c r="N447" s="274" t="str">
        <x:v>FT_VM_DEP1000_GET500_1X</x:v>
      </x:c>
      <x:c r="O447" s="274" t="str">
        <x:v>VIP BONUS - Deposit 1000 Get 500 - 1x TO</x:v>
      </x:c>
      <x:c r="P447" s="274" t="str">
        <x:v>DepositBonus</x:v>
      </x:c>
      <x:c r="Q447" s="274" t="str">
        <x:v>Approved</x:v>
      </x:c>
      <x:c r="R447" s="265" t="n">
        <x:v>500</x:v>
      </x:c>
      <x:c r="S447" s="253" t="str">
        <x:v>Yes</x:v>
      </x:c>
      <x:c r="T447" s="265" t="n">
        <x:v>0</x:v>
      </x:c>
      <x:c r="U447" s="253" t="str">
        <x:f>IF(AND(S447="Yes",T447=0),"Yes","No")</x:f>
        <x:v>Yes</x:v>
      </x:c>
      <x:c r="V447" s="253" t="str">
        <x:v>Yes</x:v>
      </x:c>
      <x:c r="W447" s="253" t="str">
        <x:v>Yes</x:v>
      </x:c>
      <x:c r="X447" s="259" t="n">
        <x:v>46147.166666666664</x:v>
      </x:c>
      <x:c r="Y447" s="265" t="n">
        <x:v>1000</x:v>
      </x:c>
      <x:c r="Z447" s="265" t="n">
        <x:v>1030</x:v>
      </x:c>
      <x:c r="AA447" s="253" t="str">
        <x:f>IF(V447="No","Maturing",IF(AND(U447="Yes",Y447&gt;0),"Yes","No"))</x:f>
        <x:v>Yes</x:v>
      </x:c>
      <x:c r="AB447" s="253" t="str">
        <x:f>IF(W447="No","Maturing",IF(AND(U447="Yes",Z447&gt;0),"Yes","No"))</x:f>
        <x:v>Yes</x:v>
      </x:c>
      <x:c r="AC447" s="265" t="n">
        <x:v>1000.58</x:v>
      </x:c>
      <x:c r="AD447" s="265" t="n">
        <x:v>1029.91</x:v>
      </x:c>
      <x:c r="AE447" s="271" t="str"/>
      <x:c r="AF447" s="274" t="str">
        <x:v>Not validated - no control/holdout</x:v>
      </x:c>
      <x:c r="AG447" s="277" t="str">
        <x:v>Recovered execution only; assignment date and unclaimed-offer denominator unavailable</x:v>
      </x:c>
    </x:row>
    <x:row r="448">
      <x:c r="A448" s="252" t="str">
        <x:v>34144843</x:v>
      </x:c>
      <x:c r="B448" s="253" t="str">
        <x:v>WS1</x:v>
      </x:c>
      <x:c r="C448" s="253" t="str">
        <x:v>MB8</x:v>
      </x:c>
      <x:c r="D448" s="262" t="n">
        <x:v>46147.9921875</x:v>
      </x:c>
      <x:c r="E448" s="259" t="n">
        <x:v>46147.166666666664</x:v>
      </x:c>
      <x:c r="F448" s="253" t="str">
        <x:v>937936</x:v>
      </x:c>
      <x:c r="G448" s="253" t="str">
        <x:v>Aliceyap</x:v>
      </x:c>
      <x:c r="H448" s="253" t="str">
        <x:v>Yes</x:v>
      </x:c>
      <x:c r="I448" s="253" t="str">
        <x:v>Serene</x:v>
      </x:c>
      <x:c r="J448" s="253" t="str">
        <x:v>Serene</x:v>
      </x:c>
      <x:c r="K448" s="259" t="n">
        <x:v>46077.166666666664</x:v>
      </x:c>
      <x:c r="L448" s="268" t="str">
        <x:f>IFERROR(VLOOKUP(I448,'Handler-Team Map'!$A$7:$C$17,2,FALSE),"")</x:f>
      </x:c>
      <x:c r="M448" s="268" t="str">
        <x:f>IFERROR(VLOOKUP(I448,'Handler-Team Map'!$A$7:$C$17,3,FALSE),"")</x:f>
      </x:c>
      <x:c r="N448" s="274" t="str">
        <x:v>FT_VM_DEP800_GET400_2X</x:v>
      </x:c>
      <x:c r="O448" s="274" t="str">
        <x:v>VIP BONUS - Deposit 800 Get 400 - 2x TO</x:v>
      </x:c>
      <x:c r="P448" s="274" t="str">
        <x:v>DepositBonus</x:v>
      </x:c>
      <x:c r="Q448" s="274" t="str">
        <x:v>Approved</x:v>
      </x:c>
      <x:c r="R448" s="265" t="n">
        <x:v>400</x:v>
      </x:c>
      <x:c r="S448" s="253" t="str">
        <x:v>Yes</x:v>
      </x:c>
      <x:c r="T448" s="265" t="n">
        <x:v>800</x:v>
      </x:c>
      <x:c r="U448" s="253" t="str">
        <x:f>IF(AND(S448="Yes",T448=0),"Yes","No")</x:f>
        <x:v>No</x:v>
      </x:c>
      <x:c r="V448" s="253" t="str">
        <x:v>Yes</x:v>
      </x:c>
      <x:c r="W448" s="253" t="str">
        <x:v>Yes</x:v>
      </x:c>
      <x:c r="X448" s="259" t="n">
        <x:v>46147.166666666664</x:v>
      </x:c>
      <x:c r="Y448" s="265" t="n">
        <x:v>1600</x:v>
      </x:c>
      <x:c r="Z448" s="265" t="n">
        <x:v>1600</x:v>
      </x:c>
      <x:c r="AA448" s="253" t="str">
        <x:f>IF(V448="No","Maturing",IF(AND(U448="Yes",Y448&gt;0),"Yes","No"))</x:f>
        <x:v>No</x:v>
      </x:c>
      <x:c r="AB448" s="253" t="str">
        <x:f>IF(W448="No","Maturing",IF(AND(U448="Yes",Z448&gt;0),"Yes","No"))</x:f>
        <x:v>No</x:v>
      </x:c>
      <x:c r="AC448" s="265" t="n">
        <x:v>-408.96</x:v>
      </x:c>
      <x:c r="AD448" s="265" t="n">
        <x:v>-408.96</x:v>
      </x:c>
      <x:c r="AE448" s="271" t="str"/>
      <x:c r="AF448" s="274" t="str">
        <x:v>Not validated - no control/holdout</x:v>
      </x:c>
      <x:c r="AG448" s="277" t="str">
        <x:v>Recovered execution only; assignment date and unclaimed-offer denominator unavailable</x:v>
      </x:c>
    </x:row>
    <x:row r="449">
      <x:c r="A449" s="252" t="str">
        <x:v>34145649</x:v>
      </x:c>
      <x:c r="B449" s="253" t="str">
        <x:v>WS1</x:v>
      </x:c>
      <x:c r="C449" s="253" t="str">
        <x:v>MB8</x:v>
      </x:c>
      <x:c r="D449" s="262" t="n">
        <x:v>46148.029699074075</x:v>
      </x:c>
      <x:c r="E449" s="259" t="n">
        <x:v>46148.166666666664</x:v>
      </x:c>
      <x:c r="F449" s="253" t="str">
        <x:v>689799</x:v>
      </x:c>
      <x:c r="G449" s="253" t="str">
        <x:v>heg9877</x:v>
      </x:c>
      <x:c r="H449" s="253" t="str">
        <x:v>Yes</x:v>
      </x:c>
      <x:c r="I449" s="253" t="str"/>
      <x:c r="J449" s="253" t="str"/>
      <x:c r="K449" s="259"/>
      <x:c r="L449" s="268" t="str">
        <x:f>IFERROR(VLOOKUP(I449,'Handler-Team Map'!$A$7:$C$17,2,FALSE),"")</x:f>
      </x:c>
      <x:c r="M449" s="268" t="str">
        <x:f>IFERROR(VLOOKUP(I449,'Handler-Team Map'!$A$7:$C$17,3,FALSE),"")</x:f>
      </x:c>
      <x:c r="N449" s="274" t="str">
        <x:v>FT_VM_DEP1000_GET500_1X</x:v>
      </x:c>
      <x:c r="O449" s="274" t="str">
        <x:v>VIP BONUS - Deposit 1000 Get 500 - 1x TO</x:v>
      </x:c>
      <x:c r="P449" s="274" t="str">
        <x:v>DepositBonus</x:v>
      </x:c>
      <x:c r="Q449" s="274" t="str">
        <x:v>Approved</x:v>
      </x:c>
      <x:c r="R449" s="265" t="n">
        <x:v>500</x:v>
      </x:c>
      <x:c r="S449" s="253" t="str">
        <x:v>Yes</x:v>
      </x:c>
      <x:c r="T449" s="265" t="n">
        <x:v>0</x:v>
      </x:c>
      <x:c r="U449" s="253" t="str">
        <x:f>IF(AND(S449="Yes",T449=0),"Yes","No")</x:f>
        <x:v>Yes</x:v>
      </x:c>
      <x:c r="V449" s="253" t="str">
        <x:v>Yes</x:v>
      </x:c>
      <x:c r="W449" s="253" t="str">
        <x:v>Yes</x:v>
      </x:c>
      <x:c r="X449" s="259" t="n">
        <x:v>46148.166666666664</x:v>
      </x:c>
      <x:c r="Y449" s="265" t="n">
        <x:v>1000</x:v>
      </x:c>
      <x:c r="Z449" s="265" t="n">
        <x:v>1200</x:v>
      </x:c>
      <x:c r="AA449" s="253" t="str">
        <x:f>IF(V449="No","Maturing",IF(AND(U449="Yes",Y449&gt;0),"Yes","No"))</x:f>
        <x:v>Yes</x:v>
      </x:c>
      <x:c r="AB449" s="253" t="str">
        <x:f>IF(W449="No","Maturing",IF(AND(U449="Yes",Z449&gt;0),"Yes","No"))</x:f>
        <x:v>Yes</x:v>
      </x:c>
      <x:c r="AC449" s="265" t="n">
        <x:v>-1062.5</x:v>
      </x:c>
      <x:c r="AD449" s="265" t="n">
        <x:v>-1324.94</x:v>
      </x:c>
      <x:c r="AE449" s="271" t="str"/>
      <x:c r="AF449" s="274" t="str">
        <x:v>Not validated - no control/holdout</x:v>
      </x:c>
      <x:c r="AG449" s="277" t="str">
        <x:v>Recovered execution only; assignment date and unclaimed-offer denominator unavailable</x:v>
      </x:c>
    </x:row>
    <x:row r="450">
      <x:c r="A450" s="252" t="str">
        <x:v>34149572</x:v>
      </x:c>
      <x:c r="B450" s="253" t="str">
        <x:v>WS1</x:v>
      </x:c>
      <x:c r="C450" s="253" t="str">
        <x:v>MB8</x:v>
      </x:c>
      <x:c r="D450" s="262" t="n">
        <x:v>46148.43111111111</x:v>
      </x:c>
      <x:c r="E450" s="259" t="n">
        <x:v>46148.166666666664</x:v>
      </x:c>
      <x:c r="F450" s="253" t="str">
        <x:v>215824</x:v>
      </x:c>
      <x:c r="G450" s="253" t="str">
        <x:v>Dellsam333</x:v>
      </x:c>
      <x:c r="H450" s="253" t="str">
        <x:v>Yes</x:v>
      </x:c>
      <x:c r="I450" s="253" t="str">
        <x:v>Claire</x:v>
      </x:c>
      <x:c r="J450" s="253" t="str">
        <x:v>Claire</x:v>
      </x:c>
      <x:c r="K450" s="259" t="n">
        <x:v>45659.166666666664</x:v>
      </x:c>
      <x:c r="L450" s="268" t="str">
        <x:f>IFERROR(VLOOKUP(I450,'Handler-Team Map'!$A$7:$C$17,2,FALSE),"")</x:f>
      </x:c>
      <x:c r="M450" s="268" t="str">
        <x:f>IFERROR(VLOOKUP(I450,'Handler-Team Map'!$A$7:$C$17,3,FALSE),"")</x:f>
      </x:c>
      <x:c r="N450" s="274" t="str">
        <x:v>FT_VM_DEP1000_GET800_2X</x:v>
      </x:c>
      <x:c r="O450" s="274" t="str">
        <x:v>VIP BONUS - Deposit 1000 Get 800 - 2x TO</x:v>
      </x:c>
      <x:c r="P450" s="274" t="str">
        <x:v>DepositBonus</x:v>
      </x:c>
      <x:c r="Q450" s="274" t="str">
        <x:v>Approved</x:v>
      </x:c>
      <x:c r="R450" s="265" t="n">
        <x:v>800</x:v>
      </x:c>
      <x:c r="S450" s="253" t="str">
        <x:v>Yes</x:v>
      </x:c>
      <x:c r="T450" s="265" t="n">
        <x:v>1000</x:v>
      </x:c>
      <x:c r="U450" s="253" t="str">
        <x:f>IF(AND(S450="Yes",T450=0),"Yes","No")</x:f>
        <x:v>No</x:v>
      </x:c>
      <x:c r="V450" s="253" t="str">
        <x:v>Yes</x:v>
      </x:c>
      <x:c r="W450" s="253" t="str">
        <x:v>Yes</x:v>
      </x:c>
      <x:c r="X450" s="259" t="n">
        <x:v>46148.166666666664</x:v>
      </x:c>
      <x:c r="Y450" s="265" t="n">
        <x:v>1000</x:v>
      </x:c>
      <x:c r="Z450" s="265" t="n">
        <x:v>1000</x:v>
      </x:c>
      <x:c r="AA450" s="253" t="str">
        <x:f>IF(V450="No","Maturing",IF(AND(U450="Yes",Y450&gt;0),"Yes","No"))</x:f>
        <x:v>No</x:v>
      </x:c>
      <x:c r="AB450" s="253" t="str">
        <x:f>IF(W450="No","Maturing",IF(AND(U450="Yes",Z450&gt;0),"Yes","No"))</x:f>
        <x:v>No</x:v>
      </x:c>
      <x:c r="AC450" s="265" t="n">
        <x:v>1007</x:v>
      </x:c>
      <x:c r="AD450" s="265" t="n">
        <x:v>1009.98</x:v>
      </x:c>
      <x:c r="AE450" s="271" t="str"/>
      <x:c r="AF450" s="274" t="str">
        <x:v>Not validated - no control/holdout</x:v>
      </x:c>
      <x:c r="AG450" s="277" t="str">
        <x:v>Recovered execution only; assignment date and unclaimed-offer denominator unavailable</x:v>
      </x:c>
    </x:row>
    <x:row r="451">
      <x:c r="A451" s="252" t="str">
        <x:v>34149677</x:v>
      </x:c>
      <x:c r="B451" s="253" t="str">
        <x:v>WS1</x:v>
      </x:c>
      <x:c r="C451" s="253" t="str">
        <x:v>MB8</x:v>
      </x:c>
      <x:c r="D451" s="262" t="n">
        <x:v>46148.44207175926</x:v>
      </x:c>
      <x:c r="E451" s="259" t="n">
        <x:v>46148.166666666664</x:v>
      </x:c>
      <x:c r="F451" s="253" t="str">
        <x:v>778261</x:v>
      </x:c>
      <x:c r="G451" s="253" t="str">
        <x:v>sayoon</x:v>
      </x:c>
      <x:c r="H451" s="253" t="str">
        <x:v>Yes</x:v>
      </x:c>
      <x:c r="I451" s="253" t="str"/>
      <x:c r="J451" s="253" t="str"/>
      <x:c r="K451" s="259"/>
      <x:c r="L451" s="268" t="str">
        <x:f>IFERROR(VLOOKUP(I451,'Handler-Team Map'!$A$7:$C$17,2,FALSE),"")</x:f>
      </x:c>
      <x:c r="M451" s="268" t="str">
        <x:f>IFERROR(VLOOKUP(I451,'Handler-Team Map'!$A$7:$C$17,3,FALSE),"")</x:f>
      </x:c>
      <x:c r="N451" s="274" t="str">
        <x:v>FT_VM_DEP700_GET300_2X</x:v>
      </x:c>
      <x:c r="O451" s="274" t="str">
        <x:v>VIP BONUS - Deposit 700 Get 300 - 2x TO</x:v>
      </x:c>
      <x:c r="P451" s="274" t="str">
        <x:v>DepositBonus</x:v>
      </x:c>
      <x:c r="Q451" s="274" t="str">
        <x:v>Approved</x:v>
      </x:c>
      <x:c r="R451" s="265" t="n">
        <x:v>300</x:v>
      </x:c>
      <x:c r="S451" s="253" t="str">
        <x:v>Yes</x:v>
      </x:c>
      <x:c r="T451" s="265" t="n">
        <x:v>880</x:v>
      </x:c>
      <x:c r="U451" s="253" t="str">
        <x:f>IF(AND(S451="Yes",T451=0),"Yes","No")</x:f>
        <x:v>No</x:v>
      </x:c>
      <x:c r="V451" s="253" t="str">
        <x:v>Yes</x:v>
      </x:c>
      <x:c r="W451" s="253" t="str">
        <x:v>Yes</x:v>
      </x:c>
      <x:c r="X451" s="259" t="n">
        <x:v>46148.166666666664</x:v>
      </x:c>
      <x:c r="Y451" s="265" t="n">
        <x:v>700</x:v>
      </x:c>
      <x:c r="Z451" s="265" t="n">
        <x:v>900</x:v>
      </x:c>
      <x:c r="AA451" s="253" t="str">
        <x:f>IF(V451="No","Maturing",IF(AND(U451="Yes",Y451&gt;0),"Yes","No"))</x:f>
        <x:v>No</x:v>
      </x:c>
      <x:c r="AB451" s="253" t="str">
        <x:f>IF(W451="No","Maturing",IF(AND(U451="Yes",Z451&gt;0),"Yes","No"))</x:f>
        <x:v>No</x:v>
      </x:c>
      <x:c r="AC451" s="265" t="n">
        <x:v>-752.6</x:v>
      </x:c>
      <x:c r="AD451" s="265" t="n">
        <x:v>-552.24</x:v>
      </x:c>
      <x:c r="AE451" s="271" t="str"/>
      <x:c r="AF451" s="274" t="str">
        <x:v>Not validated - no control/holdout</x:v>
      </x:c>
      <x:c r="AG451" s="277" t="str">
        <x:v>Recovered execution only; assignment date and unclaimed-offer denominator unavailable</x:v>
      </x:c>
    </x:row>
    <x:row r="452">
      <x:c r="A452" s="252" t="str">
        <x:v>34150698</x:v>
      </x:c>
      <x:c r="B452" s="253" t="str">
        <x:v>WS1</x:v>
      </x:c>
      <x:c r="C452" s="253" t="str">
        <x:v>MB8</x:v>
      </x:c>
      <x:c r="D452" s="262" t="n">
        <x:v>46148.53585648148</x:v>
      </x:c>
      <x:c r="E452" s="259" t="n">
        <x:v>46148.166666666664</x:v>
      </x:c>
      <x:c r="F452" s="253" t="str">
        <x:v>1014620</x:v>
      </x:c>
      <x:c r="G452" s="253" t="str">
        <x:v>Surianti8</x:v>
      </x:c>
      <x:c r="H452" s="253" t="str">
        <x:v>Yes</x:v>
      </x:c>
      <x:c r="I452" s="253" t="str">
        <x:v>zhen</x:v>
      </x:c>
      <x:c r="J452" s="253" t="str">
        <x:v>zhen</x:v>
      </x:c>
      <x:c r="K452" s="259" t="n">
        <x:v>45880.166666666664</x:v>
      </x:c>
      <x:c r="L452" s="268" t="str">
        <x:f>IFERROR(VLOOKUP(I452,'Handler-Team Map'!$A$7:$C$17,2,FALSE),"")</x:f>
      </x:c>
      <x:c r="M452" s="268" t="str">
        <x:f>IFERROR(VLOOKUP(I452,'Handler-Team Map'!$A$7:$C$17,3,FALSE),"")</x:f>
      </x:c>
      <x:c r="N452" s="274" t="str">
        <x:v>FT_VM_DEP600_GET200_5X</x:v>
      </x:c>
      <x:c r="O452" s="274" t="str">
        <x:v>VIP BONUS - Deposit 600 Get 200 - 5x TO</x:v>
      </x:c>
      <x:c r="P452" s="274" t="str">
        <x:v>DepositBonus</x:v>
      </x:c>
      <x:c r="Q452" s="274" t="str">
        <x:v>Approved</x:v>
      </x:c>
      <x:c r="R452" s="265" t="n">
        <x:v>200</x:v>
      </x:c>
      <x:c r="S452" s="253" t="str">
        <x:v>Yes</x:v>
      </x:c>
      <x:c r="T452" s="265" t="n">
        <x:v>1200</x:v>
      </x:c>
      <x:c r="U452" s="253" t="str">
        <x:f>IF(AND(S452="Yes",T452=0),"Yes","No")</x:f>
        <x:v>No</x:v>
      </x:c>
      <x:c r="V452" s="253" t="str">
        <x:v>Yes</x:v>
      </x:c>
      <x:c r="W452" s="253" t="str">
        <x:v>Yes</x:v>
      </x:c>
      <x:c r="X452" s="259" t="n">
        <x:v>46148.166666666664</x:v>
      </x:c>
      <x:c r="Y452" s="265" t="n">
        <x:v>600</x:v>
      </x:c>
      <x:c r="Z452" s="265" t="n">
        <x:v>800</x:v>
      </x:c>
      <x:c r="AA452" s="253" t="str">
        <x:f>IF(V452="No","Maturing",IF(AND(U452="Yes",Y452&gt;0),"Yes","No"))</x:f>
        <x:v>No</x:v>
      </x:c>
      <x:c r="AB452" s="253" t="str">
        <x:f>IF(W452="No","Maturing",IF(AND(U452="Yes",Z452&gt;0),"Yes","No"))</x:f>
        <x:v>No</x:v>
      </x:c>
      <x:c r="AC452" s="265" t="n">
        <x:v>598.33</x:v>
      </x:c>
      <x:c r="AD452" s="265" t="n">
        <x:v>799.02</x:v>
      </x:c>
      <x:c r="AE452" s="271" t="str"/>
      <x:c r="AF452" s="274" t="str">
        <x:v>Not validated - no control/holdout</x:v>
      </x:c>
      <x:c r="AG452" s="277" t="str">
        <x:v>Recovered execution only; assignment date and unclaimed-offer denominator unavailable</x:v>
      </x:c>
    </x:row>
    <x:row r="453">
      <x:c r="A453" s="252" t="str">
        <x:v>34151086</x:v>
      </x:c>
      <x:c r="B453" s="253" t="str">
        <x:v>WS1</x:v>
      </x:c>
      <x:c r="C453" s="253" t="str">
        <x:v>MB8</x:v>
      </x:c>
      <x:c r="D453" s="262" t="n">
        <x:v>46148.56741898148</x:v>
      </x:c>
      <x:c r="E453" s="259" t="n">
        <x:v>46148.166666666664</x:v>
      </x:c>
      <x:c r="F453" s="253" t="str">
        <x:v>934695</x:v>
      </x:c>
      <x:c r="G453" s="253" t="str">
        <x:v>Wil123</x:v>
      </x:c>
      <x:c r="H453" s="253" t="str">
        <x:v>Yes</x:v>
      </x:c>
      <x:c r="I453" s="253" t="str">
        <x:v>Claire</x:v>
      </x:c>
      <x:c r="J453" s="253" t="str">
        <x:v>Claire</x:v>
      </x:c>
      <x:c r="K453" s="259" t="n">
        <x:v>45659.166666666664</x:v>
      </x:c>
      <x:c r="L453" s="268" t="str">
        <x:f>IFERROR(VLOOKUP(I453,'Handler-Team Map'!$A$7:$C$17,2,FALSE),"")</x:f>
      </x:c>
      <x:c r="M453" s="268" t="str">
        <x:f>IFERROR(VLOOKUP(I453,'Handler-Team Map'!$A$7:$C$17,3,FALSE),"")</x:f>
      </x:c>
      <x:c r="N453" s="274" t="str">
        <x:v>FT_VM_DEP1000_GET500_5X</x:v>
      </x:c>
      <x:c r="O453" s="274" t="str">
        <x:v>VIP BONUS - Deposit 1000 Get 500 - 5x TO</x:v>
      </x:c>
      <x:c r="P453" s="274" t="str">
        <x:v>DepositBonus</x:v>
      </x:c>
      <x:c r="Q453" s="274" t="str">
        <x:v>Approved</x:v>
      </x:c>
      <x:c r="R453" s="265" t="n">
        <x:v>500</x:v>
      </x:c>
      <x:c r="S453" s="253" t="str">
        <x:v>Yes</x:v>
      </x:c>
      <x:c r="T453" s="265" t="n">
        <x:v>3900</x:v>
      </x:c>
      <x:c r="U453" s="253" t="str">
        <x:f>IF(AND(S453="Yes",T453=0),"Yes","No")</x:f>
        <x:v>No</x:v>
      </x:c>
      <x:c r="V453" s="253" t="str">
        <x:v>Yes</x:v>
      </x:c>
      <x:c r="W453" s="253" t="str">
        <x:v>Yes</x:v>
      </x:c>
      <x:c r="X453" s="259" t="n">
        <x:v>46148.166666666664</x:v>
      </x:c>
      <x:c r="Y453" s="265" t="n">
        <x:v>1000</x:v>
      </x:c>
      <x:c r="Z453" s="265" t="n">
        <x:v>1000</x:v>
      </x:c>
      <x:c r="AA453" s="253" t="str">
        <x:f>IF(V453="No","Maturing",IF(AND(U453="Yes",Y453&gt;0),"Yes","No"))</x:f>
        <x:v>No</x:v>
      </x:c>
      <x:c r="AB453" s="253" t="str">
        <x:f>IF(W453="No","Maturing",IF(AND(U453="Yes",Z453&gt;0),"Yes","No"))</x:f>
        <x:v>No</x:v>
      </x:c>
      <x:c r="AC453" s="265" t="n">
        <x:v>436.45</x:v>
      </x:c>
      <x:c r="AD453" s="265" t="n">
        <x:v>440.93</x:v>
      </x:c>
      <x:c r="AE453" s="271" t="str"/>
      <x:c r="AF453" s="274" t="str">
        <x:v>Not validated - no control/holdout</x:v>
      </x:c>
      <x:c r="AG453" s="277" t="str">
        <x:v>Recovered execution only; assignment date and unclaimed-offer denominator unavailable</x:v>
      </x:c>
    </x:row>
    <x:row r="454">
      <x:c r="A454" s="252" t="str">
        <x:v>34151690</x:v>
      </x:c>
      <x:c r="B454" s="253" t="str">
        <x:v>WS1</x:v>
      </x:c>
      <x:c r="C454" s="253" t="str">
        <x:v>MB8</x:v>
      </x:c>
      <x:c r="D454" s="262" t="n">
        <x:v>46148.61284722222</x:v>
      </x:c>
      <x:c r="E454" s="259" t="n">
        <x:v>46148.166666666664</x:v>
      </x:c>
      <x:c r="F454" s="253" t="str">
        <x:v>434707</x:v>
      </x:c>
      <x:c r="G454" s="253" t="str">
        <x:v>Bee8295</x:v>
      </x:c>
      <x:c r="H454" s="253" t="str">
        <x:v>Yes</x:v>
      </x:c>
      <x:c r="I454" s="253" t="str"/>
      <x:c r="J454" s="253" t="str"/>
      <x:c r="K454" s="259"/>
      <x:c r="L454" s="268" t="str">
        <x:f>IFERROR(VLOOKUP(I454,'Handler-Team Map'!$A$7:$C$17,2,FALSE),"")</x:f>
      </x:c>
      <x:c r="M454" s="268" t="str">
        <x:f>IFERROR(VLOOKUP(I454,'Handler-Team Map'!$A$7:$C$17,3,FALSE),"")</x:f>
      </x:c>
      <x:c r="N454" s="274" t="str">
        <x:v>FT_VM_DEP1000_GET500_1X</x:v>
      </x:c>
      <x:c r="O454" s="274" t="str">
        <x:v>VIP BONUS - Deposit 1000 Get 500 - 1x TO</x:v>
      </x:c>
      <x:c r="P454" s="274" t="str">
        <x:v>DepositBonus</x:v>
      </x:c>
      <x:c r="Q454" s="274" t="str">
        <x:v>Approved</x:v>
      </x:c>
      <x:c r="R454" s="265" t="n">
        <x:v>500</x:v>
      </x:c>
      <x:c r="S454" s="253" t="str">
        <x:v>Yes</x:v>
      </x:c>
      <x:c r="T454" s="265" t="n">
        <x:v>0</x:v>
      </x:c>
      <x:c r="U454" s="253" t="str">
        <x:f>IF(AND(S454="Yes",T454=0),"Yes","No")</x:f>
        <x:v>Yes</x:v>
      </x:c>
      <x:c r="V454" s="253" t="str">
        <x:v>Yes</x:v>
      </x:c>
      <x:c r="W454" s="253" t="str">
        <x:v>Yes</x:v>
      </x:c>
      <x:c r="X454" s="259" t="n">
        <x:v>46148.166666666664</x:v>
      </x:c>
      <x:c r="Y454" s="265" t="n">
        <x:v>1030</x:v>
      </x:c>
      <x:c r="Z454" s="265" t="n">
        <x:v>1030</x:v>
      </x:c>
      <x:c r="AA454" s="253" t="str">
        <x:f>IF(V454="No","Maturing",IF(AND(U454="Yes",Y454&gt;0),"Yes","No"))</x:f>
        <x:v>Yes</x:v>
      </x:c>
      <x:c r="AB454" s="253" t="str">
        <x:f>IF(W454="No","Maturing",IF(AND(U454="Yes",Z454&gt;0),"Yes","No"))</x:f>
        <x:v>Yes</x:v>
      </x:c>
      <x:c r="AC454" s="265" t="n">
        <x:v>-183.23</x:v>
      </x:c>
      <x:c r="AD454" s="265" t="n">
        <x:v>-183.23</x:v>
      </x:c>
      <x:c r="AE454" s="271" t="str"/>
      <x:c r="AF454" s="274" t="str">
        <x:v>Not validated - no control/holdout</x:v>
      </x:c>
      <x:c r="AG454" s="277" t="str">
        <x:v>Recovered execution only; assignment date and unclaimed-offer denominator unavailable</x:v>
      </x:c>
    </x:row>
    <x:row r="455">
      <x:c r="A455" s="252" t="str">
        <x:v>34153880</x:v>
      </x:c>
      <x:c r="B455" s="253" t="str">
        <x:v>WS1</x:v>
      </x:c>
      <x:c r="C455" s="253" t="str">
        <x:v>MB8</x:v>
      </x:c>
      <x:c r="D455" s="262" t="n">
        <x:v>46148.755057870374</x:v>
      </x:c>
      <x:c r="E455" s="259" t="n">
        <x:v>46148.166666666664</x:v>
      </x:c>
      <x:c r="F455" s="253" t="str">
        <x:v>676093</x:v>
      </x:c>
      <x:c r="G455" s="253" t="str">
        <x:v>Chiaw</x:v>
      </x:c>
      <x:c r="H455" s="253" t="str">
        <x:v>Yes</x:v>
      </x:c>
      <x:c r="I455" s="253" t="str">
        <x:v>Christy</x:v>
      </x:c>
      <x:c r="J455" s="253" t="str">
        <x:v>Christy</x:v>
      </x:c>
      <x:c r="K455" s="259" t="n">
        <x:v>45831.166666666664</x:v>
      </x:c>
      <x:c r="L455" s="268" t="str">
        <x:f>IFERROR(VLOOKUP(I455,'Handler-Team Map'!$A$7:$C$17,2,FALSE),"")</x:f>
      </x:c>
      <x:c r="M455" s="268" t="str">
        <x:f>IFERROR(VLOOKUP(I455,'Handler-Team Map'!$A$7:$C$17,3,FALSE),"")</x:f>
      </x:c>
      <x:c r="N455" s="274" t="str">
        <x:v>FT_VM_DEP1000_GET500_2X</x:v>
      </x:c>
      <x:c r="O455" s="274" t="str">
        <x:v>VIP BONUS - Deposit 1000 Get 500 - 2x TO</x:v>
      </x:c>
      <x:c r="P455" s="274" t="str">
        <x:v>DepositBonus</x:v>
      </x:c>
      <x:c r="Q455" s="274" t="str">
        <x:v>Approved</x:v>
      </x:c>
      <x:c r="R455" s="265" t="n">
        <x:v>500</x:v>
      </x:c>
      <x:c r="S455" s="253" t="str">
        <x:v>Yes</x:v>
      </x:c>
      <x:c r="T455" s="265" t="n">
        <x:v>18670</x:v>
      </x:c>
      <x:c r="U455" s="253" t="str">
        <x:f>IF(AND(S455="Yes",T455=0),"Yes","No")</x:f>
        <x:v>No</x:v>
      </x:c>
      <x:c r="V455" s="253" t="str">
        <x:v>Yes</x:v>
      </x:c>
      <x:c r="W455" s="253" t="str">
        <x:v>Yes</x:v>
      </x:c>
      <x:c r="X455" s="259" t="n">
        <x:v>46148.166666666664</x:v>
      </x:c>
      <x:c r="Y455" s="265" t="n">
        <x:v>7816</x:v>
      </x:c>
      <x:c r="Z455" s="265" t="n">
        <x:v>9716</x:v>
      </x:c>
      <x:c r="AA455" s="253" t="str">
        <x:f>IF(V455="No","Maturing",IF(AND(U455="Yes",Y455&gt;0),"Yes","No"))</x:f>
        <x:v>No</x:v>
      </x:c>
      <x:c r="AB455" s="253" t="str">
        <x:f>IF(W455="No","Maturing",IF(AND(U455="Yes",Z455&gt;0),"Yes","No"))</x:f>
        <x:v>No</x:v>
      </x:c>
      <x:c r="AC455" s="265" t="n">
        <x:v>3026.94</x:v>
      </x:c>
      <x:c r="AD455" s="265" t="n">
        <x:v>4926.72</x:v>
      </x:c>
      <x:c r="AE455" s="271" t="str"/>
      <x:c r="AF455" s="274" t="str">
        <x:v>Not validated - no control/holdout</x:v>
      </x:c>
      <x:c r="AG455" s="277" t="str">
        <x:v>Recovered execution only; assignment date and unclaimed-offer denominator unavailable</x:v>
      </x:c>
    </x:row>
    <x:row r="456">
      <x:c r="A456" s="252" t="str">
        <x:v>34154310</x:v>
      </x:c>
      <x:c r="B456" s="253" t="str">
        <x:v>WS1</x:v>
      </x:c>
      <x:c r="C456" s="253" t="str">
        <x:v>MB8</x:v>
      </x:c>
      <x:c r="D456" s="262" t="n">
        <x:v>46148.7840625</x:v>
      </x:c>
      <x:c r="E456" s="259" t="n">
        <x:v>46148.166666666664</x:v>
      </x:c>
      <x:c r="F456" s="253" t="str">
        <x:v>175458</x:v>
      </x:c>
      <x:c r="G456" s="253" t="str">
        <x:v>Johnleow</x:v>
      </x:c>
      <x:c r="H456" s="253" t="str">
        <x:v>Yes</x:v>
      </x:c>
      <x:c r="I456" s="253" t="str">
        <x:v>Serene</x:v>
      </x:c>
      <x:c r="J456" s="253" t="str">
        <x:v>Serene</x:v>
      </x:c>
      <x:c r="K456" s="259" t="n">
        <x:v>45859.166666666664</x:v>
      </x:c>
      <x:c r="L456" s="268" t="str">
        <x:f>IFERROR(VLOOKUP(I456,'Handler-Team Map'!$A$7:$C$17,2,FALSE),"")</x:f>
      </x:c>
      <x:c r="M456" s="268" t="str">
        <x:f>IFERROR(VLOOKUP(I456,'Handler-Team Map'!$A$7:$C$17,3,FALSE),"")</x:f>
      </x:c>
      <x:c r="N456" s="274" t="str">
        <x:v>FT_VM_DEP150_GET50_5X</x:v>
      </x:c>
      <x:c r="O456" s="274" t="str">
        <x:v>VIP BONUS - Deposit 150 Get 50 - 5x TO</x:v>
      </x:c>
      <x:c r="P456" s="274" t="str">
        <x:v>DepositBonus</x:v>
      </x:c>
      <x:c r="Q456" s="274" t="str">
        <x:v>Approved</x:v>
      </x:c>
      <x:c r="R456" s="265" t="n">
        <x:v>50</x:v>
      </x:c>
      <x:c r="S456" s="253" t="str">
        <x:v>Yes</x:v>
      </x:c>
      <x:c r="T456" s="265" t="n">
        <x:v>31300</x:v>
      </x:c>
      <x:c r="U456" s="253" t="str">
        <x:f>IF(AND(S456="Yes",T456=0),"Yes","No")</x:f>
        <x:v>No</x:v>
      </x:c>
      <x:c r="V456" s="253" t="str">
        <x:v>Yes</x:v>
      </x:c>
      <x:c r="W456" s="253" t="str">
        <x:v>Yes</x:v>
      </x:c>
      <x:c r="X456" s="259" t="n">
        <x:v>46148.166666666664</x:v>
      </x:c>
      <x:c r="Y456" s="265" t="n">
        <x:v>4380</x:v>
      </x:c>
      <x:c r="Z456" s="265" t="n">
        <x:v>9630</x:v>
      </x:c>
      <x:c r="AA456" s="253" t="str">
        <x:f>IF(V456="No","Maturing",IF(AND(U456="Yes",Y456&gt;0),"Yes","No"))</x:f>
        <x:v>No</x:v>
      </x:c>
      <x:c r="AB456" s="253" t="str">
        <x:f>IF(W456="No","Maturing",IF(AND(U456="Yes",Z456&gt;0),"Yes","No"))</x:f>
        <x:v>No</x:v>
      </x:c>
      <x:c r="AC456" s="265" t="n">
        <x:v>1178.62</x:v>
      </x:c>
      <x:c r="AD456" s="265" t="n">
        <x:v>1179.84</x:v>
      </x:c>
      <x:c r="AE456" s="271" t="str"/>
      <x:c r="AF456" s="274" t="str">
        <x:v>Not validated - no control/holdout</x:v>
      </x:c>
      <x:c r="AG456" s="277" t="str">
        <x:v>Recovered execution only; assignment date and unclaimed-offer denominator unavailable</x:v>
      </x:c>
    </x:row>
    <x:row r="457">
      <x:c r="A457" s="252" t="str">
        <x:v>34155219</x:v>
      </x:c>
      <x:c r="B457" s="253" t="str">
        <x:v>WS1</x:v>
      </x:c>
      <x:c r="C457" s="253" t="str">
        <x:v>MB8</x:v>
      </x:c>
      <x:c r="D457" s="262" t="n">
        <x:v>46148.84289351852</x:v>
      </x:c>
      <x:c r="E457" s="259" t="n">
        <x:v>46148.166666666664</x:v>
      </x:c>
      <x:c r="F457" s="253" t="str">
        <x:v>1199974</x:v>
      </x:c>
      <x:c r="G457" s="253" t="str">
        <x:v>Nazli3612</x:v>
      </x:c>
      <x:c r="H457" s="253" t="str">
        <x:v>Yes</x:v>
      </x:c>
      <x:c r="I457" s="253" t="str"/>
      <x:c r="J457" s="253" t="str"/>
      <x:c r="K457" s="259"/>
      <x:c r="L457" s="268" t="str">
        <x:f>IFERROR(VLOOKUP(I457,'Handler-Team Map'!$A$7:$C$17,2,FALSE),"")</x:f>
      </x:c>
      <x:c r="M457" s="268" t="str">
        <x:f>IFERROR(VLOOKUP(I457,'Handler-Team Map'!$A$7:$C$17,3,FALSE),"")</x:f>
      </x:c>
      <x:c r="N457" s="274" t="str">
        <x:v>FT_VM_DEP300_GET100_5X</x:v>
      </x:c>
      <x:c r="O457" s="274" t="str">
        <x:v>VIP BONUS - Deposit 300 Get 100 - 5x TO</x:v>
      </x:c>
      <x:c r="P457" s="274" t="str">
        <x:v>DepositBonus</x:v>
      </x:c>
      <x:c r="Q457" s="274" t="str">
        <x:v>Approved</x:v>
      </x:c>
      <x:c r="R457" s="265" t="n">
        <x:v>100</x:v>
      </x:c>
      <x:c r="S457" s="253" t="str">
        <x:v>Yes</x:v>
      </x:c>
      <x:c r="T457" s="265" t="n">
        <x:v>28290</x:v>
      </x:c>
      <x:c r="U457" s="253" t="str">
        <x:f>IF(AND(S457="Yes",T457=0),"Yes","No")</x:f>
        <x:v>No</x:v>
      </x:c>
      <x:c r="V457" s="253" t="str">
        <x:v>Yes</x:v>
      </x:c>
      <x:c r="W457" s="253" t="str">
        <x:v>Yes</x:v>
      </x:c>
      <x:c r="X457" s="259" t="n">
        <x:v>46148.166666666664</x:v>
      </x:c>
      <x:c r="Y457" s="265" t="n">
        <x:v>5640</x:v>
      </x:c>
      <x:c r="Z457" s="265" t="n">
        <x:v>17690</x:v>
      </x:c>
      <x:c r="AA457" s="253" t="str">
        <x:f>IF(V457="No","Maturing",IF(AND(U457="Yes",Y457&gt;0),"Yes","No"))</x:f>
        <x:v>No</x:v>
      </x:c>
      <x:c r="AB457" s="253" t="str">
        <x:f>IF(W457="No","Maturing",IF(AND(U457="Yes",Z457&gt;0),"Yes","No"))</x:f>
        <x:v>No</x:v>
      </x:c>
      <x:c r="AC457" s="265" t="n">
        <x:v>4438.83</x:v>
      </x:c>
      <x:c r="AD457" s="265" t="n">
        <x:v>8933.94</x:v>
      </x:c>
      <x:c r="AE457" s="271" t="str"/>
      <x:c r="AF457" s="274" t="str">
        <x:v>Not validated - no control/holdout</x:v>
      </x:c>
      <x:c r="AG457" s="277" t="str">
        <x:v>Recovered execution only; assignment date and unclaimed-offer denominator unavailable</x:v>
      </x:c>
    </x:row>
    <x:row r="458">
      <x:c r="A458" s="252" t="str">
        <x:v>34155689</x:v>
      </x:c>
      <x:c r="B458" s="253" t="str">
        <x:v>WS1</x:v>
      </x:c>
      <x:c r="C458" s="253" t="str">
        <x:v>MB8</x:v>
      </x:c>
      <x:c r="D458" s="262" t="n">
        <x:v>46148.87096064815</x:v>
      </x:c>
      <x:c r="E458" s="259" t="n">
        <x:v>46148.166666666664</x:v>
      </x:c>
      <x:c r="F458" s="253" t="str">
        <x:v>601037</x:v>
      </x:c>
      <x:c r="G458" s="253" t="str">
        <x:v>HHHaniley</x:v>
      </x:c>
      <x:c r="H458" s="253" t="str">
        <x:v>Yes</x:v>
      </x:c>
      <x:c r="I458" s="253" t="str"/>
      <x:c r="J458" s="253" t="str"/>
      <x:c r="K458" s="259"/>
      <x:c r="L458" s="268" t="str">
        <x:f>IFERROR(VLOOKUP(I458,'Handler-Team Map'!$A$7:$C$17,2,FALSE),"")</x:f>
      </x:c>
      <x:c r="M458" s="268" t="str">
        <x:f>IFERROR(VLOOKUP(I458,'Handler-Team Map'!$A$7:$C$17,3,FALSE),"")</x:f>
      </x:c>
      <x:c r="N458" s="274" t="str">
        <x:v>FT_VM_DEP300_GET100_5X</x:v>
      </x:c>
      <x:c r="O458" s="274" t="str">
        <x:v>VIP BONUS - Deposit 300 Get 100 - 5x TO</x:v>
      </x:c>
      <x:c r="P458" s="274" t="str">
        <x:v>DepositBonus</x:v>
      </x:c>
      <x:c r="Q458" s="274" t="str">
        <x:v>Approved</x:v>
      </x:c>
      <x:c r="R458" s="265" t="n">
        <x:v>100</x:v>
      </x:c>
      <x:c r="S458" s="253" t="str">
        <x:v>Yes</x:v>
      </x:c>
      <x:c r="T458" s="265" t="n">
        <x:v>20477</x:v>
      </x:c>
      <x:c r="U458" s="253" t="str">
        <x:f>IF(AND(S458="Yes",T458=0),"Yes","No")</x:f>
        <x:v>No</x:v>
      </x:c>
      <x:c r="V458" s="253" t="str">
        <x:v>Yes</x:v>
      </x:c>
      <x:c r="W458" s="253" t="str">
        <x:v>Yes</x:v>
      </x:c>
      <x:c r="X458" s="259" t="n">
        <x:v>46148.166666666664</x:v>
      </x:c>
      <x:c r="Y458" s="265" t="n">
        <x:v>8599</x:v>
      </x:c>
      <x:c r="Z458" s="265" t="n">
        <x:v>9625</x:v>
      </x:c>
      <x:c r="AA458" s="253" t="str">
        <x:f>IF(V458="No","Maturing",IF(AND(U458="Yes",Y458&gt;0),"Yes","No"))</x:f>
        <x:v>No</x:v>
      </x:c>
      <x:c r="AB458" s="253" t="str">
        <x:f>IF(W458="No","Maturing",IF(AND(U458="Yes",Z458&gt;0),"Yes","No"))</x:f>
        <x:v>No</x:v>
      </x:c>
      <x:c r="AC458" s="265" t="n">
        <x:v>5986.88</x:v>
      </x:c>
      <x:c r="AD458" s="265" t="n">
        <x:v>6404.93</x:v>
      </x:c>
      <x:c r="AE458" s="271" t="str"/>
      <x:c r="AF458" s="274" t="str">
        <x:v>Not validated - no control/holdout</x:v>
      </x:c>
      <x:c r="AG458" s="277" t="str">
        <x:v>Recovered execution only; assignment date and unclaimed-offer denominator unavailable</x:v>
      </x:c>
    </x:row>
    <x:row r="459">
      <x:c r="A459" s="252" t="str">
        <x:v>34155895</x:v>
      </x:c>
      <x:c r="B459" s="253" t="str">
        <x:v>WS1</x:v>
      </x:c>
      <x:c r="C459" s="253" t="str">
        <x:v>MB8</x:v>
      </x:c>
      <x:c r="D459" s="262" t="n">
        <x:v>46148.884733796294</x:v>
      </x:c>
      <x:c r="E459" s="259" t="n">
        <x:v>46148.166666666664</x:v>
      </x:c>
      <x:c r="F459" s="253" t="str">
        <x:v>1180835</x:v>
      </x:c>
      <x:c r="G459" s="253" t="str">
        <x:v>wong8867</x:v>
      </x:c>
      <x:c r="H459" s="253" t="str">
        <x:v>Yes</x:v>
      </x:c>
      <x:c r="I459" s="253" t="str">
        <x:v>Jiahui</x:v>
      </x:c>
      <x:c r="J459" s="253" t="str">
        <x:v>Jiahui</x:v>
      </x:c>
      <x:c r="K459" s="259" t="n">
        <x:v>45993.166666666664</x:v>
      </x:c>
      <x:c r="L459" s="268" t="str">
        <x:f>IFERROR(VLOOKUP(I459,'Handler-Team Map'!$A$7:$C$17,2,FALSE),"")</x:f>
      </x:c>
      <x:c r="M459" s="268" t="str">
        <x:f>IFERROR(VLOOKUP(I459,'Handler-Team Map'!$A$7:$C$17,3,FALSE),"")</x:f>
      </x:c>
      <x:c r="N459" s="274" t="str">
        <x:v>FT_VM_DEP300_GET100_5X</x:v>
      </x:c>
      <x:c r="O459" s="274" t="str">
        <x:v>VIP BONUS - Deposit 300 Get 100 - 5x TO</x:v>
      </x:c>
      <x:c r="P459" s="274" t="str">
        <x:v>DepositBonus</x:v>
      </x:c>
      <x:c r="Q459" s="274" t="str">
        <x:v>Approved</x:v>
      </x:c>
      <x:c r="R459" s="265" t="n">
        <x:v>100</x:v>
      </x:c>
      <x:c r="S459" s="253" t="str">
        <x:v>Yes</x:v>
      </x:c>
      <x:c r="T459" s="265" t="n">
        <x:v>36903.2</x:v>
      </x:c>
      <x:c r="U459" s="253" t="str">
        <x:f>IF(AND(S459="Yes",T459=0),"Yes","No")</x:f>
        <x:v>No</x:v>
      </x:c>
      <x:c r="V459" s="253" t="str">
        <x:v>Yes</x:v>
      </x:c>
      <x:c r="W459" s="253" t="str">
        <x:v>Yes</x:v>
      </x:c>
      <x:c r="X459" s="259" t="n">
        <x:v>46148.166666666664</x:v>
      </x:c>
      <x:c r="Y459" s="265" t="n">
        <x:v>6307.56</x:v>
      </x:c>
      <x:c r="Z459" s="265" t="n">
        <x:v>11676.48</x:v>
      </x:c>
      <x:c r="AA459" s="253" t="str">
        <x:f>IF(V459="No","Maturing",IF(AND(U459="Yes",Y459&gt;0),"Yes","No"))</x:f>
        <x:v>No</x:v>
      </x:c>
      <x:c r="AB459" s="253" t="str">
        <x:f>IF(W459="No","Maturing",IF(AND(U459="Yes",Z459&gt;0),"Yes","No"))</x:f>
        <x:v>No</x:v>
      </x:c>
      <x:c r="AC459" s="265" t="n">
        <x:v>2327.56</x:v>
      </x:c>
      <x:c r="AD459" s="265" t="n">
        <x:v>7045.55</x:v>
      </x:c>
      <x:c r="AE459" s="271" t="str"/>
      <x:c r="AF459" s="274" t="str">
        <x:v>Not validated - no control/holdout</x:v>
      </x:c>
      <x:c r="AG459" s="277" t="str">
        <x:v>Recovered execution only; assignment date and unclaimed-offer denominator unavailable</x:v>
      </x:c>
    </x:row>
    <x:row r="460">
      <x:c r="A460" s="252" t="str">
        <x:v>34157986</x:v>
      </x:c>
      <x:c r="B460" s="253" t="str">
        <x:v>WS1</x:v>
      </x:c>
      <x:c r="C460" s="253" t="str">
        <x:v>MB8</x:v>
      </x:c>
      <x:c r="D460" s="262" t="n">
        <x:v>46148.97008101852</x:v>
      </x:c>
      <x:c r="E460" s="259" t="n">
        <x:v>46148.166666666664</x:v>
      </x:c>
      <x:c r="F460" s="253" t="str">
        <x:v>195813</x:v>
      </x:c>
      <x:c r="G460" s="253" t="str">
        <x:v>Veq5774</x:v>
      </x:c>
      <x:c r="H460" s="253" t="str">
        <x:v>Yes</x:v>
      </x:c>
      <x:c r="I460" s="253" t="str">
        <x:v>Elda</x:v>
      </x:c>
      <x:c r="J460" s="253" t="str">
        <x:v>Elda</x:v>
      </x:c>
      <x:c r="K460" s="259" t="n">
        <x:v>45659.166666666664</x:v>
      </x:c>
      <x:c r="L460" s="268" t="str">
        <x:f>IFERROR(VLOOKUP(I460,'Handler-Team Map'!$A$7:$C$17,2,FALSE),"")</x:f>
      </x:c>
      <x:c r="M460" s="268" t="str">
        <x:f>IFERROR(VLOOKUP(I460,'Handler-Team Map'!$A$7:$C$17,3,FALSE),"")</x:f>
      </x:c>
      <x:c r="N460" s="274" t="str">
        <x:v>FT_VM_DEP1200_GET600_1X</x:v>
      </x:c>
      <x:c r="O460" s="274" t="str">
        <x:v>VIP BONUS - Deposit 1200 Get 600 - 1x TO</x:v>
      </x:c>
      <x:c r="P460" s="274" t="str">
        <x:v>DepositBonus</x:v>
      </x:c>
      <x:c r="Q460" s="274" t="str">
        <x:v>Approved</x:v>
      </x:c>
      <x:c r="R460" s="265" t="n">
        <x:v>600</x:v>
      </x:c>
      <x:c r="S460" s="253" t="str">
        <x:v>Yes</x:v>
      </x:c>
      <x:c r="T460" s="265" t="n">
        <x:v>188761</x:v>
      </x:c>
      <x:c r="U460" s="253" t="str">
        <x:f>IF(AND(S460="Yes",T460=0),"Yes","No")</x:f>
        <x:v>No</x:v>
      </x:c>
      <x:c r="V460" s="253" t="str">
        <x:v>Yes</x:v>
      </x:c>
      <x:c r="W460" s="253" t="str">
        <x:v>Yes</x:v>
      </x:c>
      <x:c r="X460" s="259" t="n">
        <x:v>46148.166666666664</x:v>
      </x:c>
      <x:c r="Y460" s="265" t="n">
        <x:v>96396</x:v>
      </x:c>
      <x:c r="Z460" s="265" t="n">
        <x:v>141188</x:v>
      </x:c>
      <x:c r="AA460" s="253" t="str">
        <x:f>IF(V460="No","Maturing",IF(AND(U460="Yes",Y460&gt;0),"Yes","No"))</x:f>
        <x:v>No</x:v>
      </x:c>
      <x:c r="AB460" s="253" t="str">
        <x:f>IF(W460="No","Maturing",IF(AND(U460="Yes",Z460&gt;0),"Yes","No"))</x:f>
        <x:v>No</x:v>
      </x:c>
      <x:c r="AC460" s="265" t="n">
        <x:v>17921.6</x:v>
      </x:c>
      <x:c r="AD460" s="265" t="n">
        <x:v>-216039.88</x:v>
      </x:c>
      <x:c r="AE460" s="271" t="str"/>
      <x:c r="AF460" s="274" t="str">
        <x:v>Not validated - no control/holdout</x:v>
      </x:c>
      <x:c r="AG460" s="277" t="str">
        <x:v>Recovered execution only; assignment date and unclaimed-offer denominator unavailable</x:v>
      </x:c>
    </x:row>
    <x:row r="461">
      <x:c r="A461" s="252" t="str">
        <x:v>34158383</x:v>
      </x:c>
      <x:c r="B461" s="253" t="str">
        <x:v>WS1</x:v>
      </x:c>
      <x:c r="C461" s="253" t="str">
        <x:v>MB8</x:v>
      </x:c>
      <x:c r="D461" s="262" t="n">
        <x:v>46148.98467592592</x:v>
      </x:c>
      <x:c r="E461" s="259" t="n">
        <x:v>46148.166666666664</x:v>
      </x:c>
      <x:c r="F461" s="253" t="str">
        <x:v>90184</x:v>
      </x:c>
      <x:c r="G461" s="253" t="str">
        <x:v>Cybinbin</x:v>
      </x:c>
      <x:c r="H461" s="253" t="str">
        <x:v>Yes</x:v>
      </x:c>
      <x:c r="I461" s="253" t="str">
        <x:v>zhen</x:v>
      </x:c>
      <x:c r="J461" s="253" t="str">
        <x:v>zhen</x:v>
      </x:c>
      <x:c r="K461" s="259" t="n">
        <x:v>45880.166666666664</x:v>
      </x:c>
      <x:c r="L461" s="268" t="str">
        <x:f>IFERROR(VLOOKUP(I461,'Handler-Team Map'!$A$7:$C$17,2,FALSE),"")</x:f>
      </x:c>
      <x:c r="M461" s="268" t="str">
        <x:f>IFERROR(VLOOKUP(I461,'Handler-Team Map'!$A$7:$C$17,3,FALSE),"")</x:f>
      </x:c>
      <x:c r="N461" s="274" t="str">
        <x:v>FT_VM_DEP1000_GET800_2X</x:v>
      </x:c>
      <x:c r="O461" s="274" t="str">
        <x:v>VIP BONUS - Deposit 1000 Get 800 - 2x TO</x:v>
      </x:c>
      <x:c r="P461" s="274" t="str">
        <x:v>DepositBonus</x:v>
      </x:c>
      <x:c r="Q461" s="274" t="str">
        <x:v>Approved</x:v>
      </x:c>
      <x:c r="R461" s="265" t="n">
        <x:v>800</x:v>
      </x:c>
      <x:c r="S461" s="253" t="str">
        <x:v>Yes</x:v>
      </x:c>
      <x:c r="T461" s="265" t="n">
        <x:v>5169</x:v>
      </x:c>
      <x:c r="U461" s="253" t="str">
        <x:f>IF(AND(S461="Yes",T461=0),"Yes","No")</x:f>
        <x:v>No</x:v>
      </x:c>
      <x:c r="V461" s="253" t="str">
        <x:v>Yes</x:v>
      </x:c>
      <x:c r="W461" s="253" t="str">
        <x:v>Yes</x:v>
      </x:c>
      <x:c r="X461" s="259" t="n">
        <x:v>46148.166666666664</x:v>
      </x:c>
      <x:c r="Y461" s="265" t="n">
        <x:v>1288</x:v>
      </x:c>
      <x:c r="Z461" s="265" t="n">
        <x:v>1898</x:v>
      </x:c>
      <x:c r="AA461" s="253" t="str">
        <x:f>IF(V461="No","Maturing",IF(AND(U461="Yes",Y461&gt;0),"Yes","No"))</x:f>
        <x:v>No</x:v>
      </x:c>
      <x:c r="AB461" s="253" t="str">
        <x:f>IF(W461="No","Maturing",IF(AND(U461="Yes",Z461&gt;0),"Yes","No"))</x:f>
        <x:v>No</x:v>
      </x:c>
      <x:c r="AC461" s="265" t="n">
        <x:v>-2491.07</x:v>
      </x:c>
      <x:c r="AD461" s="265" t="n">
        <x:v>-1866.71</x:v>
      </x:c>
      <x:c r="AE461" s="271" t="str"/>
      <x:c r="AF461" s="274" t="str">
        <x:v>Not validated - no control/holdout</x:v>
      </x:c>
      <x:c r="AG461" s="277" t="str">
        <x:v>Recovered execution only; assignment date and unclaimed-offer denominator unavailable</x:v>
      </x:c>
    </x:row>
    <x:row r="462">
      <x:c r="A462" s="252" t="str">
        <x:v>34162739</x:v>
      </x:c>
      <x:c r="B462" s="253" t="str">
        <x:v>WS1</x:v>
      </x:c>
      <x:c r="C462" s="253" t="str">
        <x:v>MB8</x:v>
      </x:c>
      <x:c r="D462" s="262" t="n">
        <x:v>46149.41328703704</x:v>
      </x:c>
      <x:c r="E462" s="259" t="n">
        <x:v>46149.166666666664</x:v>
      </x:c>
      <x:c r="F462" s="253" t="str">
        <x:v>631041</x:v>
      </x:c>
      <x:c r="G462" s="253" t="str">
        <x:v>ThoMas0529</x:v>
      </x:c>
      <x:c r="H462" s="253" t="str">
        <x:v>Yes</x:v>
      </x:c>
      <x:c r="I462" s="253" t="str">
        <x:v>Tammy</x:v>
      </x:c>
      <x:c r="J462" s="253" t="str">
        <x:v>Tammy</x:v>
      </x:c>
      <x:c r="K462" s="259" t="n">
        <x:v>45951.166666666664</x:v>
      </x:c>
      <x:c r="L462" s="268" t="str">
        <x:f>IFERROR(VLOOKUP(I462,'Handler-Team Map'!$A$7:$C$17,2,FALSE),"")</x:f>
      </x:c>
      <x:c r="M462" s="268" t="str">
        <x:f>IFERROR(VLOOKUP(I462,'Handler-Team Map'!$A$7:$C$17,3,FALSE),"")</x:f>
      </x:c>
      <x:c r="N462" s="274" t="str">
        <x:v>FT_VM_DEP1000_GET700_1X</x:v>
      </x:c>
      <x:c r="O462" s="274" t="str">
        <x:v>VIP BONUS - Deposit 1000 Get 700 - 1x TO</x:v>
      </x:c>
      <x:c r="P462" s="274" t="str">
        <x:v>DepositBonus</x:v>
      </x:c>
      <x:c r="Q462" s="274" t="str">
        <x:v>Approved</x:v>
      </x:c>
      <x:c r="R462" s="265" t="n">
        <x:v>700</x:v>
      </x:c>
      <x:c r="S462" s="253" t="str">
        <x:v>Yes</x:v>
      </x:c>
      <x:c r="T462" s="265" t="n">
        <x:v>400</x:v>
      </x:c>
      <x:c r="U462" s="253" t="str">
        <x:f>IF(AND(S462="Yes",T462=0),"Yes","No")</x:f>
        <x:v>No</x:v>
      </x:c>
      <x:c r="V462" s="253" t="str">
        <x:v>Yes</x:v>
      </x:c>
      <x:c r="W462" s="253" t="str">
        <x:v>Yes</x:v>
      </x:c>
      <x:c r="X462" s="259" t="n">
        <x:v>46149.166666666664</x:v>
      </x:c>
      <x:c r="Y462" s="265" t="n">
        <x:v>1000</x:v>
      </x:c>
      <x:c r="Z462" s="265" t="n">
        <x:v>1000</x:v>
      </x:c>
      <x:c r="AA462" s="253" t="str">
        <x:f>IF(V462="No","Maturing",IF(AND(U462="Yes",Y462&gt;0),"Yes","No"))</x:f>
        <x:v>No</x:v>
      </x:c>
      <x:c r="AB462" s="253" t="str">
        <x:f>IF(W462="No","Maturing",IF(AND(U462="Yes",Z462&gt;0),"Yes","No"))</x:f>
        <x:v>No</x:v>
      </x:c>
      <x:c r="AC462" s="265" t="n">
        <x:v>-1909.1</x:v>
      </x:c>
      <x:c r="AD462" s="265" t="n">
        <x:v>-2008.1</x:v>
      </x:c>
      <x:c r="AE462" s="271" t="str"/>
      <x:c r="AF462" s="274" t="str">
        <x:v>Not validated - no control/holdout</x:v>
      </x:c>
      <x:c r="AG462" s="277" t="str">
        <x:v>Recovered execution only; assignment date and unclaimed-offer denominator unavailable</x:v>
      </x:c>
    </x:row>
    <x:row r="463">
      <x:c r="A463" s="252" t="str">
        <x:v>34164123</x:v>
      </x:c>
      <x:c r="B463" s="253" t="str">
        <x:v>WS1</x:v>
      </x:c>
      <x:c r="C463" s="253" t="str">
        <x:v>MB8</x:v>
      </x:c>
      <x:c r="D463" s="262" t="n">
        <x:v>46149.54982638889</x:v>
      </x:c>
      <x:c r="E463" s="259" t="n">
        <x:v>46149.166666666664</x:v>
      </x:c>
      <x:c r="F463" s="253" t="str">
        <x:v>809424</x:v>
      </x:c>
      <x:c r="G463" s="253" t="str">
        <x:v>yeamwc</x:v>
      </x:c>
      <x:c r="H463" s="253" t="str">
        <x:v>Yes</x:v>
      </x:c>
      <x:c r="I463" s="253" t="str">
        <x:v>Elda</x:v>
      </x:c>
      <x:c r="J463" s="253" t="str">
        <x:v>Elda</x:v>
      </x:c>
      <x:c r="K463" s="259" t="n">
        <x:v>45659.166666666664</x:v>
      </x:c>
      <x:c r="L463" s="268" t="str">
        <x:f>IFERROR(VLOOKUP(I463,'Handler-Team Map'!$A$7:$C$17,2,FALSE),"")</x:f>
      </x:c>
      <x:c r="M463" s="268" t="str">
        <x:f>IFERROR(VLOOKUP(I463,'Handler-Team Map'!$A$7:$C$17,3,FALSE),"")</x:f>
      </x:c>
      <x:c r="N463" s="274" t="str">
        <x:v>FT_VM_DEP600_GET200_5X</x:v>
      </x:c>
      <x:c r="O463" s="274" t="str">
        <x:v>VIP BONUS - Deposit 600 Get 200 - 5x TO</x:v>
      </x:c>
      <x:c r="P463" s="274" t="str">
        <x:v>DepositBonus</x:v>
      </x:c>
      <x:c r="Q463" s="274" t="str">
        <x:v>Approved</x:v>
      </x:c>
      <x:c r="R463" s="265" t="n">
        <x:v>200</x:v>
      </x:c>
      <x:c r="S463" s="253" t="str">
        <x:v>Yes</x:v>
      </x:c>
      <x:c r="T463" s="265" t="n">
        <x:v>215520</x:v>
      </x:c>
      <x:c r="U463" s="253" t="str">
        <x:f>IF(AND(S463="Yes",T463=0),"Yes","No")</x:f>
        <x:v>No</x:v>
      </x:c>
      <x:c r="V463" s="253" t="str">
        <x:v>Yes</x:v>
      </x:c>
      <x:c r="W463" s="253" t="str">
        <x:v>Yes</x:v>
      </x:c>
      <x:c r="X463" s="259" t="n">
        <x:v>46149.166666666664</x:v>
      </x:c>
      <x:c r="Y463" s="265" t="n">
        <x:v>11200</x:v>
      </x:c>
      <x:c r="Z463" s="265" t="n">
        <x:v>11700</x:v>
      </x:c>
      <x:c r="AA463" s="253" t="str">
        <x:f>IF(V463="No","Maturing",IF(AND(U463="Yes",Y463&gt;0),"Yes","No"))</x:f>
        <x:v>No</x:v>
      </x:c>
      <x:c r="AB463" s="253" t="str">
        <x:f>IF(W463="No","Maturing",IF(AND(U463="Yes",Z463&gt;0),"Yes","No"))</x:f>
        <x:v>No</x:v>
      </x:c>
      <x:c r="AC463" s="265" t="n">
        <x:v>8098.44</x:v>
      </x:c>
      <x:c r="AD463" s="265" t="n">
        <x:v>8594.07</x:v>
      </x:c>
      <x:c r="AE463" s="271" t="str"/>
      <x:c r="AF463" s="274" t="str">
        <x:v>Not validated - no control/holdout</x:v>
      </x:c>
      <x:c r="AG463" s="277" t="str">
        <x:v>Recovered execution only; assignment date and unclaimed-offer denominator unavailable</x:v>
      </x:c>
    </x:row>
    <x:row r="464">
      <x:c r="A464" s="252" t="str">
        <x:v>34164981</x:v>
      </x:c>
      <x:c r="B464" s="253" t="str">
        <x:v>WS1</x:v>
      </x:c>
      <x:c r="C464" s="253" t="str">
        <x:v>MB8</x:v>
      </x:c>
      <x:c r="D464" s="262" t="n">
        <x:v>46149.61844907407</x:v>
      </x:c>
      <x:c r="E464" s="259" t="n">
        <x:v>46149.166666666664</x:v>
      </x:c>
      <x:c r="F464" s="253" t="str">
        <x:v>772894</x:v>
      </x:c>
      <x:c r="G464" s="253" t="str">
        <x:v>anuar531</x:v>
      </x:c>
      <x:c r="H464" s="253" t="str">
        <x:v>Yes</x:v>
      </x:c>
      <x:c r="I464" s="253" t="str">
        <x:v>Claire</x:v>
      </x:c>
      <x:c r="J464" s="253" t="str">
        <x:v>Claire</x:v>
      </x:c>
      <x:c r="K464" s="259" t="n">
        <x:v>45659.166666666664</x:v>
      </x:c>
      <x:c r="L464" s="268" t="str">
        <x:f>IFERROR(VLOOKUP(I464,'Handler-Team Map'!$A$7:$C$17,2,FALSE),"")</x:f>
      </x:c>
      <x:c r="M464" s="268" t="str">
        <x:f>IFERROR(VLOOKUP(I464,'Handler-Team Map'!$A$7:$C$17,3,FALSE),"")</x:f>
      </x:c>
      <x:c r="N464" s="274" t="str">
        <x:v>FT_VM_DEP1000_GET500_5X</x:v>
      </x:c>
      <x:c r="O464" s="274" t="str">
        <x:v>VIP BONUS - Deposit 1000 Get 500 - 5x TO</x:v>
      </x:c>
      <x:c r="P464" s="274" t="str">
        <x:v>DepositBonus</x:v>
      </x:c>
      <x:c r="Q464" s="274" t="str">
        <x:v>Approved</x:v>
      </x:c>
      <x:c r="R464" s="265" t="n">
        <x:v>500</x:v>
      </x:c>
      <x:c r="S464" s="253" t="str">
        <x:v>Yes</x:v>
      </x:c>
      <x:c r="T464" s="265" t="n">
        <x:v>5986</x:v>
      </x:c>
      <x:c r="U464" s="253" t="str">
        <x:f>IF(AND(S464="Yes",T464=0),"Yes","No")</x:f>
        <x:v>No</x:v>
      </x:c>
      <x:c r="V464" s="253" t="str">
        <x:v>Yes</x:v>
      </x:c>
      <x:c r="W464" s="253" t="str">
        <x:v>Yes</x:v>
      </x:c>
      <x:c r="X464" s="259" t="n">
        <x:v>46149.166666666664</x:v>
      </x:c>
      <x:c r="Y464" s="265" t="n">
        <x:v>4969</x:v>
      </x:c>
      <x:c r="Z464" s="265" t="n">
        <x:v>4969</x:v>
      </x:c>
      <x:c r="AA464" s="253" t="str">
        <x:f>IF(V464="No","Maturing",IF(AND(U464="Yes",Y464&gt;0),"Yes","No"))</x:f>
        <x:v>No</x:v>
      </x:c>
      <x:c r="AB464" s="253" t="str">
        <x:f>IF(W464="No","Maturing",IF(AND(U464="Yes",Z464&gt;0),"Yes","No"))</x:f>
        <x:v>No</x:v>
      </x:c>
      <x:c r="AC464" s="265" t="n">
        <x:v>2118.63</x:v>
      </x:c>
      <x:c r="AD464" s="265" t="n">
        <x:v>2118.63</x:v>
      </x:c>
      <x:c r="AE464" s="271" t="str"/>
      <x:c r="AF464" s="274" t="str">
        <x:v>Not validated - no control/holdout</x:v>
      </x:c>
      <x:c r="AG464" s="277" t="str">
        <x:v>Recovered execution only; assignment date and unclaimed-offer denominator unavailable</x:v>
      </x:c>
    </x:row>
    <x:row r="465">
      <x:c r="A465" s="252" t="str">
        <x:v>34165116</x:v>
      </x:c>
      <x:c r="B465" s="253" t="str">
        <x:v>WS1</x:v>
      </x:c>
      <x:c r="C465" s="253" t="str">
        <x:v>MB8</x:v>
      </x:c>
      <x:c r="D465" s="262" t="n">
        <x:v>46149.63185185185</x:v>
      </x:c>
      <x:c r="E465" s="259" t="n">
        <x:v>46149.166666666664</x:v>
      </x:c>
      <x:c r="F465" s="253" t="str">
        <x:v>627212</x:v>
      </x:c>
      <x:c r="G465" s="253" t="str">
        <x:v>Saddam19</x:v>
      </x:c>
      <x:c r="H465" s="253" t="str">
        <x:v>Yes</x:v>
      </x:c>
      <x:c r="I465" s="253" t="str">
        <x:v>Christy</x:v>
      </x:c>
      <x:c r="J465" s="253" t="str">
        <x:v>Christy</x:v>
      </x:c>
      <x:c r="K465" s="259" t="n">
        <x:v>45831.166666666664</x:v>
      </x:c>
      <x:c r="L465" s="268" t="str">
        <x:f>IFERROR(VLOOKUP(I465,'Handler-Team Map'!$A$7:$C$17,2,FALSE),"")</x:f>
      </x:c>
      <x:c r="M465" s="268" t="str">
        <x:f>IFERROR(VLOOKUP(I465,'Handler-Team Map'!$A$7:$C$17,3,FALSE),"")</x:f>
      </x:c>
      <x:c r="N465" s="274" t="str">
        <x:v>FT_VM_DEP800_GET400_1X</x:v>
      </x:c>
      <x:c r="O465" s="274" t="str">
        <x:v>VIP BONUS - Deposit 800 Get 400 - 1x TO</x:v>
      </x:c>
      <x:c r="P465" s="274" t="str">
        <x:v>DepositBonus</x:v>
      </x:c>
      <x:c r="Q465" s="274" t="str">
        <x:v>Approved</x:v>
      </x:c>
      <x:c r="R465" s="265" t="n">
        <x:v>400</x:v>
      </x:c>
      <x:c r="S465" s="253" t="str">
        <x:v>Yes</x:v>
      </x:c>
      <x:c r="T465" s="265" t="n">
        <x:v>349</x:v>
      </x:c>
      <x:c r="U465" s="253" t="str">
        <x:f>IF(AND(S465="Yes",T465=0),"Yes","No")</x:f>
        <x:v>No</x:v>
      </x:c>
      <x:c r="V465" s="253" t="str">
        <x:v>Yes</x:v>
      </x:c>
      <x:c r="W465" s="253" t="str">
        <x:v>Yes</x:v>
      </x:c>
      <x:c r="X465" s="259" t="n">
        <x:v>46149.166666666664</x:v>
      </x:c>
      <x:c r="Y465" s="265" t="n">
        <x:v>800</x:v>
      </x:c>
      <x:c r="Z465" s="265" t="n">
        <x:v>800</x:v>
      </x:c>
      <x:c r="AA465" s="253" t="str">
        <x:f>IF(V465="No","Maturing",IF(AND(U465="Yes",Y465&gt;0),"Yes","No"))</x:f>
        <x:v>No</x:v>
      </x:c>
      <x:c r="AB465" s="253" t="str">
        <x:f>IF(W465="No","Maturing",IF(AND(U465="Yes",Z465&gt;0),"Yes","No"))</x:f>
        <x:v>No</x:v>
      </x:c>
      <x:c r="AC465" s="265" t="n">
        <x:v>800.01</x:v>
      </x:c>
      <x:c r="AD465" s="265" t="n">
        <x:v>800.01</x:v>
      </x:c>
      <x:c r="AE465" s="271" t="str"/>
      <x:c r="AF465" s="274" t="str">
        <x:v>Not validated - no control/holdout</x:v>
      </x:c>
      <x:c r="AG465" s="277" t="str">
        <x:v>Recovered execution only; assignment date and unclaimed-offer denominator unavailable</x:v>
      </x:c>
    </x:row>
    <x:row r="466">
      <x:c r="A466" s="252" t="str">
        <x:v>34165425</x:v>
      </x:c>
      <x:c r="B466" s="253" t="str">
        <x:v>WS1</x:v>
      </x:c>
      <x:c r="C466" s="253" t="str">
        <x:v>MB8</x:v>
      </x:c>
      <x:c r="D466" s="262" t="n">
        <x:v>46149.65787037037</x:v>
      </x:c>
      <x:c r="E466" s="259" t="n">
        <x:v>46149.166666666664</x:v>
      </x:c>
      <x:c r="F466" s="253" t="str">
        <x:v>452826</x:v>
      </x:c>
      <x:c r="G466" s="253" t="str">
        <x:v>Waiko119</x:v>
      </x:c>
      <x:c r="H466" s="253" t="str">
        <x:v>Yes</x:v>
      </x:c>
      <x:c r="I466" s="253" t="str">
        <x:v>Elda</x:v>
      </x:c>
      <x:c r="J466" s="253" t="str">
        <x:v>Elda</x:v>
      </x:c>
      <x:c r="K466" s="259" t="n">
        <x:v>45659.166666666664</x:v>
      </x:c>
      <x:c r="L466" s="268" t="str">
        <x:f>IFERROR(VLOOKUP(I466,'Handler-Team Map'!$A$7:$C$17,2,FALSE),"")</x:f>
      </x:c>
      <x:c r="M466" s="268" t="str">
        <x:f>IFERROR(VLOOKUP(I466,'Handler-Team Map'!$A$7:$C$17,3,FALSE),"")</x:f>
      </x:c>
      <x:c r="N466" s="274" t="str">
        <x:v>FT_VM_DEP1000_GET900_1X</x:v>
      </x:c>
      <x:c r="O466" s="274" t="str">
        <x:v>VIP BONUS - Deposit 1000 Get 900 - 1x TO</x:v>
      </x:c>
      <x:c r="P466" s="274" t="str">
        <x:v>DepositBonus</x:v>
      </x:c>
      <x:c r="Q466" s="274" t="str">
        <x:v>Approved</x:v>
      </x:c>
      <x:c r="R466" s="265" t="n">
        <x:v>900</x:v>
      </x:c>
      <x:c r="S466" s="253" t="str">
        <x:v>Yes</x:v>
      </x:c>
      <x:c r="T466" s="265" t="n">
        <x:v>2000</x:v>
      </x:c>
      <x:c r="U466" s="253" t="str">
        <x:f>IF(AND(S466="Yes",T466=0),"Yes","No")</x:f>
        <x:v>No</x:v>
      </x:c>
      <x:c r="V466" s="253" t="str">
        <x:v>Yes</x:v>
      </x:c>
      <x:c r="W466" s="253" t="str">
        <x:v>Yes</x:v>
      </x:c>
      <x:c r="X466" s="259" t="n">
        <x:v>46149.166666666664</x:v>
      </x:c>
      <x:c r="Y466" s="265" t="n">
        <x:v>1000</x:v>
      </x:c>
      <x:c r="Z466" s="265" t="n">
        <x:v>1000</x:v>
      </x:c>
      <x:c r="AA466" s="253" t="str">
        <x:f>IF(V466="No","Maturing",IF(AND(U466="Yes",Y466&gt;0),"Yes","No"))</x:f>
        <x:v>No</x:v>
      </x:c>
      <x:c r="AB466" s="253" t="str">
        <x:f>IF(W466="No","Maturing",IF(AND(U466="Yes",Z466&gt;0),"Yes","No"))</x:f>
        <x:v>No</x:v>
      </x:c>
      <x:c r="AC466" s="265" t="n">
        <x:v>-999.9</x:v>
      </x:c>
      <x:c r="AD466" s="265" t="n">
        <x:v>-999.9</x:v>
      </x:c>
      <x:c r="AE466" s="271" t="str"/>
      <x:c r="AF466" s="274" t="str">
        <x:v>Not validated - no control/holdout</x:v>
      </x:c>
      <x:c r="AG466" s="277" t="str">
        <x:v>Recovered execution only; assignment date and unclaimed-offer denominator unavailable</x:v>
      </x:c>
    </x:row>
    <x:row r="467">
      <x:c r="A467" s="252" t="str">
        <x:v>34166997</x:v>
      </x:c>
      <x:c r="B467" s="253" t="str">
        <x:v>WS1</x:v>
      </x:c>
      <x:c r="C467" s="253" t="str">
        <x:v>MB8</x:v>
      </x:c>
      <x:c r="D467" s="262" t="n">
        <x:v>46149.76991898148</x:v>
      </x:c>
      <x:c r="E467" s="259" t="n">
        <x:v>46149.166666666664</x:v>
      </x:c>
      <x:c r="F467" s="253" t="str">
        <x:v>566047</x:v>
      </x:c>
      <x:c r="G467" s="253" t="str">
        <x:v>Jarance22833</x:v>
      </x:c>
      <x:c r="H467" s="253" t="str">
        <x:v>Yes</x:v>
      </x:c>
      <x:c r="I467" s="253" t="str">
        <x:v>Claire</x:v>
      </x:c>
      <x:c r="J467" s="253" t="str">
        <x:v>Claire</x:v>
      </x:c>
      <x:c r="K467" s="259" t="n">
        <x:v>45659.166666666664</x:v>
      </x:c>
      <x:c r="L467" s="268" t="str">
        <x:f>IFERROR(VLOOKUP(I467,'Handler-Team Map'!$A$7:$C$17,2,FALSE),"")</x:f>
      </x:c>
      <x:c r="M467" s="268" t="str">
        <x:f>IFERROR(VLOOKUP(I467,'Handler-Team Map'!$A$7:$C$17,3,FALSE),"")</x:f>
      </x:c>
      <x:c r="N467" s="274" t="str">
        <x:v>FT_VM_DEP1000_GET900_1X</x:v>
      </x:c>
      <x:c r="O467" s="274" t="str">
        <x:v>VIP BONUS - Deposit 1000 Get 900 - 1x TO</x:v>
      </x:c>
      <x:c r="P467" s="274" t="str">
        <x:v>DepositBonus</x:v>
      </x:c>
      <x:c r="Q467" s="274" t="str">
        <x:v>Approved</x:v>
      </x:c>
      <x:c r="R467" s="265" t="n">
        <x:v>900</x:v>
      </x:c>
      <x:c r="S467" s="253" t="str">
        <x:v>Yes</x:v>
      </x:c>
      <x:c r="T467" s="265" t="n">
        <x:v>1183.3</x:v>
      </x:c>
      <x:c r="U467" s="253" t="str">
        <x:f>IF(AND(S467="Yes",T467=0),"Yes","No")</x:f>
        <x:v>No</x:v>
      </x:c>
      <x:c r="V467" s="253" t="str">
        <x:v>Yes</x:v>
      </x:c>
      <x:c r="W467" s="253" t="str">
        <x:v>Yes</x:v>
      </x:c>
      <x:c r="X467" s="259" t="n">
        <x:v>46149.166666666664</x:v>
      </x:c>
      <x:c r="Y467" s="265" t="n">
        <x:v>1000</x:v>
      </x:c>
      <x:c r="Z467" s="265" t="n">
        <x:v>1330</x:v>
      </x:c>
      <x:c r="AA467" s="253" t="str">
        <x:f>IF(V467="No","Maturing",IF(AND(U467="Yes",Y467&gt;0),"Yes","No"))</x:f>
        <x:v>No</x:v>
      </x:c>
      <x:c r="AB467" s="253" t="str">
        <x:f>IF(W467="No","Maturing",IF(AND(U467="Yes",Z467&gt;0),"Yes","No"))</x:f>
        <x:v>No</x:v>
      </x:c>
      <x:c r="AC467" s="265" t="n">
        <x:v>-1396.79</x:v>
      </x:c>
      <x:c r="AD467" s="265" t="n">
        <x:v>-1065.92</x:v>
      </x:c>
      <x:c r="AE467" s="271" t="str"/>
      <x:c r="AF467" s="274" t="str">
        <x:v>Not validated - no control/holdout</x:v>
      </x:c>
      <x:c r="AG467" s="277" t="str">
        <x:v>Recovered execution only; assignment date and unclaimed-offer denominator unavailable</x:v>
      </x:c>
    </x:row>
    <x:row r="468">
      <x:c r="A468" s="252" t="str">
        <x:v>34167645</x:v>
      </x:c>
      <x:c r="B468" s="253" t="str">
        <x:v>WS1</x:v>
      </x:c>
      <x:c r="C468" s="253" t="str">
        <x:v>MB8</x:v>
      </x:c>
      <x:c r="D468" s="262" t="n">
        <x:v>46149.82100694445</x:v>
      </x:c>
      <x:c r="E468" s="259" t="n">
        <x:v>46149.166666666664</x:v>
      </x:c>
      <x:c r="F468" s="253" t="str">
        <x:v>878426</x:v>
      </x:c>
      <x:c r="G468" s="253" t="str">
        <x:v>eatmydust7</x:v>
      </x:c>
      <x:c r="H468" s="253" t="str">
        <x:v>Yes</x:v>
      </x:c>
      <x:c r="I468" s="253" t="str">
        <x:v>Sheena</x:v>
      </x:c>
      <x:c r="J468" s="253" t="str">
        <x:v>Sheena</x:v>
      </x:c>
      <x:c r="K468" s="259" t="n">
        <x:v>45852.166666666664</x:v>
      </x:c>
      <x:c r="L468" s="268" t="str">
        <x:f>IFERROR(VLOOKUP(I468,'Handler-Team Map'!$A$7:$C$17,2,FALSE),"")</x:f>
      </x:c>
      <x:c r="M468" s="268" t="str">
        <x:f>IFERROR(VLOOKUP(I468,'Handler-Team Map'!$A$7:$C$17,3,FALSE),"")</x:f>
      </x:c>
      <x:c r="N468" s="274" t="str">
        <x:v>FT_VM_DEP800_GET400_1X</x:v>
      </x:c>
      <x:c r="O468" s="274" t="str">
        <x:v>VIP BONUS - Deposit 800 Get 400 - 1x TO</x:v>
      </x:c>
      <x:c r="P468" s="274" t="str">
        <x:v>DepositBonus</x:v>
      </x:c>
      <x:c r="Q468" s="274" t="str">
        <x:v>Approved</x:v>
      </x:c>
      <x:c r="R468" s="265" t="n">
        <x:v>400</x:v>
      </x:c>
      <x:c r="S468" s="253" t="str">
        <x:v>Yes</x:v>
      </x:c>
      <x:c r="T468" s="265" t="n">
        <x:v>4500</x:v>
      </x:c>
      <x:c r="U468" s="253" t="str">
        <x:f>IF(AND(S468="Yes",T468=0),"Yes","No")</x:f>
        <x:v>No</x:v>
      </x:c>
      <x:c r="V468" s="253" t="str">
        <x:v>Yes</x:v>
      </x:c>
      <x:c r="W468" s="253" t="str">
        <x:v>Yes</x:v>
      </x:c>
      <x:c r="X468" s="259" t="n">
        <x:v>46149.166666666664</x:v>
      </x:c>
      <x:c r="Y468" s="265" t="n">
        <x:v>3850</x:v>
      </x:c>
      <x:c r="Z468" s="265" t="n">
        <x:v>3850</x:v>
      </x:c>
      <x:c r="AA468" s="253" t="str">
        <x:f>IF(V468="No","Maturing",IF(AND(U468="Yes",Y468&gt;0),"Yes","No"))</x:f>
        <x:v>No</x:v>
      </x:c>
      <x:c r="AB468" s="253" t="str">
        <x:f>IF(W468="No","Maturing",IF(AND(U468="Yes",Z468&gt;0),"Yes","No"))</x:f>
        <x:v>No</x:v>
      </x:c>
      <x:c r="AC468" s="265" t="n">
        <x:v>-2536.26</x:v>
      </x:c>
      <x:c r="AD468" s="265" t="n">
        <x:v>-2536.26</x:v>
      </x:c>
      <x:c r="AE468" s="271" t="str"/>
      <x:c r="AF468" s="274" t="str">
        <x:v>Not validated - no control/holdout</x:v>
      </x:c>
      <x:c r="AG468" s="277" t="str">
        <x:v>Recovered execution only; assignment date and unclaimed-offer denominator unavailable</x:v>
      </x:c>
    </x:row>
    <x:row r="469">
      <x:c r="A469" s="252" t="str">
        <x:v>34167691</x:v>
      </x:c>
      <x:c r="B469" s="253" t="str">
        <x:v>WS1</x:v>
      </x:c>
      <x:c r="C469" s="253" t="str">
        <x:v>MB8</x:v>
      </x:c>
      <x:c r="D469" s="262" t="n">
        <x:v>46149.82278935185</x:v>
      </x:c>
      <x:c r="E469" s="259" t="n">
        <x:v>46149.166666666664</x:v>
      </x:c>
      <x:c r="F469" s="253" t="str">
        <x:v>48929</x:v>
      </x:c>
      <x:c r="G469" s="253" t="str">
        <x:v>Vithya31</x:v>
      </x:c>
      <x:c r="H469" s="253" t="str">
        <x:v>Yes</x:v>
      </x:c>
      <x:c r="I469" s="253" t="str">
        <x:v>zhen</x:v>
      </x:c>
      <x:c r="J469" s="253" t="str">
        <x:v>zhen</x:v>
      </x:c>
      <x:c r="K469" s="259" t="n">
        <x:v>46090.166666666664</x:v>
      </x:c>
      <x:c r="L469" s="268" t="str">
        <x:f>IFERROR(VLOOKUP(I469,'Handler-Team Map'!$A$7:$C$17,2,FALSE),"")</x:f>
      </x:c>
      <x:c r="M469" s="268" t="str">
        <x:f>IFERROR(VLOOKUP(I469,'Handler-Team Map'!$A$7:$C$17,3,FALSE),"")</x:f>
      </x:c>
      <x:c r="N469" s="274" t="str">
        <x:v>FT_VM_DEP300_GET100_5X</x:v>
      </x:c>
      <x:c r="O469" s="274" t="str">
        <x:v>VIP BONUS - Deposit 300 Get 100 - 5x TO</x:v>
      </x:c>
      <x:c r="P469" s="274" t="str">
        <x:v>DepositBonus</x:v>
      </x:c>
      <x:c r="Q469" s="274" t="str">
        <x:v>Approved</x:v>
      </x:c>
      <x:c r="R469" s="265" t="n">
        <x:v>100</x:v>
      </x:c>
      <x:c r="S469" s="253" t="str">
        <x:v>Yes</x:v>
      </x:c>
      <x:c r="T469" s="265" t="n">
        <x:v>31770</x:v>
      </x:c>
      <x:c r="U469" s="253" t="str">
        <x:f>IF(AND(S469="Yes",T469=0),"Yes","No")</x:f>
        <x:v>No</x:v>
      </x:c>
      <x:c r="V469" s="253" t="str">
        <x:v>Yes</x:v>
      </x:c>
      <x:c r="W469" s="253" t="str">
        <x:v>Yes</x:v>
      </x:c>
      <x:c r="X469" s="259" t="n">
        <x:v>46149.166666666664</x:v>
      </x:c>
      <x:c r="Y469" s="265" t="n">
        <x:v>16190</x:v>
      </x:c>
      <x:c r="Z469" s="265" t="n">
        <x:v>42490</x:v>
      </x:c>
      <x:c r="AA469" s="253" t="str">
        <x:f>IF(V469="No","Maturing",IF(AND(U469="Yes",Y469&gt;0),"Yes","No"))</x:f>
        <x:v>No</x:v>
      </x:c>
      <x:c r="AB469" s="253" t="str">
        <x:f>IF(W469="No","Maturing",IF(AND(U469="Yes",Z469&gt;0),"Yes","No"))</x:f>
        <x:v>No</x:v>
      </x:c>
      <x:c r="AC469" s="265" t="n">
        <x:v>-7461.44</x:v>
      </x:c>
      <x:c r="AD469" s="265" t="n">
        <x:v>5537.79</x:v>
      </x:c>
      <x:c r="AE469" s="271" t="str"/>
      <x:c r="AF469" s="274" t="str">
        <x:v>Not validated - no control/holdout</x:v>
      </x:c>
      <x:c r="AG469" s="277" t="str">
        <x:v>Recovered execution only; assignment date and unclaimed-offer denominator unavailable</x:v>
      </x:c>
    </x:row>
    <x:row r="470">
      <x:c r="A470" s="252" t="str">
        <x:v>34167840</x:v>
      </x:c>
      <x:c r="B470" s="253" t="str">
        <x:v>WS1</x:v>
      </x:c>
      <x:c r="C470" s="253" t="str">
        <x:v>MB8</x:v>
      </x:c>
      <x:c r="D470" s="262" t="n">
        <x:v>46149.83253472222</x:v>
      </x:c>
      <x:c r="E470" s="259" t="n">
        <x:v>46149.166666666664</x:v>
      </x:c>
      <x:c r="F470" s="253" t="str">
        <x:v>142735</x:v>
      </x:c>
      <x:c r="G470" s="253" t="str">
        <x:v>Dodo6423</x:v>
      </x:c>
      <x:c r="H470" s="253" t="str">
        <x:v>Yes</x:v>
      </x:c>
      <x:c r="I470" s="253" t="str">
        <x:v>Claire</x:v>
      </x:c>
      <x:c r="J470" s="253" t="str">
        <x:v>Claire</x:v>
      </x:c>
      <x:c r="K470" s="259" t="n">
        <x:v>45659.166666666664</x:v>
      </x:c>
      <x:c r="L470" s="268" t="str">
        <x:f>IFERROR(VLOOKUP(I470,'Handler-Team Map'!$A$7:$C$17,2,FALSE),"")</x:f>
      </x:c>
      <x:c r="M470" s="268" t="str">
        <x:f>IFERROR(VLOOKUP(I470,'Handler-Team Map'!$A$7:$C$17,3,FALSE),"")</x:f>
      </x:c>
      <x:c r="N470" s="274" t="str">
        <x:v>FT_VM_DEP1000_GET500_5X</x:v>
      </x:c>
      <x:c r="O470" s="274" t="str">
        <x:v>VIP BONUS - Deposit 1000 Get 500 - 5x TO</x:v>
      </x:c>
      <x:c r="P470" s="274" t="str">
        <x:v>DepositBonus</x:v>
      </x:c>
      <x:c r="Q470" s="274" t="str">
        <x:v>Approved</x:v>
      </x:c>
      <x:c r="R470" s="265" t="n">
        <x:v>500</x:v>
      </x:c>
      <x:c r="S470" s="253" t="str">
        <x:v>Yes</x:v>
      </x:c>
      <x:c r="T470" s="265" t="n">
        <x:v>7630</x:v>
      </x:c>
      <x:c r="U470" s="253" t="str">
        <x:f>IF(AND(S470="Yes",T470=0),"Yes","No")</x:f>
        <x:v>No</x:v>
      </x:c>
      <x:c r="V470" s="253" t="str">
        <x:v>Yes</x:v>
      </x:c>
      <x:c r="W470" s="253" t="str">
        <x:v>Yes</x:v>
      </x:c>
      <x:c r="X470" s="259" t="n">
        <x:v>46149.166666666664</x:v>
      </x:c>
      <x:c r="Y470" s="265" t="n">
        <x:v>3040</x:v>
      </x:c>
      <x:c r="Z470" s="265" t="n">
        <x:v>7820</x:v>
      </x:c>
      <x:c r="AA470" s="253" t="str">
        <x:f>IF(V470="No","Maturing",IF(AND(U470="Yes",Y470&gt;0),"Yes","No"))</x:f>
        <x:v>No</x:v>
      </x:c>
      <x:c r="AB470" s="253" t="str">
        <x:f>IF(W470="No","Maturing",IF(AND(U470="Yes",Z470&gt;0),"Yes","No"))</x:f>
        <x:v>No</x:v>
      </x:c>
      <x:c r="AC470" s="265" t="n">
        <x:v>-389.82</x:v>
      </x:c>
      <x:c r="AD470" s="265" t="n">
        <x:v>2230.11</x:v>
      </x:c>
      <x:c r="AE470" s="271" t="str"/>
      <x:c r="AF470" s="274" t="str">
        <x:v>Not validated - no control/holdout</x:v>
      </x:c>
      <x:c r="AG470" s="277" t="str">
        <x:v>Recovered execution only; assignment date and unclaimed-offer denominator unavailable</x:v>
      </x:c>
    </x:row>
    <x:row r="471">
      <x:c r="A471" s="252" t="str">
        <x:v>34168338</x:v>
      </x:c>
      <x:c r="B471" s="253" t="str">
        <x:v>WS1</x:v>
      </x:c>
      <x:c r="C471" s="253" t="str">
        <x:v>MB8</x:v>
      </x:c>
      <x:c r="D471" s="262" t="n">
        <x:v>46149.86895833333</x:v>
      </x:c>
      <x:c r="E471" s="259" t="n">
        <x:v>46149.166666666664</x:v>
      </x:c>
      <x:c r="F471" s="253" t="str">
        <x:v>773588</x:v>
      </x:c>
      <x:c r="G471" s="253" t="str">
        <x:v>sengxinzhuang</x:v>
      </x:c>
      <x:c r="H471" s="253" t="str">
        <x:v>Yes</x:v>
      </x:c>
      <x:c r="I471" s="253" t="str">
        <x:v>zhen</x:v>
      </x:c>
      <x:c r="J471" s="253" t="str">
        <x:v>zhen</x:v>
      </x:c>
      <x:c r="K471" s="259" t="n">
        <x:v>45922.166666666664</x:v>
      </x:c>
      <x:c r="L471" s="268" t="str">
        <x:f>IFERROR(VLOOKUP(I471,'Handler-Team Map'!$A$7:$C$17,2,FALSE),"")</x:f>
      </x:c>
      <x:c r="M471" s="268" t="str">
        <x:f>IFERROR(VLOOKUP(I471,'Handler-Team Map'!$A$7:$C$17,3,FALSE),"")</x:f>
      </x:c>
      <x:c r="N471" s="274" t="str">
        <x:v>FT_VM_DEP1000_GET500_5X</x:v>
      </x:c>
      <x:c r="O471" s="274" t="str">
        <x:v>VIP BONUS - Deposit 1000 Get 500 - 5x TO</x:v>
      </x:c>
      <x:c r="P471" s="274" t="str">
        <x:v>DepositBonus</x:v>
      </x:c>
      <x:c r="Q471" s="274" t="str">
        <x:v>Approved</x:v>
      </x:c>
      <x:c r="R471" s="265" t="n">
        <x:v>500</x:v>
      </x:c>
      <x:c r="S471" s="253" t="str">
        <x:v>Yes</x:v>
      </x:c>
      <x:c r="T471" s="265" t="n">
        <x:v>3500</x:v>
      </x:c>
      <x:c r="U471" s="253" t="str">
        <x:f>IF(AND(S471="Yes",T471=0),"Yes","No")</x:f>
        <x:v>No</x:v>
      </x:c>
      <x:c r="V471" s="253" t="str">
        <x:v>Yes</x:v>
      </x:c>
      <x:c r="W471" s="253" t="str">
        <x:v>Yes</x:v>
      </x:c>
      <x:c r="X471" s="259" t="n">
        <x:v>46149.166666666664</x:v>
      </x:c>
      <x:c r="Y471" s="265" t="n">
        <x:v>1000</x:v>
      </x:c>
      <x:c r="Z471" s="265" t="n">
        <x:v>1500</x:v>
      </x:c>
      <x:c r="AA471" s="253" t="str">
        <x:f>IF(V471="No","Maturing",IF(AND(U471="Yes",Y471&gt;0),"Yes","No"))</x:f>
        <x:v>No</x:v>
      </x:c>
      <x:c r="AB471" s="253" t="str">
        <x:f>IF(W471="No","Maturing",IF(AND(U471="Yes",Z471&gt;0),"Yes","No"))</x:f>
        <x:v>No</x:v>
      </x:c>
      <x:c r="AC471" s="265" t="n">
        <x:v>988</x:v>
      </x:c>
      <x:c r="AD471" s="265" t="n">
        <x:v>1488.07</x:v>
      </x:c>
      <x:c r="AE471" s="271" t="str"/>
      <x:c r="AF471" s="274" t="str">
        <x:v>Not validated - no control/holdout</x:v>
      </x:c>
      <x:c r="AG471" s="277" t="str">
        <x:v>Recovered execution only; assignment date and unclaimed-offer denominator unavailable</x:v>
      </x:c>
    </x:row>
    <x:row r="472">
      <x:c r="A472" s="252" t="str">
        <x:v>34168431</x:v>
      </x:c>
      <x:c r="B472" s="253" t="str">
        <x:v>WS1</x:v>
      </x:c>
      <x:c r="C472" s="253" t="str">
        <x:v>MB8</x:v>
      </x:c>
      <x:c r="D472" s="262" t="n">
        <x:v>46149.87458333333</x:v>
      </x:c>
      <x:c r="E472" s="259" t="n">
        <x:v>46149.166666666664</x:v>
      </x:c>
      <x:c r="F472" s="253" t="str">
        <x:v>238790</x:v>
      </x:c>
      <x:c r="G472" s="253" t="str">
        <x:v>Maxtech888</x:v>
      </x:c>
      <x:c r="H472" s="253" t="str">
        <x:v>Yes</x:v>
      </x:c>
      <x:c r="I472" s="253" t="str">
        <x:v>Tammy</x:v>
      </x:c>
      <x:c r="J472" s="253" t="str">
        <x:v>Tammy</x:v>
      </x:c>
      <x:c r="K472" s="259" t="n">
        <x:v>45951.166666666664</x:v>
      </x:c>
      <x:c r="L472" s="268" t="str">
        <x:f>IFERROR(VLOOKUP(I472,'Handler-Team Map'!$A$7:$C$17,2,FALSE),"")</x:f>
      </x:c>
      <x:c r="M472" s="268" t="str">
        <x:f>IFERROR(VLOOKUP(I472,'Handler-Team Map'!$A$7:$C$17,3,FALSE),"")</x:f>
      </x:c>
      <x:c r="N472" s="274" t="str">
        <x:v>FT_VM_DEP600_GET200_5X</x:v>
      </x:c>
      <x:c r="O472" s="274" t="str">
        <x:v>VIP BONUS - Deposit 600 Get 200 - 5x TO</x:v>
      </x:c>
      <x:c r="P472" s="274" t="str">
        <x:v>DepositBonus</x:v>
      </x:c>
      <x:c r="Q472" s="274" t="str">
        <x:v>Approved</x:v>
      </x:c>
      <x:c r="R472" s="265" t="n">
        <x:v>200</x:v>
      </x:c>
      <x:c r="S472" s="253" t="str">
        <x:v>Yes</x:v>
      </x:c>
      <x:c r="T472" s="265" t="n">
        <x:v>44670</x:v>
      </x:c>
      <x:c r="U472" s="253" t="str">
        <x:f>IF(AND(S472="Yes",T472=0),"Yes","No")</x:f>
        <x:v>No</x:v>
      </x:c>
      <x:c r="V472" s="253" t="str">
        <x:v>Yes</x:v>
      </x:c>
      <x:c r="W472" s="253" t="str">
        <x:v>Yes</x:v>
      </x:c>
      <x:c r="X472" s="259" t="n">
        <x:v>46149.166666666664</x:v>
      </x:c>
      <x:c r="Y472" s="265" t="n">
        <x:v>18640</x:v>
      </x:c>
      <x:c r="Z472" s="265" t="n">
        <x:v>36570</x:v>
      </x:c>
      <x:c r="AA472" s="253" t="str">
        <x:f>IF(V472="No","Maturing",IF(AND(U472="Yes",Y472&gt;0),"Yes","No"))</x:f>
        <x:v>No</x:v>
      </x:c>
      <x:c r="AB472" s="253" t="str">
        <x:f>IF(W472="No","Maturing",IF(AND(U472="Yes",Z472&gt;0),"Yes","No"))</x:f>
        <x:v>No</x:v>
      </x:c>
      <x:c r="AC472" s="265" t="n">
        <x:v>7298.3</x:v>
      </x:c>
      <x:c r="AD472" s="265" t="n">
        <x:v>21828.21</x:v>
      </x:c>
      <x:c r="AE472" s="271" t="str"/>
      <x:c r="AF472" s="274" t="str">
        <x:v>Not validated - no control/holdout</x:v>
      </x:c>
      <x:c r="AG472" s="277" t="str">
        <x:v>Recovered execution only; assignment date and unclaimed-offer denominator unavailable</x:v>
      </x:c>
    </x:row>
    <x:row r="473">
      <x:c r="A473" s="252" t="str">
        <x:v>34170051</x:v>
      </x:c>
      <x:c r="B473" s="253" t="str">
        <x:v>WS1</x:v>
      </x:c>
      <x:c r="C473" s="253" t="str">
        <x:v>MB8</x:v>
      </x:c>
      <x:c r="D473" s="262" t="n">
        <x:v>46149.95869212963</x:v>
      </x:c>
      <x:c r="E473" s="259" t="n">
        <x:v>46149.166666666664</x:v>
      </x:c>
      <x:c r="F473" s="253" t="str">
        <x:v>1201273</x:v>
      </x:c>
      <x:c r="G473" s="253" t="str">
        <x:v>Go5208</x:v>
      </x:c>
      <x:c r="H473" s="253" t="str">
        <x:v>Yes</x:v>
      </x:c>
      <x:c r="I473" s="253" t="str"/>
      <x:c r="J473" s="253" t="str"/>
      <x:c r="K473" s="259"/>
      <x:c r="L473" s="268" t="str">
        <x:f>IFERROR(VLOOKUP(I473,'Handler-Team Map'!$A$7:$C$17,2,FALSE),"")</x:f>
      </x:c>
      <x:c r="M473" s="268" t="str">
        <x:f>IFERROR(VLOOKUP(I473,'Handler-Team Map'!$A$7:$C$17,3,FALSE),"")</x:f>
      </x:c>
      <x:c r="N473" s="274" t="str">
        <x:v>FT_VM_DEP600_GET200_5X</x:v>
      </x:c>
      <x:c r="O473" s="274" t="str">
        <x:v>VIP BONUS - Deposit 600 Get 200 - 5x TO</x:v>
      </x:c>
      <x:c r="P473" s="274" t="str">
        <x:v>DepositBonus</x:v>
      </x:c>
      <x:c r="Q473" s="274" t="str">
        <x:v>Approved</x:v>
      </x:c>
      <x:c r="R473" s="265" t="n">
        <x:v>200</x:v>
      </x:c>
      <x:c r="S473" s="253" t="str">
        <x:v>Yes</x:v>
      </x:c>
      <x:c r="T473" s="265" t="n">
        <x:v>2980</x:v>
      </x:c>
      <x:c r="U473" s="253" t="str">
        <x:f>IF(AND(S473="Yes",T473=0),"Yes","No")</x:f>
        <x:v>No</x:v>
      </x:c>
      <x:c r="V473" s="253" t="str">
        <x:v>Yes</x:v>
      </x:c>
      <x:c r="W473" s="253" t="str">
        <x:v>Yes</x:v>
      </x:c>
      <x:c r="X473" s="259" t="n">
        <x:v>46149.166666666664</x:v>
      </x:c>
      <x:c r="Y473" s="265" t="n">
        <x:v>600</x:v>
      </x:c>
      <x:c r="Z473" s="265" t="n">
        <x:v>600</x:v>
      </x:c>
      <x:c r="AA473" s="253" t="str">
        <x:f>IF(V473="No","Maturing",IF(AND(U473="Yes",Y473&gt;0),"Yes","No"))</x:f>
        <x:v>No</x:v>
      </x:c>
      <x:c r="AB473" s="253" t="str">
        <x:f>IF(W473="No","Maturing",IF(AND(U473="Yes",Z473&gt;0),"Yes","No"))</x:f>
        <x:v>No</x:v>
      </x:c>
      <x:c r="AC473" s="265" t="n">
        <x:v>599.7</x:v>
      </x:c>
      <x:c r="AD473" s="265" t="n">
        <x:v>599.7</x:v>
      </x:c>
      <x:c r="AE473" s="271" t="str"/>
      <x:c r="AF473" s="274" t="str">
        <x:v>Not validated - no control/holdout</x:v>
      </x:c>
      <x:c r="AG473" s="277" t="str">
        <x:v>Recovered execution only; assignment date and unclaimed-offer denominator unavailable</x:v>
      </x:c>
    </x:row>
    <x:row r="474">
      <x:c r="A474" s="252" t="str">
        <x:v>34170324</x:v>
      </x:c>
      <x:c r="B474" s="253" t="str">
        <x:v>WS1</x:v>
      </x:c>
      <x:c r="C474" s="253" t="str">
        <x:v>MB8</x:v>
      </x:c>
      <x:c r="D474" s="262" t="n">
        <x:v>46149.96847222222</x:v>
      </x:c>
      <x:c r="E474" s="259" t="n">
        <x:v>46149.166666666664</x:v>
      </x:c>
      <x:c r="F474" s="253" t="str">
        <x:v>660486</x:v>
      </x:c>
      <x:c r="G474" s="253" t="str">
        <x:v>jrao83</x:v>
      </x:c>
      <x:c r="H474" s="253" t="str">
        <x:v>Yes</x:v>
      </x:c>
      <x:c r="I474" s="253" t="str">
        <x:v>Kam</x:v>
      </x:c>
      <x:c r="J474" s="253" t="str">
        <x:v>Kam</x:v>
      </x:c>
      <x:c r="K474" s="259" t="n">
        <x:v>45951.166666666664</x:v>
      </x:c>
      <x:c r="L474" s="268" t="str">
        <x:f>IFERROR(VLOOKUP(I474,'Handler-Team Map'!$A$7:$C$17,2,FALSE),"")</x:f>
      </x:c>
      <x:c r="M474" s="268" t="str">
        <x:f>IFERROR(VLOOKUP(I474,'Handler-Team Map'!$A$7:$C$17,3,FALSE),"")</x:f>
      </x:c>
      <x:c r="N474" s="274" t="str">
        <x:v>FT_VM_DEP1000_GET500_5X</x:v>
      </x:c>
      <x:c r="O474" s="274" t="str">
        <x:v>VIP BONUS - Deposit 1000 Get 500 - 5x TO</x:v>
      </x:c>
      <x:c r="P474" s="274" t="str">
        <x:v>DepositBonus</x:v>
      </x:c>
      <x:c r="Q474" s="274" t="str">
        <x:v>Approved</x:v>
      </x:c>
      <x:c r="R474" s="265" t="n">
        <x:v>500</x:v>
      </x:c>
      <x:c r="S474" s="253" t="str">
        <x:v>Yes</x:v>
      </x:c>
      <x:c r="T474" s="265" t="n">
        <x:v>1000</x:v>
      </x:c>
      <x:c r="U474" s="253" t="str">
        <x:f>IF(AND(S474="Yes",T474=0),"Yes","No")</x:f>
        <x:v>No</x:v>
      </x:c>
      <x:c r="V474" s="253" t="str">
        <x:v>Yes</x:v>
      </x:c>
      <x:c r="W474" s="253" t="str">
        <x:v>Yes</x:v>
      </x:c>
      <x:c r="X474" s="259" t="n">
        <x:v>46149.166666666664</x:v>
      </x:c>
      <x:c r="Y474" s="265" t="n">
        <x:v>1000</x:v>
      </x:c>
      <x:c r="Z474" s="265" t="n">
        <x:v>1000</x:v>
      </x:c>
      <x:c r="AA474" s="253" t="str">
        <x:f>IF(V474="No","Maturing",IF(AND(U474="Yes",Y474&gt;0),"Yes","No"))</x:f>
        <x:v>No</x:v>
      </x:c>
      <x:c r="AB474" s="253" t="str">
        <x:f>IF(W474="No","Maturing",IF(AND(U474="Yes",Z474&gt;0),"Yes","No"))</x:f>
        <x:v>No</x:v>
      </x:c>
      <x:c r="AC474" s="265" t="n">
        <x:v>1001</x:v>
      </x:c>
      <x:c r="AD474" s="265" t="n">
        <x:v>1001</x:v>
      </x:c>
      <x:c r="AE474" s="271" t="str"/>
      <x:c r="AF474" s="274" t="str">
        <x:v>Not validated - no control/holdout</x:v>
      </x:c>
      <x:c r="AG474" s="277" t="str">
        <x:v>Recovered execution only; assignment date and unclaimed-offer denominator unavailable</x:v>
      </x:c>
    </x:row>
    <x:row r="475">
      <x:c r="A475" s="252" t="str">
        <x:v>34170176</x:v>
      </x:c>
      <x:c r="B475" s="253" t="str">
        <x:v>WS1</x:v>
      </x:c>
      <x:c r="C475" s="253" t="str">
        <x:v>MB8</x:v>
      </x:c>
      <x:c r="D475" s="262" t="n">
        <x:v>46149.97122685185</x:v>
      </x:c>
      <x:c r="E475" s="259" t="n">
        <x:v>46149.166666666664</x:v>
      </x:c>
      <x:c r="F475" s="253" t="str">
        <x:v>834759</x:v>
      </x:c>
      <x:c r="G475" s="253" t="str">
        <x:v>chenyeow</x:v>
      </x:c>
      <x:c r="H475" s="253" t="str">
        <x:v>Yes</x:v>
      </x:c>
      <x:c r="I475" s="253" t="str">
        <x:v>zhen</x:v>
      </x:c>
      <x:c r="J475" s="253" t="str">
        <x:v>zhen</x:v>
      </x:c>
      <x:c r="K475" s="259" t="n">
        <x:v>45922.166666666664</x:v>
      </x:c>
      <x:c r="L475" s="268" t="str">
        <x:f>IFERROR(VLOOKUP(I475,'Handler-Team Map'!$A$7:$C$17,2,FALSE),"")</x:f>
      </x:c>
      <x:c r="M475" s="268" t="str">
        <x:f>IFERROR(VLOOKUP(I475,'Handler-Team Map'!$A$7:$C$17,3,FALSE),"")</x:f>
      </x:c>
      <x:c r="N475" s="274" t="str">
        <x:v>FT_VM_DEP1000_GET700_2X</x:v>
      </x:c>
      <x:c r="O475" s="274" t="str">
        <x:v>VIP BONUS - Deposit 1000 Get 700 - 2x TO</x:v>
      </x:c>
      <x:c r="P475" s="274" t="str">
        <x:v>DepositBonus</x:v>
      </x:c>
      <x:c r="Q475" s="274" t="str">
        <x:v>Approved</x:v>
      </x:c>
      <x:c r="R475" s="265" t="n">
        <x:v>700</x:v>
      </x:c>
      <x:c r="S475" s="253" t="str">
        <x:v>Yes</x:v>
      </x:c>
      <x:c r="T475" s="265" t="n">
        <x:v>2000</x:v>
      </x:c>
      <x:c r="U475" s="253" t="str">
        <x:f>IF(AND(S475="Yes",T475=0),"Yes","No")</x:f>
        <x:v>No</x:v>
      </x:c>
      <x:c r="V475" s="253" t="str">
        <x:v>Yes</x:v>
      </x:c>
      <x:c r="W475" s="253" t="str">
        <x:v>Yes</x:v>
      </x:c>
      <x:c r="X475" s="259" t="n">
        <x:v>46149.166666666664</x:v>
      </x:c>
      <x:c r="Y475" s="265" t="n">
        <x:v>1000</x:v>
      </x:c>
      <x:c r="Z475" s="265" t="n">
        <x:v>2000</x:v>
      </x:c>
      <x:c r="AA475" s="253" t="str">
        <x:f>IF(V475="No","Maturing",IF(AND(U475="Yes",Y475&gt;0),"Yes","No"))</x:f>
        <x:v>No</x:v>
      </x:c>
      <x:c r="AB475" s="253" t="str">
        <x:f>IF(W475="No","Maturing",IF(AND(U475="Yes",Z475&gt;0),"Yes","No"))</x:f>
        <x:v>No</x:v>
      </x:c>
      <x:c r="AC475" s="265" t="n">
        <x:v>1227.63</x:v>
      </x:c>
      <x:c r="AD475" s="265" t="n">
        <x:v>727.63</x:v>
      </x:c>
      <x:c r="AE475" s="271" t="str"/>
      <x:c r="AF475" s="274" t="str">
        <x:v>Not validated - no control/holdout</x:v>
      </x:c>
      <x:c r="AG475" s="277" t="str">
        <x:v>Recovered execution only; assignment date and unclaimed-offer denominator unavailable</x:v>
      </x:c>
    </x:row>
    <x:row r="476">
      <x:c r="A476" s="252" t="str">
        <x:v>34173694</x:v>
      </x:c>
      <x:c r="B476" s="253" t="str">
        <x:v>WS1</x:v>
      </x:c>
      <x:c r="C476" s="253" t="str">
        <x:v>MB8</x:v>
      </x:c>
      <x:c r="D476" s="262" t="n">
        <x:v>46150.17084490741</x:v>
      </x:c>
      <x:c r="E476" s="259" t="n">
        <x:v>46150.166666666664</x:v>
      </x:c>
      <x:c r="F476" s="253" t="str">
        <x:v>422328</x:v>
      </x:c>
      <x:c r="G476" s="253" t="str">
        <x:v>yap5643</x:v>
      </x:c>
      <x:c r="H476" s="253" t="str">
        <x:v>Yes</x:v>
      </x:c>
      <x:c r="I476" s="253" t="str">
        <x:v>Claire</x:v>
      </x:c>
      <x:c r="J476" s="253" t="str">
        <x:v>Claire</x:v>
      </x:c>
      <x:c r="K476" s="259" t="n">
        <x:v>45659.166666666664</x:v>
      </x:c>
      <x:c r="L476" s="268" t="str">
        <x:f>IFERROR(VLOOKUP(I476,'Handler-Team Map'!$A$7:$C$17,2,FALSE),"")</x:f>
      </x:c>
      <x:c r="M476" s="268" t="str">
        <x:f>IFERROR(VLOOKUP(I476,'Handler-Team Map'!$A$7:$C$17,3,FALSE),"")</x:f>
      </x:c>
      <x:c r="N476" s="274" t="str">
        <x:v>FT_VM_DEP1000_GET1000_1X</x:v>
      </x:c>
      <x:c r="O476" s="274" t="str">
        <x:v>VIP BONUS - Deposit 1000 Get 1000 - 1x TO</x:v>
      </x:c>
      <x:c r="P476" s="274" t="str">
        <x:v>DepositBonus</x:v>
      </x:c>
      <x:c r="Q476" s="274" t="str">
        <x:v>Approved</x:v>
      </x:c>
      <x:c r="R476" s="265" t="n">
        <x:v>1000</x:v>
      </x:c>
      <x:c r="S476" s="253" t="str">
        <x:v>Yes</x:v>
      </x:c>
      <x:c r="T476" s="265" t="n">
        <x:v>340700</x:v>
      </x:c>
      <x:c r="U476" s="253" t="str">
        <x:f>IF(AND(S476="Yes",T476=0),"Yes","No")</x:f>
        <x:v>No</x:v>
      </x:c>
      <x:c r="V476" s="253" t="str">
        <x:v>Yes</x:v>
      </x:c>
      <x:c r="W476" s="253" t="str">
        <x:v>Yes</x:v>
      </x:c>
      <x:c r="X476" s="259" t="n">
        <x:v>46150.166666666664</x:v>
      </x:c>
      <x:c r="Y476" s="265" t="n">
        <x:v>52000</x:v>
      </x:c>
      <x:c r="Z476" s="265" t="n">
        <x:v>139500</x:v>
      </x:c>
      <x:c r="AA476" s="253" t="str">
        <x:f>IF(V476="No","Maturing",IF(AND(U476="Yes",Y476&gt;0),"Yes","No"))</x:f>
        <x:v>No</x:v>
      </x:c>
      <x:c r="AB476" s="253" t="str">
        <x:f>IF(W476="No","Maturing",IF(AND(U476="Yes",Z476&gt;0),"Yes","No"))</x:f>
        <x:v>No</x:v>
      </x:c>
      <x:c r="AC476" s="265" t="n">
        <x:v>51376.66</x:v>
      </x:c>
      <x:c r="AD476" s="265" t="n">
        <x:v>137595.92</x:v>
      </x:c>
      <x:c r="AE476" s="271" t="str"/>
      <x:c r="AF476" s="274" t="str">
        <x:v>Not validated - no control/holdout</x:v>
      </x:c>
      <x:c r="AG476" s="277" t="str">
        <x:v>Recovered execution only; assignment date and unclaimed-offer denominator unavailable</x:v>
      </x:c>
    </x:row>
    <x:row r="477">
      <x:c r="A477" s="252" t="str">
        <x:v>34174298</x:v>
      </x:c>
      <x:c r="B477" s="253" t="str">
        <x:v>WS1</x:v>
      </x:c>
      <x:c r="C477" s="253" t="str">
        <x:v>MB8</x:v>
      </x:c>
      <x:c r="D477" s="262" t="n">
        <x:v>46150.264652777776</x:v>
      </x:c>
      <x:c r="E477" s="259" t="n">
        <x:v>46150.166666666664</x:v>
      </x:c>
      <x:c r="F477" s="253" t="str">
        <x:v>998357</x:v>
      </x:c>
      <x:c r="G477" s="253" t="str">
        <x:v>clt777</x:v>
      </x:c>
      <x:c r="H477" s="253" t="str">
        <x:v>Yes</x:v>
      </x:c>
      <x:c r="I477" s="253" t="str"/>
      <x:c r="J477" s="253" t="str"/>
      <x:c r="K477" s="259"/>
      <x:c r="L477" s="268" t="str">
        <x:f>IFERROR(VLOOKUP(I477,'Handler-Team Map'!$A$7:$C$17,2,FALSE),"")</x:f>
      </x:c>
      <x:c r="M477" s="268" t="str">
        <x:f>IFERROR(VLOOKUP(I477,'Handler-Team Map'!$A$7:$C$17,3,FALSE),"")</x:f>
      </x:c>
      <x:c r="N477" s="274" t="str">
        <x:v>FT_VM_DEP800_GET400_2X</x:v>
      </x:c>
      <x:c r="O477" s="274" t="str">
        <x:v>VIP BONUS - Deposit 800 Get 400 - 2x TO</x:v>
      </x:c>
      <x:c r="P477" s="274" t="str">
        <x:v>DepositBonus</x:v>
      </x:c>
      <x:c r="Q477" s="274" t="str">
        <x:v>Approved</x:v>
      </x:c>
      <x:c r="R477" s="265" t="n">
        <x:v>400</x:v>
      </x:c>
      <x:c r="S477" s="253" t="str">
        <x:v>Yes</x:v>
      </x:c>
      <x:c r="T477" s="265" t="n">
        <x:v>3000</x:v>
      </x:c>
      <x:c r="U477" s="253" t="str">
        <x:f>IF(AND(S477="Yes",T477=0),"Yes","No")</x:f>
        <x:v>No</x:v>
      </x:c>
      <x:c r="V477" s="253" t="str">
        <x:v>Yes</x:v>
      </x:c>
      <x:c r="W477" s="253" t="str">
        <x:v>Yes</x:v>
      </x:c>
      <x:c r="X477" s="259" t="n">
        <x:v>46150.166666666664</x:v>
      </x:c>
      <x:c r="Y477" s="265" t="n">
        <x:v>1500</x:v>
      </x:c>
      <x:c r="Z477" s="265" t="n">
        <x:v>1500</x:v>
      </x:c>
      <x:c r="AA477" s="253" t="str">
        <x:f>IF(V477="No","Maturing",IF(AND(U477="Yes",Y477&gt;0),"Yes","No"))</x:f>
        <x:v>No</x:v>
      </x:c>
      <x:c r="AB477" s="253" t="str">
        <x:f>IF(W477="No","Maturing",IF(AND(U477="Yes",Z477&gt;0),"Yes","No"))</x:f>
        <x:v>No</x:v>
      </x:c>
      <x:c r="AC477" s="265" t="n">
        <x:v>-4500.6</x:v>
      </x:c>
      <x:c r="AD477" s="265" t="n">
        <x:v>-4500.6</x:v>
      </x:c>
      <x:c r="AE477" s="271" t="str"/>
      <x:c r="AF477" s="274" t="str">
        <x:v>Not validated - no control/holdout</x:v>
      </x:c>
      <x:c r="AG477" s="277" t="str">
        <x:v>Recovered execution only; assignment date and unclaimed-offer denominator unavailable</x:v>
      </x:c>
    </x:row>
    <x:row r="478">
      <x:c r="A478" s="252" t="str">
        <x:v>34175123</x:v>
      </x:c>
      <x:c r="B478" s="253" t="str">
        <x:v>WS1</x:v>
      </x:c>
      <x:c r="C478" s="253" t="str">
        <x:v>MB8</x:v>
      </x:c>
      <x:c r="D478" s="262" t="n">
        <x:v>46150.39303240741</x:v>
      </x:c>
      <x:c r="E478" s="259" t="n">
        <x:v>46150.166666666664</x:v>
      </x:c>
      <x:c r="F478" s="253" t="str">
        <x:v>348567</x:v>
      </x:c>
      <x:c r="G478" s="253" t="str">
        <x:v>Firzor</x:v>
      </x:c>
      <x:c r="H478" s="253" t="str">
        <x:v>Yes</x:v>
      </x:c>
      <x:c r="I478" s="253" t="str"/>
      <x:c r="J478" s="253" t="str"/>
      <x:c r="K478" s="259"/>
      <x:c r="L478" s="268" t="str">
        <x:f>IFERROR(VLOOKUP(I478,'Handler-Team Map'!$A$7:$C$17,2,FALSE),"")</x:f>
      </x:c>
      <x:c r="M478" s="268" t="str">
        <x:f>IFERROR(VLOOKUP(I478,'Handler-Team Map'!$A$7:$C$17,3,FALSE),"")</x:f>
      </x:c>
      <x:c r="N478" s="274" t="str">
        <x:v>FT_VM_DEP1000_GET500_1X</x:v>
      </x:c>
      <x:c r="O478" s="274" t="str">
        <x:v>VIP BONUS - Deposit 1000 Get 500 - 1x TO</x:v>
      </x:c>
      <x:c r="P478" s="274" t="str">
        <x:v>DepositBonus</x:v>
      </x:c>
      <x:c r="Q478" s="274" t="str">
        <x:v>Approved</x:v>
      </x:c>
      <x:c r="R478" s="265" t="n">
        <x:v>500</x:v>
      </x:c>
      <x:c r="S478" s="253" t="str">
        <x:v>Yes</x:v>
      </x:c>
      <x:c r="T478" s="265" t="n">
        <x:v>0</x:v>
      </x:c>
      <x:c r="U478" s="253" t="str">
        <x:f>IF(AND(S478="Yes",T478=0),"Yes","No")</x:f>
        <x:v>Yes</x:v>
      </x:c>
      <x:c r="V478" s="253" t="str">
        <x:v>Yes</x:v>
      </x:c>
      <x:c r="W478" s="253" t="str">
        <x:v>Yes</x:v>
      </x:c>
      <x:c r="X478" s="259" t="n">
        <x:v>46150.166666666664</x:v>
      </x:c>
      <x:c r="Y478" s="265" t="n">
        <x:v>1000</x:v>
      </x:c>
      <x:c r="Z478" s="265" t="n">
        <x:v>1000</x:v>
      </x:c>
      <x:c r="AA478" s="253" t="str">
        <x:f>IF(V478="No","Maturing",IF(AND(U478="Yes",Y478&gt;0),"Yes","No"))</x:f>
        <x:v>Yes</x:v>
      </x:c>
      <x:c r="AB478" s="253" t="str">
        <x:f>IF(W478="No","Maturing",IF(AND(U478="Yes",Z478&gt;0),"Yes","No"))</x:f>
        <x:v>Yes</x:v>
      </x:c>
      <x:c r="AC478" s="265" t="n">
        <x:v>976.94</x:v>
      </x:c>
      <x:c r="AD478" s="265" t="n">
        <x:v>1002.25</x:v>
      </x:c>
      <x:c r="AE478" s="271" t="str"/>
      <x:c r="AF478" s="274" t="str">
        <x:v>Not validated - no control/holdout</x:v>
      </x:c>
      <x:c r="AG478" s="277" t="str">
        <x:v>Recovered execution only; assignment date and unclaimed-offer denominator unavailable</x:v>
      </x:c>
    </x:row>
    <x:row r="479">
      <x:c r="A479" s="252" t="str">
        <x:v>34177242</x:v>
      </x:c>
      <x:c r="B479" s="253" t="str">
        <x:v>WS1</x:v>
      </x:c>
      <x:c r="C479" s="253" t="str">
        <x:v>MB8</x:v>
      </x:c>
      <x:c r="D479" s="262" t="n">
        <x:v>46150.59951388889</x:v>
      </x:c>
      <x:c r="E479" s="259" t="n">
        <x:v>46150.166666666664</x:v>
      </x:c>
      <x:c r="F479" s="253" t="str">
        <x:v>419229</x:v>
      </x:c>
      <x:c r="G479" s="253" t="str">
        <x:v>ZERO99</x:v>
      </x:c>
      <x:c r="H479" s="253" t="str">
        <x:v>Yes</x:v>
      </x:c>
      <x:c r="I479" s="253" t="str">
        <x:v>Elda</x:v>
      </x:c>
      <x:c r="J479" s="253" t="str">
        <x:v>Elda</x:v>
      </x:c>
      <x:c r="K479" s="259" t="n">
        <x:v>45659.166666666664</x:v>
      </x:c>
      <x:c r="L479" s="268" t="str">
        <x:f>IFERROR(VLOOKUP(I479,'Handler-Team Map'!$A$7:$C$17,2,FALSE),"")</x:f>
      </x:c>
      <x:c r="M479" s="268" t="str">
        <x:f>IFERROR(VLOOKUP(I479,'Handler-Team Map'!$A$7:$C$17,3,FALSE),"")</x:f>
      </x:c>
      <x:c r="N479" s="274" t="str">
        <x:v>FT_VM_DEP600_GET200_5X</x:v>
      </x:c>
      <x:c r="O479" s="274" t="str">
        <x:v>VIP BONUS - Deposit 600 Get 200 - 5x TO</x:v>
      </x:c>
      <x:c r="P479" s="274" t="str">
        <x:v>DepositBonus</x:v>
      </x:c>
      <x:c r="Q479" s="274" t="str">
        <x:v>Approved</x:v>
      </x:c>
      <x:c r="R479" s="265" t="n">
        <x:v>200</x:v>
      </x:c>
      <x:c r="S479" s="253" t="str">
        <x:v>Yes</x:v>
      </x:c>
      <x:c r="T479" s="265" t="n">
        <x:v>10000</x:v>
      </x:c>
      <x:c r="U479" s="253" t="str">
        <x:f>IF(AND(S479="Yes",T479=0),"Yes","No")</x:f>
        <x:v>No</x:v>
      </x:c>
      <x:c r="V479" s="253" t="str">
        <x:v>Yes</x:v>
      </x:c>
      <x:c r="W479" s="253" t="str">
        <x:v>Yes</x:v>
      </x:c>
      <x:c r="X479" s="259" t="n">
        <x:v>46150.166666666664</x:v>
      </x:c>
      <x:c r="Y479" s="265" t="n">
        <x:v>20250</x:v>
      </x:c>
      <x:c r="Z479" s="265" t="n">
        <x:v>20250</x:v>
      </x:c>
      <x:c r="AA479" s="253" t="str">
        <x:f>IF(V479="No","Maturing",IF(AND(U479="Yes",Y479&gt;0),"Yes","No"))</x:f>
        <x:v>No</x:v>
      </x:c>
      <x:c r="AB479" s="253" t="str">
        <x:f>IF(W479="No","Maturing",IF(AND(U479="Yes",Z479&gt;0),"Yes","No"))</x:f>
        <x:v>No</x:v>
      </x:c>
      <x:c r="AC479" s="265" t="n">
        <x:v>19398.57</x:v>
      </x:c>
      <x:c r="AD479" s="265" t="n">
        <x:v>19442.63</x:v>
      </x:c>
      <x:c r="AE479" s="271" t="str"/>
      <x:c r="AF479" s="274" t="str">
        <x:v>Not validated - no control/holdout</x:v>
      </x:c>
      <x:c r="AG479" s="277" t="str">
        <x:v>Recovered execution only; assignment date and unclaimed-offer denominator unavailable</x:v>
      </x:c>
    </x:row>
    <x:row r="480">
      <x:c r="A480" s="252" t="str">
        <x:v>34177529</x:v>
      </x:c>
      <x:c r="B480" s="253" t="str">
        <x:v>WS1</x:v>
      </x:c>
      <x:c r="C480" s="253" t="str">
        <x:v>MB8</x:v>
      </x:c>
      <x:c r="D480" s="262" t="n">
        <x:v>46150.62189814815</x:v>
      </x:c>
      <x:c r="E480" s="259" t="n">
        <x:v>46150.166666666664</x:v>
      </x:c>
      <x:c r="F480" s="253" t="str">
        <x:v>577473</x:v>
      </x:c>
      <x:c r="G480" s="253" t="str">
        <x:v>Dzqsyl3966</x:v>
      </x:c>
      <x:c r="H480" s="253" t="str">
        <x:v>Yes</x:v>
      </x:c>
      <x:c r="I480" s="253" t="str"/>
      <x:c r="J480" s="253" t="str"/>
      <x:c r="K480" s="259"/>
      <x:c r="L480" s="268" t="str">
        <x:f>IFERROR(VLOOKUP(I480,'Handler-Team Map'!$A$7:$C$17,2,FALSE),"")</x:f>
      </x:c>
      <x:c r="M480" s="268" t="str">
        <x:f>IFERROR(VLOOKUP(I480,'Handler-Team Map'!$A$7:$C$17,3,FALSE),"")</x:f>
      </x:c>
      <x:c r="N480" s="274" t="str">
        <x:v>FT_VM_DEP1000_GET500_1X</x:v>
      </x:c>
      <x:c r="O480" s="274" t="str">
        <x:v>VIP BONUS - Deposit 1000 Get 500 - 1x TO</x:v>
      </x:c>
      <x:c r="P480" s="274" t="str">
        <x:v>DepositBonus</x:v>
      </x:c>
      <x:c r="Q480" s="274" t="str">
        <x:v>Approved</x:v>
      </x:c>
      <x:c r="R480" s="265" t="n">
        <x:v>500</x:v>
      </x:c>
      <x:c r="S480" s="253" t="str">
        <x:v>Yes</x:v>
      </x:c>
      <x:c r="T480" s="265" t="n">
        <x:v>0</x:v>
      </x:c>
      <x:c r="U480" s="253" t="str">
        <x:f>IF(AND(S480="Yes",T480=0),"Yes","No")</x:f>
        <x:v>Yes</x:v>
      </x:c>
      <x:c r="V480" s="253" t="str">
        <x:v>Yes</x:v>
      </x:c>
      <x:c r="W480" s="253" t="str">
        <x:v>Yes</x:v>
      </x:c>
      <x:c r="X480" s="259" t="n">
        <x:v>46150.166666666664</x:v>
      </x:c>
      <x:c r="Y480" s="265" t="n">
        <x:v>1000</x:v>
      </x:c>
      <x:c r="Z480" s="265" t="n">
        <x:v>1600</x:v>
      </x:c>
      <x:c r="AA480" s="253" t="str">
        <x:f>IF(V480="No","Maturing",IF(AND(U480="Yes",Y480&gt;0),"Yes","No"))</x:f>
        <x:v>Yes</x:v>
      </x:c>
      <x:c r="AB480" s="253" t="str">
        <x:f>IF(W480="No","Maturing",IF(AND(U480="Yes",Z480&gt;0),"Yes","No"))</x:f>
        <x:v>Yes</x:v>
      </x:c>
      <x:c r="AC480" s="265" t="n">
        <x:v>-545.84</x:v>
      </x:c>
      <x:c r="AD480" s="265" t="n">
        <x:v>-1012.12</x:v>
      </x:c>
      <x:c r="AE480" s="271" t="str"/>
      <x:c r="AF480" s="274" t="str">
        <x:v>Not validated - no control/holdout</x:v>
      </x:c>
      <x:c r="AG480" s="277" t="str">
        <x:v>Recovered execution only; assignment date and unclaimed-offer denominator unavailable</x:v>
      </x:c>
    </x:row>
    <x:row r="481">
      <x:c r="A481" s="252" t="str">
        <x:v>34179043</x:v>
      </x:c>
      <x:c r="B481" s="253" t="str">
        <x:v>WS1</x:v>
      </x:c>
      <x:c r="C481" s="253" t="str">
        <x:v>MB8</x:v>
      </x:c>
      <x:c r="D481" s="262" t="n">
        <x:v>46150.735914351855</x:v>
      </x:c>
      <x:c r="E481" s="259" t="n">
        <x:v>46150.166666666664</x:v>
      </x:c>
      <x:c r="F481" s="253" t="str">
        <x:v>561199</x:v>
      </x:c>
      <x:c r="G481" s="253" t="str">
        <x:v>lanlanlan</x:v>
      </x:c>
      <x:c r="H481" s="253" t="str">
        <x:v>Yes</x:v>
      </x:c>
      <x:c r="I481" s="253" t="str">
        <x:v>Christy</x:v>
      </x:c>
      <x:c r="J481" s="253" t="str">
        <x:v>Christy</x:v>
      </x:c>
      <x:c r="K481" s="259" t="n">
        <x:v>45831.166666666664</x:v>
      </x:c>
      <x:c r="L481" s="268" t="str">
        <x:f>IFERROR(VLOOKUP(I481,'Handler-Team Map'!$A$7:$C$17,2,FALSE),"")</x:f>
      </x:c>
      <x:c r="M481" s="268" t="str">
        <x:f>IFERROR(VLOOKUP(I481,'Handler-Team Map'!$A$7:$C$17,3,FALSE),"")</x:f>
      </x:c>
      <x:c r="N481" s="274" t="str">
        <x:v>FT_VM_DEP150_GET50_5X</x:v>
      </x:c>
      <x:c r="O481" s="274" t="str">
        <x:v>VIP BONUS - Deposit 150 Get 50 - 5x TO</x:v>
      </x:c>
      <x:c r="P481" s="274" t="str">
        <x:v>DepositBonus</x:v>
      </x:c>
      <x:c r="Q481" s="274" t="str">
        <x:v>Approved</x:v>
      </x:c>
      <x:c r="R481" s="265" t="n">
        <x:v>50</x:v>
      </x:c>
      <x:c r="S481" s="253" t="str">
        <x:v>Yes</x:v>
      </x:c>
      <x:c r="T481" s="265" t="n">
        <x:v>1331.15</x:v>
      </x:c>
      <x:c r="U481" s="253" t="str">
        <x:f>IF(AND(S481="Yes",T481=0),"Yes","No")</x:f>
        <x:v>No</x:v>
      </x:c>
      <x:c r="V481" s="253" t="str">
        <x:v>Yes</x:v>
      </x:c>
      <x:c r="W481" s="253" t="str">
        <x:v>Yes</x:v>
      </x:c>
      <x:c r="X481" s="259" t="n">
        <x:v>46150.166666666664</x:v>
      </x:c>
      <x:c r="Y481" s="265" t="n">
        <x:v>520.5</x:v>
      </x:c>
      <x:c r="Z481" s="265" t="n">
        <x:v>872.5</x:v>
      </x:c>
      <x:c r="AA481" s="253" t="str">
        <x:f>IF(V481="No","Maturing",IF(AND(U481="Yes",Y481&gt;0),"Yes","No"))</x:f>
        <x:v>No</x:v>
      </x:c>
      <x:c r="AB481" s="253" t="str">
        <x:f>IF(W481="No","Maturing",IF(AND(U481="Yes",Z481&gt;0),"Yes","No"))</x:f>
        <x:v>No</x:v>
      </x:c>
      <x:c r="AC481" s="265" t="n">
        <x:v>520.14</x:v>
      </x:c>
      <x:c r="AD481" s="265" t="n">
        <x:v>872.33</x:v>
      </x:c>
      <x:c r="AE481" s="271" t="str"/>
      <x:c r="AF481" s="274" t="str">
        <x:v>Not validated - no control/holdout</x:v>
      </x:c>
      <x:c r="AG481" s="277" t="str">
        <x:v>Recovered execution only; assignment date and unclaimed-offer denominator unavailable</x:v>
      </x:c>
    </x:row>
    <x:row r="482">
      <x:c r="A482" s="252" t="str">
        <x:v>34182295</x:v>
      </x:c>
      <x:c r="B482" s="253" t="str">
        <x:v>WS1</x:v>
      </x:c>
      <x:c r="C482" s="253" t="str">
        <x:v>MB8</x:v>
      </x:c>
      <x:c r="D482" s="262" t="n">
        <x:v>46150.95275462963</x:v>
      </x:c>
      <x:c r="E482" s="259" t="n">
        <x:v>46150.166666666664</x:v>
      </x:c>
      <x:c r="F482" s="253" t="str">
        <x:v>1208328</x:v>
      </x:c>
      <x:c r="G482" s="253" t="str">
        <x:v>looikimkee</x:v>
      </x:c>
      <x:c r="H482" s="253" t="str">
        <x:v>Yes</x:v>
      </x:c>
      <x:c r="I482" s="253" t="str"/>
      <x:c r="J482" s="253" t="str"/>
      <x:c r="K482" s="259"/>
      <x:c r="L482" s="268" t="str">
        <x:f>IFERROR(VLOOKUP(I482,'Handler-Team Map'!$A$7:$C$17,2,FALSE),"")</x:f>
      </x:c>
      <x:c r="M482" s="268" t="str">
        <x:f>IFERROR(VLOOKUP(I482,'Handler-Team Map'!$A$7:$C$17,3,FALSE),"")</x:f>
      </x:c>
      <x:c r="N482" s="274" t="str">
        <x:v>FT_VM_DEP800_GET400_1X</x:v>
      </x:c>
      <x:c r="O482" s="274" t="str">
        <x:v>VIP BONUS - Deposit 800 Get 400 - 1x TO</x:v>
      </x:c>
      <x:c r="P482" s="274" t="str">
        <x:v>DepositBonus</x:v>
      </x:c>
      <x:c r="Q482" s="274" t="str">
        <x:v>Approved</x:v>
      </x:c>
      <x:c r="R482" s="265" t="n">
        <x:v>400</x:v>
      </x:c>
      <x:c r="S482" s="253" t="str">
        <x:v>Yes</x:v>
      </x:c>
      <x:c r="T482" s="265" t="n">
        <x:v>4500</x:v>
      </x:c>
      <x:c r="U482" s="253" t="str">
        <x:f>IF(AND(S482="Yes",T482=0),"Yes","No")</x:f>
        <x:v>No</x:v>
      </x:c>
      <x:c r="V482" s="253" t="str">
        <x:v>Yes</x:v>
      </x:c>
      <x:c r="W482" s="253" t="str">
        <x:v>Yes</x:v>
      </x:c>
      <x:c r="X482" s="259" t="n">
        <x:v>46150.166666666664</x:v>
      </x:c>
      <x:c r="Y482" s="265" t="n">
        <x:v>800</x:v>
      </x:c>
      <x:c r="Z482" s="265" t="n">
        <x:v>800</x:v>
      </x:c>
      <x:c r="AA482" s="253" t="str">
        <x:f>IF(V482="No","Maturing",IF(AND(U482="Yes",Y482&gt;0),"Yes","No"))</x:f>
        <x:v>No</x:v>
      </x:c>
      <x:c r="AB482" s="253" t="str">
        <x:f>IF(W482="No","Maturing",IF(AND(U482="Yes",Z482&gt;0),"Yes","No"))</x:f>
        <x:v>No</x:v>
      </x:c>
      <x:c r="AC482" s="265" t="n">
        <x:v>-3513.99</x:v>
      </x:c>
      <x:c r="AD482" s="265" t="n">
        <x:v>-3513.99</x:v>
      </x:c>
      <x:c r="AE482" s="271" t="str"/>
      <x:c r="AF482" s="274" t="str">
        <x:v>Not validated - no control/holdout</x:v>
      </x:c>
      <x:c r="AG482" s="277" t="str">
        <x:v>Recovered execution only; assignment date and unclaimed-offer denominator unavailable</x:v>
      </x:c>
    </x:row>
    <x:row r="483">
      <x:c r="A483" s="252" t="str">
        <x:v>34182996</x:v>
      </x:c>
      <x:c r="B483" s="253" t="str">
        <x:v>WS1</x:v>
      </x:c>
      <x:c r="C483" s="253" t="str">
        <x:v>MB8</x:v>
      </x:c>
      <x:c r="D483" s="262" t="n">
        <x:v>46150.98527777778</x:v>
      </x:c>
      <x:c r="E483" s="259" t="n">
        <x:v>46150.166666666664</x:v>
      </x:c>
      <x:c r="F483" s="253" t="str">
        <x:v>38910</x:v>
      </x:c>
      <x:c r="G483" s="253" t="str">
        <x:v>Snowy2kaki</x:v>
      </x:c>
      <x:c r="H483" s="253" t="str">
        <x:v>Yes</x:v>
      </x:c>
      <x:c r="I483" s="253" t="str">
        <x:v>Claire</x:v>
      </x:c>
      <x:c r="J483" s="253" t="str">
        <x:v>Claire</x:v>
      </x:c>
      <x:c r="K483" s="259" t="n">
        <x:v>45659.166666666664</x:v>
      </x:c>
      <x:c r="L483" s="268" t="str">
        <x:f>IFERROR(VLOOKUP(I483,'Handler-Team Map'!$A$7:$C$17,2,FALSE),"")</x:f>
      </x:c>
      <x:c r="M483" s="268" t="str">
        <x:f>IFERROR(VLOOKUP(I483,'Handler-Team Map'!$A$7:$C$17,3,FALSE),"")</x:f>
      </x:c>
      <x:c r="N483" s="274" t="str">
        <x:v>FT_VM_DEP700_GET300_1X</x:v>
      </x:c>
      <x:c r="O483" s="274" t="str">
        <x:v>VIP BONUS - Deposit 700 Get 300 - 1x TO</x:v>
      </x:c>
      <x:c r="P483" s="274" t="str">
        <x:v>DepositBonus</x:v>
      </x:c>
      <x:c r="Q483" s="274" t="str">
        <x:v>Approved</x:v>
      </x:c>
      <x:c r="R483" s="265" t="n">
        <x:v>300</x:v>
      </x:c>
      <x:c r="S483" s="253" t="str">
        <x:v>Yes</x:v>
      </x:c>
      <x:c r="T483" s="265" t="n">
        <x:v>142700</x:v>
      </x:c>
      <x:c r="U483" s="253" t="str">
        <x:f>IF(AND(S483="Yes",T483=0),"Yes","No")</x:f>
        <x:v>No</x:v>
      </x:c>
      <x:c r="V483" s="253" t="str">
        <x:v>Yes</x:v>
      </x:c>
      <x:c r="W483" s="253" t="str">
        <x:v>Yes</x:v>
      </x:c>
      <x:c r="X483" s="259" t="n">
        <x:v>46150.166666666664</x:v>
      </x:c>
      <x:c r="Y483" s="265" t="n">
        <x:v>121000</x:v>
      </x:c>
      <x:c r="Z483" s="265" t="n">
        <x:v>158500</x:v>
      </x:c>
      <x:c r="AA483" s="253" t="str">
        <x:f>IF(V483="No","Maturing",IF(AND(U483="Yes",Y483&gt;0),"Yes","No"))</x:f>
        <x:v>No</x:v>
      </x:c>
      <x:c r="AB483" s="253" t="str">
        <x:f>IF(W483="No","Maturing",IF(AND(U483="Yes",Z483&gt;0),"Yes","No"))</x:f>
        <x:v>No</x:v>
      </x:c>
      <x:c r="AC483" s="265" t="n">
        <x:v>70372.86</x:v>
      </x:c>
      <x:c r="AD483" s="265" t="n">
        <x:v>108386.17</x:v>
      </x:c>
      <x:c r="AE483" s="271" t="str"/>
      <x:c r="AF483" s="274" t="str">
        <x:v>Not validated - no control/holdout</x:v>
      </x:c>
      <x:c r="AG483" s="277" t="str">
        <x:v>Recovered execution only; assignment date and unclaimed-offer denominator unavailable</x:v>
      </x:c>
    </x:row>
    <x:row r="484">
      <x:c r="A484" s="252" t="str">
        <x:v>34188580</x:v>
      </x:c>
      <x:c r="B484" s="253" t="str">
        <x:v>WS1</x:v>
      </x:c>
      <x:c r="C484" s="253" t="str">
        <x:v>MB8</x:v>
      </x:c>
      <x:c r="D484" s="262" t="n">
        <x:v>46151.48604166666</x:v>
      </x:c>
      <x:c r="E484" s="259" t="n">
        <x:v>46151.166666666664</x:v>
      </x:c>
      <x:c r="F484" s="253" t="str">
        <x:v>536244</x:v>
      </x:c>
      <x:c r="G484" s="253" t="str">
        <x:v>rong888</x:v>
      </x:c>
      <x:c r="H484" s="253" t="str">
        <x:v>Yes</x:v>
      </x:c>
      <x:c r="I484" s="253" t="str"/>
      <x:c r="J484" s="253" t="str"/>
      <x:c r="K484" s="259"/>
      <x:c r="L484" s="268" t="str">
        <x:f>IFERROR(VLOOKUP(I484,'Handler-Team Map'!$A$7:$C$17,2,FALSE),"")</x:f>
      </x:c>
      <x:c r="M484" s="268" t="str">
        <x:f>IFERROR(VLOOKUP(I484,'Handler-Team Map'!$A$7:$C$17,3,FALSE),"")</x:f>
      </x:c>
      <x:c r="N484" s="274" t="str">
        <x:v>FT_VM_DEP1000_GET500_1X</x:v>
      </x:c>
      <x:c r="O484" s="274" t="str">
        <x:v>VIP BONUS - Deposit 1000 Get 500 - 1x TO</x:v>
      </x:c>
      <x:c r="P484" s="274" t="str">
        <x:v>DepositBonus</x:v>
      </x:c>
      <x:c r="Q484" s="274" t="str">
        <x:v>Approved</x:v>
      </x:c>
      <x:c r="R484" s="265" t="n">
        <x:v>500</x:v>
      </x:c>
      <x:c r="S484" s="253" t="str">
        <x:v>Yes</x:v>
      </x:c>
      <x:c r="T484" s="265" t="n">
        <x:v>0</x:v>
      </x:c>
      <x:c r="U484" s="253" t="str">
        <x:f>IF(AND(S484="Yes",T484=0),"Yes","No")</x:f>
        <x:v>Yes</x:v>
      </x:c>
      <x:c r="V484" s="253" t="str">
        <x:v>Yes</x:v>
      </x:c>
      <x:c r="W484" s="253" t="str">
        <x:v>Yes</x:v>
      </x:c>
      <x:c r="X484" s="259" t="n">
        <x:v>46151.166666666664</x:v>
      </x:c>
      <x:c r="Y484" s="265" t="n">
        <x:v>1800</x:v>
      </x:c>
      <x:c r="Z484" s="265" t="n">
        <x:v>1800</x:v>
      </x:c>
      <x:c r="AA484" s="253" t="str">
        <x:f>IF(V484="No","Maturing",IF(AND(U484="Yes",Y484&gt;0),"Yes","No"))</x:f>
        <x:v>Yes</x:v>
      </x:c>
      <x:c r="AB484" s="253" t="str">
        <x:f>IF(W484="No","Maturing",IF(AND(U484="Yes",Z484&gt;0),"Yes","No"))</x:f>
        <x:v>Yes</x:v>
      </x:c>
      <x:c r="AC484" s="265" t="n">
        <x:v>767.19</x:v>
      </x:c>
      <x:c r="AD484" s="265" t="n">
        <x:v>767.19</x:v>
      </x:c>
      <x:c r="AE484" s="271" t="str"/>
      <x:c r="AF484" s="274" t="str">
        <x:v>Not validated - no control/holdout</x:v>
      </x:c>
      <x:c r="AG484" s="277" t="str">
        <x:v>Recovered execution only; assignment date and unclaimed-offer denominator unavailable</x:v>
      </x:c>
    </x:row>
    <x:row r="485">
      <x:c r="A485" s="252" t="str">
        <x:v>34189612</x:v>
      </x:c>
      <x:c r="B485" s="253" t="str">
        <x:v>WS1</x:v>
      </x:c>
      <x:c r="C485" s="253" t="str">
        <x:v>MB8</x:v>
      </x:c>
      <x:c r="D485" s="262" t="n">
        <x:v>46151.57910879629</x:v>
      </x:c>
      <x:c r="E485" s="259" t="n">
        <x:v>46151.166666666664</x:v>
      </x:c>
      <x:c r="F485" s="253" t="str">
        <x:v>673118</x:v>
      </x:c>
      <x:c r="G485" s="253" t="str">
        <x:v>Hashim007</x:v>
      </x:c>
      <x:c r="H485" s="253" t="str">
        <x:v>Yes</x:v>
      </x:c>
      <x:c r="I485" s="253" t="str">
        <x:v>Elda</x:v>
      </x:c>
      <x:c r="J485" s="253" t="str">
        <x:v>Elda</x:v>
      </x:c>
      <x:c r="K485" s="259" t="n">
        <x:v>45779.166666666664</x:v>
      </x:c>
      <x:c r="L485" s="268" t="str">
        <x:f>IFERROR(VLOOKUP(I485,'Handler-Team Map'!$A$7:$C$17,2,FALSE),"")</x:f>
      </x:c>
      <x:c r="M485" s="268" t="str">
        <x:f>IFERROR(VLOOKUP(I485,'Handler-Team Map'!$A$7:$C$17,3,FALSE),"")</x:f>
      </x:c>
      <x:c r="N485" s="274" t="str">
        <x:v>FT_VM_DEP300_GET100_5X</x:v>
      </x:c>
      <x:c r="O485" s="274" t="str">
        <x:v>VIP BONUS - Deposit 300 Get 100 - 5x TO</x:v>
      </x:c>
      <x:c r="P485" s="274" t="str">
        <x:v>DepositBonus</x:v>
      </x:c>
      <x:c r="Q485" s="274" t="str">
        <x:v>Approved</x:v>
      </x:c>
      <x:c r="R485" s="265" t="n">
        <x:v>100</x:v>
      </x:c>
      <x:c r="S485" s="253" t="str">
        <x:v>Yes</x:v>
      </x:c>
      <x:c r="T485" s="265" t="n">
        <x:v>3850</x:v>
      </x:c>
      <x:c r="U485" s="253" t="str">
        <x:f>IF(AND(S485="Yes",T485=0),"Yes","No")</x:f>
        <x:v>No</x:v>
      </x:c>
      <x:c r="V485" s="253" t="str">
        <x:v>Yes</x:v>
      </x:c>
      <x:c r="W485" s="253" t="str">
        <x:v>Yes</x:v>
      </x:c>
      <x:c r="X485" s="259" t="n">
        <x:v>46151.166666666664</x:v>
      </x:c>
      <x:c r="Y485" s="265" t="n">
        <x:v>2762.87</x:v>
      </x:c>
      <x:c r="Z485" s="265" t="n">
        <x:v>2862.87</x:v>
      </x:c>
      <x:c r="AA485" s="253" t="str">
        <x:f>IF(V485="No","Maturing",IF(AND(U485="Yes",Y485&gt;0),"Yes","No"))</x:f>
        <x:v>No</x:v>
      </x:c>
      <x:c r="AB485" s="253" t="str">
        <x:f>IF(W485="No","Maturing",IF(AND(U485="Yes",Z485&gt;0),"Yes","No"))</x:f>
        <x:v>No</x:v>
      </x:c>
      <x:c r="AC485" s="265" t="n">
        <x:v>2360.28</x:v>
      </x:c>
      <x:c r="AD485" s="265" t="n">
        <x:v>2471.08</x:v>
      </x:c>
      <x:c r="AE485" s="271" t="str"/>
      <x:c r="AF485" s="274" t="str">
        <x:v>Not validated - no control/holdout</x:v>
      </x:c>
      <x:c r="AG485" s="277" t="str">
        <x:v>Recovered execution only; assignment date and unclaimed-offer denominator unavailable</x:v>
      </x:c>
    </x:row>
    <x:row r="486">
      <x:c r="A486" s="252" t="str">
        <x:v>34193686</x:v>
      </x:c>
      <x:c r="B486" s="253" t="str">
        <x:v>WS1</x:v>
      </x:c>
      <x:c r="C486" s="253" t="str">
        <x:v>MB8</x:v>
      </x:c>
      <x:c r="D486" s="262" t="n">
        <x:v>46151.84960648148</x:v>
      </x:c>
      <x:c r="E486" s="259" t="n">
        <x:v>46151.166666666664</x:v>
      </x:c>
      <x:c r="F486" s="253" t="str">
        <x:v>88655</x:v>
      </x:c>
      <x:c r="G486" s="253" t="str">
        <x:v>Jefflicia44</x:v>
      </x:c>
      <x:c r="H486" s="253" t="str">
        <x:v>Yes</x:v>
      </x:c>
      <x:c r="I486" s="253" t="str">
        <x:v>Tammy</x:v>
      </x:c>
      <x:c r="J486" s="253" t="str">
        <x:v>Tammy</x:v>
      </x:c>
      <x:c r="K486" s="259" t="n">
        <x:v>45951.166666666664</x:v>
      </x:c>
      <x:c r="L486" s="268" t="str">
        <x:f>IFERROR(VLOOKUP(I486,'Handler-Team Map'!$A$7:$C$17,2,FALSE),"")</x:f>
      </x:c>
      <x:c r="M486" s="268" t="str">
        <x:f>IFERROR(VLOOKUP(I486,'Handler-Team Map'!$A$7:$C$17,3,FALSE),"")</x:f>
      </x:c>
      <x:c r="N486" s="274" t="str">
        <x:v>FT_VM_DEP1000_GET800_2X</x:v>
      </x:c>
      <x:c r="O486" s="274" t="str">
        <x:v>VIP BONUS - Deposit 1000 Get 800 - 2x TO</x:v>
      </x:c>
      <x:c r="P486" s="274" t="str">
        <x:v>DepositBonus</x:v>
      </x:c>
      <x:c r="Q486" s="274" t="str">
        <x:v>Approved</x:v>
      </x:c>
      <x:c r="R486" s="265" t="n">
        <x:v>800</x:v>
      </x:c>
      <x:c r="S486" s="253" t="str">
        <x:v>Yes</x:v>
      </x:c>
      <x:c r="T486" s="265" t="n">
        <x:v>9923</x:v>
      </x:c>
      <x:c r="U486" s="253" t="str">
        <x:f>IF(AND(S486="Yes",T486=0),"Yes","No")</x:f>
        <x:v>No</x:v>
      </x:c>
      <x:c r="V486" s="253" t="str">
        <x:v>Yes</x:v>
      </x:c>
      <x:c r="W486" s="253" t="str">
        <x:v>Yes</x:v>
      </x:c>
      <x:c r="X486" s="259" t="n">
        <x:v>46151.166666666664</x:v>
      </x:c>
      <x:c r="Y486" s="265" t="n">
        <x:v>16378</x:v>
      </x:c>
      <x:c r="Z486" s="265" t="n">
        <x:v>16378</x:v>
      </x:c>
      <x:c r="AA486" s="253" t="str">
        <x:f>IF(V486="No","Maturing",IF(AND(U486="Yes",Y486&gt;0),"Yes","No"))</x:f>
        <x:v>No</x:v>
      </x:c>
      <x:c r="AB486" s="253" t="str">
        <x:f>IF(W486="No","Maturing",IF(AND(U486="Yes",Z486&gt;0),"Yes","No"))</x:f>
        <x:v>No</x:v>
      </x:c>
      <x:c r="AC486" s="265" t="n">
        <x:v>5794.27</x:v>
      </x:c>
      <x:c r="AD486" s="265" t="n">
        <x:v>5794.46</x:v>
      </x:c>
      <x:c r="AE486" s="271" t="str"/>
      <x:c r="AF486" s="274" t="str">
        <x:v>Not validated - no control/holdout</x:v>
      </x:c>
      <x:c r="AG486" s="277" t="str">
        <x:v>Recovered execution only; assignment date and unclaimed-offer denominator unavailable</x:v>
      </x:c>
    </x:row>
    <x:row r="487">
      <x:c r="A487" s="252" t="str">
        <x:v>34196461</x:v>
      </x:c>
      <x:c r="B487" s="253" t="str">
        <x:v>WS1</x:v>
      </x:c>
      <x:c r="C487" s="253" t="str">
        <x:v>MB8</x:v>
      </x:c>
      <x:c r="D487" s="262" t="n">
        <x:v>46152.024733796294</x:v>
      </x:c>
      <x:c r="E487" s="259" t="n">
        <x:v>46152.166666666664</x:v>
      </x:c>
      <x:c r="F487" s="253" t="str">
        <x:v>564867</x:v>
      </x:c>
      <x:c r="G487" s="253" t="str">
        <x:v>Nageen</x:v>
      </x:c>
      <x:c r="H487" s="253" t="str">
        <x:v>Yes</x:v>
      </x:c>
      <x:c r="I487" s="253" t="str">
        <x:v>Claire</x:v>
      </x:c>
      <x:c r="J487" s="253" t="str">
        <x:v>Claire</x:v>
      </x:c>
      <x:c r="K487" s="259" t="n">
        <x:v>45659.166666666664</x:v>
      </x:c>
      <x:c r="L487" s="268" t="str">
        <x:f>IFERROR(VLOOKUP(I487,'Handler-Team Map'!$A$7:$C$17,2,FALSE),"")</x:f>
      </x:c>
      <x:c r="M487" s="268" t="str">
        <x:f>IFERROR(VLOOKUP(I487,'Handler-Team Map'!$A$7:$C$17,3,FALSE),"")</x:f>
      </x:c>
      <x:c r="N487" s="274" t="str">
        <x:v>FT_VM_DEP1000_GET500_5X</x:v>
      </x:c>
      <x:c r="O487" s="274" t="str">
        <x:v>VIP BONUS - Deposit 1000 Get 500 - 5x TO</x:v>
      </x:c>
      <x:c r="P487" s="274" t="str">
        <x:v>DepositBonus</x:v>
      </x:c>
      <x:c r="Q487" s="274" t="str">
        <x:v>Approved</x:v>
      </x:c>
      <x:c r="R487" s="265" t="n">
        <x:v>500</x:v>
      </x:c>
      <x:c r="S487" s="253" t="str">
        <x:v>Yes</x:v>
      </x:c>
      <x:c r="T487" s="265" t="n">
        <x:v>69572.71</x:v>
      </x:c>
      <x:c r="U487" s="253" t="str">
        <x:f>IF(AND(S487="Yes",T487=0),"Yes","No")</x:f>
        <x:v>No</x:v>
      </x:c>
      <x:c r="V487" s="253" t="str">
        <x:v>Yes</x:v>
      </x:c>
      <x:c r="W487" s="253" t="str">
        <x:v>Yes</x:v>
      </x:c>
      <x:c r="X487" s="259" t="n">
        <x:v>46152.166666666664</x:v>
      </x:c>
      <x:c r="Y487" s="265" t="n">
        <x:v>15600</x:v>
      </x:c>
      <x:c r="Z487" s="265" t="n">
        <x:v>34020.18</x:v>
      </x:c>
      <x:c r="AA487" s="253" t="str">
        <x:f>IF(V487="No","Maturing",IF(AND(U487="Yes",Y487&gt;0),"Yes","No"))</x:f>
        <x:v>No</x:v>
      </x:c>
      <x:c r="AB487" s="253" t="str">
        <x:f>IF(W487="No","Maturing",IF(AND(U487="Yes",Z487&gt;0),"Yes","No"))</x:f>
        <x:v>No</x:v>
      </x:c>
      <x:c r="AC487" s="265" t="n">
        <x:v>-7818.65</x:v>
      </x:c>
      <x:c r="AD487" s="265" t="n">
        <x:v>-22606.12</x:v>
      </x:c>
      <x:c r="AE487" s="271" t="str"/>
      <x:c r="AF487" s="274" t="str">
        <x:v>Not validated - no control/holdout</x:v>
      </x:c>
      <x:c r="AG487" s="277" t="str">
        <x:v>Recovered execution only; assignment date and unclaimed-offer denominator unavailable</x:v>
      </x:c>
    </x:row>
    <x:row r="488">
      <x:c r="A488" s="252" t="str">
        <x:v>34200138</x:v>
      </x:c>
      <x:c r="B488" s="253" t="str">
        <x:v>WS1</x:v>
      </x:c>
      <x:c r="C488" s="253" t="str">
        <x:v>MB8</x:v>
      </x:c>
      <x:c r="D488" s="262" t="n">
        <x:v>46152.352060185185</x:v>
      </x:c>
      <x:c r="E488" s="259" t="n">
        <x:v>46152.166666666664</x:v>
      </x:c>
      <x:c r="F488" s="253" t="str">
        <x:v>218621</x:v>
      </x:c>
      <x:c r="G488" s="253" t="str">
        <x:v>Khairulanam77</x:v>
      </x:c>
      <x:c r="H488" s="253" t="str">
        <x:v>Yes</x:v>
      </x:c>
      <x:c r="I488" s="253" t="str">
        <x:v>Tammy</x:v>
      </x:c>
      <x:c r="J488" s="253" t="str">
        <x:v>Tammy</x:v>
      </x:c>
      <x:c r="K488" s="259" t="n">
        <x:v>45951.166666666664</x:v>
      </x:c>
      <x:c r="L488" s="268" t="str">
        <x:f>IFERROR(VLOOKUP(I488,'Handler-Team Map'!$A$7:$C$17,2,FALSE),"")</x:f>
      </x:c>
      <x:c r="M488" s="268" t="str">
        <x:f>IFERROR(VLOOKUP(I488,'Handler-Team Map'!$A$7:$C$17,3,FALSE),"")</x:f>
      </x:c>
      <x:c r="N488" s="274" t="str">
        <x:v>FT_VM_DEP1000_GET1000_1X</x:v>
      </x:c>
      <x:c r="O488" s="274" t="str">
        <x:v>VIP BONUS - Deposit 1000 Get 1000 - 1x TO</x:v>
      </x:c>
      <x:c r="P488" s="274" t="str">
        <x:v>DepositBonus</x:v>
      </x:c>
      <x:c r="Q488" s="274" t="str">
        <x:v>Approved</x:v>
      </x:c>
      <x:c r="R488" s="265" t="n">
        <x:v>1000</x:v>
      </x:c>
      <x:c r="S488" s="253" t="str">
        <x:v>Yes</x:v>
      </x:c>
      <x:c r="T488" s="265" t="n">
        <x:v>130005</x:v>
      </x:c>
      <x:c r="U488" s="253" t="str">
        <x:f>IF(AND(S488="Yes",T488=0),"Yes","No")</x:f>
        <x:v>No</x:v>
      </x:c>
      <x:c r="V488" s="253" t="str">
        <x:v>Yes</x:v>
      </x:c>
      <x:c r="W488" s="253" t="str">
        <x:v>Yes</x:v>
      </x:c>
      <x:c r="X488" s="259" t="n">
        <x:v>46152.166666666664</x:v>
      </x:c>
      <x:c r="Y488" s="265" t="n">
        <x:v>70370</x:v>
      </x:c>
      <x:c r="Z488" s="265" t="n">
        <x:v>73060</x:v>
      </x:c>
      <x:c r="AA488" s="253" t="str">
        <x:f>IF(V488="No","Maturing",IF(AND(U488="Yes",Y488&gt;0),"Yes","No"))</x:f>
        <x:v>No</x:v>
      </x:c>
      <x:c r="AB488" s="253" t="str">
        <x:f>IF(W488="No","Maturing",IF(AND(U488="Yes",Z488&gt;0),"Yes","No"))</x:f>
        <x:v>No</x:v>
      </x:c>
      <x:c r="AC488" s="265" t="n">
        <x:v>48663.83</x:v>
      </x:c>
      <x:c r="AD488" s="265" t="n">
        <x:v>50910.46</x:v>
      </x:c>
      <x:c r="AE488" s="271" t="str"/>
      <x:c r="AF488" s="274" t="str">
        <x:v>Not validated - no control/holdout</x:v>
      </x:c>
      <x:c r="AG488" s="277" t="str">
        <x:v>Recovered execution only; assignment date and unclaimed-offer denominator unavailable</x:v>
      </x:c>
    </x:row>
    <x:row r="489">
      <x:c r="A489" s="252" t="str">
        <x:v>34202392</x:v>
      </x:c>
      <x:c r="B489" s="253" t="str">
        <x:v>WS1</x:v>
      </x:c>
      <x:c r="C489" s="253" t="str">
        <x:v>MB8</x:v>
      </x:c>
      <x:c r="D489" s="262" t="n">
        <x:v>46152.6166087963</x:v>
      </x:c>
      <x:c r="E489" s="259" t="n">
        <x:v>46152.166666666664</x:v>
      </x:c>
      <x:c r="F489" s="253" t="str">
        <x:v>1069551</x:v>
      </x:c>
      <x:c r="G489" s="253" t="str">
        <x:v>Tiger999</x:v>
      </x:c>
      <x:c r="H489" s="253" t="str">
        <x:v>Yes</x:v>
      </x:c>
      <x:c r="I489" s="253" t="str">
        <x:v>Jiahui</x:v>
      </x:c>
      <x:c r="J489" s="253" t="str">
        <x:v>Jiahui</x:v>
      </x:c>
      <x:c r="K489" s="259" t="n">
        <x:v>46090.166666666664</x:v>
      </x:c>
      <x:c r="L489" s="268" t="str">
        <x:f>IFERROR(VLOOKUP(I489,'Handler-Team Map'!$A$7:$C$17,2,FALSE),"")</x:f>
      </x:c>
      <x:c r="M489" s="268" t="str">
        <x:f>IFERROR(VLOOKUP(I489,'Handler-Team Map'!$A$7:$C$17,3,FALSE),"")</x:f>
      </x:c>
      <x:c r="N489" s="274" t="str">
        <x:v>FT_VM_DEP1000_GET500_5X</x:v>
      </x:c>
      <x:c r="O489" s="274" t="str">
        <x:v>VIP BONUS - Deposit 1000 Get 500 - 5x TO</x:v>
      </x:c>
      <x:c r="P489" s="274" t="str">
        <x:v>DepositBonus</x:v>
      </x:c>
      <x:c r="Q489" s="274" t="str">
        <x:v>Approved</x:v>
      </x:c>
      <x:c r="R489" s="265" t="n">
        <x:v>500</x:v>
      </x:c>
      <x:c r="S489" s="253" t="str">
        <x:v>Yes</x:v>
      </x:c>
      <x:c r="T489" s="265" t="n">
        <x:v>107700</x:v>
      </x:c>
      <x:c r="U489" s="253" t="str">
        <x:f>IF(AND(S489="Yes",T489=0),"Yes","No")</x:f>
        <x:v>No</x:v>
      </x:c>
      <x:c r="V489" s="253" t="str">
        <x:v>Yes</x:v>
      </x:c>
      <x:c r="W489" s="253" t="str">
        <x:v>Yes</x:v>
      </x:c>
      <x:c r="X489" s="259" t="n">
        <x:v>46152.166666666664</x:v>
      </x:c>
      <x:c r="Y489" s="265" t="n">
        <x:v>20001.08</x:v>
      </x:c>
      <x:c r="Z489" s="265" t="n">
        <x:v>20001.08</x:v>
      </x:c>
      <x:c r="AA489" s="253" t="str">
        <x:f>IF(V489="No","Maturing",IF(AND(U489="Yes",Y489&gt;0),"Yes","No"))</x:f>
        <x:v>No</x:v>
      </x:c>
      <x:c r="AB489" s="253" t="str">
        <x:f>IF(W489="No","Maturing",IF(AND(U489="Yes",Z489&gt;0),"Yes","No"))</x:f>
        <x:v>No</x:v>
      </x:c>
      <x:c r="AC489" s="265" t="n">
        <x:v>-8641.62</x:v>
      </x:c>
      <x:c r="AD489" s="265" t="n">
        <x:v>-17098.41</x:v>
      </x:c>
      <x:c r="AE489" s="271" t="str"/>
      <x:c r="AF489" s="274" t="str">
        <x:v>Not validated - no control/holdout</x:v>
      </x:c>
      <x:c r="AG489" s="277" t="str">
        <x:v>Recovered execution only; assignment date and unclaimed-offer denominator unavailable</x:v>
      </x:c>
    </x:row>
    <x:row r="490">
      <x:c r="A490" s="252" t="str">
        <x:v>34203652</x:v>
      </x:c>
      <x:c r="B490" s="253" t="str">
        <x:v>WS1</x:v>
      </x:c>
      <x:c r="C490" s="253" t="str">
        <x:v>MB8</x:v>
      </x:c>
      <x:c r="D490" s="262" t="n">
        <x:v>46152.721666666665</x:v>
      </x:c>
      <x:c r="E490" s="259" t="n">
        <x:v>46152.166666666664</x:v>
      </x:c>
      <x:c r="F490" s="253" t="str">
        <x:v>444646</x:v>
      </x:c>
      <x:c r="G490" s="253" t="str">
        <x:v>JT0128381168</x:v>
      </x:c>
      <x:c r="H490" s="253" t="str">
        <x:v>Yes</x:v>
      </x:c>
      <x:c r="I490" s="253" t="str">
        <x:v>zhen</x:v>
      </x:c>
      <x:c r="J490" s="253" t="str">
        <x:v>zhen</x:v>
      </x:c>
      <x:c r="K490" s="259" t="n">
        <x:v>45985.166666666664</x:v>
      </x:c>
      <x:c r="L490" s="268" t="str">
        <x:f>IFERROR(VLOOKUP(I490,'Handler-Team Map'!$A$7:$C$17,2,FALSE),"")</x:f>
      </x:c>
      <x:c r="M490" s="268" t="str">
        <x:f>IFERROR(VLOOKUP(I490,'Handler-Team Map'!$A$7:$C$17,3,FALSE),"")</x:f>
      </x:c>
      <x:c r="N490" s="274" t="str">
        <x:v>FT_VM_DEP1000_GET900_1X</x:v>
      </x:c>
      <x:c r="O490" s="274" t="str">
        <x:v>VIP BONUS - Deposit 1000 Get 900 - 1x TO</x:v>
      </x:c>
      <x:c r="P490" s="274" t="str">
        <x:v>DepositBonus</x:v>
      </x:c>
      <x:c r="Q490" s="274" t="str">
        <x:v>Approved</x:v>
      </x:c>
      <x:c r="R490" s="265" t="n">
        <x:v>900</x:v>
      </x:c>
      <x:c r="S490" s="253" t="str">
        <x:v>Yes</x:v>
      </x:c>
      <x:c r="T490" s="265" t="n">
        <x:v>0</x:v>
      </x:c>
      <x:c r="U490" s="253" t="str">
        <x:f>IF(AND(S490="Yes",T490=0),"Yes","No")</x:f>
        <x:v>Yes</x:v>
      </x:c>
      <x:c r="V490" s="253" t="str">
        <x:v>Yes</x:v>
      </x:c>
      <x:c r="W490" s="253" t="str">
        <x:v>Yes</x:v>
      </x:c>
      <x:c r="X490" s="259" t="n">
        <x:v>46152.166666666664</x:v>
      </x:c>
      <x:c r="Y490" s="265" t="n">
        <x:v>1500</x:v>
      </x:c>
      <x:c r="Z490" s="265" t="n">
        <x:v>4650</x:v>
      </x:c>
      <x:c r="AA490" s="253" t="str">
        <x:f>IF(V490="No","Maturing",IF(AND(U490="Yes",Y490&gt;0),"Yes","No"))</x:f>
        <x:v>Yes</x:v>
      </x:c>
      <x:c r="AB490" s="253" t="str">
        <x:f>IF(W490="No","Maturing",IF(AND(U490="Yes",Z490&gt;0),"Yes","No"))</x:f>
        <x:v>Yes</x:v>
      </x:c>
      <x:c r="AC490" s="265" t="n">
        <x:v>-2049.14</x:v>
      </x:c>
      <x:c r="AD490" s="265" t="n">
        <x:v>-564.55</x:v>
      </x:c>
      <x:c r="AE490" s="271" t="str"/>
      <x:c r="AF490" s="274" t="str">
        <x:v>Not validated - no control/holdout</x:v>
      </x:c>
      <x:c r="AG490" s="277" t="str">
        <x:v>Recovered execution only; assignment date and unclaimed-offer denominator unavailable</x:v>
      </x:c>
    </x:row>
    <x:row r="491">
      <x:c r="A491" s="252" t="str">
        <x:v>34211787</x:v>
      </x:c>
      <x:c r="B491" s="253" t="str">
        <x:v>WS1</x:v>
      </x:c>
      <x:c r="C491" s="253" t="str">
        <x:v>MB8</x:v>
      </x:c>
      <x:c r="D491" s="262" t="n">
        <x:v>46153.54888888889</x:v>
      </x:c>
      <x:c r="E491" s="259" t="n">
        <x:v>46153.166666666664</x:v>
      </x:c>
      <x:c r="F491" s="253" t="str">
        <x:v>218256</x:v>
      </x:c>
      <x:c r="G491" s="253" t="str">
        <x:v>Bobby2626</x:v>
      </x:c>
      <x:c r="H491" s="253" t="str">
        <x:v>Yes</x:v>
      </x:c>
      <x:c r="I491" s="253" t="str">
        <x:v>Elda</x:v>
      </x:c>
      <x:c r="J491" s="253" t="str">
        <x:v>Elda</x:v>
      </x:c>
      <x:c r="K491" s="259" t="n">
        <x:v>45659.166666666664</x:v>
      </x:c>
      <x:c r="L491" s="268" t="str">
        <x:f>IFERROR(VLOOKUP(I491,'Handler-Team Map'!$A$7:$C$17,2,FALSE),"")</x:f>
      </x:c>
      <x:c r="M491" s="268" t="str">
        <x:f>IFERROR(VLOOKUP(I491,'Handler-Team Map'!$A$7:$C$17,3,FALSE),"")</x:f>
      </x:c>
      <x:c r="N491" s="274" t="str">
        <x:v>FT_VM_DEP1000_GET500_5X</x:v>
      </x:c>
      <x:c r="O491" s="274" t="str">
        <x:v>VIP BONUS - Deposit 1000 Get 500 - 5x TO</x:v>
      </x:c>
      <x:c r="P491" s="274" t="str">
        <x:v>DepositBonus</x:v>
      </x:c>
      <x:c r="Q491" s="274" t="str">
        <x:v>Approved</x:v>
      </x:c>
      <x:c r="R491" s="265" t="n">
        <x:v>500</x:v>
      </x:c>
      <x:c r="S491" s="253" t="str">
        <x:v>Yes</x:v>
      </x:c>
      <x:c r="T491" s="265" t="n">
        <x:v>11000</x:v>
      </x:c>
      <x:c r="U491" s="253" t="str">
        <x:f>IF(AND(S491="Yes",T491=0),"Yes","No")</x:f>
        <x:v>No</x:v>
      </x:c>
      <x:c r="V491" s="253" t="str">
        <x:v>Yes</x:v>
      </x:c>
      <x:c r="W491" s="253" t="str">
        <x:v>Yes</x:v>
      </x:c>
      <x:c r="X491" s="259" t="n">
        <x:v>46153.166666666664</x:v>
      </x:c>
      <x:c r="Y491" s="265" t="n">
        <x:v>14000</x:v>
      </x:c>
      <x:c r="Z491" s="265" t="n">
        <x:v>51500</x:v>
      </x:c>
      <x:c r="AA491" s="253" t="str">
        <x:f>IF(V491="No","Maturing",IF(AND(U491="Yes",Y491&gt;0),"Yes","No"))</x:f>
        <x:v>No</x:v>
      </x:c>
      <x:c r="AB491" s="253" t="str">
        <x:f>IF(W491="No","Maturing",IF(AND(U491="Yes",Z491&gt;0),"Yes","No"))</x:f>
        <x:v>No</x:v>
      </x:c>
      <x:c r="AC491" s="265" t="n">
        <x:v>-36941.65</x:v>
      </x:c>
      <x:c r="AD491" s="265" t="n">
        <x:v>-96288.34</x:v>
      </x:c>
      <x:c r="AE491" s="271" t="str"/>
      <x:c r="AF491" s="274" t="str">
        <x:v>Not validated - no control/holdout</x:v>
      </x:c>
      <x:c r="AG491" s="277" t="str">
        <x:v>Recovered execution only; assignment date and unclaimed-offer denominator unavailable</x:v>
      </x:c>
    </x:row>
    <x:row r="492">
      <x:c r="A492" s="252" t="str">
        <x:v>34211820</x:v>
      </x:c>
      <x:c r="B492" s="253" t="str">
        <x:v>WS1</x:v>
      </x:c>
      <x:c r="C492" s="253" t="str">
        <x:v>MB8</x:v>
      </x:c>
      <x:c r="D492" s="262" t="n">
        <x:v>46153.55302083334</x:v>
      </x:c>
      <x:c r="E492" s="259" t="n">
        <x:v>46153.166666666664</x:v>
      </x:c>
      <x:c r="F492" s="253" t="str">
        <x:v>673118</x:v>
      </x:c>
      <x:c r="G492" s="253" t="str">
        <x:v>Hashim007</x:v>
      </x:c>
      <x:c r="H492" s="253" t="str">
        <x:v>Yes</x:v>
      </x:c>
      <x:c r="I492" s="253" t="str">
        <x:v>Elda</x:v>
      </x:c>
      <x:c r="J492" s="253" t="str">
        <x:v>Elda</x:v>
      </x:c>
      <x:c r="K492" s="259" t="n">
        <x:v>45779.166666666664</x:v>
      </x:c>
      <x:c r="L492" s="268" t="str">
        <x:f>IFERROR(VLOOKUP(I492,'Handler-Team Map'!$A$7:$C$17,2,FALSE),"")</x:f>
      </x:c>
      <x:c r="M492" s="268" t="str">
        <x:f>IFERROR(VLOOKUP(I492,'Handler-Team Map'!$A$7:$C$17,3,FALSE),"")</x:f>
      </x:c>
      <x:c r="N492" s="274" t="str">
        <x:v>FT_VM_DEP300_GET100_5X</x:v>
      </x:c>
      <x:c r="O492" s="274" t="str">
        <x:v>VIP BONUS - Deposit 300 Get 100 - 5x TO</x:v>
      </x:c>
      <x:c r="P492" s="274" t="str">
        <x:v>DepositBonus</x:v>
      </x:c>
      <x:c r="Q492" s="274" t="str">
        <x:v>Approved</x:v>
      </x:c>
      <x:c r="R492" s="265" t="n">
        <x:v>100</x:v>
      </x:c>
      <x:c r="S492" s="253" t="str">
        <x:v>Yes</x:v>
      </x:c>
      <x:c r="T492" s="265" t="n">
        <x:v>4220</x:v>
      </x:c>
      <x:c r="U492" s="253" t="str">
        <x:f>IF(AND(S492="Yes",T492=0),"Yes","No")</x:f>
        <x:v>No</x:v>
      </x:c>
      <x:c r="V492" s="253" t="str">
        <x:v>Yes</x:v>
      </x:c>
      <x:c r="W492" s="253" t="str">
        <x:v>Yes</x:v>
      </x:c>
      <x:c r="X492" s="259" t="n">
        <x:v>46153.166666666664</x:v>
      </x:c>
      <x:c r="Y492" s="265" t="n">
        <x:v>792.87</x:v>
      </x:c>
      <x:c r="Z492" s="265" t="n">
        <x:v>942.87</x:v>
      </x:c>
      <x:c r="AA492" s="253" t="str">
        <x:f>IF(V492="No","Maturing",IF(AND(U492="Yes",Y492&gt;0),"Yes","No"))</x:f>
        <x:v>No</x:v>
      </x:c>
      <x:c r="AB492" s="253" t="str">
        <x:f>IF(W492="No","Maturing",IF(AND(U492="Yes",Z492&gt;0),"Yes","No"))</x:f>
        <x:v>No</x:v>
      </x:c>
      <x:c r="AC492" s="265" t="n">
        <x:v>1001.18</x:v>
      </x:c>
      <x:c r="AD492" s="265" t="n">
        <x:v>1151.93</x:v>
      </x:c>
      <x:c r="AE492" s="271" t="str"/>
      <x:c r="AF492" s="274" t="str">
        <x:v>Not validated - no control/holdout</x:v>
      </x:c>
      <x:c r="AG492" s="277" t="str">
        <x:v>Recovered execution only; assignment date and unclaimed-offer denominator unavailable</x:v>
      </x:c>
    </x:row>
    <x:row r="493">
      <x:c r="A493" s="252" t="str">
        <x:v>34212107</x:v>
      </x:c>
      <x:c r="B493" s="253" t="str">
        <x:v>WS1</x:v>
      </x:c>
      <x:c r="C493" s="253" t="str">
        <x:v>MB8</x:v>
      </x:c>
      <x:c r="D493" s="262" t="n">
        <x:v>46153.585625</x:v>
      </x:c>
      <x:c r="E493" s="259" t="n">
        <x:v>46153.166666666664</x:v>
      </x:c>
      <x:c r="F493" s="253" t="str">
        <x:v>827371</x:v>
      </x:c>
      <x:c r="G493" s="253" t="str">
        <x:v>marc187</x:v>
      </x:c>
      <x:c r="H493" s="253" t="str">
        <x:v>Yes</x:v>
      </x:c>
      <x:c r="I493" s="253" t="str">
        <x:v>Claire</x:v>
      </x:c>
      <x:c r="J493" s="253" t="str">
        <x:v>Claire</x:v>
      </x:c>
      <x:c r="K493" s="259" t="n">
        <x:v>45755.166666666664</x:v>
      </x:c>
      <x:c r="L493" s="268" t="str">
        <x:f>IFERROR(VLOOKUP(I493,'Handler-Team Map'!$A$7:$C$17,2,FALSE),"")</x:f>
      </x:c>
      <x:c r="M493" s="268" t="str">
        <x:f>IFERROR(VLOOKUP(I493,'Handler-Team Map'!$A$7:$C$17,3,FALSE),"")</x:f>
      </x:c>
      <x:c r="N493" s="274" t="str">
        <x:v>FT_VM_DEP1000_GET1000_2X</x:v>
      </x:c>
      <x:c r="O493" s="274" t="str">
        <x:v>VIP BONUS - Deposit 1000 Get 1000 - 2x TO</x:v>
      </x:c>
      <x:c r="P493" s="274" t="str">
        <x:v>DepositBonus</x:v>
      </x:c>
      <x:c r="Q493" s="274" t="str">
        <x:v>Approved</x:v>
      </x:c>
      <x:c r="R493" s="265" t="n">
        <x:v>1000</x:v>
      </x:c>
      <x:c r="S493" s="253" t="str">
        <x:v>Yes</x:v>
      </x:c>
      <x:c r="T493" s="265" t="n">
        <x:v>2015147.16</x:v>
      </x:c>
      <x:c r="U493" s="253" t="str">
        <x:f>IF(AND(S493="Yes",T493=0),"Yes","No")</x:f>
        <x:v>No</x:v>
      </x:c>
      <x:c r="V493" s="253" t="str">
        <x:v>Yes</x:v>
      </x:c>
      <x:c r="W493" s="253" t="str">
        <x:v>Yes</x:v>
      </x:c>
      <x:c r="X493" s="259" t="n">
        <x:v>46153.166666666664</x:v>
      </x:c>
      <x:c r="Y493" s="265" t="n">
        <x:v>485055.91</x:v>
      </x:c>
      <x:c r="Z493" s="265" t="n">
        <x:v>787565.91</x:v>
      </x:c>
      <x:c r="AA493" s="253" t="str">
        <x:f>IF(V493="No","Maturing",IF(AND(U493="Yes",Y493&gt;0),"Yes","No"))</x:f>
        <x:v>No</x:v>
      </x:c>
      <x:c r="AB493" s="253" t="str">
        <x:f>IF(W493="No","Maturing",IF(AND(U493="Yes",Z493&gt;0),"Yes","No"))</x:f>
        <x:v>No</x:v>
      </x:c>
      <x:c r="AC493" s="265" t="n">
        <x:v>148663.5</x:v>
      </x:c>
      <x:c r="AD493" s="265" t="n">
        <x:v>216624.46</x:v>
      </x:c>
      <x:c r="AE493" s="271" t="str"/>
      <x:c r="AF493" s="274" t="str">
        <x:v>Not validated - no control/holdout</x:v>
      </x:c>
      <x:c r="AG493" s="277" t="str">
        <x:v>Recovered execution only; assignment date and unclaimed-offer denominator unavailable</x:v>
      </x:c>
    </x:row>
    <x:row r="494">
      <x:c r="A494" s="252" t="str">
        <x:v>34212318</x:v>
      </x:c>
      <x:c r="B494" s="253" t="str">
        <x:v>WS1</x:v>
      </x:c>
      <x:c r="C494" s="253" t="str">
        <x:v>MB8</x:v>
      </x:c>
      <x:c r="D494" s="262" t="n">
        <x:v>46153.60701388889</x:v>
      </x:c>
      <x:c r="E494" s="259" t="n">
        <x:v>46153.166666666664</x:v>
      </x:c>
      <x:c r="F494" s="253" t="str">
        <x:v>268246</x:v>
      </x:c>
      <x:c r="G494" s="253" t="str">
        <x:v>Win124</x:v>
      </x:c>
      <x:c r="H494" s="253" t="str">
        <x:v>Yes</x:v>
      </x:c>
      <x:c r="I494" s="253" t="str">
        <x:v>Claire</x:v>
      </x:c>
      <x:c r="J494" s="253" t="str">
        <x:v>Claire</x:v>
      </x:c>
      <x:c r="K494" s="259" t="n">
        <x:v>45659.166666666664</x:v>
      </x:c>
      <x:c r="L494" s="268" t="str">
        <x:f>IFERROR(VLOOKUP(I494,'Handler-Team Map'!$A$7:$C$17,2,FALSE),"")</x:f>
      </x:c>
      <x:c r="M494" s="268" t="str">
        <x:f>IFERROR(VLOOKUP(I494,'Handler-Team Map'!$A$7:$C$17,3,FALSE),"")</x:f>
      </x:c>
      <x:c r="N494" s="274" t="str">
        <x:v>FT_VM_DEP1000_GET1000_2X</x:v>
      </x:c>
      <x:c r="O494" s="274" t="str">
        <x:v>VIP BONUS - Deposit 1000 Get 1000 - 2x TO</x:v>
      </x:c>
      <x:c r="P494" s="274" t="str">
        <x:v>DepositBonus</x:v>
      </x:c>
      <x:c r="Q494" s="274" t="str">
        <x:v>Approved</x:v>
      </x:c>
      <x:c r="R494" s="265" t="n">
        <x:v>1000</x:v>
      </x:c>
      <x:c r="S494" s="253" t="str">
        <x:v>Yes</x:v>
      </x:c>
      <x:c r="T494" s="265" t="n">
        <x:v>1234150</x:v>
      </x:c>
      <x:c r="U494" s="253" t="str">
        <x:f>IF(AND(S494="Yes",T494=0),"Yes","No")</x:f>
        <x:v>No</x:v>
      </x:c>
      <x:c r="V494" s="253" t="str">
        <x:v>Yes</x:v>
      </x:c>
      <x:c r="W494" s="253" t="str">
        <x:v>Yes</x:v>
      </x:c>
      <x:c r="X494" s="259" t="n">
        <x:v>46153.166666666664</x:v>
      </x:c>
      <x:c r="Y494" s="265" t="n">
        <x:v>295950</x:v>
      </x:c>
      <x:c r="Z494" s="265" t="n">
        <x:v>546840</x:v>
      </x:c>
      <x:c r="AA494" s="253" t="str">
        <x:f>IF(V494="No","Maturing",IF(AND(U494="Yes",Y494&gt;0),"Yes","No"))</x:f>
        <x:v>No</x:v>
      </x:c>
      <x:c r="AB494" s="253" t="str">
        <x:f>IF(W494="No","Maturing",IF(AND(U494="Yes",Z494&gt;0),"Yes","No"))</x:f>
        <x:v>No</x:v>
      </x:c>
      <x:c r="AC494" s="265" t="n">
        <x:v>8147.93</x:v>
      </x:c>
      <x:c r="AD494" s="265" t="n">
        <x:v>227535.07</x:v>
      </x:c>
      <x:c r="AE494" s="271" t="str"/>
      <x:c r="AF494" s="274" t="str">
        <x:v>Not validated - no control/holdout</x:v>
      </x:c>
      <x:c r="AG494" s="277" t="str">
        <x:v>Recovered execution only; assignment date and unclaimed-offer denominator unavailable</x:v>
      </x:c>
    </x:row>
    <x:row r="495">
      <x:c r="A495" s="252" t="str">
        <x:v>34212620</x:v>
      </x:c>
      <x:c r="B495" s="253" t="str">
        <x:v>WS1</x:v>
      </x:c>
      <x:c r="C495" s="253" t="str">
        <x:v>MB8</x:v>
      </x:c>
      <x:c r="D495" s="262" t="n">
        <x:v>46153.63606481482</x:v>
      </x:c>
      <x:c r="E495" s="259" t="n">
        <x:v>46153.166666666664</x:v>
      </x:c>
      <x:c r="F495" s="253" t="str">
        <x:v>1179606</x:v>
      </x:c>
      <x:c r="G495" s="253" t="str">
        <x:v>yonerota</x:v>
      </x:c>
      <x:c r="H495" s="253" t="str">
        <x:v>Yes</x:v>
      </x:c>
      <x:c r="I495" s="253" t="str"/>
      <x:c r="J495" s="253" t="str"/>
      <x:c r="K495" s="259"/>
      <x:c r="L495" s="268" t="str">
        <x:f>IFERROR(VLOOKUP(I495,'Handler-Team Map'!$A$7:$C$17,2,FALSE),"")</x:f>
      </x:c>
      <x:c r="M495" s="268" t="str">
        <x:f>IFERROR(VLOOKUP(I495,'Handler-Team Map'!$A$7:$C$17,3,FALSE),"")</x:f>
      </x:c>
      <x:c r="N495" s="274" t="str">
        <x:v>FT_VM_DEP600_GET200_5X</x:v>
      </x:c>
      <x:c r="O495" s="274" t="str">
        <x:v>VIP BONUS - Deposit 600 Get 200 - 5x TO</x:v>
      </x:c>
      <x:c r="P495" s="274" t="str">
        <x:v>DepositBonus</x:v>
      </x:c>
      <x:c r="Q495" s="274" t="str">
        <x:v>Approved</x:v>
      </x:c>
      <x:c r="R495" s="265" t="n">
        <x:v>200</x:v>
      </x:c>
      <x:c r="S495" s="253" t="str">
        <x:v>Yes</x:v>
      </x:c>
      <x:c r="T495" s="265" t="n">
        <x:v>682</x:v>
      </x:c>
      <x:c r="U495" s="253" t="str">
        <x:f>IF(AND(S495="Yes",T495=0),"Yes","No")</x:f>
        <x:v>No</x:v>
      </x:c>
      <x:c r="V495" s="253" t="str">
        <x:v>Yes</x:v>
      </x:c>
      <x:c r="W495" s="253" t="str">
        <x:v>Yes</x:v>
      </x:c>
      <x:c r="X495" s="259" t="n">
        <x:v>46153.166666666664</x:v>
      </x:c>
      <x:c r="Y495" s="265" t="n">
        <x:v>1846</x:v>
      </x:c>
      <x:c r="Z495" s="265" t="n">
        <x:v>2696</x:v>
      </x:c>
      <x:c r="AA495" s="253" t="str">
        <x:f>IF(V495="No","Maturing",IF(AND(U495="Yes",Y495&gt;0),"Yes","No"))</x:f>
        <x:v>No</x:v>
      </x:c>
      <x:c r="AB495" s="253" t="str">
        <x:f>IF(W495="No","Maturing",IF(AND(U495="Yes",Z495&gt;0),"Yes","No"))</x:f>
        <x:v>No</x:v>
      </x:c>
      <x:c r="AC495" s="265" t="n">
        <x:v>1796.65</x:v>
      </x:c>
      <x:c r="AD495" s="265" t="n">
        <x:v>737.22</x:v>
      </x:c>
      <x:c r="AE495" s="271" t="str"/>
      <x:c r="AF495" s="274" t="str">
        <x:v>Not validated - no control/holdout</x:v>
      </x:c>
      <x:c r="AG495" s="277" t="str">
        <x:v>Recovered execution only; assignment date and unclaimed-offer denominator unavailable</x:v>
      </x:c>
    </x:row>
    <x:row r="496">
      <x:c r="A496" s="252" t="str">
        <x:v>34212599</x:v>
      </x:c>
      <x:c r="B496" s="253" t="str">
        <x:v>WS1</x:v>
      </x:c>
      <x:c r="C496" s="253" t="str">
        <x:v>MB8</x:v>
      </x:c>
      <x:c r="D496" s="262" t="n">
        <x:v>46153.63613425926</x:v>
      </x:c>
      <x:c r="E496" s="259" t="n">
        <x:v>46153.166666666664</x:v>
      </x:c>
      <x:c r="F496" s="253" t="str">
        <x:v>363017</x:v>
      </x:c>
      <x:c r="G496" s="253" t="str">
        <x:v>Cyberkello666</x:v>
      </x:c>
      <x:c r="H496" s="253" t="str">
        <x:v>Yes</x:v>
      </x:c>
      <x:c r="I496" s="253" t="str">
        <x:v>Claire</x:v>
      </x:c>
      <x:c r="J496" s="253" t="str">
        <x:v>Claire</x:v>
      </x:c>
      <x:c r="K496" s="259" t="n">
        <x:v>45659.166666666664</x:v>
      </x:c>
      <x:c r="L496" s="268" t="str">
        <x:f>IFERROR(VLOOKUP(I496,'Handler-Team Map'!$A$7:$C$17,2,FALSE),"")</x:f>
      </x:c>
      <x:c r="M496" s="268" t="str">
        <x:f>IFERROR(VLOOKUP(I496,'Handler-Team Map'!$A$7:$C$17,3,FALSE),"")</x:f>
      </x:c>
      <x:c r="N496" s="274" t="str">
        <x:v>FT_VM_DEP300_GET100_5X</x:v>
      </x:c>
      <x:c r="O496" s="274" t="str">
        <x:v>VIP BONUS - Deposit 300 Get 100 - 5x TO</x:v>
      </x:c>
      <x:c r="P496" s="274" t="str">
        <x:v>DepositBonus</x:v>
      </x:c>
      <x:c r="Q496" s="274" t="str">
        <x:v>Approved</x:v>
      </x:c>
      <x:c r="R496" s="265" t="n">
        <x:v>100</x:v>
      </x:c>
      <x:c r="S496" s="253" t="str">
        <x:v>Yes</x:v>
      </x:c>
      <x:c r="T496" s="265" t="n">
        <x:v>21474</x:v>
      </x:c>
      <x:c r="U496" s="253" t="str">
        <x:f>IF(AND(S496="Yes",T496=0),"Yes","No")</x:f>
        <x:v>No</x:v>
      </x:c>
      <x:c r="V496" s="253" t="str">
        <x:v>Yes</x:v>
      </x:c>
      <x:c r="W496" s="253" t="str">
        <x:v>Yes</x:v>
      </x:c>
      <x:c r="X496" s="259" t="n">
        <x:v>46153.166666666664</x:v>
      </x:c>
      <x:c r="Y496" s="265" t="n">
        <x:v>5360</x:v>
      </x:c>
      <x:c r="Z496" s="265" t="n">
        <x:v>7129</x:v>
      </x:c>
      <x:c r="AA496" s="253" t="str">
        <x:f>IF(V496="No","Maturing",IF(AND(U496="Yes",Y496&gt;0),"Yes","No"))</x:f>
        <x:v>No</x:v>
      </x:c>
      <x:c r="AB496" s="253" t="str">
        <x:f>IF(W496="No","Maturing",IF(AND(U496="Yes",Z496&gt;0),"Yes","No"))</x:f>
        <x:v>No</x:v>
      </x:c>
      <x:c r="AC496" s="265" t="n">
        <x:v>936.7</x:v>
      </x:c>
      <x:c r="AD496" s="265" t="n">
        <x:v>452.28</x:v>
      </x:c>
      <x:c r="AE496" s="271" t="str"/>
      <x:c r="AF496" s="274" t="str">
        <x:v>Not validated - no control/holdout</x:v>
      </x:c>
      <x:c r="AG496" s="277" t="str">
        <x:v>Recovered execution only; assignment date and unclaimed-offer denominator unavailable</x:v>
      </x:c>
    </x:row>
    <x:row r="497">
      <x:c r="A497" s="252" t="str">
        <x:v>34212681</x:v>
      </x:c>
      <x:c r="B497" s="253" t="str">
        <x:v>WS1</x:v>
      </x:c>
      <x:c r="C497" s="253" t="str">
        <x:v>MB8</x:v>
      </x:c>
      <x:c r="D497" s="262" t="n">
        <x:v>46153.64363425926</x:v>
      </x:c>
      <x:c r="E497" s="259" t="n">
        <x:v>46153.166666666664</x:v>
      </x:c>
      <x:c r="F497" s="253" t="str">
        <x:v>1044134</x:v>
      </x:c>
      <x:c r="G497" s="253" t="str">
        <x:v>NorFazil</x:v>
      </x:c>
      <x:c r="H497" s="253" t="str">
        <x:v>Yes</x:v>
      </x:c>
      <x:c r="I497" s="253" t="str">
        <x:v>zhen</x:v>
      </x:c>
      <x:c r="J497" s="253" t="str">
        <x:v>zhen</x:v>
      </x:c>
      <x:c r="K497" s="259" t="n">
        <x:v>45880.166666666664</x:v>
      </x:c>
      <x:c r="L497" s="268" t="str">
        <x:f>IFERROR(VLOOKUP(I497,'Handler-Team Map'!$A$7:$C$17,2,FALSE),"")</x:f>
      </x:c>
      <x:c r="M497" s="268" t="str">
        <x:f>IFERROR(VLOOKUP(I497,'Handler-Team Map'!$A$7:$C$17,3,FALSE),"")</x:f>
      </x:c>
      <x:c r="N497" s="274" t="str">
        <x:v>FT_VM_DEP600_GET200_5X</x:v>
      </x:c>
      <x:c r="O497" s="274" t="str">
        <x:v>VIP BONUS - Deposit 600 Get 200 - 5x TO</x:v>
      </x:c>
      <x:c r="P497" s="274" t="str">
        <x:v>DepositBonus</x:v>
      </x:c>
      <x:c r="Q497" s="274" t="str">
        <x:v>Approved</x:v>
      </x:c>
      <x:c r="R497" s="265" t="n">
        <x:v>200</x:v>
      </x:c>
      <x:c r="S497" s="253" t="str">
        <x:v>Yes</x:v>
      </x:c>
      <x:c r="T497" s="265" t="n">
        <x:v>2710</x:v>
      </x:c>
      <x:c r="U497" s="253" t="str">
        <x:f>IF(AND(S497="Yes",T497=0),"Yes","No")</x:f>
        <x:v>No</x:v>
      </x:c>
      <x:c r="V497" s="253" t="str">
        <x:v>Yes</x:v>
      </x:c>
      <x:c r="W497" s="253" t="str">
        <x:v>Yes</x:v>
      </x:c>
      <x:c r="X497" s="259" t="n">
        <x:v>46153.166666666664</x:v>
      </x:c>
      <x:c r="Y497" s="265" t="n">
        <x:v>6200</x:v>
      </x:c>
      <x:c r="Z497" s="265" t="n">
        <x:v>7800</x:v>
      </x:c>
      <x:c r="AA497" s="253" t="str">
        <x:f>IF(V497="No","Maturing",IF(AND(U497="Yes",Y497&gt;0),"Yes","No"))</x:f>
        <x:v>No</x:v>
      </x:c>
      <x:c r="AB497" s="253" t="str">
        <x:f>IF(W497="No","Maturing",IF(AND(U497="Yes",Z497&gt;0),"Yes","No"))</x:f>
        <x:v>No</x:v>
      </x:c>
      <x:c r="AC497" s="265" t="n">
        <x:v>3875.07</x:v>
      </x:c>
      <x:c r="AD497" s="265" t="n">
        <x:v>3461.82</x:v>
      </x:c>
      <x:c r="AE497" s="271" t="str"/>
      <x:c r="AF497" s="274" t="str">
        <x:v>Not validated - no control/holdout</x:v>
      </x:c>
      <x:c r="AG497" s="277" t="str">
        <x:v>Recovered execution only; assignment date and unclaimed-offer denominator unavailable</x:v>
      </x:c>
    </x:row>
    <x:row r="498">
      <x:c r="A498" s="252" t="str">
        <x:v>34212716</x:v>
      </x:c>
      <x:c r="B498" s="253" t="str">
        <x:v>WS1</x:v>
      </x:c>
      <x:c r="C498" s="253" t="str">
        <x:v>MB8</x:v>
      </x:c>
      <x:c r="D498" s="262" t="n">
        <x:v>46153.64677083334</x:v>
      </x:c>
      <x:c r="E498" s="259" t="n">
        <x:v>46153.166666666664</x:v>
      </x:c>
      <x:c r="F498" s="253" t="str">
        <x:v>302345</x:v>
      </x:c>
      <x:c r="G498" s="253" t="str">
        <x:v>bujiangfatt</x:v>
      </x:c>
      <x:c r="H498" s="253" t="str">
        <x:v>Yes</x:v>
      </x:c>
      <x:c r="I498" s="253" t="str">
        <x:v>Elda</x:v>
      </x:c>
      <x:c r="J498" s="253" t="str">
        <x:v>Elda</x:v>
      </x:c>
      <x:c r="K498" s="259" t="n">
        <x:v>45659.166666666664</x:v>
      </x:c>
      <x:c r="L498" s="268" t="str">
        <x:f>IFERROR(VLOOKUP(I498,'Handler-Team Map'!$A$7:$C$17,2,FALSE),"")</x:f>
      </x:c>
      <x:c r="M498" s="268" t="str">
        <x:f>IFERROR(VLOOKUP(I498,'Handler-Team Map'!$A$7:$C$17,3,FALSE),"")</x:f>
      </x:c>
      <x:c r="N498" s="274" t="str">
        <x:v>FT_VM_DEP1000_GET500_5X</x:v>
      </x:c>
      <x:c r="O498" s="274" t="str">
        <x:v>VIP BONUS - Deposit 1000 Get 500 - 5x TO</x:v>
      </x:c>
      <x:c r="P498" s="274" t="str">
        <x:v>DepositBonus</x:v>
      </x:c>
      <x:c r="Q498" s="274" t="str">
        <x:v>Approved</x:v>
      </x:c>
      <x:c r="R498" s="265" t="n">
        <x:v>500</x:v>
      </x:c>
      <x:c r="S498" s="253" t="str">
        <x:v>Yes</x:v>
      </x:c>
      <x:c r="T498" s="265" t="n">
        <x:v>19340</x:v>
      </x:c>
      <x:c r="U498" s="253" t="str">
        <x:f>IF(AND(S498="Yes",T498=0),"Yes","No")</x:f>
        <x:v>No</x:v>
      </x:c>
      <x:c r="V498" s="253" t="str">
        <x:v>Yes</x:v>
      </x:c>
      <x:c r="W498" s="253" t="str">
        <x:v>Yes</x:v>
      </x:c>
      <x:c r="X498" s="259" t="n">
        <x:v>46153.166666666664</x:v>
      </x:c>
      <x:c r="Y498" s="265" t="n">
        <x:v>1650</x:v>
      </x:c>
      <x:c r="Z498" s="265" t="n">
        <x:v>3050</x:v>
      </x:c>
      <x:c r="AA498" s="253" t="str">
        <x:f>IF(V498="No","Maturing",IF(AND(U498="Yes",Y498&gt;0),"Yes","No"))</x:f>
        <x:v>No</x:v>
      </x:c>
      <x:c r="AB498" s="253" t="str">
        <x:f>IF(W498="No","Maturing",IF(AND(U498="Yes",Z498&gt;0),"Yes","No"))</x:f>
        <x:v>No</x:v>
      </x:c>
      <x:c r="AC498" s="265" t="n">
        <x:v>1651.82</x:v>
      </x:c>
      <x:c r="AD498" s="265" t="n">
        <x:v>3041.13</x:v>
      </x:c>
      <x:c r="AE498" s="271" t="str"/>
      <x:c r="AF498" s="274" t="str">
        <x:v>Not validated - no control/holdout</x:v>
      </x:c>
      <x:c r="AG498" s="277" t="str">
        <x:v>Recovered execution only; assignment date and unclaimed-offer denominator unavailable</x:v>
      </x:c>
    </x:row>
    <x:row r="499">
      <x:c r="A499" s="252" t="str">
        <x:v>34212909</x:v>
      </x:c>
      <x:c r="B499" s="253" t="str">
        <x:v>WS1</x:v>
      </x:c>
      <x:c r="C499" s="253" t="str">
        <x:v>MB8</x:v>
      </x:c>
      <x:c r="D499" s="262" t="n">
        <x:v>46153.666134259256</x:v>
      </x:c>
      <x:c r="E499" s="259" t="n">
        <x:v>46153.166666666664</x:v>
      </x:c>
      <x:c r="F499" s="253" t="str">
        <x:v>1177862</x:v>
      </x:c>
      <x:c r="G499" s="253" t="str">
        <x:v>Faisalsp1133</x:v>
      </x:c>
      <x:c r="H499" s="253" t="str">
        <x:v>Yes</x:v>
      </x:c>
      <x:c r="I499" s="253" t="str">
        <x:v>zhen</x:v>
      </x:c>
      <x:c r="J499" s="253" t="str">
        <x:v>zhen</x:v>
      </x:c>
      <x:c r="K499" s="259" t="n">
        <x:v>45880.166666666664</x:v>
      </x:c>
      <x:c r="L499" s="268" t="str">
        <x:f>IFERROR(VLOOKUP(I499,'Handler-Team Map'!$A$7:$C$17,2,FALSE),"")</x:f>
      </x:c>
      <x:c r="M499" s="268" t="str">
        <x:f>IFERROR(VLOOKUP(I499,'Handler-Team Map'!$A$7:$C$17,3,FALSE),"")</x:f>
      </x:c>
      <x:c r="N499" s="274" t="str">
        <x:v>FT_VM_DEP150_GET50_5X</x:v>
      </x:c>
      <x:c r="O499" s="274" t="str">
        <x:v>VIP BONUS - Deposit 150 Get 50 - 5x TO</x:v>
      </x:c>
      <x:c r="P499" s="274" t="str">
        <x:v>DepositBonus</x:v>
      </x:c>
      <x:c r="Q499" s="274" t="str">
        <x:v>Approved</x:v>
      </x:c>
      <x:c r="R499" s="265" t="n">
        <x:v>50</x:v>
      </x:c>
      <x:c r="S499" s="253" t="str">
        <x:v>Yes</x:v>
      </x:c>
      <x:c r="T499" s="265" t="n">
        <x:v>14560</x:v>
      </x:c>
      <x:c r="U499" s="253" t="str">
        <x:f>IF(AND(S499="Yes",T499=0),"Yes","No")</x:f>
        <x:v>No</x:v>
      </x:c>
      <x:c r="V499" s="253" t="str">
        <x:v>Yes</x:v>
      </x:c>
      <x:c r="W499" s="253" t="str">
        <x:v>Yes</x:v>
      </x:c>
      <x:c r="X499" s="259" t="n">
        <x:v>46153.166666666664</x:v>
      </x:c>
      <x:c r="Y499" s="265" t="n">
        <x:v>4403</x:v>
      </x:c>
      <x:c r="Z499" s="265" t="n">
        <x:v>5833</x:v>
      </x:c>
      <x:c r="AA499" s="253" t="str">
        <x:f>IF(V499="No","Maturing",IF(AND(U499="Yes",Y499&gt;0),"Yes","No"))</x:f>
        <x:v>No</x:v>
      </x:c>
      <x:c r="AB499" s="253" t="str">
        <x:f>IF(W499="No","Maturing",IF(AND(U499="Yes",Z499&gt;0),"Yes","No"))</x:f>
        <x:v>No</x:v>
      </x:c>
      <x:c r="AC499" s="265" t="n">
        <x:v>3204.43</x:v>
      </x:c>
      <x:c r="AD499" s="265" t="n">
        <x:v>4184.57</x:v>
      </x:c>
      <x:c r="AE499" s="271" t="str"/>
      <x:c r="AF499" s="274" t="str">
        <x:v>Not validated - no control/holdout</x:v>
      </x:c>
      <x:c r="AG499" s="277" t="str">
        <x:v>Recovered execution only; assignment date and unclaimed-offer denominator unavailable</x:v>
      </x:c>
    </x:row>
    <x:row r="500">
      <x:c r="A500" s="252" t="str">
        <x:v>34212964</x:v>
      </x:c>
      <x:c r="B500" s="253" t="str">
        <x:v>WS1</x:v>
      </x:c>
      <x:c r="C500" s="253" t="str">
        <x:v>MB8</x:v>
      </x:c>
      <x:c r="D500" s="262" t="n">
        <x:v>46153.672060185185</x:v>
      </x:c>
      <x:c r="E500" s="259" t="n">
        <x:v>46153.166666666664</x:v>
      </x:c>
      <x:c r="F500" s="253" t="str">
        <x:v>815519</x:v>
      </x:c>
      <x:c r="G500" s="253" t="str">
        <x:v>Mac1228</x:v>
      </x:c>
      <x:c r="H500" s="253" t="str">
        <x:v>Yes</x:v>
      </x:c>
      <x:c r="I500" s="253" t="str">
        <x:v>Tammy</x:v>
      </x:c>
      <x:c r="J500" s="253" t="str">
        <x:v>Tammy</x:v>
      </x:c>
      <x:c r="K500" s="259" t="n">
        <x:v>45951.166666666664</x:v>
      </x:c>
      <x:c r="L500" s="268" t="str">
        <x:f>IFERROR(VLOOKUP(I500,'Handler-Team Map'!$A$7:$C$17,2,FALSE),"")</x:f>
      </x:c>
      <x:c r="M500" s="268" t="str">
        <x:f>IFERROR(VLOOKUP(I500,'Handler-Team Map'!$A$7:$C$17,3,FALSE),"")</x:f>
      </x:c>
      <x:c r="N500" s="274" t="str">
        <x:v>FT_VM_DEP300_GET100_5X</x:v>
      </x:c>
      <x:c r="O500" s="274" t="str">
        <x:v>VIP BONUS - Deposit 300 Get 100 - 5x TO</x:v>
      </x:c>
      <x:c r="P500" s="274" t="str">
        <x:v>DepositBonus</x:v>
      </x:c>
      <x:c r="Q500" s="274" t="str">
        <x:v>Approved</x:v>
      </x:c>
      <x:c r="R500" s="265" t="n">
        <x:v>100</x:v>
      </x:c>
      <x:c r="S500" s="253" t="str">
        <x:v>Yes</x:v>
      </x:c>
      <x:c r="T500" s="265" t="n">
        <x:v>10800</x:v>
      </x:c>
      <x:c r="U500" s="253" t="str">
        <x:f>IF(AND(S500="Yes",T500=0),"Yes","No")</x:f>
        <x:v>No</x:v>
      </x:c>
      <x:c r="V500" s="253" t="str">
        <x:v>Yes</x:v>
      </x:c>
      <x:c r="W500" s="253" t="str">
        <x:v>Yes</x:v>
      </x:c>
      <x:c r="X500" s="259" t="n">
        <x:v>46153.166666666664</x:v>
      </x:c>
      <x:c r="Y500" s="265" t="n">
        <x:v>14300</x:v>
      </x:c>
      <x:c r="Z500" s="265" t="n">
        <x:v>22300</x:v>
      </x:c>
      <x:c r="AA500" s="253" t="str">
        <x:f>IF(V500="No","Maturing",IF(AND(U500="Yes",Y500&gt;0),"Yes","No"))</x:f>
        <x:v>No</x:v>
      </x:c>
      <x:c r="AB500" s="253" t="str">
        <x:f>IF(W500="No","Maturing",IF(AND(U500="Yes",Z500&gt;0),"Yes","No"))</x:f>
        <x:v>No</x:v>
      </x:c>
      <x:c r="AC500" s="265" t="n">
        <x:v>6144.38</x:v>
      </x:c>
      <x:c r="AD500" s="265" t="n">
        <x:v>10245.25</x:v>
      </x:c>
      <x:c r="AE500" s="271" t="str"/>
      <x:c r="AF500" s="274" t="str">
        <x:v>Not validated - no control/holdout</x:v>
      </x:c>
      <x:c r="AG500" s="277" t="str">
        <x:v>Recovered execution only; assignment date and unclaimed-offer denominator unavailable</x:v>
      </x:c>
    </x:row>
    <x:row r="501">
      <x:c r="A501" s="252" t="str">
        <x:v>34213063</x:v>
      </x:c>
      <x:c r="B501" s="253" t="str">
        <x:v>WS1</x:v>
      </x:c>
      <x:c r="C501" s="253" t="str">
        <x:v>MB8</x:v>
      </x:c>
      <x:c r="D501" s="262" t="n">
        <x:v>46153.68258101852</x:v>
      </x:c>
      <x:c r="E501" s="259" t="n">
        <x:v>46153.166666666664</x:v>
      </x:c>
      <x:c r="F501" s="253" t="str">
        <x:v>788115</x:v>
      </x:c>
      <x:c r="G501" s="253" t="str">
        <x:v>Wee5558</x:v>
      </x:c>
      <x:c r="H501" s="253" t="str">
        <x:v>Yes</x:v>
      </x:c>
      <x:c r="I501" s="253" t="str">
        <x:v>Tammy</x:v>
      </x:c>
      <x:c r="J501" s="253" t="str">
        <x:v>Tammy</x:v>
      </x:c>
      <x:c r="K501" s="259" t="n">
        <x:v>45951.166666666664</x:v>
      </x:c>
      <x:c r="L501" s="268" t="str">
        <x:f>IFERROR(VLOOKUP(I501,'Handler-Team Map'!$A$7:$C$17,2,FALSE),"")</x:f>
      </x:c>
      <x:c r="M501" s="268" t="str">
        <x:f>IFERROR(VLOOKUP(I501,'Handler-Team Map'!$A$7:$C$17,3,FALSE),"")</x:f>
      </x:c>
      <x:c r="N501" s="274" t="str">
        <x:v>FT_VM_DEP600_GET200_2X</x:v>
      </x:c>
      <x:c r="O501" s="274" t="str">
        <x:v>VIP BONUS - Deposit 600 Get 200 - 2x TO</x:v>
      </x:c>
      <x:c r="P501" s="274" t="str">
        <x:v>DepositBonus</x:v>
      </x:c>
      <x:c r="Q501" s="274" t="str">
        <x:v>Approved</x:v>
      </x:c>
      <x:c r="R501" s="265" t="n">
        <x:v>200</x:v>
      </x:c>
      <x:c r="S501" s="253" t="str">
        <x:v>Yes</x:v>
      </x:c>
      <x:c r="T501" s="265" t="n">
        <x:v>13205</x:v>
      </x:c>
      <x:c r="U501" s="253" t="str">
        <x:f>IF(AND(S501="Yes",T501=0),"Yes","No")</x:f>
        <x:v>No</x:v>
      </x:c>
      <x:c r="V501" s="253" t="str">
        <x:v>Yes</x:v>
      </x:c>
      <x:c r="W501" s="253" t="str">
        <x:v>Yes</x:v>
      </x:c>
      <x:c r="X501" s="259" t="n">
        <x:v>46153.166666666664</x:v>
      </x:c>
      <x:c r="Y501" s="265" t="n">
        <x:v>3626</x:v>
      </x:c>
      <x:c r="Z501" s="265" t="n">
        <x:v>6706</x:v>
      </x:c>
      <x:c r="AA501" s="253" t="str">
        <x:f>IF(V501="No","Maturing",IF(AND(U501="Yes",Y501&gt;0),"Yes","No"))</x:f>
        <x:v>No</x:v>
      </x:c>
      <x:c r="AB501" s="253" t="str">
        <x:f>IF(W501="No","Maturing",IF(AND(U501="Yes",Z501&gt;0),"Yes","No"))</x:f>
        <x:v>No</x:v>
      </x:c>
      <x:c r="AC501" s="265" t="n">
        <x:v>3626.01</x:v>
      </x:c>
      <x:c r="AD501" s="265" t="n">
        <x:v>6706.37</x:v>
      </x:c>
      <x:c r="AE501" s="271" t="str"/>
      <x:c r="AF501" s="274" t="str">
        <x:v>Not validated - no control/holdout</x:v>
      </x:c>
      <x:c r="AG501" s="277" t="str">
        <x:v>Recovered execution only; assignment date and unclaimed-offer denominator unavailable</x:v>
      </x:c>
    </x:row>
    <x:row r="502">
      <x:c r="A502" s="252" t="str">
        <x:v>34213183</x:v>
      </x:c>
      <x:c r="B502" s="253" t="str">
        <x:v>WS1</x:v>
      </x:c>
      <x:c r="C502" s="253" t="str">
        <x:v>MB8</x:v>
      </x:c>
      <x:c r="D502" s="262" t="n">
        <x:v>46153.69164351852</x:v>
      </x:c>
      <x:c r="E502" s="259" t="n">
        <x:v>46153.166666666664</x:v>
      </x:c>
      <x:c r="F502" s="253" t="str">
        <x:v>478019</x:v>
      </x:c>
      <x:c r="G502" s="253" t="str">
        <x:v>Latino65</x:v>
      </x:c>
      <x:c r="H502" s="253" t="str">
        <x:v>Yes</x:v>
      </x:c>
      <x:c r="I502" s="253" t="str">
        <x:v>Claire</x:v>
      </x:c>
      <x:c r="J502" s="253" t="str">
        <x:v>Claire</x:v>
      </x:c>
      <x:c r="K502" s="259" t="n">
        <x:v>45790.166666666664</x:v>
      </x:c>
      <x:c r="L502" s="268" t="str">
        <x:f>IFERROR(VLOOKUP(I502,'Handler-Team Map'!$A$7:$C$17,2,FALSE),"")</x:f>
      </x:c>
      <x:c r="M502" s="268" t="str">
        <x:f>IFERROR(VLOOKUP(I502,'Handler-Team Map'!$A$7:$C$17,3,FALSE),"")</x:f>
      </x:c>
      <x:c r="N502" s="274" t="str">
        <x:v>FT_VM_DEP150_GET50_5X</x:v>
      </x:c>
      <x:c r="O502" s="274" t="str">
        <x:v>VIP BONUS - Deposit 150 Get 50 - 5x TO</x:v>
      </x:c>
      <x:c r="P502" s="274" t="str">
        <x:v>DepositBonus</x:v>
      </x:c>
      <x:c r="Q502" s="274" t="str">
        <x:v>Approved</x:v>
      </x:c>
      <x:c r="R502" s="265" t="n">
        <x:v>50</x:v>
      </x:c>
      <x:c r="S502" s="253" t="str">
        <x:v>Yes</x:v>
      </x:c>
      <x:c r="T502" s="265" t="n">
        <x:v>13523</x:v>
      </x:c>
      <x:c r="U502" s="253" t="str">
        <x:f>IF(AND(S502="Yes",T502=0),"Yes","No")</x:f>
        <x:v>No</x:v>
      </x:c>
      <x:c r="V502" s="253" t="str">
        <x:v>Yes</x:v>
      </x:c>
      <x:c r="W502" s="253" t="str">
        <x:v>Yes</x:v>
      </x:c>
      <x:c r="X502" s="259" t="n">
        <x:v>46153.166666666664</x:v>
      </x:c>
      <x:c r="Y502" s="265" t="n">
        <x:v>2450</x:v>
      </x:c>
      <x:c r="Z502" s="265" t="n">
        <x:v>2450</x:v>
      </x:c>
      <x:c r="AA502" s="253" t="str">
        <x:f>IF(V502="No","Maturing",IF(AND(U502="Yes",Y502&gt;0),"Yes","No"))</x:f>
        <x:v>No</x:v>
      </x:c>
      <x:c r="AB502" s="253" t="str">
        <x:f>IF(W502="No","Maturing",IF(AND(U502="Yes",Z502&gt;0),"Yes","No"))</x:f>
        <x:v>No</x:v>
      </x:c>
      <x:c r="AC502" s="265" t="n">
        <x:v>-664.17</x:v>
      </x:c>
      <x:c r="AD502" s="265" t="n">
        <x:v>-664.34</x:v>
      </x:c>
      <x:c r="AE502" s="271" t="str"/>
      <x:c r="AF502" s="274" t="str">
        <x:v>Not validated - no control/holdout</x:v>
      </x:c>
      <x:c r="AG502" s="277" t="str">
        <x:v>Recovered execution only; assignment date and unclaimed-offer denominator unavailable</x:v>
      </x:c>
    </x:row>
    <x:row r="503">
      <x:c r="A503" s="252" t="str">
        <x:v>34213246</x:v>
      </x:c>
      <x:c r="B503" s="253" t="str">
        <x:v>WS1</x:v>
      </x:c>
      <x:c r="C503" s="253" t="str">
        <x:v>MB8</x:v>
      </x:c>
      <x:c r="D503" s="262" t="n">
        <x:v>46153.69567129629</x:v>
      </x:c>
      <x:c r="E503" s="259" t="n">
        <x:v>46153.166666666664</x:v>
      </x:c>
      <x:c r="F503" s="253" t="str">
        <x:v>650335</x:v>
      </x:c>
      <x:c r="G503" s="253" t="str">
        <x:v>Azrulshah</x:v>
      </x:c>
      <x:c r="H503" s="253" t="str">
        <x:v>Yes</x:v>
      </x:c>
      <x:c r="I503" s="253" t="str">
        <x:v>Elda</x:v>
      </x:c>
      <x:c r="J503" s="253" t="str">
        <x:v>Elda</x:v>
      </x:c>
      <x:c r="K503" s="259" t="n">
        <x:v>45659.166666666664</x:v>
      </x:c>
      <x:c r="L503" s="268" t="str">
        <x:f>IFERROR(VLOOKUP(I503,'Handler-Team Map'!$A$7:$C$17,2,FALSE),"")</x:f>
      </x:c>
      <x:c r="M503" s="268" t="str">
        <x:f>IFERROR(VLOOKUP(I503,'Handler-Team Map'!$A$7:$C$17,3,FALSE),"")</x:f>
      </x:c>
      <x:c r="N503" s="274" t="str">
        <x:v>FT_VM_DEP300_GET100_5X</x:v>
      </x:c>
      <x:c r="O503" s="274" t="str">
        <x:v>VIP BONUS - Deposit 300 Get 100 - 5x TO</x:v>
      </x:c>
      <x:c r="P503" s="274" t="str">
        <x:v>DepositBonus</x:v>
      </x:c>
      <x:c r="Q503" s="274" t="str">
        <x:v>Approved</x:v>
      </x:c>
      <x:c r="R503" s="265" t="n">
        <x:v>100</x:v>
      </x:c>
      <x:c r="S503" s="253" t="str">
        <x:v>Yes</x:v>
      </x:c>
      <x:c r="T503" s="265" t="n">
        <x:v>14401</x:v>
      </x:c>
      <x:c r="U503" s="253" t="str">
        <x:f>IF(AND(S503="Yes",T503=0),"Yes","No")</x:f>
        <x:v>No</x:v>
      </x:c>
      <x:c r="V503" s="253" t="str">
        <x:v>Yes</x:v>
      </x:c>
      <x:c r="W503" s="253" t="str">
        <x:v>Yes</x:v>
      </x:c>
      <x:c r="X503" s="259" t="n">
        <x:v>46153.166666666664</x:v>
      </x:c>
      <x:c r="Y503" s="265" t="n">
        <x:v>5340</x:v>
      </x:c>
      <x:c r="Z503" s="265" t="n">
        <x:v>8030</x:v>
      </x:c>
      <x:c r="AA503" s="253" t="str">
        <x:f>IF(V503="No","Maturing",IF(AND(U503="Yes",Y503&gt;0),"Yes","No"))</x:f>
        <x:v>No</x:v>
      </x:c>
      <x:c r="AB503" s="253" t="str">
        <x:f>IF(W503="No","Maturing",IF(AND(U503="Yes",Z503&gt;0),"Yes","No"))</x:f>
        <x:v>No</x:v>
      </x:c>
      <x:c r="AC503" s="265" t="n">
        <x:v>1438.51</x:v>
      </x:c>
      <x:c r="AD503" s="265" t="n">
        <x:v>228.76</x:v>
      </x:c>
      <x:c r="AE503" s="271" t="str"/>
      <x:c r="AF503" s="274" t="str">
        <x:v>Not validated - no control/holdout</x:v>
      </x:c>
      <x:c r="AG503" s="277" t="str">
        <x:v>Recovered execution only; assignment date and unclaimed-offer denominator unavailable</x:v>
      </x:c>
    </x:row>
    <x:row r="504">
      <x:c r="A504" s="252" t="str">
        <x:v>34213321</x:v>
      </x:c>
      <x:c r="B504" s="253" t="str">
        <x:v>WS1</x:v>
      </x:c>
      <x:c r="C504" s="253" t="str">
        <x:v>MB8</x:v>
      </x:c>
      <x:c r="D504" s="262" t="n">
        <x:v>46153.70091435185</x:v>
      </x:c>
      <x:c r="E504" s="259" t="n">
        <x:v>46153.166666666664</x:v>
      </x:c>
      <x:c r="F504" s="253" t="str">
        <x:v>521114</x:v>
      </x:c>
      <x:c r="G504" s="253" t="str">
        <x:v>Nzboss8181</x:v>
      </x:c>
      <x:c r="H504" s="253" t="str">
        <x:v>Yes</x:v>
      </x:c>
      <x:c r="I504" s="253" t="str">
        <x:v>Claire</x:v>
      </x:c>
      <x:c r="J504" s="253" t="str">
        <x:v>Claire</x:v>
      </x:c>
      <x:c r="K504" s="259" t="n">
        <x:v>45659.166666666664</x:v>
      </x:c>
      <x:c r="L504" s="268" t="str">
        <x:f>IFERROR(VLOOKUP(I504,'Handler-Team Map'!$A$7:$C$17,2,FALSE),"")</x:f>
      </x:c>
      <x:c r="M504" s="268" t="str">
        <x:f>IFERROR(VLOOKUP(I504,'Handler-Team Map'!$A$7:$C$17,3,FALSE),"")</x:f>
      </x:c>
      <x:c r="N504" s="274" t="str">
        <x:v>FT_VM_DEP1000_GET700_2X</x:v>
      </x:c>
      <x:c r="O504" s="274" t="str">
        <x:v>VIP BONUS - Deposit 1000 Get 700 - 2x TO</x:v>
      </x:c>
      <x:c r="P504" s="274" t="str">
        <x:v>DepositBonus</x:v>
      </x:c>
      <x:c r="Q504" s="274" t="str">
        <x:v>Approved</x:v>
      </x:c>
      <x:c r="R504" s="265" t="n">
        <x:v>700</x:v>
      </x:c>
      <x:c r="S504" s="253" t="str">
        <x:v>Yes</x:v>
      </x:c>
      <x:c r="T504" s="265" t="n">
        <x:v>271000</x:v>
      </x:c>
      <x:c r="U504" s="253" t="str">
        <x:f>IF(AND(S504="Yes",T504=0),"Yes","No")</x:f>
        <x:v>No</x:v>
      </x:c>
      <x:c r="V504" s="253" t="str">
        <x:v>Yes</x:v>
      </x:c>
      <x:c r="W504" s="253" t="str">
        <x:v>Yes</x:v>
      </x:c>
      <x:c r="X504" s="259" t="n">
        <x:v>46153.166666666664</x:v>
      </x:c>
      <x:c r="Y504" s="265" t="n">
        <x:v>56900</x:v>
      </x:c>
      <x:c r="Z504" s="265" t="n">
        <x:v>112100</x:v>
      </x:c>
      <x:c r="AA504" s="253" t="str">
        <x:f>IF(V504="No","Maturing",IF(AND(U504="Yes",Y504&gt;0),"Yes","No"))</x:f>
        <x:v>No</x:v>
      </x:c>
      <x:c r="AB504" s="253" t="str">
        <x:f>IF(W504="No","Maturing",IF(AND(U504="Yes",Z504&gt;0),"Yes","No"))</x:f>
        <x:v>No</x:v>
      </x:c>
      <x:c r="AC504" s="265" t="n">
        <x:v>43143.3</x:v>
      </x:c>
      <x:c r="AD504" s="265" t="n">
        <x:v>59343.36</x:v>
      </x:c>
      <x:c r="AE504" s="271" t="str"/>
      <x:c r="AF504" s="274" t="str">
        <x:v>Not validated - no control/holdout</x:v>
      </x:c>
      <x:c r="AG504" s="277" t="str">
        <x:v>Recovered execution only; assignment date and unclaimed-offer denominator unavailable</x:v>
      </x:c>
    </x:row>
    <x:row r="505">
      <x:c r="A505" s="252" t="str">
        <x:v>34213599</x:v>
      </x:c>
      <x:c r="B505" s="253" t="str">
        <x:v>WS1</x:v>
      </x:c>
      <x:c r="C505" s="253" t="str">
        <x:v>MB8</x:v>
      </x:c>
      <x:c r="D505" s="262" t="n">
        <x:v>46153.726064814815</x:v>
      </x:c>
      <x:c r="E505" s="259" t="n">
        <x:v>46153.166666666664</x:v>
      </x:c>
      <x:c r="F505" s="253" t="str">
        <x:v>115885</x:v>
      </x:c>
      <x:c r="G505" s="253" t="str">
        <x:v>lingaiya91</x:v>
      </x:c>
      <x:c r="H505" s="253" t="str">
        <x:v>Yes</x:v>
      </x:c>
      <x:c r="I505" s="253" t="str">
        <x:v>Elda</x:v>
      </x:c>
      <x:c r="J505" s="253" t="str">
        <x:v>Elda</x:v>
      </x:c>
      <x:c r="K505" s="259" t="n">
        <x:v>45659.166666666664</x:v>
      </x:c>
      <x:c r="L505" s="268" t="str">
        <x:f>IFERROR(VLOOKUP(I505,'Handler-Team Map'!$A$7:$C$17,2,FALSE),"")</x:f>
      </x:c>
      <x:c r="M505" s="268" t="str">
        <x:f>IFERROR(VLOOKUP(I505,'Handler-Team Map'!$A$7:$C$17,3,FALSE),"")</x:f>
      </x:c>
      <x:c r="N505" s="274" t="str">
        <x:v>FT_VM_DEP150_GET50_5X</x:v>
      </x:c>
      <x:c r="O505" s="274" t="str">
        <x:v>VIP BONUS - Deposit 150 Get 50 - 5x TO</x:v>
      </x:c>
      <x:c r="P505" s="274" t="str">
        <x:v>DepositBonus</x:v>
      </x:c>
      <x:c r="Q505" s="274" t="str">
        <x:v>Approved</x:v>
      </x:c>
      <x:c r="R505" s="265" t="n">
        <x:v>50</x:v>
      </x:c>
      <x:c r="S505" s="253" t="str">
        <x:v>Yes</x:v>
      </x:c>
      <x:c r="T505" s="265" t="n">
        <x:v>43878</x:v>
      </x:c>
      <x:c r="U505" s="253" t="str">
        <x:f>IF(AND(S505="Yes",T505=0),"Yes","No")</x:f>
        <x:v>No</x:v>
      </x:c>
      <x:c r="V505" s="253" t="str">
        <x:v>Yes</x:v>
      </x:c>
      <x:c r="W505" s="253" t="str">
        <x:v>Yes</x:v>
      </x:c>
      <x:c r="X505" s="259" t="n">
        <x:v>46153.166666666664</x:v>
      </x:c>
      <x:c r="Y505" s="265" t="n">
        <x:v>15700</x:v>
      </x:c>
      <x:c r="Z505" s="265" t="n">
        <x:v>17430</x:v>
      </x:c>
      <x:c r="AA505" s="253" t="str">
        <x:f>IF(V505="No","Maturing",IF(AND(U505="Yes",Y505&gt;0),"Yes","No"))</x:f>
        <x:v>No</x:v>
      </x:c>
      <x:c r="AB505" s="253" t="str">
        <x:f>IF(W505="No","Maturing",IF(AND(U505="Yes",Z505&gt;0),"Yes","No"))</x:f>
        <x:v>No</x:v>
      </x:c>
      <x:c r="AC505" s="265" t="n">
        <x:v>-6697.68</x:v>
      </x:c>
      <x:c r="AD505" s="265" t="n">
        <x:v>-4967.58</x:v>
      </x:c>
      <x:c r="AE505" s="271" t="str"/>
      <x:c r="AF505" s="274" t="str">
        <x:v>Not validated - no control/holdout</x:v>
      </x:c>
      <x:c r="AG505" s="277" t="str">
        <x:v>Recovered execution only; assignment date and unclaimed-offer denominator unavailable</x:v>
      </x:c>
    </x:row>
    <x:row r="506">
      <x:c r="A506" s="252" t="str">
        <x:v>34214340</x:v>
      </x:c>
      <x:c r="B506" s="253" t="str">
        <x:v>WS1</x:v>
      </x:c>
      <x:c r="C506" s="253" t="str">
        <x:v>MB8</x:v>
      </x:c>
      <x:c r="D506" s="262" t="n">
        <x:v>46153.797581018516</x:v>
      </x:c>
      <x:c r="E506" s="259" t="n">
        <x:v>46153.166666666664</x:v>
      </x:c>
      <x:c r="F506" s="253" t="str">
        <x:v>461077</x:v>
      </x:c>
      <x:c r="G506" s="253" t="str">
        <x:v>Chenghe</x:v>
      </x:c>
      <x:c r="H506" s="253" t="str">
        <x:v>Yes</x:v>
      </x:c>
      <x:c r="I506" s="253" t="str">
        <x:v>Claire</x:v>
      </x:c>
      <x:c r="J506" s="253" t="str">
        <x:v>Claire</x:v>
      </x:c>
      <x:c r="K506" s="259" t="n">
        <x:v>45659.166666666664</x:v>
      </x:c>
      <x:c r="L506" s="268" t="str">
        <x:f>IFERROR(VLOOKUP(I506,'Handler-Team Map'!$A$7:$C$17,2,FALSE),"")</x:f>
      </x:c>
      <x:c r="M506" s="268" t="str">
        <x:f>IFERROR(VLOOKUP(I506,'Handler-Team Map'!$A$7:$C$17,3,FALSE),"")</x:f>
      </x:c>
      <x:c r="N506" s="274" t="str">
        <x:v>FT_VM_DEP800_GET400_2X</x:v>
      </x:c>
      <x:c r="O506" s="274" t="str">
        <x:v>VIP BONUS - Deposit 800 Get 400 - 2x TO</x:v>
      </x:c>
      <x:c r="P506" s="274" t="str">
        <x:v>DepositBonus</x:v>
      </x:c>
      <x:c r="Q506" s="274" t="str">
        <x:v>Approved</x:v>
      </x:c>
      <x:c r="R506" s="265" t="n">
        <x:v>400</x:v>
      </x:c>
      <x:c r="S506" s="253" t="str">
        <x:v>Yes</x:v>
      </x:c>
      <x:c r="T506" s="265" t="n">
        <x:v>172600</x:v>
      </x:c>
      <x:c r="U506" s="253" t="str">
        <x:f>IF(AND(S506="Yes",T506=0),"Yes","No")</x:f>
        <x:v>No</x:v>
      </x:c>
      <x:c r="V506" s="253" t="str">
        <x:v>Yes</x:v>
      </x:c>
      <x:c r="W506" s="253" t="str">
        <x:v>Yes</x:v>
      </x:c>
      <x:c r="X506" s="259" t="n">
        <x:v>46153.166666666664</x:v>
      </x:c>
      <x:c r="Y506" s="265" t="n">
        <x:v>56800</x:v>
      </x:c>
      <x:c r="Z506" s="265" t="n">
        <x:v>117800</x:v>
      </x:c>
      <x:c r="AA506" s="253" t="str">
        <x:f>IF(V506="No","Maturing",IF(AND(U506="Yes",Y506&gt;0),"Yes","No"))</x:f>
        <x:v>No</x:v>
      </x:c>
      <x:c r="AB506" s="253" t="str">
        <x:f>IF(W506="No","Maturing",IF(AND(U506="Yes",Z506&gt;0),"Yes","No"))</x:f>
        <x:v>No</x:v>
      </x:c>
      <x:c r="AC506" s="265" t="n">
        <x:v>15100.08</x:v>
      </x:c>
      <x:c r="AD506" s="265" t="n">
        <x:v>19191.64</x:v>
      </x:c>
      <x:c r="AE506" s="271" t="str"/>
      <x:c r="AF506" s="274" t="str">
        <x:v>Not validated - no control/holdout</x:v>
      </x:c>
      <x:c r="AG506" s="277" t="str">
        <x:v>Recovered execution only; assignment date and unclaimed-offer denominator unavailable</x:v>
      </x:c>
    </x:row>
    <x:row r="507">
      <x:c r="A507" s="252" t="str">
        <x:v>34214714</x:v>
      </x:c>
      <x:c r="B507" s="253" t="str">
        <x:v>WS1</x:v>
      </x:c>
      <x:c r="C507" s="253" t="str">
        <x:v>MB8</x:v>
      </x:c>
      <x:c r="D507" s="262" t="n">
        <x:v>46153.83322916667</x:v>
      </x:c>
      <x:c r="E507" s="259" t="n">
        <x:v>46153.166666666664</x:v>
      </x:c>
      <x:c r="F507" s="253" t="str">
        <x:v>401057</x:v>
      </x:c>
      <x:c r="G507" s="253" t="str">
        <x:v>discus71</x:v>
      </x:c>
      <x:c r="H507" s="253" t="str">
        <x:v>Yes</x:v>
      </x:c>
      <x:c r="I507" s="253" t="str">
        <x:v>zhen</x:v>
      </x:c>
      <x:c r="J507" s="253" t="str">
        <x:v>zhen</x:v>
      </x:c>
      <x:c r="K507" s="259" t="n">
        <x:v>45922.166666666664</x:v>
      </x:c>
      <x:c r="L507" s="268" t="str">
        <x:f>IFERROR(VLOOKUP(I507,'Handler-Team Map'!$A$7:$C$17,2,FALSE),"")</x:f>
      </x:c>
      <x:c r="M507" s="268" t="str">
        <x:f>IFERROR(VLOOKUP(I507,'Handler-Team Map'!$A$7:$C$17,3,FALSE),"")</x:f>
      </x:c>
      <x:c r="N507" s="274" t="str">
        <x:v>FT_VM_DEP1000_GET700_2X</x:v>
      </x:c>
      <x:c r="O507" s="274" t="str">
        <x:v>VIP BONUS - Deposit 1000 Get 700 - 2x TO</x:v>
      </x:c>
      <x:c r="P507" s="274" t="str">
        <x:v>DepositBonus</x:v>
      </x:c>
      <x:c r="Q507" s="274" t="str">
        <x:v>Approved</x:v>
      </x:c>
      <x:c r="R507" s="265" t="n">
        <x:v>700</x:v>
      </x:c>
      <x:c r="S507" s="253" t="str">
        <x:v>Yes</x:v>
      </x:c>
      <x:c r="T507" s="265" t="n">
        <x:v>1000</x:v>
      </x:c>
      <x:c r="U507" s="253" t="str">
        <x:f>IF(AND(S507="Yes",T507=0),"Yes","No")</x:f>
        <x:v>No</x:v>
      </x:c>
      <x:c r="V507" s="253" t="str">
        <x:v>Yes</x:v>
      </x:c>
      <x:c r="W507" s="253" t="str">
        <x:v>Yes</x:v>
      </x:c>
      <x:c r="X507" s="259" t="n">
        <x:v>46153.166666666664</x:v>
      </x:c>
      <x:c r="Y507" s="265" t="n">
        <x:v>1000</x:v>
      </x:c>
      <x:c r="Z507" s="265" t="n">
        <x:v>1000</x:v>
      </x:c>
      <x:c r="AA507" s="253" t="str">
        <x:f>IF(V507="No","Maturing",IF(AND(U507="Yes",Y507&gt;0),"Yes","No"))</x:f>
        <x:v>No</x:v>
      </x:c>
      <x:c r="AB507" s="253" t="str">
        <x:f>IF(W507="No","Maturing",IF(AND(U507="Yes",Z507&gt;0),"Yes","No"))</x:f>
        <x:v>No</x:v>
      </x:c>
      <x:c r="AC507" s="265" t="n">
        <x:v>999.78</x:v>
      </x:c>
      <x:c r="AD507" s="265" t="n">
        <x:v>999.78</x:v>
      </x:c>
      <x:c r="AE507" s="271" t="str"/>
      <x:c r="AF507" s="274" t="str">
        <x:v>Not validated - no control/holdout</x:v>
      </x:c>
      <x:c r="AG507" s="277" t="str">
        <x:v>Recovered execution only; assignment date and unclaimed-offer denominator unavailable</x:v>
      </x:c>
    </x:row>
    <x:row r="508">
      <x:c r="A508" s="252" t="str">
        <x:v>34215169</x:v>
      </x:c>
      <x:c r="B508" s="253" t="str">
        <x:v>WS1</x:v>
      </x:c>
      <x:c r="C508" s="253" t="str">
        <x:v>MB8</x:v>
      </x:c>
      <x:c r="D508" s="262" t="n">
        <x:v>46153.873078703706</x:v>
      </x:c>
      <x:c r="E508" s="259" t="n">
        <x:v>46153.166666666664</x:v>
      </x:c>
      <x:c r="F508" s="253" t="str">
        <x:v>419229</x:v>
      </x:c>
      <x:c r="G508" s="253" t="str">
        <x:v>ZERO99</x:v>
      </x:c>
      <x:c r="H508" s="253" t="str">
        <x:v>Yes</x:v>
      </x:c>
      <x:c r="I508" s="253" t="str">
        <x:v>Elda</x:v>
      </x:c>
      <x:c r="J508" s="253" t="str">
        <x:v>Elda</x:v>
      </x:c>
      <x:c r="K508" s="259" t="n">
        <x:v>45659.166666666664</x:v>
      </x:c>
      <x:c r="L508" s="268" t="str">
        <x:f>IFERROR(VLOOKUP(I508,'Handler-Team Map'!$A$7:$C$17,2,FALSE),"")</x:f>
      </x:c>
      <x:c r="M508" s="268" t="str">
        <x:f>IFERROR(VLOOKUP(I508,'Handler-Team Map'!$A$7:$C$17,3,FALSE),"")</x:f>
      </x:c>
      <x:c r="N508" s="274" t="str">
        <x:v>FT_VM_DEP1000_GET500_5X</x:v>
      </x:c>
      <x:c r="O508" s="274" t="str">
        <x:v>VIP BONUS - Deposit 1000 Get 500 - 5x TO</x:v>
      </x:c>
      <x:c r="P508" s="274" t="str">
        <x:v>DepositBonus</x:v>
      </x:c>
      <x:c r="Q508" s="274" t="str">
        <x:v>Approved</x:v>
      </x:c>
      <x:c r="R508" s="265" t="n">
        <x:v>500</x:v>
      </x:c>
      <x:c r="S508" s="253" t="str">
        <x:v>Yes</x:v>
      </x:c>
      <x:c r="T508" s="265" t="n">
        <x:v>10600</x:v>
      </x:c>
      <x:c r="U508" s="253" t="str">
        <x:f>IF(AND(S508="Yes",T508=0),"Yes","No")</x:f>
        <x:v>No</x:v>
      </x:c>
      <x:c r="V508" s="253" t="str">
        <x:v>Yes</x:v>
      </x:c>
      <x:c r="W508" s="253" t="str">
        <x:v>Yes</x:v>
      </x:c>
      <x:c r="X508" s="259" t="n">
        <x:v>46153.166666666664</x:v>
      </x:c>
      <x:c r="Y508" s="265" t="n">
        <x:v>19650</x:v>
      </x:c>
      <x:c r="Z508" s="265" t="n">
        <x:v>19650</x:v>
      </x:c>
      <x:c r="AA508" s="253" t="str">
        <x:f>IF(V508="No","Maturing",IF(AND(U508="Yes",Y508&gt;0),"Yes","No"))</x:f>
        <x:v>No</x:v>
      </x:c>
      <x:c r="AB508" s="253" t="str">
        <x:f>IF(W508="No","Maturing",IF(AND(U508="Yes",Z508&gt;0),"Yes","No"))</x:f>
        <x:v>No</x:v>
      </x:c>
      <x:c r="AC508" s="265" t="n">
        <x:v>18799.07</x:v>
      </x:c>
      <x:c r="AD508" s="265" t="n">
        <x:v>18843.13</x:v>
      </x:c>
      <x:c r="AE508" s="271" t="str"/>
      <x:c r="AF508" s="274" t="str">
        <x:v>Not validated - no control/holdout</x:v>
      </x:c>
      <x:c r="AG508" s="277" t="str">
        <x:v>Recovered execution only; assignment date and unclaimed-offer denominator unavailable</x:v>
      </x:c>
    </x:row>
    <x:row r="509">
      <x:c r="A509" s="252" t="str">
        <x:v>34216187</x:v>
      </x:c>
      <x:c r="B509" s="253" t="str">
        <x:v>WS1</x:v>
      </x:c>
      <x:c r="C509" s="253" t="str">
        <x:v>MB8</x:v>
      </x:c>
      <x:c r="D509" s="262" t="n">
        <x:v>46153.93546296296</x:v>
      </x:c>
      <x:c r="E509" s="259" t="n">
        <x:v>46153.166666666664</x:v>
      </x:c>
      <x:c r="F509" s="253" t="str">
        <x:v>218621</x:v>
      </x:c>
      <x:c r="G509" s="253" t="str">
        <x:v>Khairulanam77</x:v>
      </x:c>
      <x:c r="H509" s="253" t="str">
        <x:v>Yes</x:v>
      </x:c>
      <x:c r="I509" s="253" t="str">
        <x:v>Tammy</x:v>
      </x:c>
      <x:c r="J509" s="253" t="str">
        <x:v>Tammy</x:v>
      </x:c>
      <x:c r="K509" s="259" t="n">
        <x:v>45951.166666666664</x:v>
      </x:c>
      <x:c r="L509" s="268" t="str">
        <x:f>IFERROR(VLOOKUP(I509,'Handler-Team Map'!$A$7:$C$17,2,FALSE),"")</x:f>
      </x:c>
      <x:c r="M509" s="268" t="str">
        <x:f>IFERROR(VLOOKUP(I509,'Handler-Team Map'!$A$7:$C$17,3,FALSE),"")</x:f>
      </x:c>
      <x:c r="N509" s="274" t="str">
        <x:v>FT_VM_DEP1000_GET1000_2X</x:v>
      </x:c>
      <x:c r="O509" s="274" t="str">
        <x:v>VIP BONUS - Deposit 1000 Get 1000 - 2x TO</x:v>
      </x:c>
      <x:c r="P509" s="274" t="str">
        <x:v>DepositBonus</x:v>
      </x:c>
      <x:c r="Q509" s="274" t="str">
        <x:v>Approved</x:v>
      </x:c>
      <x:c r="R509" s="265" t="n">
        <x:v>1000</x:v>
      </x:c>
      <x:c r="S509" s="253" t="str">
        <x:v>Yes</x:v>
      </x:c>
      <x:c r="T509" s="265" t="n">
        <x:v>194945</x:v>
      </x:c>
      <x:c r="U509" s="253" t="str">
        <x:f>IF(AND(S509="Yes",T509=0),"Yes","No")</x:f>
        <x:v>No</x:v>
      </x:c>
      <x:c r="V509" s="253" t="str">
        <x:v>Yes</x:v>
      </x:c>
      <x:c r="W509" s="253" t="str">
        <x:v>Yes</x:v>
      </x:c>
      <x:c r="X509" s="259" t="n">
        <x:v>46153.166666666664</x:v>
      </x:c>
      <x:c r="Y509" s="265" t="n">
        <x:v>4980</x:v>
      </x:c>
      <x:c r="Z509" s="265" t="n">
        <x:v>7670</x:v>
      </x:c>
      <x:c r="AA509" s="253" t="str">
        <x:f>IF(V509="No","Maturing",IF(AND(U509="Yes",Y509&gt;0),"Yes","No"))</x:f>
        <x:v>No</x:v>
      </x:c>
      <x:c r="AB509" s="253" t="str">
        <x:f>IF(W509="No","Maturing",IF(AND(U509="Yes",Z509&gt;0),"Yes","No"))</x:f>
        <x:v>No</x:v>
      </x:c>
      <x:c r="AC509" s="265" t="n">
        <x:v>406.32</x:v>
      </x:c>
      <x:c r="AD509" s="265" t="n">
        <x:v>2725.02</x:v>
      </x:c>
      <x:c r="AE509" s="271" t="str"/>
      <x:c r="AF509" s="274" t="str">
        <x:v>Not validated - no control/holdout</x:v>
      </x:c>
      <x:c r="AG509" s="277" t="str">
        <x:v>Recovered execution only; assignment date and unclaimed-offer denominator unavailable</x:v>
      </x:c>
    </x:row>
    <x:row r="510">
      <x:c r="A510" s="252" t="str">
        <x:v>34217280</x:v>
      </x:c>
      <x:c r="B510" s="253" t="str">
        <x:v>WS1</x:v>
      </x:c>
      <x:c r="C510" s="253" t="str">
        <x:v>MB8</x:v>
      </x:c>
      <x:c r="D510" s="262" t="n">
        <x:v>46153.996458333335</x:v>
      </x:c>
      <x:c r="E510" s="259" t="n">
        <x:v>46153.166666666664</x:v>
      </x:c>
      <x:c r="F510" s="253" t="str">
        <x:v>1196230</x:v>
      </x:c>
      <x:c r="G510" s="253" t="str">
        <x:v>yongkiat19218</x:v>
      </x:c>
      <x:c r="H510" s="253" t="str">
        <x:v>Yes</x:v>
      </x:c>
      <x:c r="I510" s="253" t="str"/>
      <x:c r="J510" s="253" t="str"/>
      <x:c r="K510" s="259"/>
      <x:c r="L510" s="268" t="str">
        <x:f>IFERROR(VLOOKUP(I510,'Handler-Team Map'!$A$7:$C$17,2,FALSE),"")</x:f>
      </x:c>
      <x:c r="M510" s="268" t="str">
        <x:f>IFERROR(VLOOKUP(I510,'Handler-Team Map'!$A$7:$C$17,3,FALSE),"")</x:f>
      </x:c>
      <x:c r="N510" s="274" t="str">
        <x:v>FT_VM_DEP700_GET300_2X</x:v>
      </x:c>
      <x:c r="O510" s="274" t="str">
        <x:v>VIP BONUS - Deposit 700 Get 300 - 2x TO</x:v>
      </x:c>
      <x:c r="P510" s="274" t="str">
        <x:v>DepositBonus</x:v>
      </x:c>
      <x:c r="Q510" s="274" t="str">
        <x:v>Approved</x:v>
      </x:c>
      <x:c r="R510" s="265" t="n">
        <x:v>300</x:v>
      </x:c>
      <x:c r="S510" s="253" t="str">
        <x:v>Yes</x:v>
      </x:c>
      <x:c r="T510" s="265" t="n">
        <x:v>900</x:v>
      </x:c>
      <x:c r="U510" s="253" t="str">
        <x:f>IF(AND(S510="Yes",T510=0),"Yes","No")</x:f>
        <x:v>No</x:v>
      </x:c>
      <x:c r="V510" s="253" t="str">
        <x:v>Yes</x:v>
      </x:c>
      <x:c r="W510" s="253" t="str">
        <x:v>Yes</x:v>
      </x:c>
      <x:c r="X510" s="259" t="n">
        <x:v>46153.166666666664</x:v>
      </x:c>
      <x:c r="Y510" s="265" t="n">
        <x:v>1500</x:v>
      </x:c>
      <x:c r="Z510" s="265" t="n">
        <x:v>1500</x:v>
      </x:c>
      <x:c r="AA510" s="253" t="str">
        <x:f>IF(V510="No","Maturing",IF(AND(U510="Yes",Y510&gt;0),"Yes","No"))</x:f>
        <x:v>No</x:v>
      </x:c>
      <x:c r="AB510" s="253" t="str">
        <x:f>IF(W510="No","Maturing",IF(AND(U510="Yes",Z510&gt;0),"Yes","No"))</x:f>
        <x:v>No</x:v>
      </x:c>
      <x:c r="AC510" s="265" t="n">
        <x:v>-200.56</x:v>
      </x:c>
      <x:c r="AD510" s="265" t="n">
        <x:v>-200.56</x:v>
      </x:c>
      <x:c r="AE510" s="271" t="str"/>
      <x:c r="AF510" s="274" t="str">
        <x:v>Not validated - no control/holdout</x:v>
      </x:c>
      <x:c r="AG510" s="277" t="str">
        <x:v>Recovered execution only; assignment date and unclaimed-offer denominator unavailable</x:v>
      </x:c>
    </x:row>
    <x:row r="511">
      <x:c r="A511" s="252" t="str">
        <x:v>34218464</x:v>
      </x:c>
      <x:c r="B511" s="253" t="str">
        <x:v>WS1</x:v>
      </x:c>
      <x:c r="C511" s="253" t="str">
        <x:v>MB8</x:v>
      </x:c>
      <x:c r="D511" s="262" t="n">
        <x:v>46154.07748842592</x:v>
      </x:c>
      <x:c r="E511" s="259" t="n">
        <x:v>46154.166666666664</x:v>
      </x:c>
      <x:c r="F511" s="253" t="str">
        <x:v>599828</x:v>
      </x:c>
      <x:c r="G511" s="253" t="str">
        <x:v>jaman1975</x:v>
      </x:c>
      <x:c r="H511" s="253" t="str">
        <x:v>Yes</x:v>
      </x:c>
      <x:c r="I511" s="253" t="str">
        <x:v>Elda</x:v>
      </x:c>
      <x:c r="J511" s="253" t="str">
        <x:v>Elda</x:v>
      </x:c>
      <x:c r="K511" s="259" t="n">
        <x:v>45659.166666666664</x:v>
      </x:c>
      <x:c r="L511" s="268" t="str">
        <x:f>IFERROR(VLOOKUP(I511,'Handler-Team Map'!$A$7:$C$17,2,FALSE),"")</x:f>
      </x:c>
      <x:c r="M511" s="268" t="str">
        <x:f>IFERROR(VLOOKUP(I511,'Handler-Team Map'!$A$7:$C$17,3,FALSE),"")</x:f>
      </x:c>
      <x:c r="N511" s="274" t="str">
        <x:v>FT_VM_DEP600_GET200_5X</x:v>
      </x:c>
      <x:c r="O511" s="274" t="str">
        <x:v>VIP BONUS - Deposit 600 Get 200 - 5x TO</x:v>
      </x:c>
      <x:c r="P511" s="274" t="str">
        <x:v>DepositBonus</x:v>
      </x:c>
      <x:c r="Q511" s="274" t="str">
        <x:v>Approved</x:v>
      </x:c>
      <x:c r="R511" s="265" t="n">
        <x:v>200</x:v>
      </x:c>
      <x:c r="S511" s="253" t="str">
        <x:v>Yes</x:v>
      </x:c>
      <x:c r="T511" s="265" t="n">
        <x:v>47010</x:v>
      </x:c>
      <x:c r="U511" s="253" t="str">
        <x:f>IF(AND(S511="Yes",T511=0),"Yes","No")</x:f>
        <x:v>No</x:v>
      </x:c>
      <x:c r="V511" s="253" t="str">
        <x:v>Yes</x:v>
      </x:c>
      <x:c r="W511" s="253" t="str">
        <x:v>Yes</x:v>
      </x:c>
      <x:c r="X511" s="259" t="n">
        <x:v>46154.166666666664</x:v>
      </x:c>
      <x:c r="Y511" s="265" t="n">
        <x:v>9530</x:v>
      </x:c>
      <x:c r="Z511" s="265" t="n">
        <x:v>14375</x:v>
      </x:c>
      <x:c r="AA511" s="253" t="str">
        <x:f>IF(V511="No","Maturing",IF(AND(U511="Yes",Y511&gt;0),"Yes","No"))</x:f>
        <x:v>No</x:v>
      </x:c>
      <x:c r="AB511" s="253" t="str">
        <x:f>IF(W511="No","Maturing",IF(AND(U511="Yes",Z511&gt;0),"Yes","No"))</x:f>
        <x:v>No</x:v>
      </x:c>
      <x:c r="AC511" s="265" t="n">
        <x:v>-10174.47</x:v>
      </x:c>
      <x:c r="AD511" s="265" t="n">
        <x:v>-5329.87</x:v>
      </x:c>
      <x:c r="AE511" s="271" t="str"/>
      <x:c r="AF511" s="274" t="str">
        <x:v>Not validated - no control/holdout</x:v>
      </x:c>
      <x:c r="AG511" s="277" t="str">
        <x:v>Recovered execution only; assignment date and unclaimed-offer denominator unavailable</x:v>
      </x:c>
    </x:row>
    <x:row r="512">
      <x:c r="A512" s="252" t="str">
        <x:v>34220297</x:v>
      </x:c>
      <x:c r="B512" s="253" t="str">
        <x:v>WS1</x:v>
      </x:c>
      <x:c r="C512" s="253" t="str">
        <x:v>MB8</x:v>
      </x:c>
      <x:c r="D512" s="262" t="n">
        <x:v>46154.395</x:v>
      </x:c>
      <x:c r="E512" s="259" t="n">
        <x:v>46154.166666666664</x:v>
      </x:c>
      <x:c r="F512" s="253" t="str">
        <x:v>644130</x:v>
      </x:c>
      <x:c r="G512" s="253" t="str">
        <x:v>chong7890</x:v>
      </x:c>
      <x:c r="H512" s="253" t="str">
        <x:v>Yes</x:v>
      </x:c>
      <x:c r="I512" s="253" t="str">
        <x:v>Christy</x:v>
      </x:c>
      <x:c r="J512" s="253" t="str">
        <x:v>Christy</x:v>
      </x:c>
      <x:c r="K512" s="259" t="n">
        <x:v>45831.166666666664</x:v>
      </x:c>
      <x:c r="L512" s="268" t="str">
        <x:f>IFERROR(VLOOKUP(I512,'Handler-Team Map'!$A$7:$C$17,2,FALSE),"")</x:f>
      </x:c>
      <x:c r="M512" s="268" t="str">
        <x:f>IFERROR(VLOOKUP(I512,'Handler-Team Map'!$A$7:$C$17,3,FALSE),"")</x:f>
      </x:c>
      <x:c r="N512" s="274" t="str">
        <x:v>FT_VM_DEP800_GET400_2X</x:v>
      </x:c>
      <x:c r="O512" s="274" t="str">
        <x:v>VIP BONUS - Deposit 800 Get 400 - 2x TO</x:v>
      </x:c>
      <x:c r="P512" s="274" t="str">
        <x:v>DepositBonus</x:v>
      </x:c>
      <x:c r="Q512" s="274" t="str">
        <x:v>Approved</x:v>
      </x:c>
      <x:c r="R512" s="265" t="n">
        <x:v>400</x:v>
      </x:c>
      <x:c r="S512" s="253" t="str">
        <x:v>Yes</x:v>
      </x:c>
      <x:c r="T512" s="265" t="n">
        <x:v>2750</x:v>
      </x:c>
      <x:c r="U512" s="253" t="str">
        <x:f>IF(AND(S512="Yes",T512=0),"Yes","No")</x:f>
        <x:v>No</x:v>
      </x:c>
      <x:c r="V512" s="253" t="str">
        <x:v>Yes</x:v>
      </x:c>
      <x:c r="W512" s="253" t="str">
        <x:v>Yes</x:v>
      </x:c>
      <x:c r="X512" s="259" t="n">
        <x:v>46154.166666666664</x:v>
      </x:c>
      <x:c r="Y512" s="265" t="n">
        <x:v>2600</x:v>
      </x:c>
      <x:c r="Z512" s="265" t="n">
        <x:v>3200</x:v>
      </x:c>
      <x:c r="AA512" s="253" t="str">
        <x:f>IF(V512="No","Maturing",IF(AND(U512="Yes",Y512&gt;0),"Yes","No"))</x:f>
        <x:v>No</x:v>
      </x:c>
      <x:c r="AB512" s="253" t="str">
        <x:f>IF(W512="No","Maturing",IF(AND(U512="Yes",Z512&gt;0),"Yes","No"))</x:f>
        <x:v>No</x:v>
      </x:c>
      <x:c r="AC512" s="265" t="n">
        <x:v>-2562.9</x:v>
      </x:c>
      <x:c r="AD512" s="265" t="n">
        <x:v>-1959.45</x:v>
      </x:c>
      <x:c r="AE512" s="271" t="str"/>
      <x:c r="AF512" s="274" t="str">
        <x:v>Not validated - no control/holdout</x:v>
      </x:c>
      <x:c r="AG512" s="277" t="str">
        <x:v>Recovered execution only; assignment date and unclaimed-offer denominator unavailable</x:v>
      </x:c>
    </x:row>
    <x:row r="513">
      <x:c r="A513" s="252" t="str">
        <x:v>34221482</x:v>
      </x:c>
      <x:c r="B513" s="253" t="str">
        <x:v>WS1</x:v>
      </x:c>
      <x:c r="C513" s="253" t="str">
        <x:v>MB8</x:v>
      </x:c>
      <x:c r="D513" s="262" t="n">
        <x:v>46154.537152777775</x:v>
      </x:c>
      <x:c r="E513" s="259" t="n">
        <x:v>46154.166666666664</x:v>
      </x:c>
      <x:c r="F513" s="253" t="str">
        <x:v>1110473</x:v>
      </x:c>
      <x:c r="G513" s="253" t="str">
        <x:v>AlexTingSieSing</x:v>
      </x:c>
      <x:c r="H513" s="253" t="str">
        <x:v>Yes</x:v>
      </x:c>
      <x:c r="I513" s="253" t="str">
        <x:v>zhen</x:v>
      </x:c>
      <x:c r="J513" s="253" t="str">
        <x:v>zhen</x:v>
      </x:c>
      <x:c r="K513" s="259" t="n">
        <x:v>45922.166666666664</x:v>
      </x:c>
      <x:c r="L513" s="268" t="str">
        <x:f>IFERROR(VLOOKUP(I513,'Handler-Team Map'!$A$7:$C$17,2,FALSE),"")</x:f>
      </x:c>
      <x:c r="M513" s="268" t="str">
        <x:f>IFERROR(VLOOKUP(I513,'Handler-Team Map'!$A$7:$C$17,3,FALSE),"")</x:f>
      </x:c>
      <x:c r="N513" s="274" t="str">
        <x:v>FT_VM_DEP1000_GET800_2X</x:v>
      </x:c>
      <x:c r="O513" s="274" t="str">
        <x:v>VIP BONUS - Deposit 1000 Get 800 - 2x TO</x:v>
      </x:c>
      <x:c r="P513" s="274" t="str">
        <x:v>DepositBonus</x:v>
      </x:c>
      <x:c r="Q513" s="274" t="str">
        <x:v>Approved</x:v>
      </x:c>
      <x:c r="R513" s="265" t="n">
        <x:v>800</x:v>
      </x:c>
      <x:c r="S513" s="253" t="str">
        <x:v>Yes</x:v>
      </x:c>
      <x:c r="T513" s="265" t="n">
        <x:v>1200</x:v>
      </x:c>
      <x:c r="U513" s="253" t="str">
        <x:f>IF(AND(S513="Yes",T513=0),"Yes","No")</x:f>
        <x:v>No</x:v>
      </x:c>
      <x:c r="V513" s="253" t="str">
        <x:v>Yes</x:v>
      </x:c>
      <x:c r="W513" s="253" t="str">
        <x:v>Yes</x:v>
      </x:c>
      <x:c r="X513" s="259" t="n">
        <x:v>46154.166666666664</x:v>
      </x:c>
      <x:c r="Y513" s="265" t="n">
        <x:v>11657.99</x:v>
      </x:c>
      <x:c r="Z513" s="265" t="n">
        <x:v>17124.99</x:v>
      </x:c>
      <x:c r="AA513" s="253" t="str">
        <x:f>IF(V513="No","Maturing",IF(AND(U513="Yes",Y513&gt;0),"Yes","No"))</x:f>
        <x:v>No</x:v>
      </x:c>
      <x:c r="AB513" s="253" t="str">
        <x:f>IF(W513="No","Maturing",IF(AND(U513="Yes",Z513&gt;0),"Yes","No"))</x:f>
        <x:v>No</x:v>
      </x:c>
      <x:c r="AC513" s="265" t="n">
        <x:v>3934.43</x:v>
      </x:c>
      <x:c r="AD513" s="265" t="n">
        <x:v>9822.04</x:v>
      </x:c>
      <x:c r="AE513" s="271" t="str"/>
      <x:c r="AF513" s="274" t="str">
        <x:v>Not validated - no control/holdout</x:v>
      </x:c>
      <x:c r="AG513" s="277" t="str">
        <x:v>Recovered execution only; assignment date and unclaimed-offer denominator unavailable</x:v>
      </x:c>
    </x:row>
    <x:row r="514">
      <x:c r="A514" s="252" t="str">
        <x:v>34221500</x:v>
      </x:c>
      <x:c r="B514" s="253" t="str">
        <x:v>WS1</x:v>
      </x:c>
      <x:c r="C514" s="253" t="str">
        <x:v>MB8</x:v>
      </x:c>
      <x:c r="D514" s="262" t="n">
        <x:v>46154.537210648145</x:v>
      </x:c>
      <x:c r="E514" s="259" t="n">
        <x:v>46154.166666666664</x:v>
      </x:c>
      <x:c r="F514" s="253" t="str">
        <x:v>647443</x:v>
      </x:c>
      <x:c r="G514" s="253" t="str">
        <x:v>immd1314</x:v>
      </x:c>
      <x:c r="H514" s="253" t="str">
        <x:v>Yes</x:v>
      </x:c>
      <x:c r="I514" s="253" t="str">
        <x:v>Claire</x:v>
      </x:c>
      <x:c r="J514" s="253" t="str">
        <x:v>Claire</x:v>
      </x:c>
      <x:c r="K514" s="259" t="n">
        <x:v>45659.166666666664</x:v>
      </x:c>
      <x:c r="L514" s="268" t="str">
        <x:f>IFERROR(VLOOKUP(I514,'Handler-Team Map'!$A$7:$C$17,2,FALSE),"")</x:f>
      </x:c>
      <x:c r="M514" s="268" t="str">
        <x:f>IFERROR(VLOOKUP(I514,'Handler-Team Map'!$A$7:$C$17,3,FALSE),"")</x:f>
      </x:c>
      <x:c r="N514" s="274" t="str">
        <x:v>FT_VM_DEP800_GET400_1X</x:v>
      </x:c>
      <x:c r="O514" s="274" t="str">
        <x:v>VIP BONUS - Deposit 800 Get 400 - 1x TO</x:v>
      </x:c>
      <x:c r="P514" s="274" t="str">
        <x:v>DepositBonus</x:v>
      </x:c>
      <x:c r="Q514" s="274" t="str">
        <x:v>Approved</x:v>
      </x:c>
      <x:c r="R514" s="265" t="n">
        <x:v>400</x:v>
      </x:c>
      <x:c r="S514" s="253" t="str">
        <x:v>Yes</x:v>
      </x:c>
      <x:c r="T514" s="265" t="n">
        <x:v>6000</x:v>
      </x:c>
      <x:c r="U514" s="253" t="str">
        <x:f>IF(AND(S514="Yes",T514=0),"Yes","No")</x:f>
        <x:v>No</x:v>
      </x:c>
      <x:c r="V514" s="253" t="str">
        <x:v>Yes</x:v>
      </x:c>
      <x:c r="W514" s="253" t="str">
        <x:v>Yes</x:v>
      </x:c>
      <x:c r="X514" s="259" t="n">
        <x:v>46154.166666666664</x:v>
      </x:c>
      <x:c r="Y514" s="265" t="n">
        <x:v>800</x:v>
      </x:c>
      <x:c r="Z514" s="265" t="n">
        <x:v>19179</x:v>
      </x:c>
      <x:c r="AA514" s="253" t="str">
        <x:f>IF(V514="No","Maturing",IF(AND(U514="Yes",Y514&gt;0),"Yes","No"))</x:f>
        <x:v>No</x:v>
      </x:c>
      <x:c r="AB514" s="253" t="str">
        <x:f>IF(W514="No","Maturing",IF(AND(U514="Yes",Z514&gt;0),"Yes","No"))</x:f>
        <x:v>No</x:v>
      </x:c>
      <x:c r="AC514" s="265" t="n">
        <x:v>-752.98</x:v>
      </x:c>
      <x:c r="AD514" s="265" t="n">
        <x:v>-15732.69</x:v>
      </x:c>
      <x:c r="AE514" s="271" t="str"/>
      <x:c r="AF514" s="274" t="str">
        <x:v>Not validated - no control/holdout</x:v>
      </x:c>
      <x:c r="AG514" s="277" t="str">
        <x:v>Recovered execution only; assignment date and unclaimed-offer denominator unavailable</x:v>
      </x:c>
    </x:row>
    <x:row r="515">
      <x:c r="A515" s="252" t="str">
        <x:v>34222632</x:v>
      </x:c>
      <x:c r="B515" s="253" t="str">
        <x:v>WS1</x:v>
      </x:c>
      <x:c r="C515" s="253" t="str">
        <x:v>MB8</x:v>
      </x:c>
      <x:c r="D515" s="262" t="n">
        <x:v>46154.65415509259</x:v>
      </x:c>
      <x:c r="E515" s="259" t="n">
        <x:v>46154.166666666664</x:v>
      </x:c>
      <x:c r="F515" s="253" t="str">
        <x:v>975565</x:v>
      </x:c>
      <x:c r="G515" s="253" t="str">
        <x:v>cloudywin</x:v>
      </x:c>
      <x:c r="H515" s="253" t="str">
        <x:v>Yes</x:v>
      </x:c>
      <x:c r="I515" s="253" t="str">
        <x:v>Serene</x:v>
      </x:c>
      <x:c r="J515" s="253" t="str">
        <x:v>Serene</x:v>
      </x:c>
      <x:c r="K515" s="259" t="n">
        <x:v>46105.166666666664</x:v>
      </x:c>
      <x:c r="L515" s="268" t="str">
        <x:f>IFERROR(VLOOKUP(I515,'Handler-Team Map'!$A$7:$C$17,2,FALSE),"")</x:f>
      </x:c>
      <x:c r="M515" s="268" t="str">
        <x:f>IFERROR(VLOOKUP(I515,'Handler-Team Map'!$A$7:$C$17,3,FALSE),"")</x:f>
      </x:c>
      <x:c r="N515" s="274" t="str">
        <x:v>FT_VM_DEP1000_GET1000_1X</x:v>
      </x:c>
      <x:c r="O515" s="274" t="str">
        <x:v>VIP BONUS - Deposit 1000 Get 1000 - 1x TO</x:v>
      </x:c>
      <x:c r="P515" s="274" t="str">
        <x:v>DepositBonus</x:v>
      </x:c>
      <x:c r="Q515" s="274" t="str">
        <x:v>Approved</x:v>
      </x:c>
      <x:c r="R515" s="265" t="n">
        <x:v>1000</x:v>
      </x:c>
      <x:c r="S515" s="253" t="str">
        <x:v>Yes</x:v>
      </x:c>
      <x:c r="T515" s="265" t="n">
        <x:v>171450</x:v>
      </x:c>
      <x:c r="U515" s="253" t="str">
        <x:f>IF(AND(S515="Yes",T515=0),"Yes","No")</x:f>
        <x:v>No</x:v>
      </x:c>
      <x:c r="V515" s="253" t="str">
        <x:v>Yes</x:v>
      </x:c>
      <x:c r="W515" s="253" t="str">
        <x:v>Yes</x:v>
      </x:c>
      <x:c r="X515" s="259" t="n">
        <x:v>46154.166666666664</x:v>
      </x:c>
      <x:c r="Y515" s="265" t="n">
        <x:v>33850</x:v>
      </x:c>
      <x:c r="Z515" s="265" t="n">
        <x:v>41850</x:v>
      </x:c>
      <x:c r="AA515" s="253" t="str">
        <x:f>IF(V515="No","Maturing",IF(AND(U515="Yes",Y515&gt;0),"Yes","No"))</x:f>
        <x:v>No</x:v>
      </x:c>
      <x:c r="AB515" s="253" t="str">
        <x:f>IF(W515="No","Maturing",IF(AND(U515="Yes",Z515&gt;0),"Yes","No"))</x:f>
        <x:v>No</x:v>
      </x:c>
      <x:c r="AC515" s="265" t="n">
        <x:v>14477.58</x:v>
      </x:c>
      <x:c r="AD515" s="265" t="n">
        <x:v>449.98</x:v>
      </x:c>
      <x:c r="AE515" s="271" t="str"/>
      <x:c r="AF515" s="274" t="str">
        <x:v>Not validated - no control/holdout</x:v>
      </x:c>
      <x:c r="AG515" s="277" t="str">
        <x:v>Recovered execution only; assignment date and unclaimed-offer denominator unavailable</x:v>
      </x:c>
    </x:row>
    <x:row r="516">
      <x:c r="A516" s="252" t="str">
        <x:v>34222821</x:v>
      </x:c>
      <x:c r="B516" s="253" t="str">
        <x:v>WS1</x:v>
      </x:c>
      <x:c r="C516" s="253" t="str">
        <x:v>MB8</x:v>
      </x:c>
      <x:c r="D516" s="262" t="n">
        <x:v>46154.67085648148</x:v>
      </x:c>
      <x:c r="E516" s="259" t="n">
        <x:v>46154.166666666664</x:v>
      </x:c>
      <x:c r="F516" s="253" t="str">
        <x:v>306733</x:v>
      </x:c>
      <x:c r="G516" s="253" t="str">
        <x:v>HC5140</x:v>
      </x:c>
      <x:c r="H516" s="253" t="str">
        <x:v>Yes</x:v>
      </x:c>
      <x:c r="I516" s="253" t="str">
        <x:v>Claire</x:v>
      </x:c>
      <x:c r="J516" s="253" t="str">
        <x:v>Claire</x:v>
      </x:c>
      <x:c r="K516" s="259" t="n">
        <x:v>45659.166666666664</x:v>
      </x:c>
      <x:c r="L516" s="268" t="str">
        <x:f>IFERROR(VLOOKUP(I516,'Handler-Team Map'!$A$7:$C$17,2,FALSE),"")</x:f>
      </x:c>
      <x:c r="M516" s="268" t="str">
        <x:f>IFERROR(VLOOKUP(I516,'Handler-Team Map'!$A$7:$C$17,3,FALSE),"")</x:f>
      </x:c>
      <x:c r="N516" s="274" t="str">
        <x:v>FT_VM_DEP1000_GET500_5X</x:v>
      </x:c>
      <x:c r="O516" s="274" t="str">
        <x:v>VIP BONUS - Deposit 1000 Get 500 - 5x TO</x:v>
      </x:c>
      <x:c r="P516" s="274" t="str">
        <x:v>DepositBonus</x:v>
      </x:c>
      <x:c r="Q516" s="274" t="str">
        <x:v>Approved</x:v>
      </x:c>
      <x:c r="R516" s="265" t="n">
        <x:v>500</x:v>
      </x:c>
      <x:c r="S516" s="253" t="str">
        <x:v>Yes</x:v>
      </x:c>
      <x:c r="T516" s="265" t="n">
        <x:v>153039</x:v>
      </x:c>
      <x:c r="U516" s="253" t="str">
        <x:f>IF(AND(S516="Yes",T516=0),"Yes","No")</x:f>
        <x:v>No</x:v>
      </x:c>
      <x:c r="V516" s="253" t="str">
        <x:v>Yes</x:v>
      </x:c>
      <x:c r="W516" s="253" t="str">
        <x:v>Yes</x:v>
      </x:c>
      <x:c r="X516" s="259" t="n">
        <x:v>46154.166666666664</x:v>
      </x:c>
      <x:c r="Y516" s="265" t="n">
        <x:v>65650</x:v>
      </x:c>
      <x:c r="Z516" s="265" t="n">
        <x:v>201450</x:v>
      </x:c>
      <x:c r="AA516" s="253" t="str">
        <x:f>IF(V516="No","Maturing",IF(AND(U516="Yes",Y516&gt;0),"Yes","No"))</x:f>
        <x:v>No</x:v>
      </x:c>
      <x:c r="AB516" s="253" t="str">
        <x:f>IF(W516="No","Maturing",IF(AND(U516="Yes",Z516&gt;0),"Yes","No"))</x:f>
        <x:v>No</x:v>
      </x:c>
      <x:c r="AC516" s="265" t="n">
        <x:v>5608.99</x:v>
      </x:c>
      <x:c r="AD516" s="265" t="n">
        <x:v>-5986.14</x:v>
      </x:c>
      <x:c r="AE516" s="271" t="str"/>
      <x:c r="AF516" s="274" t="str">
        <x:v>Not validated - no control/holdout</x:v>
      </x:c>
      <x:c r="AG516" s="277" t="str">
        <x:v>Recovered execution only; assignment date and unclaimed-offer denominator unavailable</x:v>
      </x:c>
    </x:row>
    <x:row r="517">
      <x:c r="A517" s="252" t="str">
        <x:v>34223089</x:v>
      </x:c>
      <x:c r="B517" s="253" t="str">
        <x:v>WS1</x:v>
      </x:c>
      <x:c r="C517" s="253" t="str">
        <x:v>MB8</x:v>
      </x:c>
      <x:c r="D517" s="262" t="n">
        <x:v>46154.693506944444</x:v>
      </x:c>
      <x:c r="E517" s="259" t="n">
        <x:v>46154.166666666664</x:v>
      </x:c>
      <x:c r="F517" s="253" t="str">
        <x:v>803558</x:v>
      </x:c>
      <x:c r="G517" s="253" t="str">
        <x:v>ctt123</x:v>
      </x:c>
      <x:c r="H517" s="253" t="str">
        <x:v>Yes</x:v>
      </x:c>
      <x:c r="I517" s="253" t="str">
        <x:v>Elda</x:v>
      </x:c>
      <x:c r="J517" s="253" t="str">
        <x:v>Elda</x:v>
      </x:c>
      <x:c r="K517" s="259" t="n">
        <x:v>45659.166666666664</x:v>
      </x:c>
      <x:c r="L517" s="268" t="str">
        <x:f>IFERROR(VLOOKUP(I517,'Handler-Team Map'!$A$7:$C$17,2,FALSE),"")</x:f>
      </x:c>
      <x:c r="M517" s="268" t="str">
        <x:f>IFERROR(VLOOKUP(I517,'Handler-Team Map'!$A$7:$C$17,3,FALSE),"")</x:f>
      </x:c>
      <x:c r="N517" s="274" t="str">
        <x:v>FT_VM_DEP700_GET300_2X</x:v>
      </x:c>
      <x:c r="O517" s="274" t="str">
        <x:v>VIP BONUS - Deposit 700 Get 300 - 2x TO</x:v>
      </x:c>
      <x:c r="P517" s="274" t="str">
        <x:v>DepositBonus</x:v>
      </x:c>
      <x:c r="Q517" s="274" t="str">
        <x:v>Approved</x:v>
      </x:c>
      <x:c r="R517" s="265" t="n">
        <x:v>300</x:v>
      </x:c>
      <x:c r="S517" s="253" t="str">
        <x:v>Yes</x:v>
      </x:c>
      <x:c r="T517" s="265" t="n">
        <x:v>800</x:v>
      </x:c>
      <x:c r="U517" s="253" t="str">
        <x:f>IF(AND(S517="Yes",T517=0),"Yes","No")</x:f>
        <x:v>No</x:v>
      </x:c>
      <x:c r="V517" s="253" t="str">
        <x:v>Yes</x:v>
      </x:c>
      <x:c r="W517" s="253" t="str">
        <x:v>Yes</x:v>
      </x:c>
      <x:c r="X517" s="259" t="n">
        <x:v>46154.166666666664</x:v>
      </x:c>
      <x:c r="Y517" s="265" t="n">
        <x:v>700</x:v>
      </x:c>
      <x:c r="Z517" s="265" t="n">
        <x:v>700</x:v>
      </x:c>
      <x:c r="AA517" s="253" t="str">
        <x:f>IF(V517="No","Maturing",IF(AND(U517="Yes",Y517&gt;0),"Yes","No"))</x:f>
        <x:v>No</x:v>
      </x:c>
      <x:c r="AB517" s="253" t="str">
        <x:f>IF(W517="No","Maturing",IF(AND(U517="Yes",Z517&gt;0),"Yes","No"))</x:f>
        <x:v>No</x:v>
      </x:c>
      <x:c r="AC517" s="265" t="n">
        <x:v>-405.65</x:v>
      </x:c>
      <x:c r="AD517" s="265" t="n">
        <x:v>-405.65</x:v>
      </x:c>
      <x:c r="AE517" s="271" t="str"/>
      <x:c r="AF517" s="274" t="str">
        <x:v>Not validated - no control/holdout</x:v>
      </x:c>
      <x:c r="AG517" s="277" t="str">
        <x:v>Recovered execution only; assignment date and unclaimed-offer denominator unavailable</x:v>
      </x:c>
    </x:row>
    <x:row r="518">
      <x:c r="A518" s="252" t="str">
        <x:v>34223407</x:v>
      </x:c>
      <x:c r="B518" s="253" t="str">
        <x:v>WS1</x:v>
      </x:c>
      <x:c r="C518" s="253" t="str">
        <x:v>MB8</x:v>
      </x:c>
      <x:c r="D518" s="262" t="n">
        <x:v>46154.722083333334</x:v>
      </x:c>
      <x:c r="E518" s="259" t="n">
        <x:v>46154.166666666664</x:v>
      </x:c>
      <x:c r="F518" s="253" t="str">
        <x:v>312334</x:v>
      </x:c>
      <x:c r="G518" s="253" t="str">
        <x:v>lwc666</x:v>
      </x:c>
      <x:c r="H518" s="253" t="str">
        <x:v>Yes</x:v>
      </x:c>
      <x:c r="I518" s="253" t="str">
        <x:v>Serene</x:v>
      </x:c>
      <x:c r="J518" s="253" t="str">
        <x:v>Serene</x:v>
      </x:c>
      <x:c r="K518" s="259" t="n">
        <x:v>46090.166666666664</x:v>
      </x:c>
      <x:c r="L518" s="268" t="str">
        <x:f>IFERROR(VLOOKUP(I518,'Handler-Team Map'!$A$7:$C$17,2,FALSE),"")</x:f>
      </x:c>
      <x:c r="M518" s="268" t="str">
        <x:f>IFERROR(VLOOKUP(I518,'Handler-Team Map'!$A$7:$C$17,3,FALSE),"")</x:f>
      </x:c>
      <x:c r="N518" s="274" t="str">
        <x:v>FT_VM_DEP600_GET200_5X</x:v>
      </x:c>
      <x:c r="O518" s="274" t="str">
        <x:v>VIP BONUS - Deposit 600 Get 200 - 5x TO</x:v>
      </x:c>
      <x:c r="P518" s="274" t="str">
        <x:v>DepositBonus</x:v>
      </x:c>
      <x:c r="Q518" s="274" t="str">
        <x:v>Approved</x:v>
      </x:c>
      <x:c r="R518" s="265" t="n">
        <x:v>200</x:v>
      </x:c>
      <x:c r="S518" s="253" t="str">
        <x:v>Yes</x:v>
      </x:c>
      <x:c r="T518" s="265" t="n">
        <x:v>39969</x:v>
      </x:c>
      <x:c r="U518" s="253" t="str">
        <x:f>IF(AND(S518="Yes",T518=0),"Yes","No")</x:f>
        <x:v>No</x:v>
      </x:c>
      <x:c r="V518" s="253" t="str">
        <x:v>Yes</x:v>
      </x:c>
      <x:c r="W518" s="253" t="str">
        <x:v>Yes</x:v>
      </x:c>
      <x:c r="X518" s="259" t="n">
        <x:v>46154.166666666664</x:v>
      </x:c>
      <x:c r="Y518" s="265" t="n">
        <x:v>3360</x:v>
      </x:c>
      <x:c r="Z518" s="265" t="n">
        <x:v>3360</x:v>
      </x:c>
      <x:c r="AA518" s="253" t="str">
        <x:f>IF(V518="No","Maturing",IF(AND(U518="Yes",Y518&gt;0),"Yes","No"))</x:f>
        <x:v>No</x:v>
      </x:c>
      <x:c r="AB518" s="253" t="str">
        <x:f>IF(W518="No","Maturing",IF(AND(U518="Yes",Z518&gt;0),"Yes","No"))</x:f>
        <x:v>No</x:v>
      </x:c>
      <x:c r="AC518" s="265" t="n">
        <x:v>3354.74</x:v>
      </x:c>
      <x:c r="AD518" s="265" t="n">
        <x:v>3361.74</x:v>
      </x:c>
      <x:c r="AE518" s="271" t="str"/>
      <x:c r="AF518" s="274" t="str">
        <x:v>Not validated - no control/holdout</x:v>
      </x:c>
      <x:c r="AG518" s="277" t="str">
        <x:v>Recovered execution only; assignment date and unclaimed-offer denominator unavailable</x:v>
      </x:c>
    </x:row>
    <x:row r="519">
      <x:c r="A519" s="252" t="str">
        <x:v>34223519</x:v>
      </x:c>
      <x:c r="B519" s="253" t="str">
        <x:v>WS1</x:v>
      </x:c>
      <x:c r="C519" s="253" t="str">
        <x:v>MB8</x:v>
      </x:c>
      <x:c r="D519" s="262" t="n">
        <x:v>46154.73119212963</x:v>
      </x:c>
      <x:c r="E519" s="259" t="n">
        <x:v>46154.166666666664</x:v>
      </x:c>
      <x:c r="F519" s="253" t="str">
        <x:v>725972</x:v>
      </x:c>
      <x:c r="G519" s="253" t="str">
        <x:v>chuamek</x:v>
      </x:c>
      <x:c r="H519" s="253" t="str">
        <x:v>Yes</x:v>
      </x:c>
      <x:c r="I519" s="253" t="str">
        <x:v>zhen</x:v>
      </x:c>
      <x:c r="J519" s="253" t="str">
        <x:v>zhen</x:v>
      </x:c>
      <x:c r="K519" s="259" t="n">
        <x:v>45880.166666666664</x:v>
      </x:c>
      <x:c r="L519" s="268" t="str">
        <x:f>IFERROR(VLOOKUP(I519,'Handler-Team Map'!$A$7:$C$17,2,FALSE),"")</x:f>
      </x:c>
      <x:c r="M519" s="268" t="str">
        <x:f>IFERROR(VLOOKUP(I519,'Handler-Team Map'!$A$7:$C$17,3,FALSE),"")</x:f>
      </x:c>
      <x:c r="N519" s="274" t="str">
        <x:v>FT_VM_DEP700_GET300_2X</x:v>
      </x:c>
      <x:c r="O519" s="274" t="str">
        <x:v>VIP BONUS - Deposit 700 Get 300 - 2x TO</x:v>
      </x:c>
      <x:c r="P519" s="274" t="str">
        <x:v>DepositBonus</x:v>
      </x:c>
      <x:c r="Q519" s="274" t="str">
        <x:v>Approved</x:v>
      </x:c>
      <x:c r="R519" s="265" t="n">
        <x:v>300</x:v>
      </x:c>
      <x:c r="S519" s="253" t="str">
        <x:v>Yes</x:v>
      </x:c>
      <x:c r="T519" s="265" t="n">
        <x:v>700</x:v>
      </x:c>
      <x:c r="U519" s="253" t="str">
        <x:f>IF(AND(S519="Yes",T519=0),"Yes","No")</x:f>
        <x:v>No</x:v>
      </x:c>
      <x:c r="V519" s="253" t="str">
        <x:v>Yes</x:v>
      </x:c>
      <x:c r="W519" s="253" t="str">
        <x:v>Yes</x:v>
      </x:c>
      <x:c r="X519" s="259" t="n">
        <x:v>46154.166666666664</x:v>
      </x:c>
      <x:c r="Y519" s="265" t="n">
        <x:v>700</x:v>
      </x:c>
      <x:c r="Z519" s="265" t="n">
        <x:v>700</x:v>
      </x:c>
      <x:c r="AA519" s="253" t="str">
        <x:f>IF(V519="No","Maturing",IF(AND(U519="Yes",Y519&gt;0),"Yes","No"))</x:f>
        <x:v>No</x:v>
      </x:c>
      <x:c r="AB519" s="253" t="str">
        <x:f>IF(W519="No","Maturing",IF(AND(U519="Yes",Z519&gt;0),"Yes","No"))</x:f>
        <x:v>No</x:v>
      </x:c>
      <x:c r="AC519" s="265" t="n">
        <x:v>730</x:v>
      </x:c>
      <x:c r="AD519" s="265" t="n">
        <x:v>730</x:v>
      </x:c>
      <x:c r="AE519" s="271" t="str"/>
      <x:c r="AF519" s="274" t="str">
        <x:v>Not validated - no control/holdout</x:v>
      </x:c>
      <x:c r="AG519" s="277" t="str">
        <x:v>Recovered execution only; assignment date and unclaimed-offer denominator unavailable</x:v>
      </x:c>
    </x:row>
    <x:row r="520">
      <x:c r="A520" s="252" t="str">
        <x:v>34223852</x:v>
      </x:c>
      <x:c r="B520" s="253" t="str">
        <x:v>WS1</x:v>
      </x:c>
      <x:c r="C520" s="253" t="str">
        <x:v>MB8</x:v>
      </x:c>
      <x:c r="D520" s="262" t="n">
        <x:v>46154.76076388889</x:v>
      </x:c>
      <x:c r="E520" s="259" t="n">
        <x:v>46154.166666666664</x:v>
      </x:c>
      <x:c r="F520" s="253" t="str">
        <x:v>1122015</x:v>
      </x:c>
      <x:c r="G520" s="253" t="str">
        <x:v>Liew2318</x:v>
      </x:c>
      <x:c r="H520" s="253" t="str">
        <x:v>Yes</x:v>
      </x:c>
      <x:c r="I520" s="253" t="str"/>
      <x:c r="J520" s="253" t="str"/>
      <x:c r="K520" s="259"/>
      <x:c r="L520" s="268" t="str">
        <x:f>IFERROR(VLOOKUP(I520,'Handler-Team Map'!$A$7:$C$17,2,FALSE),"")</x:f>
      </x:c>
      <x:c r="M520" s="268" t="str">
        <x:f>IFERROR(VLOOKUP(I520,'Handler-Team Map'!$A$7:$C$17,3,FALSE),"")</x:f>
      </x:c>
      <x:c r="N520" s="274" t="str">
        <x:v>FT_VM_DEP1000_GET500_5X</x:v>
      </x:c>
      <x:c r="O520" s="274" t="str">
        <x:v>VIP BONUS - Deposit 1000 Get 500 - 5x TO</x:v>
      </x:c>
      <x:c r="P520" s="274" t="str">
        <x:v>DepositBonus</x:v>
      </x:c>
      <x:c r="Q520" s="274" t="str">
        <x:v>Approved</x:v>
      </x:c>
      <x:c r="R520" s="265" t="n">
        <x:v>500</x:v>
      </x:c>
      <x:c r="S520" s="253" t="str">
        <x:v>Yes</x:v>
      </x:c>
      <x:c r="T520" s="265" t="n">
        <x:v>1000</x:v>
      </x:c>
      <x:c r="U520" s="253" t="str">
        <x:f>IF(AND(S520="Yes",T520=0),"Yes","No")</x:f>
        <x:v>No</x:v>
      </x:c>
      <x:c r="V520" s="253" t="str">
        <x:v>Yes</x:v>
      </x:c>
      <x:c r="W520" s="253" t="str">
        <x:v>Yes</x:v>
      </x:c>
      <x:c r="X520" s="259" t="n">
        <x:v>46154.166666666664</x:v>
      </x:c>
      <x:c r="Y520" s="265" t="n">
        <x:v>2000</x:v>
      </x:c>
      <x:c r="Z520" s="265" t="n">
        <x:v>2000</x:v>
      </x:c>
      <x:c r="AA520" s="253" t="str">
        <x:f>IF(V520="No","Maturing",IF(AND(U520="Yes",Y520&gt;0),"Yes","No"))</x:f>
        <x:v>No</x:v>
      </x:c>
      <x:c r="AB520" s="253" t="str">
        <x:f>IF(W520="No","Maturing",IF(AND(U520="Yes",Z520&gt;0),"Yes","No"))</x:f>
        <x:v>No</x:v>
      </x:c>
      <x:c r="AC520" s="265" t="n">
        <x:v>1998.66</x:v>
      </x:c>
      <x:c r="AD520" s="265" t="n">
        <x:v>1998.66</x:v>
      </x:c>
      <x:c r="AE520" s="271" t="str"/>
      <x:c r="AF520" s="274" t="str">
        <x:v>Not validated - no control/holdout</x:v>
      </x:c>
      <x:c r="AG520" s="277" t="str">
        <x:v>Recovered execution only; assignment date and unclaimed-offer denominator unavailable</x:v>
      </x:c>
    </x:row>
    <x:row r="521">
      <x:c r="A521" s="252" t="str">
        <x:v>34224414</x:v>
      </x:c>
      <x:c r="B521" s="253" t="str">
        <x:v>WS1</x:v>
      </x:c>
      <x:c r="C521" s="253" t="str">
        <x:v>MB8</x:v>
      </x:c>
      <x:c r="D521" s="262" t="n">
        <x:v>46154.81354166667</x:v>
      </x:c>
      <x:c r="E521" s="259" t="n">
        <x:v>46154.166666666664</x:v>
      </x:c>
      <x:c r="F521" s="253" t="str">
        <x:v>378186</x:v>
      </x:c>
      <x:c r="G521" s="253" t="str">
        <x:v>rahman94</x:v>
      </x:c>
      <x:c r="H521" s="253" t="str">
        <x:v>Yes</x:v>
      </x:c>
      <x:c r="I521" s="253" t="str"/>
      <x:c r="J521" s="253" t="str"/>
      <x:c r="K521" s="259"/>
      <x:c r="L521" s="268" t="str">
        <x:f>IFERROR(VLOOKUP(I521,'Handler-Team Map'!$A$7:$C$17,2,FALSE),"")</x:f>
      </x:c>
      <x:c r="M521" s="268" t="str">
        <x:f>IFERROR(VLOOKUP(I521,'Handler-Team Map'!$A$7:$C$17,3,FALSE),"")</x:f>
      </x:c>
      <x:c r="N521" s="274" t="str">
        <x:v>FT_VM_DEP1000_GET500_1X</x:v>
      </x:c>
      <x:c r="O521" s="274" t="str">
        <x:v>VIP BONUS - Deposit 1000 Get 500 - 1x TO</x:v>
      </x:c>
      <x:c r="P521" s="274" t="str">
        <x:v>DepositBonus</x:v>
      </x:c>
      <x:c r="Q521" s="274" t="str">
        <x:v>Approved</x:v>
      </x:c>
      <x:c r="R521" s="265" t="n">
        <x:v>500</x:v>
      </x:c>
      <x:c r="S521" s="253" t="str">
        <x:v>Yes</x:v>
      </x:c>
      <x:c r="T521" s="265" t="n">
        <x:v>0</x:v>
      </x:c>
      <x:c r="U521" s="253" t="str">
        <x:f>IF(AND(S521="Yes",T521=0),"Yes","No")</x:f>
        <x:v>Yes</x:v>
      </x:c>
      <x:c r="V521" s="253" t="str">
        <x:v>Yes</x:v>
      </x:c>
      <x:c r="W521" s="253" t="str">
        <x:v>Yes</x:v>
      </x:c>
      <x:c r="X521" s="259" t="n">
        <x:v>46154.166666666664</x:v>
      </x:c>
      <x:c r="Y521" s="265" t="n">
        <x:v>1000</x:v>
      </x:c>
      <x:c r="Z521" s="265" t="n">
        <x:v>1000</x:v>
      </x:c>
      <x:c r="AA521" s="253" t="str">
        <x:f>IF(V521="No","Maturing",IF(AND(U521="Yes",Y521&gt;0),"Yes","No"))</x:f>
        <x:v>Yes</x:v>
      </x:c>
      <x:c r="AB521" s="253" t="str">
        <x:f>IF(W521="No","Maturing",IF(AND(U521="Yes",Z521&gt;0),"Yes","No"))</x:f>
        <x:v>Yes</x:v>
      </x:c>
      <x:c r="AC521" s="265" t="n">
        <x:v>-1199.17</x:v>
      </x:c>
      <x:c r="AD521" s="265" t="n">
        <x:v>-1199.17</x:v>
      </x:c>
      <x:c r="AE521" s="271" t="str"/>
      <x:c r="AF521" s="274" t="str">
        <x:v>Not validated - no control/holdout</x:v>
      </x:c>
      <x:c r="AG521" s="277" t="str">
        <x:v>Recovered execution only; assignment date and unclaimed-offer denominator unavailable</x:v>
      </x:c>
    </x:row>
    <x:row r="522">
      <x:c r="A522" s="252" t="str">
        <x:v>34224820</x:v>
      </x:c>
      <x:c r="B522" s="253" t="str">
        <x:v>WS1</x:v>
      </x:c>
      <x:c r="C522" s="253" t="str">
        <x:v>MB8</x:v>
      </x:c>
      <x:c r="D522" s="262" t="n">
        <x:v>46154.850486111114</x:v>
      </x:c>
      <x:c r="E522" s="259" t="n">
        <x:v>46154.166666666664</x:v>
      </x:c>
      <x:c r="F522" s="253" t="str">
        <x:v>1196230</x:v>
      </x:c>
      <x:c r="G522" s="253" t="str">
        <x:v>yongkiat19218</x:v>
      </x:c>
      <x:c r="H522" s="253" t="str">
        <x:v>Yes</x:v>
      </x:c>
      <x:c r="I522" s="253" t="str"/>
      <x:c r="J522" s="253" t="str"/>
      <x:c r="K522" s="259"/>
      <x:c r="L522" s="268" t="str">
        <x:f>IFERROR(VLOOKUP(I522,'Handler-Team Map'!$A$7:$C$17,2,FALSE),"")</x:f>
      </x:c>
      <x:c r="M522" s="268" t="str">
        <x:f>IFERROR(VLOOKUP(I522,'Handler-Team Map'!$A$7:$C$17,3,FALSE),"")</x:f>
      </x:c>
      <x:c r="N522" s="274" t="str">
        <x:v>FT_VM_DEP800_GET400_1X</x:v>
      </x:c>
      <x:c r="O522" s="274" t="str">
        <x:v>VIP BONUS - Deposit 800 Get 400 - 1x TO</x:v>
      </x:c>
      <x:c r="P522" s="274" t="str">
        <x:v>DepositBonus</x:v>
      </x:c>
      <x:c r="Q522" s="274" t="str">
        <x:v>Approved</x:v>
      </x:c>
      <x:c r="R522" s="265" t="n">
        <x:v>400</x:v>
      </x:c>
      <x:c r="S522" s="253" t="str">
        <x:v>Yes</x:v>
      </x:c>
      <x:c r="T522" s="265" t="n">
        <x:v>1600</x:v>
      </x:c>
      <x:c r="U522" s="253" t="str">
        <x:f>IF(AND(S522="Yes",T522=0),"Yes","No")</x:f>
        <x:v>No</x:v>
      </x:c>
      <x:c r="V522" s="253" t="str">
        <x:v>Yes</x:v>
      </x:c>
      <x:c r="W522" s="253" t="str">
        <x:v>Yes</x:v>
      </x:c>
      <x:c r="X522" s="259" t="n">
        <x:v>46154.166666666664</x:v>
      </x:c>
      <x:c r="Y522" s="265" t="n">
        <x:v>800</x:v>
      </x:c>
      <x:c r="Z522" s="265" t="n">
        <x:v>800</x:v>
      </x:c>
      <x:c r="AA522" s="253" t="str">
        <x:f>IF(V522="No","Maturing",IF(AND(U522="Yes",Y522&gt;0),"Yes","No"))</x:f>
        <x:v>No</x:v>
      </x:c>
      <x:c r="AB522" s="253" t="str">
        <x:f>IF(W522="No","Maturing",IF(AND(U522="Yes",Z522&gt;0),"Yes","No"))</x:f>
        <x:v>No</x:v>
      </x:c>
      <x:c r="AC522" s="265" t="n">
        <x:v>67.63</x:v>
      </x:c>
      <x:c r="AD522" s="265" t="n">
        <x:v>67.63</x:v>
      </x:c>
      <x:c r="AE522" s="271" t="str"/>
      <x:c r="AF522" s="274" t="str">
        <x:v>Not validated - no control/holdout</x:v>
      </x:c>
      <x:c r="AG522" s="277" t="str">
        <x:v>Recovered execution only; assignment date and unclaimed-offer denominator unavailable</x:v>
      </x:c>
    </x:row>
    <x:row r="523">
      <x:c r="A523" s="252" t="str">
        <x:v>34225617</x:v>
      </x:c>
      <x:c r="B523" s="253" t="str">
        <x:v>WS1</x:v>
      </x:c>
      <x:c r="C523" s="253" t="str"/>
      <x:c r="D523" s="262" t="n">
        <x:v>46154.908854166664</x:v>
      </x:c>
      <x:c r="E523" s="259" t="n">
        <x:v>46154.166666666664</x:v>
      </x:c>
      <x:c r="F523" s="253" t="str">
        <x:v>96107</x:v>
      </x:c>
      <x:c r="G523" s="253" t="str"/>
      <x:c r="H523" s="253" t="str">
        <x:v>Yes</x:v>
      </x:c>
      <x:c r="I523" s="253" t="str">
        <x:v>Serene</x:v>
      </x:c>
      <x:c r="J523" s="253" t="str">
        <x:v>Serene</x:v>
      </x:c>
      <x:c r="K523" s="259" t="n">
        <x:v>45831.166666666664</x:v>
      </x:c>
      <x:c r="L523" s="268" t="str">
        <x:f>IFERROR(VLOOKUP(I523,'Handler-Team Map'!$A$7:$C$17,2,FALSE),"")</x:f>
      </x:c>
      <x:c r="M523" s="268" t="str">
        <x:f>IFERROR(VLOOKUP(I523,'Handler-Team Map'!$A$7:$C$17,3,FALSE),"")</x:f>
      </x:c>
      <x:c r="N523" s="274" t="str">
        <x:v>FT_VM_DEP600_GET200_2X</x:v>
      </x:c>
      <x:c r="O523" s="274" t="str">
        <x:v>VIP BONUS - Deposit 600 Get 200 - 2x TO</x:v>
      </x:c>
      <x:c r="P523" s="274" t="str">
        <x:v>DepositBonus</x:v>
      </x:c>
      <x:c r="Q523" s="274" t="str">
        <x:v>Approved</x:v>
      </x:c>
      <x:c r="R523" s="265" t="n">
        <x:v>200</x:v>
      </x:c>
      <x:c r="S523" s="253" t="str">
        <x:v>No</x:v>
      </x:c>
      <x:c r="T523" s="265" t="n">
        <x:v>19870</x:v>
      </x:c>
      <x:c r="U523" s="253" t="str">
        <x:f>IF(AND(S523="Yes",T523=0),"Yes","No")</x:f>
        <x:v>No</x:v>
      </x:c>
      <x:c r="V523" s="253" t="str">
        <x:v>Yes</x:v>
      </x:c>
      <x:c r="W523" s="253" t="str">
        <x:v>Yes</x:v>
      </x:c>
      <x:c r="X523" s="259" t="n">
        <x:v>46154.166666666664</x:v>
      </x:c>
      <x:c r="Y523" s="265" t="n">
        <x:v>4700</x:v>
      </x:c>
      <x:c r="Z523" s="265" t="n">
        <x:v>8420</x:v>
      </x:c>
      <x:c r="AA523" s="253" t="str">
        <x:f>IF(V523="No","Maturing",IF(AND(U523="Yes",Y523&gt;0),"Yes","No"))</x:f>
        <x:v>No</x:v>
      </x:c>
      <x:c r="AB523" s="253" t="str">
        <x:f>IF(W523="No","Maturing",IF(AND(U523="Yes",Z523&gt;0),"Yes","No"))</x:f>
        <x:v>No</x:v>
      </x:c>
      <x:c r="AC523" s="265" t="n">
        <x:v>4217.08</x:v>
      </x:c>
      <x:c r="AD523" s="265" t="n">
        <x:v>7949.36</x:v>
      </x:c>
      <x:c r="AE523" s="271" t="str"/>
      <x:c r="AF523" s="274" t="str">
        <x:v>Not validated - no control/holdout</x:v>
      </x:c>
      <x:c r="AG523" s="277" t="str">
        <x:v>Recovered execution only; assignment date and unclaimed-offer denominator unavailable</x:v>
      </x:c>
    </x:row>
    <x:row r="524">
      <x:c r="A524" s="252" t="str">
        <x:v>34225719</x:v>
      </x:c>
      <x:c r="B524" s="253" t="str">
        <x:v>WS1</x:v>
      </x:c>
      <x:c r="C524" s="253" t="str">
        <x:v>MB8</x:v>
      </x:c>
      <x:c r="D524" s="262" t="n">
        <x:v>46154.91607638889</x:v>
      </x:c>
      <x:c r="E524" s="259" t="n">
        <x:v>46154.166666666664</x:v>
      </x:c>
      <x:c r="F524" s="253" t="str">
        <x:v>663490</x:v>
      </x:c>
      <x:c r="G524" s="253" t="str">
        <x:v>Arsenal9968</x:v>
      </x:c>
      <x:c r="H524" s="253" t="str">
        <x:v>Yes</x:v>
      </x:c>
      <x:c r="I524" s="253" t="str">
        <x:v>Claire</x:v>
      </x:c>
      <x:c r="J524" s="253" t="str">
        <x:v>Claire</x:v>
      </x:c>
      <x:c r="K524" s="259" t="n">
        <x:v>45659.166666666664</x:v>
      </x:c>
      <x:c r="L524" s="268" t="str">
        <x:f>IFERROR(VLOOKUP(I524,'Handler-Team Map'!$A$7:$C$17,2,FALSE),"")</x:f>
      </x:c>
      <x:c r="M524" s="268" t="str">
        <x:f>IFERROR(VLOOKUP(I524,'Handler-Team Map'!$A$7:$C$17,3,FALSE),"")</x:f>
      </x:c>
      <x:c r="N524" s="274" t="str">
        <x:v>FT_VM_DEP600_GET200_5X</x:v>
      </x:c>
      <x:c r="O524" s="274" t="str">
        <x:v>VIP BONUS - Deposit 600 Get 200 - 5x TO</x:v>
      </x:c>
      <x:c r="P524" s="274" t="str">
        <x:v>DepositBonus</x:v>
      </x:c>
      <x:c r="Q524" s="274" t="str">
        <x:v>Approved</x:v>
      </x:c>
      <x:c r="R524" s="265" t="n">
        <x:v>200</x:v>
      </x:c>
      <x:c r="S524" s="253" t="str">
        <x:v>Yes</x:v>
      </x:c>
      <x:c r="T524" s="265" t="n">
        <x:v>97988</x:v>
      </x:c>
      <x:c r="U524" s="253" t="str">
        <x:f>IF(AND(S524="Yes",T524=0),"Yes","No")</x:f>
        <x:v>No</x:v>
      </x:c>
      <x:c r="V524" s="253" t="str">
        <x:v>Yes</x:v>
      </x:c>
      <x:c r="W524" s="253" t="str">
        <x:v>Yes</x:v>
      </x:c>
      <x:c r="X524" s="259" t="n">
        <x:v>46154.166666666664</x:v>
      </x:c>
      <x:c r="Y524" s="265" t="n">
        <x:v>34550</x:v>
      </x:c>
      <x:c r="Z524" s="265" t="n">
        <x:v>67374</x:v>
      </x:c>
      <x:c r="AA524" s="253" t="str">
        <x:f>IF(V524="No","Maturing",IF(AND(U524="Yes",Y524&gt;0),"Yes","No"))</x:f>
        <x:v>No</x:v>
      </x:c>
      <x:c r="AB524" s="253" t="str">
        <x:f>IF(W524="No","Maturing",IF(AND(U524="Yes",Z524&gt;0),"Yes","No"))</x:f>
        <x:v>No</x:v>
      </x:c>
      <x:c r="AC524" s="265" t="n">
        <x:v>20956.5</x:v>
      </x:c>
      <x:c r="AD524" s="265" t="n">
        <x:v>20322.8</x:v>
      </x:c>
      <x:c r="AE524" s="271" t="str"/>
      <x:c r="AF524" s="274" t="str">
        <x:v>Not validated - no control/holdout</x:v>
      </x:c>
      <x:c r="AG524" s="277" t="str">
        <x:v>Recovered execution only; assignment date and unclaimed-offer denominator unavailable</x:v>
      </x:c>
    </x:row>
    <x:row r="525">
      <x:c r="A525" s="252" t="str">
        <x:v>34225782</x:v>
      </x:c>
      <x:c r="B525" s="253" t="str">
        <x:v>WS1</x:v>
      </x:c>
      <x:c r="C525" s="253" t="str">
        <x:v>MB8</x:v>
      </x:c>
      <x:c r="D525" s="262" t="n">
        <x:v>46154.92024305555</x:v>
      </x:c>
      <x:c r="E525" s="259" t="n">
        <x:v>46154.166666666664</x:v>
      </x:c>
      <x:c r="F525" s="253" t="str">
        <x:v>111833</x:v>
      </x:c>
      <x:c r="G525" s="253" t="str">
        <x:v>ESR1980</x:v>
      </x:c>
      <x:c r="H525" s="253" t="str">
        <x:v>Yes</x:v>
      </x:c>
      <x:c r="I525" s="253" t="str">
        <x:v>Sheena</x:v>
      </x:c>
      <x:c r="J525" s="253" t="str">
        <x:v>Sheena</x:v>
      </x:c>
      <x:c r="K525" s="259" t="n">
        <x:v>46090.166666666664</x:v>
      </x:c>
      <x:c r="L525" s="268" t="str">
        <x:f>IFERROR(VLOOKUP(I525,'Handler-Team Map'!$A$7:$C$17,2,FALSE),"")</x:f>
      </x:c>
      <x:c r="M525" s="268" t="str">
        <x:f>IFERROR(VLOOKUP(I525,'Handler-Team Map'!$A$7:$C$17,3,FALSE),"")</x:f>
      </x:c>
      <x:c r="N525" s="274" t="str">
        <x:v>FT_VM_DEP150_GET50_5X</x:v>
      </x:c>
      <x:c r="O525" s="274" t="str">
        <x:v>VIP BONUS - Deposit 150 Get 50 - 5x TO</x:v>
      </x:c>
      <x:c r="P525" s="274" t="str">
        <x:v>DepositBonus</x:v>
      </x:c>
      <x:c r="Q525" s="274" t="str">
        <x:v>Approved</x:v>
      </x:c>
      <x:c r="R525" s="265" t="n">
        <x:v>50</x:v>
      </x:c>
      <x:c r="S525" s="253" t="str">
        <x:v>Yes</x:v>
      </x:c>
      <x:c r="T525" s="265" t="n">
        <x:v>38750</x:v>
      </x:c>
      <x:c r="U525" s="253" t="str">
        <x:f>IF(AND(S525="Yes",T525=0),"Yes","No")</x:f>
        <x:v>No</x:v>
      </x:c>
      <x:c r="V525" s="253" t="str">
        <x:v>Yes</x:v>
      </x:c>
      <x:c r="W525" s="253" t="str">
        <x:v>Yes</x:v>
      </x:c>
      <x:c r="X525" s="259" t="n">
        <x:v>46154.166666666664</x:v>
      </x:c>
      <x:c r="Y525" s="265" t="n">
        <x:v>2150</x:v>
      </x:c>
      <x:c r="Z525" s="265" t="n">
        <x:v>2150</x:v>
      </x:c>
      <x:c r="AA525" s="253" t="str">
        <x:f>IF(V525="No","Maturing",IF(AND(U525="Yes",Y525&gt;0),"Yes","No"))</x:f>
        <x:v>No</x:v>
      </x:c>
      <x:c r="AB525" s="253" t="str">
        <x:f>IF(W525="No","Maturing",IF(AND(U525="Yes",Z525&gt;0),"Yes","No"))</x:f>
        <x:v>No</x:v>
      </x:c>
      <x:c r="AC525" s="265" t="n">
        <x:v>1942.91</x:v>
      </x:c>
      <x:c r="AD525" s="265" t="n">
        <x:v>1942.91</x:v>
      </x:c>
      <x:c r="AE525" s="271" t="str"/>
      <x:c r="AF525" s="274" t="str">
        <x:v>Not validated - no control/holdout</x:v>
      </x:c>
      <x:c r="AG525" s="277" t="str">
        <x:v>Recovered execution only; assignment date and unclaimed-offer denominator unavailable</x:v>
      </x:c>
    </x:row>
    <x:row r="526">
      <x:c r="A526" s="252" t="str">
        <x:v>34226733</x:v>
      </x:c>
      <x:c r="B526" s="253" t="str">
        <x:v>WS1</x:v>
      </x:c>
      <x:c r="C526" s="253" t="str">
        <x:v>MB8</x:v>
      </x:c>
      <x:c r="D526" s="262" t="n">
        <x:v>46154.97280092593</x:v>
      </x:c>
      <x:c r="E526" s="259" t="n">
        <x:v>46154.166666666664</x:v>
      </x:c>
      <x:c r="F526" s="253" t="str">
        <x:v>438623</x:v>
      </x:c>
      <x:c r="G526" s="253" t="str">
        <x:v>Allaxe88</x:v>
      </x:c>
      <x:c r="H526" s="253" t="str">
        <x:v>Yes</x:v>
      </x:c>
      <x:c r="I526" s="253" t="str">
        <x:v>Claire</x:v>
      </x:c>
      <x:c r="J526" s="253" t="str">
        <x:v>Claire</x:v>
      </x:c>
      <x:c r="K526" s="259" t="n">
        <x:v>46090.166666666664</x:v>
      </x:c>
      <x:c r="L526" s="268" t="str">
        <x:f>IFERROR(VLOOKUP(I526,'Handler-Team Map'!$A$7:$C$17,2,FALSE),"")</x:f>
      </x:c>
      <x:c r="M526" s="268" t="str">
        <x:f>IFERROR(VLOOKUP(I526,'Handler-Team Map'!$A$7:$C$17,3,FALSE),"")</x:f>
      </x:c>
      <x:c r="N526" s="274" t="str">
        <x:v>FT_VM_DEP1000_GET500_5X</x:v>
      </x:c>
      <x:c r="O526" s="274" t="str">
        <x:v>VIP BONUS - Deposit 1000 Get 500 - 5x TO</x:v>
      </x:c>
      <x:c r="P526" s="274" t="str">
        <x:v>DepositBonus</x:v>
      </x:c>
      <x:c r="Q526" s="274" t="str">
        <x:v>Approved</x:v>
      </x:c>
      <x:c r="R526" s="265" t="n">
        <x:v>500</x:v>
      </x:c>
      <x:c r="S526" s="253" t="str">
        <x:v>Yes</x:v>
      </x:c>
      <x:c r="T526" s="265" t="n">
        <x:v>4130</x:v>
      </x:c>
      <x:c r="U526" s="253" t="str">
        <x:f>IF(AND(S526="Yes",T526=0),"Yes","No")</x:f>
        <x:v>No</x:v>
      </x:c>
      <x:c r="V526" s="253" t="str">
        <x:v>Yes</x:v>
      </x:c>
      <x:c r="W526" s="253" t="str">
        <x:v>Yes</x:v>
      </x:c>
      <x:c r="X526" s="259" t="n">
        <x:v>46154.166666666664</x:v>
      </x:c>
      <x:c r="Y526" s="265" t="n">
        <x:v>3130</x:v>
      </x:c>
      <x:c r="Z526" s="265" t="n">
        <x:v>6130</x:v>
      </x:c>
      <x:c r="AA526" s="253" t="str">
        <x:f>IF(V526="No","Maturing",IF(AND(U526="Yes",Y526&gt;0),"Yes","No"))</x:f>
        <x:v>No</x:v>
      </x:c>
      <x:c r="AB526" s="253" t="str">
        <x:f>IF(W526="No","Maturing",IF(AND(U526="Yes",Z526&gt;0),"Yes","No"))</x:f>
        <x:v>No</x:v>
      </x:c>
      <x:c r="AC526" s="265" t="n">
        <x:v>-1495.07</x:v>
      </x:c>
      <x:c r="AD526" s="265" t="n">
        <x:v>-2388.99</x:v>
      </x:c>
      <x:c r="AE526" s="271" t="str"/>
      <x:c r="AF526" s="274" t="str">
        <x:v>Not validated - no control/holdout</x:v>
      </x:c>
      <x:c r="AG526" s="277" t="str">
        <x:v>Recovered execution only; assignment date and unclaimed-offer denominator unavailable</x:v>
      </x:c>
    </x:row>
    <x:row r="527">
      <x:c r="A527" s="252" t="str">
        <x:v>34227737</x:v>
      </x:c>
      <x:c r="B527" s="253" t="str">
        <x:v>WS1</x:v>
      </x:c>
      <x:c r="C527" s="253" t="str">
        <x:v>MB8</x:v>
      </x:c>
      <x:c r="D527" s="262" t="n">
        <x:v>46155.02931712963</x:v>
      </x:c>
      <x:c r="E527" s="259" t="n">
        <x:v>46155.166666666664</x:v>
      </x:c>
      <x:c r="F527" s="253" t="str">
        <x:v>108627</x:v>
      </x:c>
      <x:c r="G527" s="253" t="str">
        <x:v>aliceliang84</x:v>
      </x:c>
      <x:c r="H527" s="253" t="str">
        <x:v>Yes</x:v>
      </x:c>
      <x:c r="I527" s="253" t="str">
        <x:v>Serene</x:v>
      </x:c>
      <x:c r="J527" s="253" t="str">
        <x:v>Serene</x:v>
      </x:c>
      <x:c r="K527" s="259" t="n">
        <x:v>45831.166666666664</x:v>
      </x:c>
      <x:c r="L527" s="268" t="str">
        <x:f>IFERROR(VLOOKUP(I527,'Handler-Team Map'!$A$7:$C$17,2,FALSE),"")</x:f>
      </x:c>
      <x:c r="M527" s="268" t="str">
        <x:f>IFERROR(VLOOKUP(I527,'Handler-Team Map'!$A$7:$C$17,3,FALSE),"")</x:f>
      </x:c>
      <x:c r="N527" s="274" t="str">
        <x:v>FT_VM_DEP1000_GET900_1X</x:v>
      </x:c>
      <x:c r="O527" s="274" t="str">
        <x:v>VIP BONUS - Deposit 1000 Get 900 - 1x TO</x:v>
      </x:c>
      <x:c r="P527" s="274" t="str">
        <x:v>DepositBonus</x:v>
      </x:c>
      <x:c r="Q527" s="274" t="str">
        <x:v>Approved</x:v>
      </x:c>
      <x:c r="R527" s="265" t="n">
        <x:v>900</x:v>
      </x:c>
      <x:c r="S527" s="253" t="str">
        <x:v>Yes</x:v>
      </x:c>
      <x:c r="T527" s="265" t="n">
        <x:v>1000</x:v>
      </x:c>
      <x:c r="U527" s="253" t="str">
        <x:f>IF(AND(S527="Yes",T527=0),"Yes","No")</x:f>
        <x:v>No</x:v>
      </x:c>
      <x:c r="V527" s="253" t="str">
        <x:v>Yes</x:v>
      </x:c>
      <x:c r="W527" s="253" t="str">
        <x:v>Yes</x:v>
      </x:c>
      <x:c r="X527" s="259" t="n">
        <x:v>46155.166666666664</x:v>
      </x:c>
      <x:c r="Y527" s="265" t="n">
        <x:v>1000</x:v>
      </x:c>
      <x:c r="Z527" s="265" t="n">
        <x:v>1000</x:v>
      </x:c>
      <x:c r="AA527" s="253" t="str">
        <x:f>IF(V527="No","Maturing",IF(AND(U527="Yes",Y527&gt;0),"Yes","No"))</x:f>
        <x:v>No</x:v>
      </x:c>
      <x:c r="AB527" s="253" t="str">
        <x:f>IF(W527="No","Maturing",IF(AND(U527="Yes",Z527&gt;0),"Yes","No"))</x:f>
        <x:v>No</x:v>
      </x:c>
      <x:c r="AC527" s="265" t="n">
        <x:v>800.36</x:v>
      </x:c>
      <x:c r="AD527" s="265" t="n">
        <x:v>913.73</x:v>
      </x:c>
      <x:c r="AE527" s="271" t="str"/>
      <x:c r="AF527" s="274" t="str">
        <x:v>Not validated - no control/holdout</x:v>
      </x:c>
      <x:c r="AG527" s="277" t="str">
        <x:v>Recovered execution only; assignment date and unclaimed-offer denominator unavailable</x:v>
      </x:c>
    </x:row>
    <x:row r="528">
      <x:c r="A528" s="252" t="str">
        <x:v>34229553</x:v>
      </x:c>
      <x:c r="B528" s="253" t="str">
        <x:v>WS1</x:v>
      </x:c>
      <x:c r="C528" s="253" t="str">
        <x:v>MB8</x:v>
      </x:c>
      <x:c r="D528" s="262" t="n">
        <x:v>46155.23684027778</x:v>
      </x:c>
      <x:c r="E528" s="259" t="n">
        <x:v>46155.166666666664</x:v>
      </x:c>
      <x:c r="F528" s="253" t="str">
        <x:v>394469</x:v>
      </x:c>
      <x:c r="G528" s="253" t="str">
        <x:v>danieltan619</x:v>
      </x:c>
      <x:c r="H528" s="253" t="str">
        <x:v>Yes</x:v>
      </x:c>
      <x:c r="I528" s="253" t="str"/>
      <x:c r="J528" s="253" t="str"/>
      <x:c r="K528" s="259"/>
      <x:c r="L528" s="268" t="str">
        <x:f>IFERROR(VLOOKUP(I528,'Handler-Team Map'!$A$7:$C$17,2,FALSE),"")</x:f>
      </x:c>
      <x:c r="M528" s="268" t="str">
        <x:f>IFERROR(VLOOKUP(I528,'Handler-Team Map'!$A$7:$C$17,3,FALSE),"")</x:f>
      </x:c>
      <x:c r="N528" s="274" t="str">
        <x:v>FT_VM_DEP1000_GET500_1X</x:v>
      </x:c>
      <x:c r="O528" s="274" t="str">
        <x:v>VIP BONUS - Deposit 1000 Get 500 - 1x TO</x:v>
      </x:c>
      <x:c r="P528" s="274" t="str">
        <x:v>DepositBonus</x:v>
      </x:c>
      <x:c r="Q528" s="274" t="str">
        <x:v>Approved</x:v>
      </x:c>
      <x:c r="R528" s="265" t="n">
        <x:v>500</x:v>
      </x:c>
      <x:c r="S528" s="253" t="str">
        <x:v>Yes</x:v>
      </x:c>
      <x:c r="T528" s="265" t="n">
        <x:v>950</x:v>
      </x:c>
      <x:c r="U528" s="253" t="str">
        <x:f>IF(AND(S528="Yes",T528=0),"Yes","No")</x:f>
        <x:v>No</x:v>
      </x:c>
      <x:c r="V528" s="253" t="str">
        <x:v>Yes</x:v>
      </x:c>
      <x:c r="W528" s="253" t="str">
        <x:v>Yes</x:v>
      </x:c>
      <x:c r="X528" s="259" t="n">
        <x:v>46155.166666666664</x:v>
      </x:c>
      <x:c r="Y528" s="265" t="n">
        <x:v>1200</x:v>
      </x:c>
      <x:c r="Z528" s="265" t="n">
        <x:v>1200</x:v>
      </x:c>
      <x:c r="AA528" s="253" t="str">
        <x:f>IF(V528="No","Maturing",IF(AND(U528="Yes",Y528&gt;0),"Yes","No"))</x:f>
        <x:v>No</x:v>
      </x:c>
      <x:c r="AB528" s="253" t="str">
        <x:f>IF(W528="No","Maturing",IF(AND(U528="Yes",Z528&gt;0),"Yes","No"))</x:f>
        <x:v>No</x:v>
      </x:c>
      <x:c r="AC528" s="265" t="n">
        <x:v>1195.89</x:v>
      </x:c>
      <x:c r="AD528" s="265" t="n">
        <x:v>1195.89</x:v>
      </x:c>
      <x:c r="AE528" s="271" t="str"/>
      <x:c r="AF528" s="274" t="str">
        <x:v>Not validated - no control/holdout</x:v>
      </x:c>
      <x:c r="AG528" s="277" t="str">
        <x:v>Recovered execution only; assignment date and unclaimed-offer denominator unavailable</x:v>
      </x:c>
    </x:row>
    <x:row r="529">
      <x:c r="A529" s="252" t="str">
        <x:v>34229925</x:v>
      </x:c>
      <x:c r="B529" s="253" t="str">
        <x:v>WS1</x:v>
      </x:c>
      <x:c r="C529" s="253" t="str">
        <x:v>MB8</x:v>
      </x:c>
      <x:c r="D529" s="262" t="n">
        <x:v>46155.32753472222</x:v>
      </x:c>
      <x:c r="E529" s="259" t="n">
        <x:v>46155.166666666664</x:v>
      </x:c>
      <x:c r="F529" s="253" t="str">
        <x:v>434748</x:v>
      </x:c>
      <x:c r="G529" s="253" t="str">
        <x:v>Tukangsapu85</x:v>
      </x:c>
      <x:c r="H529" s="253" t="str">
        <x:v>Yes</x:v>
      </x:c>
      <x:c r="I529" s="253" t="str"/>
      <x:c r="J529" s="253" t="str"/>
      <x:c r="K529" s="259"/>
      <x:c r="L529" s="268" t="str">
        <x:f>IFERROR(VLOOKUP(I529,'Handler-Team Map'!$A$7:$C$17,2,FALSE),"")</x:f>
      </x:c>
      <x:c r="M529" s="268" t="str">
        <x:f>IFERROR(VLOOKUP(I529,'Handler-Team Map'!$A$7:$C$17,3,FALSE),"")</x:f>
      </x:c>
      <x:c r="N529" s="274" t="str">
        <x:v>FT_VM_DEP800_GET400_1X</x:v>
      </x:c>
      <x:c r="O529" s="274" t="str">
        <x:v>VIP BONUS - Deposit 800 Get 400 - 1x TO</x:v>
      </x:c>
      <x:c r="P529" s="274" t="str">
        <x:v>DepositBonus</x:v>
      </x:c>
      <x:c r="Q529" s="274" t="str">
        <x:v>Approved</x:v>
      </x:c>
      <x:c r="R529" s="265" t="n">
        <x:v>400</x:v>
      </x:c>
      <x:c r="S529" s="253" t="str">
        <x:v>Yes</x:v>
      </x:c>
      <x:c r="T529" s="265" t="n">
        <x:v>400</x:v>
      </x:c>
      <x:c r="U529" s="253" t="str">
        <x:f>IF(AND(S529="Yes",T529=0),"Yes","No")</x:f>
        <x:v>No</x:v>
      </x:c>
      <x:c r="V529" s="253" t="str">
        <x:v>Yes</x:v>
      </x:c>
      <x:c r="W529" s="253" t="str">
        <x:v>Yes</x:v>
      </x:c>
      <x:c r="X529" s="259" t="n">
        <x:v>46155.166666666664</x:v>
      </x:c>
      <x:c r="Y529" s="265" t="n">
        <x:v>2349</x:v>
      </x:c>
      <x:c r="Z529" s="265" t="n">
        <x:v>2999</x:v>
      </x:c>
      <x:c r="AA529" s="253" t="str">
        <x:f>IF(V529="No","Maturing",IF(AND(U529="Yes",Y529&gt;0),"Yes","No"))</x:f>
        <x:v>No</x:v>
      </x:c>
      <x:c r="AB529" s="253" t="str">
        <x:f>IF(W529="No","Maturing",IF(AND(U529="Yes",Z529&gt;0),"Yes","No"))</x:f>
        <x:v>No</x:v>
      </x:c>
      <x:c r="AC529" s="265" t="n">
        <x:v>2349.11</x:v>
      </x:c>
      <x:c r="AD529" s="265" t="n">
        <x:v>2998.93</x:v>
      </x:c>
      <x:c r="AE529" s="271" t="str"/>
      <x:c r="AF529" s="274" t="str">
        <x:v>Not validated - no control/holdout</x:v>
      </x:c>
      <x:c r="AG529" s="277" t="str">
        <x:v>Recovered execution only; assignment date and unclaimed-offer denominator unavailable</x:v>
      </x:c>
    </x:row>
    <x:row r="530">
      <x:c r="A530" s="252" t="str">
        <x:v>34230442</x:v>
      </x:c>
      <x:c r="B530" s="253" t="str">
        <x:v>WS1</x:v>
      </x:c>
      <x:c r="C530" s="253" t="str">
        <x:v>MB8</x:v>
      </x:c>
      <x:c r="D530" s="262" t="n">
        <x:v>46155.40490740741</x:v>
      </x:c>
      <x:c r="E530" s="259" t="n">
        <x:v>46155.166666666664</x:v>
      </x:c>
      <x:c r="F530" s="253" t="str">
        <x:v>113180</x:v>
      </x:c>
      <x:c r="G530" s="253" t="str">
        <x:v>Hazel</x:v>
      </x:c>
      <x:c r="H530" s="253" t="str">
        <x:v>Yes</x:v>
      </x:c>
      <x:c r="I530" s="253" t="str">
        <x:v>Serene</x:v>
      </x:c>
      <x:c r="J530" s="253" t="str">
        <x:v>Serene</x:v>
      </x:c>
      <x:c r="K530" s="259" t="n">
        <x:v>45831.166666666664</x:v>
      </x:c>
      <x:c r="L530" s="268" t="str">
        <x:f>IFERROR(VLOOKUP(I530,'Handler-Team Map'!$A$7:$C$17,2,FALSE),"")</x:f>
      </x:c>
      <x:c r="M530" s="268" t="str">
        <x:f>IFERROR(VLOOKUP(I530,'Handler-Team Map'!$A$7:$C$17,3,FALSE),"")</x:f>
      </x:c>
      <x:c r="N530" s="274" t="str">
        <x:v>FT_VM_DEP1000_GET500_5X</x:v>
      </x:c>
      <x:c r="O530" s="274" t="str">
        <x:v>VIP BONUS - Deposit 1000 Get 500 - 5x TO</x:v>
      </x:c>
      <x:c r="P530" s="274" t="str">
        <x:v>DepositBonus</x:v>
      </x:c>
      <x:c r="Q530" s="274" t="str">
        <x:v>Approved</x:v>
      </x:c>
      <x:c r="R530" s="265" t="n">
        <x:v>500</x:v>
      </x:c>
      <x:c r="S530" s="253" t="str">
        <x:v>Yes</x:v>
      </x:c>
      <x:c r="T530" s="265" t="n">
        <x:v>3000</x:v>
      </x:c>
      <x:c r="U530" s="253" t="str">
        <x:f>IF(AND(S530="Yes",T530=0),"Yes","No")</x:f>
        <x:v>No</x:v>
      </x:c>
      <x:c r="V530" s="253" t="str">
        <x:v>Yes</x:v>
      </x:c>
      <x:c r="W530" s="253" t="str">
        <x:v>Yes</x:v>
      </x:c>
      <x:c r="X530" s="259" t="n">
        <x:v>46155.166666666664</x:v>
      </x:c>
      <x:c r="Y530" s="265" t="n">
        <x:v>2200</x:v>
      </x:c>
      <x:c r="Z530" s="265" t="n">
        <x:v>4320</x:v>
      </x:c>
      <x:c r="AA530" s="253" t="str">
        <x:f>IF(V530="No","Maturing",IF(AND(U530="Yes",Y530&gt;0),"Yes","No"))</x:f>
        <x:v>No</x:v>
      </x:c>
      <x:c r="AB530" s="253" t="str">
        <x:f>IF(W530="No","Maturing",IF(AND(U530="Yes",Z530&gt;0),"Yes","No"))</x:f>
        <x:v>No</x:v>
      </x:c>
      <x:c r="AC530" s="265" t="n">
        <x:v>524.86</x:v>
      </x:c>
      <x:c r="AD530" s="265" t="n">
        <x:v>1661.23</x:v>
      </x:c>
      <x:c r="AE530" s="271" t="str"/>
      <x:c r="AF530" s="274" t="str">
        <x:v>Not validated - no control/holdout</x:v>
      </x:c>
      <x:c r="AG530" s="277" t="str">
        <x:v>Recovered execution only; assignment date and unclaimed-offer denominator unavailable</x:v>
      </x:c>
    </x:row>
    <x:row r="531">
      <x:c r="A531" s="252" t="str">
        <x:v>34230848</x:v>
      </x:c>
      <x:c r="B531" s="253" t="str">
        <x:v>WS1</x:v>
      </x:c>
      <x:c r="C531" s="253" t="str">
        <x:v>MB8</x:v>
      </x:c>
      <x:c r="D531" s="262" t="n">
        <x:v>46155.45916666667</x:v>
      </x:c>
      <x:c r="E531" s="259" t="n">
        <x:v>46155.166666666664</x:v>
      </x:c>
      <x:c r="F531" s="253" t="str">
        <x:v>654855</x:v>
      </x:c>
      <x:c r="G531" s="253" t="str">
        <x:v>uuidsa741</x:v>
      </x:c>
      <x:c r="H531" s="253" t="str">
        <x:v>Yes</x:v>
      </x:c>
      <x:c r="I531" s="253" t="str"/>
      <x:c r="J531" s="253" t="str"/>
      <x:c r="K531" s="259"/>
      <x:c r="L531" s="268" t="str">
        <x:f>IFERROR(VLOOKUP(I531,'Handler-Team Map'!$A$7:$C$17,2,FALSE),"")</x:f>
      </x:c>
      <x:c r="M531" s="268" t="str">
        <x:f>IFERROR(VLOOKUP(I531,'Handler-Team Map'!$A$7:$C$17,3,FALSE),"")</x:f>
      </x:c>
      <x:c r="N531" s="274" t="str">
        <x:v>FT_VM_DEP700_GET300_2X</x:v>
      </x:c>
      <x:c r="O531" s="274" t="str">
        <x:v>VIP BONUS - Deposit 700 Get 300 - 2x TO</x:v>
      </x:c>
      <x:c r="P531" s="274" t="str">
        <x:v>DepositBonus</x:v>
      </x:c>
      <x:c r="Q531" s="274" t="str">
        <x:v>Approved</x:v>
      </x:c>
      <x:c r="R531" s="265" t="n">
        <x:v>300</x:v>
      </x:c>
      <x:c r="S531" s="253" t="str">
        <x:v>Yes</x:v>
      </x:c>
      <x:c r="T531" s="265" t="n">
        <x:v>750</x:v>
      </x:c>
      <x:c r="U531" s="253" t="str">
        <x:f>IF(AND(S531="Yes",T531=0),"Yes","No")</x:f>
        <x:v>No</x:v>
      </x:c>
      <x:c r="V531" s="253" t="str">
        <x:v>Yes</x:v>
      </x:c>
      <x:c r="W531" s="253" t="str">
        <x:v>Yes</x:v>
      </x:c>
      <x:c r="X531" s="259" t="n">
        <x:v>46155.166666666664</x:v>
      </x:c>
      <x:c r="Y531" s="265" t="n">
        <x:v>700</x:v>
      </x:c>
      <x:c r="Z531" s="265" t="n">
        <x:v>700</x:v>
      </x:c>
      <x:c r="AA531" s="253" t="str">
        <x:f>IF(V531="No","Maturing",IF(AND(U531="Yes",Y531&gt;0),"Yes","No"))</x:f>
        <x:v>No</x:v>
      </x:c>
      <x:c r="AB531" s="253" t="str">
        <x:f>IF(W531="No","Maturing",IF(AND(U531="Yes",Z531&gt;0),"Yes","No"))</x:f>
        <x:v>No</x:v>
      </x:c>
      <x:c r="AC531" s="265" t="n">
        <x:v>-37</x:v>
      </x:c>
      <x:c r="AD531" s="265" t="n">
        <x:v>79.31</x:v>
      </x:c>
      <x:c r="AE531" s="271" t="str"/>
      <x:c r="AF531" s="274" t="str">
        <x:v>Not validated - no control/holdout</x:v>
      </x:c>
      <x:c r="AG531" s="277" t="str">
        <x:v>Recovered execution only; assignment date and unclaimed-offer denominator unavailable</x:v>
      </x:c>
    </x:row>
    <x:row r="532">
      <x:c r="A532" s="252" t="str">
        <x:v>34231135</x:v>
      </x:c>
      <x:c r="B532" s="253" t="str">
        <x:v>WS1</x:v>
      </x:c>
      <x:c r="C532" s="253" t="str">
        <x:v>MB8</x:v>
      </x:c>
      <x:c r="D532" s="262" t="n">
        <x:v>46155.49</x:v>
      </x:c>
      <x:c r="E532" s="259" t="n">
        <x:v>46155.166666666664</x:v>
      </x:c>
      <x:c r="F532" s="253" t="str">
        <x:v>1106092</x:v>
      </x:c>
      <x:c r="G532" s="253" t="str">
        <x:v>ong8882</x:v>
      </x:c>
      <x:c r="H532" s="253" t="str">
        <x:v>Yes</x:v>
      </x:c>
      <x:c r="I532" s="253" t="str">
        <x:v>Serene</x:v>
      </x:c>
      <x:c r="J532" s="253" t="str">
        <x:v>Serene</x:v>
      </x:c>
      <x:c r="K532" s="259" t="n">
        <x:v>45831.166666666664</x:v>
      </x:c>
      <x:c r="L532" s="268" t="str">
        <x:f>IFERROR(VLOOKUP(I532,'Handler-Team Map'!$A$7:$C$17,2,FALSE),"")</x:f>
      </x:c>
      <x:c r="M532" s="268" t="str">
        <x:f>IFERROR(VLOOKUP(I532,'Handler-Team Map'!$A$7:$C$17,3,FALSE),"")</x:f>
      </x:c>
      <x:c r="N532" s="274" t="str">
        <x:v>FT_VM_DEP600_GET200_5X</x:v>
      </x:c>
      <x:c r="O532" s="274" t="str">
        <x:v>VIP BONUS - Deposit 600 Get 200 - 5x TO</x:v>
      </x:c>
      <x:c r="P532" s="274" t="str">
        <x:v>DepositBonus</x:v>
      </x:c>
      <x:c r="Q532" s="274" t="str">
        <x:v>Approved</x:v>
      </x:c>
      <x:c r="R532" s="265" t="n">
        <x:v>200</x:v>
      </x:c>
      <x:c r="S532" s="253" t="str">
        <x:v>Yes</x:v>
      </x:c>
      <x:c r="T532" s="265" t="n">
        <x:v>2130</x:v>
      </x:c>
      <x:c r="U532" s="253" t="str">
        <x:f>IF(AND(S532="Yes",T532=0),"Yes","No")</x:f>
        <x:v>No</x:v>
      </x:c>
      <x:c r="V532" s="253" t="str">
        <x:v>Yes</x:v>
      </x:c>
      <x:c r="W532" s="253" t="str">
        <x:v>Yes</x:v>
      </x:c>
      <x:c r="X532" s="259" t="n">
        <x:v>46155.166666666664</x:v>
      </x:c>
      <x:c r="Y532" s="265" t="n">
        <x:v>600</x:v>
      </x:c>
      <x:c r="Z532" s="265" t="n">
        <x:v>600</x:v>
      </x:c>
      <x:c r="AA532" s="253" t="str">
        <x:f>IF(V532="No","Maturing",IF(AND(U532="Yes",Y532&gt;0),"Yes","No"))</x:f>
        <x:v>No</x:v>
      </x:c>
      <x:c r="AB532" s="253" t="str">
        <x:f>IF(W532="No","Maturing",IF(AND(U532="Yes",Z532&gt;0),"Yes","No"))</x:f>
        <x:v>No</x:v>
      </x:c>
      <x:c r="AC532" s="265" t="n">
        <x:v>-3044.1</x:v>
      </x:c>
      <x:c r="AD532" s="265" t="n">
        <x:v>-3044.1</x:v>
      </x:c>
      <x:c r="AE532" s="271" t="str"/>
      <x:c r="AF532" s="274" t="str">
        <x:v>Not validated - no control/holdout</x:v>
      </x:c>
      <x:c r="AG532" s="277" t="str">
        <x:v>Recovered execution only; assignment date and unclaimed-offer denominator unavailable</x:v>
      </x:c>
    </x:row>
    <x:row r="533">
      <x:c r="A533" s="252" t="str">
        <x:v>34231477</x:v>
      </x:c>
      <x:c r="B533" s="253" t="str">
        <x:v>WS1</x:v>
      </x:c>
      <x:c r="C533" s="253" t="str">
        <x:v>MB8</x:v>
      </x:c>
      <x:c r="D533" s="262" t="n">
        <x:v>46155.53636574074</x:v>
      </x:c>
      <x:c r="E533" s="259" t="n">
        <x:v>46155.166666666664</x:v>
      </x:c>
      <x:c r="F533" s="253" t="str">
        <x:v>676296</x:v>
      </x:c>
      <x:c r="G533" s="253" t="str">
        <x:v>ngmuhau</x:v>
      </x:c>
      <x:c r="H533" s="253" t="str">
        <x:v>Yes</x:v>
      </x:c>
      <x:c r="I533" s="253" t="str">
        <x:v>Jiahui</x:v>
      </x:c>
      <x:c r="J533" s="253" t="str">
        <x:v>Jiahui</x:v>
      </x:c>
      <x:c r="K533" s="259" t="n">
        <x:v>45993.166666666664</x:v>
      </x:c>
      <x:c r="L533" s="268" t="str">
        <x:f>IFERROR(VLOOKUP(I533,'Handler-Team Map'!$A$7:$C$17,2,FALSE),"")</x:f>
      </x:c>
      <x:c r="M533" s="268" t="str">
        <x:f>IFERROR(VLOOKUP(I533,'Handler-Team Map'!$A$7:$C$17,3,FALSE),"")</x:f>
      </x:c>
      <x:c r="N533" s="274" t="str">
        <x:v>FT_VM_DEP1000_GET500_1X</x:v>
      </x:c>
      <x:c r="O533" s="274" t="str">
        <x:v>VIP BONUS - Deposit 1000 Get 500 - 1x TO</x:v>
      </x:c>
      <x:c r="P533" s="274" t="str">
        <x:v>DepositBonus</x:v>
      </x:c>
      <x:c r="Q533" s="274" t="str">
        <x:v>Approved</x:v>
      </x:c>
      <x:c r="R533" s="265" t="n">
        <x:v>500</x:v>
      </x:c>
      <x:c r="S533" s="253" t="str">
        <x:v>Yes</x:v>
      </x:c>
      <x:c r="T533" s="265" t="n">
        <x:v>0</x:v>
      </x:c>
      <x:c r="U533" s="253" t="str">
        <x:f>IF(AND(S533="Yes",T533=0),"Yes","No")</x:f>
        <x:v>Yes</x:v>
      </x:c>
      <x:c r="V533" s="253" t="str">
        <x:v>Yes</x:v>
      </x:c>
      <x:c r="W533" s="253" t="str">
        <x:v>Yes</x:v>
      </x:c>
      <x:c r="X533" s="259" t="n">
        <x:v>46155.166666666664</x:v>
      </x:c>
      <x:c r="Y533" s="265" t="n">
        <x:v>8500</x:v>
      </x:c>
      <x:c r="Z533" s="265" t="n">
        <x:v>17200</x:v>
      </x:c>
      <x:c r="AA533" s="253" t="str">
        <x:f>IF(V533="No","Maturing",IF(AND(U533="Yes",Y533&gt;0),"Yes","No"))</x:f>
        <x:v>Yes</x:v>
      </x:c>
      <x:c r="AB533" s="253" t="str">
        <x:f>IF(W533="No","Maturing",IF(AND(U533="Yes",Z533&gt;0),"Yes","No"))</x:f>
        <x:v>Yes</x:v>
      </x:c>
      <x:c r="AC533" s="265" t="n">
        <x:v>1040.52</x:v>
      </x:c>
      <x:c r="AD533" s="265" t="n">
        <x:v>-1304.57</x:v>
      </x:c>
      <x:c r="AE533" s="271" t="str"/>
      <x:c r="AF533" s="274" t="str">
        <x:v>Not validated - no control/holdout</x:v>
      </x:c>
      <x:c r="AG533" s="277" t="str">
        <x:v>Recovered execution only; assignment date and unclaimed-offer denominator unavailable</x:v>
      </x:c>
    </x:row>
    <x:row r="534">
      <x:c r="A534" s="252" t="str">
        <x:v>34231759</x:v>
      </x:c>
      <x:c r="B534" s="253" t="str">
        <x:v>WS1</x:v>
      </x:c>
      <x:c r="C534" s="253" t="str">
        <x:v>MB8</x:v>
      </x:c>
      <x:c r="D534" s="262" t="n">
        <x:v>46155.56078703704</x:v>
      </x:c>
      <x:c r="E534" s="259" t="n">
        <x:v>46155.166666666664</x:v>
      </x:c>
      <x:c r="F534" s="253" t="str">
        <x:v>304784</x:v>
      </x:c>
      <x:c r="G534" s="253" t="str">
        <x:v>sinee5059</x:v>
      </x:c>
      <x:c r="H534" s="253" t="str">
        <x:v>Yes</x:v>
      </x:c>
      <x:c r="I534" s="253" t="str">
        <x:v>Claire</x:v>
      </x:c>
      <x:c r="J534" s="253" t="str">
        <x:v>Claire</x:v>
      </x:c>
      <x:c r="K534" s="259" t="n">
        <x:v>45765.166666666664</x:v>
      </x:c>
      <x:c r="L534" s="268" t="str">
        <x:f>IFERROR(VLOOKUP(I534,'Handler-Team Map'!$A$7:$C$17,2,FALSE),"")</x:f>
      </x:c>
      <x:c r="M534" s="268" t="str">
        <x:f>IFERROR(VLOOKUP(I534,'Handler-Team Map'!$A$7:$C$17,3,FALSE),"")</x:f>
      </x:c>
      <x:c r="N534" s="274" t="str">
        <x:v>FT_VM_DEP300_GET100_5X</x:v>
      </x:c>
      <x:c r="O534" s="274" t="str">
        <x:v>VIP BONUS - Deposit 300 Get 100 - 5x TO</x:v>
      </x:c>
      <x:c r="P534" s="274" t="str">
        <x:v>DepositBonus</x:v>
      </x:c>
      <x:c r="Q534" s="274" t="str">
        <x:v>Approved</x:v>
      </x:c>
      <x:c r="R534" s="265" t="n">
        <x:v>100</x:v>
      </x:c>
      <x:c r="S534" s="253" t="str">
        <x:v>Yes</x:v>
      </x:c>
      <x:c r="T534" s="265" t="n">
        <x:v>41305.54</x:v>
      </x:c>
      <x:c r="U534" s="253" t="str">
        <x:f>IF(AND(S534="Yes",T534=0),"Yes","No")</x:f>
        <x:v>No</x:v>
      </x:c>
      <x:c r="V534" s="253" t="str">
        <x:v>Yes</x:v>
      </x:c>
      <x:c r="W534" s="253" t="str">
        <x:v>Yes</x:v>
      </x:c>
      <x:c r="X534" s="259" t="n">
        <x:v>46155.166666666664</x:v>
      </x:c>
      <x:c r="Y534" s="265" t="n">
        <x:v>27734.45</x:v>
      </x:c>
      <x:c r="Z534" s="265" t="n">
        <x:v>27994.45</x:v>
      </x:c>
      <x:c r="AA534" s="253" t="str">
        <x:f>IF(V534="No","Maturing",IF(AND(U534="Yes",Y534&gt;0),"Yes","No"))</x:f>
        <x:v>No</x:v>
      </x:c>
      <x:c r="AB534" s="253" t="str">
        <x:f>IF(W534="No","Maturing",IF(AND(U534="Yes",Z534&gt;0),"Yes","No"))</x:f>
        <x:v>No</x:v>
      </x:c>
      <x:c r="AC534" s="265" t="n">
        <x:v>2572.45</x:v>
      </x:c>
      <x:c r="AD534" s="265" t="n">
        <x:v>2824.58</x:v>
      </x:c>
      <x:c r="AE534" s="271" t="str"/>
      <x:c r="AF534" s="274" t="str">
        <x:v>Not validated - no control/holdout</x:v>
      </x:c>
      <x:c r="AG534" s="277" t="str">
        <x:v>Recovered execution only; assignment date and unclaimed-offer denominator unavailable</x:v>
      </x:c>
    </x:row>
    <x:row r="535">
      <x:c r="A535" s="252" t="str">
        <x:v>34231884</x:v>
      </x:c>
      <x:c r="B535" s="253" t="str">
        <x:v>WS1</x:v>
      </x:c>
      <x:c r="C535" s="253" t="str">
        <x:v>MB8</x:v>
      </x:c>
      <x:c r="D535" s="262" t="n">
        <x:v>46155.57534722222</x:v>
      </x:c>
      <x:c r="E535" s="259" t="n">
        <x:v>46155.166666666664</x:v>
      </x:c>
      <x:c r="F535" s="253" t="str">
        <x:v>700774</x:v>
      </x:c>
      <x:c r="G535" s="253" t="str">
        <x:v>Arifbillah</x:v>
      </x:c>
      <x:c r="H535" s="253" t="str">
        <x:v>Yes</x:v>
      </x:c>
      <x:c r="I535" s="253" t="str">
        <x:v>Elda</x:v>
      </x:c>
      <x:c r="J535" s="253" t="str">
        <x:v>Elda</x:v>
      </x:c>
      <x:c r="K535" s="259" t="n">
        <x:v>46090.166666666664</x:v>
      </x:c>
      <x:c r="L535" s="268" t="str">
        <x:f>IFERROR(VLOOKUP(I535,'Handler-Team Map'!$A$7:$C$17,2,FALSE),"")</x:f>
      </x:c>
      <x:c r="M535" s="268" t="str">
        <x:f>IFERROR(VLOOKUP(I535,'Handler-Team Map'!$A$7:$C$17,3,FALSE),"")</x:f>
      </x:c>
      <x:c r="N535" s="274" t="str">
        <x:v>FT_VM_DEP1000_GET500_2X</x:v>
      </x:c>
      <x:c r="O535" s="274" t="str">
        <x:v>VIP BONUS - Deposit 1000 Get 500 - 2x TO</x:v>
      </x:c>
      <x:c r="P535" s="274" t="str">
        <x:v>DepositBonus</x:v>
      </x:c>
      <x:c r="Q535" s="274" t="str">
        <x:v>Approved</x:v>
      </x:c>
      <x:c r="R535" s="265" t="n">
        <x:v>500</x:v>
      </x:c>
      <x:c r="S535" s="253" t="str">
        <x:v>Yes</x:v>
      </x:c>
      <x:c r="T535" s="265" t="n">
        <x:v>1000</x:v>
      </x:c>
      <x:c r="U535" s="253" t="str">
        <x:f>IF(AND(S535="Yes",T535=0),"Yes","No")</x:f>
        <x:v>No</x:v>
      </x:c>
      <x:c r="V535" s="253" t="str">
        <x:v>Yes</x:v>
      </x:c>
      <x:c r="W535" s="253" t="str">
        <x:v>Yes</x:v>
      </x:c>
      <x:c r="X535" s="259" t="n">
        <x:v>46155.166666666664</x:v>
      </x:c>
      <x:c r="Y535" s="265" t="n">
        <x:v>1300</x:v>
      </x:c>
      <x:c r="Z535" s="265" t="n">
        <x:v>2300</x:v>
      </x:c>
      <x:c r="AA535" s="253" t="str">
        <x:f>IF(V535="No","Maturing",IF(AND(U535="Yes",Y535&gt;0),"Yes","No"))</x:f>
        <x:v>No</x:v>
      </x:c>
      <x:c r="AB535" s="253" t="str">
        <x:f>IF(W535="No","Maturing",IF(AND(U535="Yes",Z535&gt;0),"Yes","No"))</x:f>
        <x:v>No</x:v>
      </x:c>
      <x:c r="AC535" s="265" t="n">
        <x:v>-6202.17</x:v>
      </x:c>
      <x:c r="AD535" s="265" t="n">
        <x:v>-5212.86</x:v>
      </x:c>
      <x:c r="AE535" s="271" t="str"/>
      <x:c r="AF535" s="274" t="str">
        <x:v>Not validated - no control/holdout</x:v>
      </x:c>
      <x:c r="AG535" s="277" t="str">
        <x:v>Recovered execution only; assignment date and unclaimed-offer denominator unavailable</x:v>
      </x:c>
    </x:row>
    <x:row r="536">
      <x:c r="A536" s="252" t="str">
        <x:v>34232500</x:v>
      </x:c>
      <x:c r="B536" s="253" t="str">
        <x:v>WS1</x:v>
      </x:c>
      <x:c r="C536" s="253" t="str">
        <x:v>MB8</x:v>
      </x:c>
      <x:c r="D536" s="262" t="n">
        <x:v>46155.642858796295</x:v>
      </x:c>
      <x:c r="E536" s="259" t="n">
        <x:v>46155.166666666664</x:v>
      </x:c>
      <x:c r="F536" s="253" t="str">
        <x:v>940813</x:v>
      </x:c>
      <x:c r="G536" s="253" t="str">
        <x:v>Kiat8</x:v>
      </x:c>
      <x:c r="H536" s="253" t="str">
        <x:v>Yes</x:v>
      </x:c>
      <x:c r="I536" s="253" t="str">
        <x:v>zhen</x:v>
      </x:c>
      <x:c r="J536" s="253" t="str">
        <x:v>zhen</x:v>
      </x:c>
      <x:c r="K536" s="259" t="n">
        <x:v>45880.166666666664</x:v>
      </x:c>
      <x:c r="L536" s="268" t="str">
        <x:f>IFERROR(VLOOKUP(I536,'Handler-Team Map'!$A$7:$C$17,2,FALSE),"")</x:f>
      </x:c>
      <x:c r="M536" s="268" t="str">
        <x:f>IFERROR(VLOOKUP(I536,'Handler-Team Map'!$A$7:$C$17,3,FALSE),"")</x:f>
      </x:c>
      <x:c r="N536" s="274" t="str">
        <x:v>FT_VM_DEP1000_GET500_5X</x:v>
      </x:c>
      <x:c r="O536" s="274" t="str">
        <x:v>VIP BONUS - Deposit 1000 Get 500 - 5x TO</x:v>
      </x:c>
      <x:c r="P536" s="274" t="str">
        <x:v>DepositBonus</x:v>
      </x:c>
      <x:c r="Q536" s="274" t="str">
        <x:v>Approved</x:v>
      </x:c>
      <x:c r="R536" s="265" t="n">
        <x:v>500</x:v>
      </x:c>
      <x:c r="S536" s="253" t="str">
        <x:v>Yes</x:v>
      </x:c>
      <x:c r="T536" s="265" t="n">
        <x:v>6895</x:v>
      </x:c>
      <x:c r="U536" s="253" t="str">
        <x:f>IF(AND(S536="Yes",T536=0),"Yes","No")</x:f>
        <x:v>No</x:v>
      </x:c>
      <x:c r="V536" s="253" t="str">
        <x:v>Yes</x:v>
      </x:c>
      <x:c r="W536" s="253" t="str">
        <x:v>Yes</x:v>
      </x:c>
      <x:c r="X536" s="259" t="n">
        <x:v>46155.166666666664</x:v>
      </x:c>
      <x:c r="Y536" s="265" t="n">
        <x:v>1880</x:v>
      </x:c>
      <x:c r="Z536" s="265" t="n">
        <x:v>3376</x:v>
      </x:c>
      <x:c r="AA536" s="253" t="str">
        <x:f>IF(V536="No","Maturing",IF(AND(U536="Yes",Y536&gt;0),"Yes","No"))</x:f>
        <x:v>No</x:v>
      </x:c>
      <x:c r="AB536" s="253" t="str">
        <x:f>IF(W536="No","Maturing",IF(AND(U536="Yes",Z536&gt;0),"Yes","No"))</x:f>
        <x:v>No</x:v>
      </x:c>
      <x:c r="AC536" s="265" t="n">
        <x:v>1731.69</x:v>
      </x:c>
      <x:c r="AD536" s="265" t="n">
        <x:v>1627.86</x:v>
      </x:c>
      <x:c r="AE536" s="271" t="str"/>
      <x:c r="AF536" s="274" t="str">
        <x:v>Not validated - no control/holdout</x:v>
      </x:c>
      <x:c r="AG536" s="277" t="str">
        <x:v>Recovered execution only; assignment date and unclaimed-offer denominator unavailable</x:v>
      </x:c>
    </x:row>
    <x:row r="537">
      <x:c r="A537" s="252" t="str">
        <x:v>34233666</x:v>
      </x:c>
      <x:c r="B537" s="253" t="str">
        <x:v>WS1</x:v>
      </x:c>
      <x:c r="C537" s="253" t="str">
        <x:v>MB8</x:v>
      </x:c>
      <x:c r="D537" s="262" t="n">
        <x:v>46155.74465277778</x:v>
      </x:c>
      <x:c r="E537" s="259" t="n">
        <x:v>46155.166666666664</x:v>
      </x:c>
      <x:c r="F537" s="253" t="str">
        <x:v>794663</x:v>
      </x:c>
      <x:c r="G537" s="253" t="str">
        <x:v>lonkoko888</x:v>
      </x:c>
      <x:c r="H537" s="253" t="str">
        <x:v>Yes</x:v>
      </x:c>
      <x:c r="I537" s="253" t="str"/>
      <x:c r="J537" s="253" t="str"/>
      <x:c r="K537" s="259"/>
      <x:c r="L537" s="268" t="str">
        <x:f>IFERROR(VLOOKUP(I537,'Handler-Team Map'!$A$7:$C$17,2,FALSE),"")</x:f>
      </x:c>
      <x:c r="M537" s="268" t="str">
        <x:f>IFERROR(VLOOKUP(I537,'Handler-Team Map'!$A$7:$C$17,3,FALSE),"")</x:f>
      </x:c>
      <x:c r="N537" s="274" t="str">
        <x:v>FT_VM_DEP700_GET300_2X</x:v>
      </x:c>
      <x:c r="O537" s="274" t="str">
        <x:v>VIP BONUS - Deposit 700 Get 300 - 2x TO</x:v>
      </x:c>
      <x:c r="P537" s="274" t="str">
        <x:v>DepositBonus</x:v>
      </x:c>
      <x:c r="Q537" s="274" t="str">
        <x:v>Approved</x:v>
      </x:c>
      <x:c r="R537" s="265" t="n">
        <x:v>300</x:v>
      </x:c>
      <x:c r="S537" s="253" t="str">
        <x:v>Yes</x:v>
      </x:c>
      <x:c r="T537" s="265" t="n">
        <x:v>1050</x:v>
      </x:c>
      <x:c r="U537" s="253" t="str">
        <x:f>IF(AND(S537="Yes",T537=0),"Yes","No")</x:f>
        <x:v>No</x:v>
      </x:c>
      <x:c r="V537" s="253" t="str">
        <x:v>Yes</x:v>
      </x:c>
      <x:c r="W537" s="253" t="str">
        <x:v>Yes</x:v>
      </x:c>
      <x:c r="X537" s="259" t="n">
        <x:v>46155.166666666664</x:v>
      </x:c>
      <x:c r="Y537" s="265" t="n">
        <x:v>800</x:v>
      </x:c>
      <x:c r="Z537" s="265" t="n">
        <x:v>800</x:v>
      </x:c>
      <x:c r="AA537" s="253" t="str">
        <x:f>IF(V537="No","Maturing",IF(AND(U537="Yes",Y537&gt;0),"Yes","No"))</x:f>
        <x:v>No</x:v>
      </x:c>
      <x:c r="AB537" s="253" t="str">
        <x:f>IF(W537="No","Maturing",IF(AND(U537="Yes",Z537&gt;0),"Yes","No"))</x:f>
        <x:v>No</x:v>
      </x:c>
      <x:c r="AC537" s="265" t="n">
        <x:v>-349.98</x:v>
      </x:c>
      <x:c r="AD537" s="265" t="n">
        <x:v>-349.97</x:v>
      </x:c>
      <x:c r="AE537" s="271" t="str"/>
      <x:c r="AF537" s="274" t="str">
        <x:v>Not validated - no control/holdout</x:v>
      </x:c>
      <x:c r="AG537" s="277" t="str">
        <x:v>Recovered execution only; assignment date and unclaimed-offer denominator unavailable</x:v>
      </x:c>
    </x:row>
    <x:row r="538">
      <x:c r="A538" s="252" t="str">
        <x:v>34233858</x:v>
      </x:c>
      <x:c r="B538" s="253" t="str">
        <x:v>WS1</x:v>
      </x:c>
      <x:c r="C538" s="253" t="str">
        <x:v>MB8</x:v>
      </x:c>
      <x:c r="D538" s="262" t="n">
        <x:v>46155.75950231482</x:v>
      </x:c>
      <x:c r="E538" s="259" t="n">
        <x:v>46155.166666666664</x:v>
      </x:c>
      <x:c r="F538" s="253" t="str">
        <x:v>938720</x:v>
      </x:c>
      <x:c r="G538" s="253" t="str">
        <x:v>Sutheshkumar</x:v>
      </x:c>
      <x:c r="H538" s="253" t="str">
        <x:v>Yes</x:v>
      </x:c>
      <x:c r="I538" s="253" t="str">
        <x:v>Tammy</x:v>
      </x:c>
      <x:c r="J538" s="253" t="str">
        <x:v>Tammy</x:v>
      </x:c>
      <x:c r="K538" s="259" t="n">
        <x:v>45951.166666666664</x:v>
      </x:c>
      <x:c r="L538" s="268" t="str">
        <x:f>IFERROR(VLOOKUP(I538,'Handler-Team Map'!$A$7:$C$17,2,FALSE),"")</x:f>
      </x:c>
      <x:c r="M538" s="268" t="str">
        <x:f>IFERROR(VLOOKUP(I538,'Handler-Team Map'!$A$7:$C$17,3,FALSE),"")</x:f>
      </x:c>
      <x:c r="N538" s="274" t="str">
        <x:v>FT_VM_DEP600_GET200_5X</x:v>
      </x:c>
      <x:c r="O538" s="274" t="str">
        <x:v>VIP BONUS - Deposit 600 Get 200 - 5x TO</x:v>
      </x:c>
      <x:c r="P538" s="274" t="str">
        <x:v>DepositBonus</x:v>
      </x:c>
      <x:c r="Q538" s="274" t="str">
        <x:v>Approved</x:v>
      </x:c>
      <x:c r="R538" s="265" t="n">
        <x:v>200</x:v>
      </x:c>
      <x:c r="S538" s="253" t="str">
        <x:v>Yes</x:v>
      </x:c>
      <x:c r="T538" s="265" t="n">
        <x:v>82318</x:v>
      </x:c>
      <x:c r="U538" s="253" t="str">
        <x:f>IF(AND(S538="Yes",T538=0),"Yes","No")</x:f>
        <x:v>No</x:v>
      </x:c>
      <x:c r="V538" s="253" t="str">
        <x:v>Yes</x:v>
      </x:c>
      <x:c r="W538" s="253" t="str">
        <x:v>Yes</x:v>
      </x:c>
      <x:c r="X538" s="259" t="n">
        <x:v>46155.166666666664</x:v>
      </x:c>
      <x:c r="Y538" s="265" t="n">
        <x:v>8126</x:v>
      </x:c>
      <x:c r="Z538" s="265" t="n">
        <x:v>20185</x:v>
      </x:c>
      <x:c r="AA538" s="253" t="str">
        <x:f>IF(V538="No","Maturing",IF(AND(U538="Yes",Y538&gt;0),"Yes","No"))</x:f>
        <x:v>No</x:v>
      </x:c>
      <x:c r="AB538" s="253" t="str">
        <x:f>IF(W538="No","Maturing",IF(AND(U538="Yes",Z538&gt;0),"Yes","No"))</x:f>
        <x:v>No</x:v>
      </x:c>
      <x:c r="AC538" s="265" t="n">
        <x:v>3125.91</x:v>
      </x:c>
      <x:c r="AD538" s="265" t="n">
        <x:v>-11003.13</x:v>
      </x:c>
      <x:c r="AE538" s="271" t="str"/>
      <x:c r="AF538" s="274" t="str">
        <x:v>Not validated - no control/holdout</x:v>
      </x:c>
      <x:c r="AG538" s="277" t="str">
        <x:v>Recovered execution only; assignment date and unclaimed-offer denominator unavailable</x:v>
      </x:c>
    </x:row>
    <x:row r="539">
      <x:c r="A539" s="252" t="str">
        <x:v>34234919</x:v>
      </x:c>
      <x:c r="B539" s="253" t="str">
        <x:v>WS1</x:v>
      </x:c>
      <x:c r="C539" s="253" t="str">
        <x:v>MB8</x:v>
      </x:c>
      <x:c r="D539" s="262" t="n">
        <x:v>46155.84226851852</x:v>
      </x:c>
      <x:c r="E539" s="259" t="n">
        <x:v>46155.166666666664</x:v>
      </x:c>
      <x:c r="F539" s="253" t="str">
        <x:v>1179743</x:v>
      </x:c>
      <x:c r="G539" s="253" t="str">
        <x:v>xlcff11</x:v>
      </x:c>
      <x:c r="H539" s="253" t="str">
        <x:v>Yes</x:v>
      </x:c>
      <x:c r="I539" s="253" t="str">
        <x:v>zhen</x:v>
      </x:c>
      <x:c r="J539" s="253" t="str">
        <x:v>zhen</x:v>
      </x:c>
      <x:c r="K539" s="259" t="n">
        <x:v>45880.166666666664</x:v>
      </x:c>
      <x:c r="L539" s="268" t="str">
        <x:f>IFERROR(VLOOKUP(I539,'Handler-Team Map'!$A$7:$C$17,2,FALSE),"")</x:f>
      </x:c>
      <x:c r="M539" s="268" t="str">
        <x:f>IFERROR(VLOOKUP(I539,'Handler-Team Map'!$A$7:$C$17,3,FALSE),"")</x:f>
      </x:c>
      <x:c r="N539" s="274" t="str">
        <x:v>FT_VM_DEP300_GET100_5X</x:v>
      </x:c>
      <x:c r="O539" s="274" t="str">
        <x:v>VIP BONUS - Deposit 300 Get 100 - 5x TO</x:v>
      </x:c>
      <x:c r="P539" s="274" t="str">
        <x:v>DepositBonus</x:v>
      </x:c>
      <x:c r="Q539" s="274" t="str">
        <x:v>Approved</x:v>
      </x:c>
      <x:c r="R539" s="265" t="n">
        <x:v>100</x:v>
      </x:c>
      <x:c r="S539" s="253" t="str">
        <x:v>Yes</x:v>
      </x:c>
      <x:c r="T539" s="265" t="n">
        <x:v>27279</x:v>
      </x:c>
      <x:c r="U539" s="253" t="str">
        <x:f>IF(AND(S539="Yes",T539=0),"Yes","No")</x:f>
        <x:v>No</x:v>
      </x:c>
      <x:c r="V539" s="253" t="str">
        <x:v>Yes</x:v>
      </x:c>
      <x:c r="W539" s="253" t="str">
        <x:v>Yes</x:v>
      </x:c>
      <x:c r="X539" s="259" t="n">
        <x:v>46155.166666666664</x:v>
      </x:c>
      <x:c r="Y539" s="265" t="n">
        <x:v>15645</x:v>
      </x:c>
      <x:c r="Z539" s="265" t="n">
        <x:v>36245</x:v>
      </x:c>
      <x:c r="AA539" s="253" t="str">
        <x:f>IF(V539="No","Maturing",IF(AND(U539="Yes",Y539&gt;0),"Yes","No"))</x:f>
        <x:v>No</x:v>
      </x:c>
      <x:c r="AB539" s="253" t="str">
        <x:f>IF(W539="No","Maturing",IF(AND(U539="Yes",Z539&gt;0),"Yes","No"))</x:f>
        <x:v>No</x:v>
      </x:c>
      <x:c r="AC539" s="265" t="n">
        <x:v>532.75</x:v>
      </x:c>
      <x:c r="AD539" s="265" t="n">
        <x:v>-2856.13</x:v>
      </x:c>
      <x:c r="AE539" s="271" t="str"/>
      <x:c r="AF539" s="274" t="str">
        <x:v>Not validated - no control/holdout</x:v>
      </x:c>
      <x:c r="AG539" s="277" t="str">
        <x:v>Recovered execution only; assignment date and unclaimed-offer denominator unavailable</x:v>
      </x:c>
    </x:row>
    <x:row r="540">
      <x:c r="A540" s="252" t="str">
        <x:v>34234945</x:v>
      </x:c>
      <x:c r="B540" s="253" t="str">
        <x:v>WS1</x:v>
      </x:c>
      <x:c r="C540" s="253" t="str">
        <x:v>MB8</x:v>
      </x:c>
      <x:c r="D540" s="262" t="n">
        <x:v>46155.84465277778</x:v>
      </x:c>
      <x:c r="E540" s="259" t="n">
        <x:v>46155.166666666664</x:v>
      </x:c>
      <x:c r="F540" s="253" t="str">
        <x:v>65606</x:v>
      </x:c>
      <x:c r="G540" s="253" t="str">
        <x:v>Wkr365066</x:v>
      </x:c>
      <x:c r="H540" s="253" t="str">
        <x:v>Yes</x:v>
      </x:c>
      <x:c r="I540" s="253" t="str">
        <x:v>Jiahui</x:v>
      </x:c>
      <x:c r="J540" s="253" t="str">
        <x:v>Jiahui</x:v>
      </x:c>
      <x:c r="K540" s="259" t="n">
        <x:v>46090.166666666664</x:v>
      </x:c>
      <x:c r="L540" s="268" t="str">
        <x:f>IFERROR(VLOOKUP(I540,'Handler-Team Map'!$A$7:$C$17,2,FALSE),"")</x:f>
      </x:c>
      <x:c r="M540" s="268" t="str">
        <x:f>IFERROR(VLOOKUP(I540,'Handler-Team Map'!$A$7:$C$17,3,FALSE),"")</x:f>
      </x:c>
      <x:c r="N540" s="274" t="str">
        <x:v>FT_VM_DEP1000_GET500_5X</x:v>
      </x:c>
      <x:c r="O540" s="274" t="str">
        <x:v>VIP BONUS - Deposit 1000 Get 500 - 5x TO</x:v>
      </x:c>
      <x:c r="P540" s="274" t="str">
        <x:v>DepositBonus</x:v>
      </x:c>
      <x:c r="Q540" s="274" t="str">
        <x:v>Approved</x:v>
      </x:c>
      <x:c r="R540" s="265" t="n">
        <x:v>500</x:v>
      </x:c>
      <x:c r="S540" s="253" t="str">
        <x:v>Yes</x:v>
      </x:c>
      <x:c r="T540" s="265" t="n">
        <x:v>26100</x:v>
      </x:c>
      <x:c r="U540" s="253" t="str">
        <x:f>IF(AND(S540="Yes",T540=0),"Yes","No")</x:f>
        <x:v>No</x:v>
      </x:c>
      <x:c r="V540" s="253" t="str">
        <x:v>Yes</x:v>
      </x:c>
      <x:c r="W540" s="253" t="str">
        <x:v>Yes</x:v>
      </x:c>
      <x:c r="X540" s="259" t="n">
        <x:v>46155.166666666664</x:v>
      </x:c>
      <x:c r="Y540" s="265" t="n">
        <x:v>14200</x:v>
      </x:c>
      <x:c r="Z540" s="265" t="n">
        <x:v>16000</x:v>
      </x:c>
      <x:c r="AA540" s="253" t="str">
        <x:f>IF(V540="No","Maturing",IF(AND(U540="Yes",Y540&gt;0),"Yes","No"))</x:f>
        <x:v>No</x:v>
      </x:c>
      <x:c r="AB540" s="253" t="str">
        <x:f>IF(W540="No","Maturing",IF(AND(U540="Yes",Z540&gt;0),"Yes","No"))</x:f>
        <x:v>No</x:v>
      </x:c>
      <x:c r="AC540" s="265" t="n">
        <x:v>6421.41</x:v>
      </x:c>
      <x:c r="AD540" s="265" t="n">
        <x:v>5979.43</x:v>
      </x:c>
      <x:c r="AE540" s="271" t="str"/>
      <x:c r="AF540" s="274" t="str">
        <x:v>Not validated - no control/holdout</x:v>
      </x:c>
      <x:c r="AG540" s="277" t="str">
        <x:v>Recovered execution only; assignment date and unclaimed-offer denominator unavailable</x:v>
      </x:c>
    </x:row>
    <x:row r="541">
      <x:c r="A541" s="252" t="str">
        <x:v>34235068</x:v>
      </x:c>
      <x:c r="B541" s="253" t="str">
        <x:v>WS1</x:v>
      </x:c>
      <x:c r="C541" s="253" t="str">
        <x:v>MB8</x:v>
      </x:c>
      <x:c r="D541" s="262" t="n">
        <x:v>46155.85402777778</x:v>
      </x:c>
      <x:c r="E541" s="259" t="n">
        <x:v>46155.166666666664</x:v>
      </x:c>
      <x:c r="F541" s="253" t="str">
        <x:v>598308</x:v>
      </x:c>
      <x:c r="G541" s="253" t="str">
        <x:v>parampun01</x:v>
      </x:c>
      <x:c r="H541" s="253" t="str">
        <x:v>Yes</x:v>
      </x:c>
      <x:c r="I541" s="253" t="str"/>
      <x:c r="J541" s="253" t="str"/>
      <x:c r="K541" s="259"/>
      <x:c r="L541" s="268" t="str">
        <x:f>IFERROR(VLOOKUP(I541,'Handler-Team Map'!$A$7:$C$17,2,FALSE),"")</x:f>
      </x:c>
      <x:c r="M541" s="268" t="str">
        <x:f>IFERROR(VLOOKUP(I541,'Handler-Team Map'!$A$7:$C$17,3,FALSE),"")</x:f>
      </x:c>
      <x:c r="N541" s="274" t="str">
        <x:v>FT_VM_DEP800_GET400_1X</x:v>
      </x:c>
      <x:c r="O541" s="274" t="str">
        <x:v>VIP BONUS - Deposit 800 Get 400 - 1x TO</x:v>
      </x:c>
      <x:c r="P541" s="274" t="str">
        <x:v>DepositBonus</x:v>
      </x:c>
      <x:c r="Q541" s="274" t="str">
        <x:v>Approved</x:v>
      </x:c>
      <x:c r="R541" s="265" t="n">
        <x:v>400</x:v>
      </x:c>
      <x:c r="S541" s="253" t="str">
        <x:v>Yes</x:v>
      </x:c>
      <x:c r="T541" s="265" t="n">
        <x:v>30</x:v>
      </x:c>
      <x:c r="U541" s="253" t="str">
        <x:f>IF(AND(S541="Yes",T541=0),"Yes","No")</x:f>
        <x:v>No</x:v>
      </x:c>
      <x:c r="V541" s="253" t="str">
        <x:v>Yes</x:v>
      </x:c>
      <x:c r="W541" s="253" t="str">
        <x:v>Yes</x:v>
      </x:c>
      <x:c r="X541" s="259" t="n">
        <x:v>46155.166666666664</x:v>
      </x:c>
      <x:c r="Y541" s="265" t="n">
        <x:v>830</x:v>
      </x:c>
      <x:c r="Z541" s="265" t="n">
        <x:v>830</x:v>
      </x:c>
      <x:c r="AA541" s="253" t="str">
        <x:f>IF(V541="No","Maturing",IF(AND(U541="Yes",Y541&gt;0),"Yes","No"))</x:f>
        <x:v>No</x:v>
      </x:c>
      <x:c r="AB541" s="253" t="str">
        <x:f>IF(W541="No","Maturing",IF(AND(U541="Yes",Z541&gt;0),"Yes","No"))</x:f>
        <x:v>No</x:v>
      </x:c>
      <x:c r="AC541" s="265" t="n">
        <x:v>-219.96</x:v>
      </x:c>
      <x:c r="AD541" s="265" t="n">
        <x:v>-219.96</x:v>
      </x:c>
      <x:c r="AE541" s="271" t="str"/>
      <x:c r="AF541" s="274" t="str">
        <x:v>Not validated - no control/holdout</x:v>
      </x:c>
      <x:c r="AG541" s="277" t="str">
        <x:v>Recovered execution only; assignment date and unclaimed-offer denominator unavailable</x:v>
      </x:c>
    </x:row>
    <x:row r="542">
      <x:c r="A542" s="252" t="str">
        <x:v>34235449</x:v>
      </x:c>
      <x:c r="B542" s="253" t="str">
        <x:v>WS1</x:v>
      </x:c>
      <x:c r="C542" s="253" t="str">
        <x:v>MB8</x:v>
      </x:c>
      <x:c r="D542" s="262" t="n">
        <x:v>46155.884363425925</x:v>
      </x:c>
      <x:c r="E542" s="259" t="n">
        <x:v>46155.166666666664</x:v>
      </x:c>
      <x:c r="F542" s="253" t="str">
        <x:v>405339</x:v>
      </x:c>
      <x:c r="G542" s="253" t="str">
        <x:v>Azuarniss96</x:v>
      </x:c>
      <x:c r="H542" s="253" t="str">
        <x:v>Yes</x:v>
      </x:c>
      <x:c r="I542" s="253" t="str">
        <x:v>Elda</x:v>
      </x:c>
      <x:c r="J542" s="253" t="str">
        <x:v>Elda</x:v>
      </x:c>
      <x:c r="K542" s="259" t="n">
        <x:v>45659.166666666664</x:v>
      </x:c>
      <x:c r="L542" s="268" t="str">
        <x:f>IFERROR(VLOOKUP(I542,'Handler-Team Map'!$A$7:$C$17,2,FALSE),"")</x:f>
      </x:c>
      <x:c r="M542" s="268" t="str">
        <x:f>IFERROR(VLOOKUP(I542,'Handler-Team Map'!$A$7:$C$17,3,FALSE),"")</x:f>
      </x:c>
      <x:c r="N542" s="274" t="str">
        <x:v>FT_VM_DEP300_GET100_2X</x:v>
      </x:c>
      <x:c r="O542" s="274" t="str">
        <x:v>VIP BONUS - Deposit 300 Get 100 - 2x TO</x:v>
      </x:c>
      <x:c r="P542" s="274" t="str">
        <x:v>DepositBonus</x:v>
      </x:c>
      <x:c r="Q542" s="274" t="str">
        <x:v>Approved</x:v>
      </x:c>
      <x:c r="R542" s="265" t="n">
        <x:v>100</x:v>
      </x:c>
      <x:c r="S542" s="253" t="str">
        <x:v>Yes</x:v>
      </x:c>
      <x:c r="T542" s="265" t="n">
        <x:v>82492</x:v>
      </x:c>
      <x:c r="U542" s="253" t="str">
        <x:f>IF(AND(S542="Yes",T542=0),"Yes","No")</x:f>
        <x:v>No</x:v>
      </x:c>
      <x:c r="V542" s="253" t="str">
        <x:v>Yes</x:v>
      </x:c>
      <x:c r="W542" s="253" t="str">
        <x:v>Yes</x:v>
      </x:c>
      <x:c r="X542" s="259" t="n">
        <x:v>46155.166666666664</x:v>
      </x:c>
      <x:c r="Y542" s="265" t="n">
        <x:v>500</x:v>
      </x:c>
      <x:c r="Z542" s="265" t="n">
        <x:v>13150</x:v>
      </x:c>
      <x:c r="AA542" s="253" t="str">
        <x:f>IF(V542="No","Maturing",IF(AND(U542="Yes",Y542&gt;0),"Yes","No"))</x:f>
        <x:v>No</x:v>
      </x:c>
      <x:c r="AB542" s="253" t="str">
        <x:f>IF(W542="No","Maturing",IF(AND(U542="Yes",Z542&gt;0),"Yes","No"))</x:f>
        <x:v>No</x:v>
      </x:c>
      <x:c r="AC542" s="265" t="n">
        <x:v>502.64</x:v>
      </x:c>
      <x:c r="AD542" s="265" t="n">
        <x:v>7918.52</x:v>
      </x:c>
      <x:c r="AE542" s="271" t="str"/>
      <x:c r="AF542" s="274" t="str">
        <x:v>Not validated - no control/holdout</x:v>
      </x:c>
      <x:c r="AG542" s="277" t="str">
        <x:v>Recovered execution only; assignment date and unclaimed-offer denominator unavailable</x:v>
      </x:c>
    </x:row>
    <x:row r="543">
      <x:c r="A543" s="252" t="str">
        <x:v>34235608</x:v>
      </x:c>
      <x:c r="B543" s="253" t="str">
        <x:v>WS1</x:v>
      </x:c>
      <x:c r="C543" s="253" t="str">
        <x:v>MB8</x:v>
      </x:c>
      <x:c r="D543" s="262" t="n">
        <x:v>46155.89671296296</x:v>
      </x:c>
      <x:c r="E543" s="259" t="n">
        <x:v>46155.166666666664</x:v>
      </x:c>
      <x:c r="F543" s="253" t="str">
        <x:v>481857</x:v>
      </x:c>
      <x:c r="G543" s="253" t="str">
        <x:v>mybet9888</x:v>
      </x:c>
      <x:c r="H543" s="253" t="str">
        <x:v>Yes</x:v>
      </x:c>
      <x:c r="I543" s="253" t="str">
        <x:v>Claire</x:v>
      </x:c>
      <x:c r="J543" s="253" t="str">
        <x:v>Claire</x:v>
      </x:c>
      <x:c r="K543" s="259" t="n">
        <x:v>45659.166666666664</x:v>
      </x:c>
      <x:c r="L543" s="268" t="str">
        <x:f>IFERROR(VLOOKUP(I543,'Handler-Team Map'!$A$7:$C$17,2,FALSE),"")</x:f>
      </x:c>
      <x:c r="M543" s="268" t="str">
        <x:f>IFERROR(VLOOKUP(I543,'Handler-Team Map'!$A$7:$C$17,3,FALSE),"")</x:f>
      </x:c>
      <x:c r="N543" s="274" t="str">
        <x:v>FT_VM_DEP1000_GET800_2X</x:v>
      </x:c>
      <x:c r="O543" s="274" t="str">
        <x:v>VIP BONUS - Deposit 1000 Get 800 - 2x TO</x:v>
      </x:c>
      <x:c r="P543" s="274" t="str">
        <x:v>DepositBonus</x:v>
      </x:c>
      <x:c r="Q543" s="274" t="str">
        <x:v>Approved</x:v>
      </x:c>
      <x:c r="R543" s="265" t="n">
        <x:v>800</x:v>
      </x:c>
      <x:c r="S543" s="253" t="str">
        <x:v>Yes</x:v>
      </x:c>
      <x:c r="T543" s="265" t="n">
        <x:v>11880</x:v>
      </x:c>
      <x:c r="U543" s="253" t="str">
        <x:f>IF(AND(S543="Yes",T543=0),"Yes","No")</x:f>
        <x:v>No</x:v>
      </x:c>
      <x:c r="V543" s="253" t="str">
        <x:v>Yes</x:v>
      </x:c>
      <x:c r="W543" s="253" t="str">
        <x:v>Yes</x:v>
      </x:c>
      <x:c r="X543" s="259" t="n">
        <x:v>46155.166666666664</x:v>
      </x:c>
      <x:c r="Y543" s="265" t="n">
        <x:v>5250</x:v>
      </x:c>
      <x:c r="Z543" s="265" t="n">
        <x:v>7780</x:v>
      </x:c>
      <x:c r="AA543" s="253" t="str">
        <x:f>IF(V543="No","Maturing",IF(AND(U543="Yes",Y543&gt;0),"Yes","No"))</x:f>
        <x:v>No</x:v>
      </x:c>
      <x:c r="AB543" s="253" t="str">
        <x:f>IF(W543="No","Maturing",IF(AND(U543="Yes",Z543&gt;0),"Yes","No"))</x:f>
        <x:v>No</x:v>
      </x:c>
      <x:c r="AC543" s="265" t="n">
        <x:v>575.96</x:v>
      </x:c>
      <x:c r="AD543" s="265" t="n">
        <x:v>2542.76</x:v>
      </x:c>
      <x:c r="AE543" s="271" t="str"/>
      <x:c r="AF543" s="274" t="str">
        <x:v>Not validated - no control/holdout</x:v>
      </x:c>
      <x:c r="AG543" s="277" t="str">
        <x:v>Recovered execution only; assignment date and unclaimed-offer denominator unavailable</x:v>
      </x:c>
    </x:row>
    <x:row r="544">
      <x:c r="A544" s="252" t="str">
        <x:v>34235674</x:v>
      </x:c>
      <x:c r="B544" s="253" t="str">
        <x:v>WS1</x:v>
      </x:c>
      <x:c r="C544" s="253" t="str">
        <x:v>MB8</x:v>
      </x:c>
      <x:c r="D544" s="262" t="n">
        <x:v>46155.9003125</x:v>
      </x:c>
      <x:c r="E544" s="259" t="n">
        <x:v>46155.166666666664</x:v>
      </x:c>
      <x:c r="F544" s="253" t="str">
        <x:v>534007</x:v>
      </x:c>
      <x:c r="G544" s="253" t="str">
        <x:v>sahilyar15</x:v>
      </x:c>
      <x:c r="H544" s="253" t="str">
        <x:v>Yes</x:v>
      </x:c>
      <x:c r="I544" s="253" t="str">
        <x:v>Tammy</x:v>
      </x:c>
      <x:c r="J544" s="253" t="str">
        <x:v>Tammy</x:v>
      </x:c>
      <x:c r="K544" s="259" t="n">
        <x:v>45951.166666666664</x:v>
      </x:c>
      <x:c r="L544" s="268" t="str">
        <x:f>IFERROR(VLOOKUP(I544,'Handler-Team Map'!$A$7:$C$17,2,FALSE),"")</x:f>
      </x:c>
      <x:c r="M544" s="268" t="str">
        <x:f>IFERROR(VLOOKUP(I544,'Handler-Team Map'!$A$7:$C$17,3,FALSE),"")</x:f>
      </x:c>
      <x:c r="N544" s="274" t="str">
        <x:v>FT_VM_DEP1000_GET500_5X</x:v>
      </x:c>
      <x:c r="O544" s="274" t="str">
        <x:v>VIP BONUS - Deposit 1000 Get 500 - 5x TO</x:v>
      </x:c>
      <x:c r="P544" s="274" t="str">
        <x:v>DepositBonus</x:v>
      </x:c>
      <x:c r="Q544" s="274" t="str">
        <x:v>Approved</x:v>
      </x:c>
      <x:c r="R544" s="265" t="n">
        <x:v>500</x:v>
      </x:c>
      <x:c r="S544" s="253" t="str">
        <x:v>Yes</x:v>
      </x:c>
      <x:c r="T544" s="265" t="n">
        <x:v>8560</x:v>
      </x:c>
      <x:c r="U544" s="253" t="str">
        <x:f>IF(AND(S544="Yes",T544=0),"Yes","No")</x:f>
        <x:v>No</x:v>
      </x:c>
      <x:c r="V544" s="253" t="str">
        <x:v>Yes</x:v>
      </x:c>
      <x:c r="W544" s="253" t="str">
        <x:v>Yes</x:v>
      </x:c>
      <x:c r="X544" s="259" t="n">
        <x:v>46155.166666666664</x:v>
      </x:c>
      <x:c r="Y544" s="265" t="n">
        <x:v>4250</x:v>
      </x:c>
      <x:c r="Z544" s="265" t="n">
        <x:v>6050</x:v>
      </x:c>
      <x:c r="AA544" s="253" t="str">
        <x:f>IF(V544="No","Maturing",IF(AND(U544="Yes",Y544&gt;0),"Yes","No"))</x:f>
        <x:v>No</x:v>
      </x:c>
      <x:c r="AB544" s="253" t="str">
        <x:f>IF(W544="No","Maturing",IF(AND(U544="Yes",Z544&gt;0),"Yes","No"))</x:f>
        <x:v>No</x:v>
      </x:c>
      <x:c r="AC544" s="265" t="n">
        <x:v>391</x:v>
      </x:c>
      <x:c r="AD544" s="265" t="n">
        <x:v>-443.18</x:v>
      </x:c>
      <x:c r="AE544" s="271" t="str"/>
      <x:c r="AF544" s="274" t="str">
        <x:v>Not validated - no control/holdout</x:v>
      </x:c>
      <x:c r="AG544" s="277" t="str">
        <x:v>Recovered execution only; assignment date and unclaimed-offer denominator unavailable</x:v>
      </x:c>
    </x:row>
    <x:row r="545">
      <x:c r="A545" s="252" t="str">
        <x:v>34236390</x:v>
      </x:c>
      <x:c r="B545" s="253" t="str">
        <x:v>WS1</x:v>
      </x:c>
      <x:c r="C545" s="253" t="str">
        <x:v>MB8</x:v>
      </x:c>
      <x:c r="D545" s="262" t="n">
        <x:v>46155.947291666664</x:v>
      </x:c>
      <x:c r="E545" s="259" t="n">
        <x:v>46155.166666666664</x:v>
      </x:c>
      <x:c r="F545" s="253" t="str">
        <x:v>78785</x:v>
      </x:c>
      <x:c r="G545" s="253" t="str">
        <x:v>Rainchoong</x:v>
      </x:c>
      <x:c r="H545" s="253" t="str">
        <x:v>Yes</x:v>
      </x:c>
      <x:c r="I545" s="253" t="str">
        <x:v>Jiahui</x:v>
      </x:c>
      <x:c r="J545" s="253" t="str">
        <x:v>Jiahui</x:v>
      </x:c>
      <x:c r="K545" s="259" t="n">
        <x:v>45811.166666666664</x:v>
      </x:c>
      <x:c r="L545" s="268" t="str">
        <x:f>IFERROR(VLOOKUP(I545,'Handler-Team Map'!$A$7:$C$17,2,FALSE),"")</x:f>
      </x:c>
      <x:c r="M545" s="268" t="str">
        <x:f>IFERROR(VLOOKUP(I545,'Handler-Team Map'!$A$7:$C$17,3,FALSE),"")</x:f>
      </x:c>
      <x:c r="N545" s="274" t="str">
        <x:v>FT_VM_DEP300_GET100_5X</x:v>
      </x:c>
      <x:c r="O545" s="274" t="str">
        <x:v>VIP BONUS - Deposit 300 Get 100 - 5x TO</x:v>
      </x:c>
      <x:c r="P545" s="274" t="str">
        <x:v>DepositBonus</x:v>
      </x:c>
      <x:c r="Q545" s="274" t="str">
        <x:v>Approved</x:v>
      </x:c>
      <x:c r="R545" s="265" t="n">
        <x:v>100</x:v>
      </x:c>
      <x:c r="S545" s="253" t="str">
        <x:v>Yes</x:v>
      </x:c>
      <x:c r="T545" s="265" t="n">
        <x:v>32550</x:v>
      </x:c>
      <x:c r="U545" s="253" t="str">
        <x:f>IF(AND(S545="Yes",T545=0),"Yes","No")</x:f>
        <x:v>No</x:v>
      </x:c>
      <x:c r="V545" s="253" t="str">
        <x:v>Yes</x:v>
      </x:c>
      <x:c r="W545" s="253" t="str">
        <x:v>Yes</x:v>
      </x:c>
      <x:c r="X545" s="259" t="n">
        <x:v>46155.166666666664</x:v>
      </x:c>
      <x:c r="Y545" s="265" t="n">
        <x:v>4340</x:v>
      </x:c>
      <x:c r="Z545" s="265" t="n">
        <x:v>4340</x:v>
      </x:c>
      <x:c r="AA545" s="253" t="str">
        <x:f>IF(V545="No","Maturing",IF(AND(U545="Yes",Y545&gt;0),"Yes","No"))</x:f>
        <x:v>No</x:v>
      </x:c>
      <x:c r="AB545" s="253" t="str">
        <x:f>IF(W545="No","Maturing",IF(AND(U545="Yes",Z545&gt;0),"Yes","No"))</x:f>
        <x:v>No</x:v>
      </x:c>
      <x:c r="AC545" s="265" t="n">
        <x:v>3722.17</x:v>
      </x:c>
      <x:c r="AD545" s="265" t="n">
        <x:v>3721.46</x:v>
      </x:c>
      <x:c r="AE545" s="271" t="str"/>
      <x:c r="AF545" s="274" t="str">
        <x:v>Not validated - no control/holdout</x:v>
      </x:c>
      <x:c r="AG545" s="277" t="str">
        <x:v>Recovered execution only; assignment date and unclaimed-offer denominator unavailable</x:v>
      </x:c>
    </x:row>
    <x:row r="546">
      <x:c r="A546" s="252" t="str">
        <x:v>34236651</x:v>
      </x:c>
      <x:c r="B546" s="253" t="str">
        <x:v>WS1</x:v>
      </x:c>
      <x:c r="C546" s="253" t="str">
        <x:v>MB8</x:v>
      </x:c>
      <x:c r="D546" s="262" t="n">
        <x:v>46155.961701388886</x:v>
      </x:c>
      <x:c r="E546" s="259" t="n">
        <x:v>46155.166666666664</x:v>
      </x:c>
      <x:c r="F546" s="253" t="str">
        <x:v>474727</x:v>
      </x:c>
      <x:c r="G546" s="253" t="str">
        <x:v>Blindboi9999</x:v>
      </x:c>
      <x:c r="H546" s="253" t="str">
        <x:v>Yes</x:v>
      </x:c>
      <x:c r="I546" s="253" t="str"/>
      <x:c r="J546" s="253" t="str"/>
      <x:c r="K546" s="259"/>
      <x:c r="L546" s="268" t="str">
        <x:f>IFERROR(VLOOKUP(I546,'Handler-Team Map'!$A$7:$C$17,2,FALSE),"")</x:f>
      </x:c>
      <x:c r="M546" s="268" t="str">
        <x:f>IFERROR(VLOOKUP(I546,'Handler-Team Map'!$A$7:$C$17,3,FALSE),"")</x:f>
      </x:c>
      <x:c r="N546" s="274" t="str">
        <x:v>FT_VM_DEP700_GET300_2X</x:v>
      </x:c>
      <x:c r="O546" s="274" t="str">
        <x:v>VIP BONUS - Deposit 700 Get 300 - 2x TO</x:v>
      </x:c>
      <x:c r="P546" s="274" t="str">
        <x:v>DepositBonus</x:v>
      </x:c>
      <x:c r="Q546" s="274" t="str">
        <x:v>Approved</x:v>
      </x:c>
      <x:c r="R546" s="265" t="n">
        <x:v>300</x:v>
      </x:c>
      <x:c r="S546" s="253" t="str">
        <x:v>Yes</x:v>
      </x:c>
      <x:c r="T546" s="265" t="n">
        <x:v>130</x:v>
      </x:c>
      <x:c r="U546" s="253" t="str">
        <x:f>IF(AND(S546="Yes",T546=0),"Yes","No")</x:f>
        <x:v>No</x:v>
      </x:c>
      <x:c r="V546" s="253" t="str">
        <x:v>Yes</x:v>
      </x:c>
      <x:c r="W546" s="253" t="str">
        <x:v>Yes</x:v>
      </x:c>
      <x:c r="X546" s="259" t="n">
        <x:v>46155.166666666664</x:v>
      </x:c>
      <x:c r="Y546" s="265" t="n">
        <x:v>2100</x:v>
      </x:c>
      <x:c r="Z546" s="265" t="n">
        <x:v>2100</x:v>
      </x:c>
      <x:c r="AA546" s="253" t="str">
        <x:f>IF(V546="No","Maturing",IF(AND(U546="Yes",Y546&gt;0),"Yes","No"))</x:f>
        <x:v>No</x:v>
      </x:c>
      <x:c r="AB546" s="253" t="str">
        <x:f>IF(W546="No","Maturing",IF(AND(U546="Yes",Z546&gt;0),"Yes","No"))</x:f>
        <x:v>No</x:v>
      </x:c>
      <x:c r="AC546" s="265" t="n">
        <x:v>1278.99</x:v>
      </x:c>
      <x:c r="AD546" s="265" t="n">
        <x:v>1278.93</x:v>
      </x:c>
      <x:c r="AE546" s="271" t="str"/>
      <x:c r="AF546" s="274" t="str">
        <x:v>Not validated - no control/holdout</x:v>
      </x:c>
      <x:c r="AG546" s="277" t="str">
        <x:v>Recovered execution only; assignment date and unclaimed-offer denominator unavailable</x:v>
      </x:c>
    </x:row>
    <x:row r="547">
      <x:c r="A547" s="252" t="str">
        <x:v>34236842</x:v>
      </x:c>
      <x:c r="B547" s="253" t="str">
        <x:v>WS1</x:v>
      </x:c>
      <x:c r="C547" s="253" t="str">
        <x:v>MB8</x:v>
      </x:c>
      <x:c r="D547" s="262" t="n">
        <x:v>46155.970821759256</x:v>
      </x:c>
      <x:c r="E547" s="259" t="n">
        <x:v>46155.166666666664</x:v>
      </x:c>
      <x:c r="F547" s="253" t="str">
        <x:v>291167</x:v>
      </x:c>
      <x:c r="G547" s="253" t="str">
        <x:v>CCPP10</x:v>
      </x:c>
      <x:c r="H547" s="253" t="str">
        <x:v>Yes</x:v>
      </x:c>
      <x:c r="I547" s="253" t="str">
        <x:v>zhen</x:v>
      </x:c>
      <x:c r="J547" s="253" t="str">
        <x:v>zhen</x:v>
      </x:c>
      <x:c r="K547" s="259" t="n">
        <x:v>46090.166666666664</x:v>
      </x:c>
      <x:c r="L547" s="268" t="str">
        <x:f>IFERROR(VLOOKUP(I547,'Handler-Team Map'!$A$7:$C$17,2,FALSE),"")</x:f>
      </x:c>
      <x:c r="M547" s="268" t="str">
        <x:f>IFERROR(VLOOKUP(I547,'Handler-Team Map'!$A$7:$C$17,3,FALSE),"")</x:f>
      </x:c>
      <x:c r="N547" s="274" t="str">
        <x:v>FT_VM_DEP1000_GET500_5X</x:v>
      </x:c>
      <x:c r="O547" s="274" t="str">
        <x:v>VIP BONUS - Deposit 1000 Get 500 - 5x TO</x:v>
      </x:c>
      <x:c r="P547" s="274" t="str">
        <x:v>DepositBonus</x:v>
      </x:c>
      <x:c r="Q547" s="274" t="str">
        <x:v>Approved</x:v>
      </x:c>
      <x:c r="R547" s="265" t="n">
        <x:v>500</x:v>
      </x:c>
      <x:c r="S547" s="253" t="str">
        <x:v>Yes</x:v>
      </x:c>
      <x:c r="T547" s="265" t="n">
        <x:v>2900</x:v>
      </x:c>
      <x:c r="U547" s="253" t="str">
        <x:f>IF(AND(S547="Yes",T547=0),"Yes","No")</x:f>
        <x:v>No</x:v>
      </x:c>
      <x:c r="V547" s="253" t="str">
        <x:v>Yes</x:v>
      </x:c>
      <x:c r="W547" s="253" t="str">
        <x:v>Yes</x:v>
      </x:c>
      <x:c r="X547" s="259" t="n">
        <x:v>46155.166666666664</x:v>
      </x:c>
      <x:c r="Y547" s="265" t="n">
        <x:v>1000</x:v>
      </x:c>
      <x:c r="Z547" s="265" t="n">
        <x:v>1000</x:v>
      </x:c>
      <x:c r="AA547" s="253" t="str">
        <x:f>IF(V547="No","Maturing",IF(AND(U547="Yes",Y547&gt;0),"Yes","No"))</x:f>
        <x:v>No</x:v>
      </x:c>
      <x:c r="AB547" s="253" t="str">
        <x:f>IF(W547="No","Maturing",IF(AND(U547="Yes",Z547&gt;0),"Yes","No"))</x:f>
        <x:v>No</x:v>
      </x:c>
      <x:c r="AC547" s="265" t="n">
        <x:v>-1993.53</x:v>
      </x:c>
      <x:c r="AD547" s="265" t="n">
        <x:v>-1993.05</x:v>
      </x:c>
      <x:c r="AE547" s="271" t="str"/>
      <x:c r="AF547" s="274" t="str">
        <x:v>Not validated - no control/holdout</x:v>
      </x:c>
      <x:c r="AG547" s="277" t="str">
        <x:v>Recovered execution only; assignment date and unclaimed-offer denominator unavailable</x:v>
      </x:c>
    </x:row>
    <x:row r="548">
      <x:c r="A548" s="252" t="str">
        <x:v>34237331</x:v>
      </x:c>
      <x:c r="B548" s="253" t="str">
        <x:v>WS1</x:v>
      </x:c>
      <x:c r="C548" s="253" t="str">
        <x:v>MB8</x:v>
      </x:c>
      <x:c r="D548" s="262" t="n">
        <x:v>46155.998020833336</x:v>
      </x:c>
      <x:c r="E548" s="259" t="n">
        <x:v>46155.166666666664</x:v>
      </x:c>
      <x:c r="F548" s="253" t="str">
        <x:v>872543</x:v>
      </x:c>
      <x:c r="G548" s="253" t="str">
        <x:v>Saiful8818</x:v>
      </x:c>
      <x:c r="H548" s="253" t="str">
        <x:v>Yes</x:v>
      </x:c>
      <x:c r="I548" s="253" t="str">
        <x:v>Mikki</x:v>
      </x:c>
      <x:c r="J548" s="253" t="str">
        <x:v>Mikki</x:v>
      </x:c>
      <x:c r="K548" s="259" t="n">
        <x:v>45993.166666666664</x:v>
      </x:c>
      <x:c r="L548" s="268" t="str">
        <x:f>IFERROR(VLOOKUP(I548,'Handler-Team Map'!$A$7:$C$17,2,FALSE),"")</x:f>
      </x:c>
      <x:c r="M548" s="268" t="str">
        <x:f>IFERROR(VLOOKUP(I548,'Handler-Team Map'!$A$7:$C$17,3,FALSE),"")</x:f>
      </x:c>
      <x:c r="N548" s="274" t="str">
        <x:v>FT_VM_DEP150_GET50_5X</x:v>
      </x:c>
      <x:c r="O548" s="274" t="str">
        <x:v>VIP BONUS - Deposit 150 Get 50 - 5x TO</x:v>
      </x:c>
      <x:c r="P548" s="274" t="str">
        <x:v>DepositBonus</x:v>
      </x:c>
      <x:c r="Q548" s="274" t="str">
        <x:v>Approved</x:v>
      </x:c>
      <x:c r="R548" s="265" t="n">
        <x:v>50</x:v>
      </x:c>
      <x:c r="S548" s="253" t="str">
        <x:v>Yes</x:v>
      </x:c>
      <x:c r="T548" s="265" t="n">
        <x:v>37818</x:v>
      </x:c>
      <x:c r="U548" s="253" t="str">
        <x:f>IF(AND(S548="Yes",T548=0),"Yes","No")</x:f>
        <x:v>No</x:v>
      </x:c>
      <x:c r="V548" s="253" t="str">
        <x:v>Yes</x:v>
      </x:c>
      <x:c r="W548" s="253" t="str">
        <x:v>Yes</x:v>
      </x:c>
      <x:c r="X548" s="259" t="n">
        <x:v>46155.166666666664</x:v>
      </x:c>
      <x:c r="Y548" s="265" t="n">
        <x:v>10422</x:v>
      </x:c>
      <x:c r="Z548" s="265" t="n">
        <x:v>30612</x:v>
      </x:c>
      <x:c r="AA548" s="253" t="str">
        <x:f>IF(V548="No","Maturing",IF(AND(U548="Yes",Y548&gt;0),"Yes","No"))</x:f>
        <x:v>No</x:v>
      </x:c>
      <x:c r="AB548" s="253" t="str">
        <x:f>IF(W548="No","Maturing",IF(AND(U548="Yes",Z548&gt;0),"Yes","No"))</x:f>
        <x:v>No</x:v>
      </x:c>
      <x:c r="AC548" s="265" t="n">
        <x:v>-10430.23</x:v>
      </x:c>
      <x:c r="AD548" s="265" t="n">
        <x:v>-22719.64</x:v>
      </x:c>
      <x:c r="AE548" s="271" t="str"/>
      <x:c r="AF548" s="274" t="str">
        <x:v>Not validated - no control/holdout</x:v>
      </x:c>
      <x:c r="AG548" s="277" t="str">
        <x:v>Recovered execution only; assignment date and unclaimed-offer denominator unavailable</x:v>
      </x:c>
    </x:row>
    <x:row r="549">
      <x:c r="A549" s="252" t="str">
        <x:v>34237679</x:v>
      </x:c>
      <x:c r="B549" s="253" t="str">
        <x:v>WS1</x:v>
      </x:c>
      <x:c r="C549" s="253" t="str">
        <x:v>MB8</x:v>
      </x:c>
      <x:c r="D549" s="262" t="n">
        <x:v>46156.01813657407</x:v>
      </x:c>
      <x:c r="E549" s="259" t="n">
        <x:v>46156.166666666664</x:v>
      </x:c>
      <x:c r="F549" s="253" t="str">
        <x:v>1120910</x:v>
      </x:c>
      <x:c r="G549" s="253" t="str">
        <x:v>frederick6911</x:v>
      </x:c>
      <x:c r="H549" s="253" t="str">
        <x:v>Yes</x:v>
      </x:c>
      <x:c r="I549" s="253" t="str">
        <x:v>Jiahui</x:v>
      </x:c>
      <x:c r="J549" s="253" t="str">
        <x:v>Jiahui</x:v>
      </x:c>
      <x:c r="K549" s="259" t="n">
        <x:v>45811.166666666664</x:v>
      </x:c>
      <x:c r="L549" s="268" t="str">
        <x:f>IFERROR(VLOOKUP(I549,'Handler-Team Map'!$A$7:$C$17,2,FALSE),"")</x:f>
      </x:c>
      <x:c r="M549" s="268" t="str">
        <x:f>IFERROR(VLOOKUP(I549,'Handler-Team Map'!$A$7:$C$17,3,FALSE),"")</x:f>
      </x:c>
      <x:c r="N549" s="274" t="str">
        <x:v>FT_VM_DEP300_GET100_5X</x:v>
      </x:c>
      <x:c r="O549" s="274" t="str">
        <x:v>VIP BONUS - Deposit 300 Get 100 - 5x TO</x:v>
      </x:c>
      <x:c r="P549" s="274" t="str">
        <x:v>DepositBonus</x:v>
      </x:c>
      <x:c r="Q549" s="274" t="str">
        <x:v>Approved</x:v>
      </x:c>
      <x:c r="R549" s="265" t="n">
        <x:v>100</x:v>
      </x:c>
      <x:c r="S549" s="253" t="str">
        <x:v>Yes</x:v>
      </x:c>
      <x:c r="T549" s="265" t="n">
        <x:v>17112</x:v>
      </x:c>
      <x:c r="U549" s="253" t="str">
        <x:f>IF(AND(S549="Yes",T549=0),"Yes","No")</x:f>
        <x:v>No</x:v>
      </x:c>
      <x:c r="V549" s="253" t="str">
        <x:v>Yes</x:v>
      </x:c>
      <x:c r="W549" s="253" t="str">
        <x:v>Yes</x:v>
      </x:c>
      <x:c r="X549" s="259" t="n">
        <x:v>46156.166666666664</x:v>
      </x:c>
      <x:c r="Y549" s="265" t="n">
        <x:v>3400</x:v>
      </x:c>
      <x:c r="Z549" s="265" t="n">
        <x:v>4000</x:v>
      </x:c>
      <x:c r="AA549" s="253" t="str">
        <x:f>IF(V549="No","Maturing",IF(AND(U549="Yes",Y549&gt;0),"Yes","No"))</x:f>
        <x:v>No</x:v>
      </x:c>
      <x:c r="AB549" s="253" t="str">
        <x:f>IF(W549="No","Maturing",IF(AND(U549="Yes",Z549&gt;0),"Yes","No"))</x:f>
        <x:v>No</x:v>
      </x:c>
      <x:c r="AC549" s="265" t="n">
        <x:v>1249.36</x:v>
      </x:c>
      <x:c r="AD549" s="265" t="n">
        <x:v>1847.55</x:v>
      </x:c>
      <x:c r="AE549" s="271" t="str"/>
      <x:c r="AF549" s="274" t="str">
        <x:v>Not validated - no control/holdout</x:v>
      </x:c>
      <x:c r="AG549" s="277" t="str">
        <x:v>Recovered execution only; assignment date and unclaimed-offer denominator unavailable</x:v>
      </x:c>
    </x:row>
    <x:row r="550">
      <x:c r="A550" s="252" t="str">
        <x:v>34239961</x:v>
      </x:c>
      <x:c r="B550" s="253" t="str">
        <x:v>WS1</x:v>
      </x:c>
      <x:c r="C550" s="253" t="str">
        <x:v>MB8</x:v>
      </x:c>
      <x:c r="D550" s="262" t="n">
        <x:v>46156.33987268519</x:v>
      </x:c>
      <x:c r="E550" s="259" t="n">
        <x:v>46156.166666666664</x:v>
      </x:c>
      <x:c r="F550" s="253" t="str">
        <x:v>902826</x:v>
      </x:c>
      <x:c r="G550" s="253" t="str">
        <x:v>Wongseong</x:v>
      </x:c>
      <x:c r="H550" s="253" t="str">
        <x:v>Yes</x:v>
      </x:c>
      <x:c r="I550" s="253" t="str">
        <x:v>zhen</x:v>
      </x:c>
      <x:c r="J550" s="253" t="str">
        <x:v>zhen</x:v>
      </x:c>
      <x:c r="K550" s="259" t="n">
        <x:v>45880.166666666664</x:v>
      </x:c>
      <x:c r="L550" s="268" t="str">
        <x:f>IFERROR(VLOOKUP(I550,'Handler-Team Map'!$A$7:$C$17,2,FALSE),"")</x:f>
      </x:c>
      <x:c r="M550" s="268" t="str">
        <x:f>IFERROR(VLOOKUP(I550,'Handler-Team Map'!$A$7:$C$17,3,FALSE),"")</x:f>
      </x:c>
      <x:c r="N550" s="274" t="str">
        <x:v>FT_VM_DEP800_GET400_2X</x:v>
      </x:c>
      <x:c r="O550" s="274" t="str">
        <x:v>VIP BONUS - Deposit 800 Get 400 - 2x TO</x:v>
      </x:c>
      <x:c r="P550" s="274" t="str">
        <x:v>DepositBonus</x:v>
      </x:c>
      <x:c r="Q550" s="274" t="str">
        <x:v>Approved</x:v>
      </x:c>
      <x:c r="R550" s="265" t="n">
        <x:v>400</x:v>
      </x:c>
      <x:c r="S550" s="253" t="str">
        <x:v>Yes</x:v>
      </x:c>
      <x:c r="T550" s="265" t="n">
        <x:v>1100</x:v>
      </x:c>
      <x:c r="U550" s="253" t="str">
        <x:f>IF(AND(S550="Yes",T550=0),"Yes","No")</x:f>
        <x:v>No</x:v>
      </x:c>
      <x:c r="V550" s="253" t="str">
        <x:v>Yes</x:v>
      </x:c>
      <x:c r="W550" s="253" t="str">
        <x:v>Yes</x:v>
      </x:c>
      <x:c r="X550" s="259" t="n">
        <x:v>46156.166666666664</x:v>
      </x:c>
      <x:c r="Y550" s="265" t="n">
        <x:v>800</x:v>
      </x:c>
      <x:c r="Z550" s="265" t="n">
        <x:v>800</x:v>
      </x:c>
      <x:c r="AA550" s="253" t="str">
        <x:f>IF(V550="No","Maturing",IF(AND(U550="Yes",Y550&gt;0),"Yes","No"))</x:f>
        <x:v>No</x:v>
      </x:c>
      <x:c r="AB550" s="253" t="str">
        <x:f>IF(W550="No","Maturing",IF(AND(U550="Yes",Z550&gt;0),"Yes","No"))</x:f>
        <x:v>No</x:v>
      </x:c>
      <x:c r="AC550" s="265" t="n">
        <x:v>-527.49</x:v>
      </x:c>
      <x:c r="AD550" s="265" t="n">
        <x:v>-527.49</x:v>
      </x:c>
      <x:c r="AE550" s="271" t="str"/>
      <x:c r="AF550" s="274" t="str">
        <x:v>Not validated - no control/holdout</x:v>
      </x:c>
      <x:c r="AG550" s="277" t="str">
        <x:v>Recovered execution only; assignment date and unclaimed-offer denominator unavailable</x:v>
      </x:c>
    </x:row>
    <x:row r="551">
      <x:c r="A551" s="252" t="str">
        <x:v>34240029</x:v>
      </x:c>
      <x:c r="B551" s="253" t="str">
        <x:v>WS1</x:v>
      </x:c>
      <x:c r="C551" s="253" t="str">
        <x:v>MB8</x:v>
      </x:c>
      <x:c r="D551" s="262" t="n">
        <x:v>46156.35324074074</x:v>
      </x:c>
      <x:c r="E551" s="259" t="n">
        <x:v>46156.166666666664</x:v>
      </x:c>
      <x:c r="F551" s="253" t="str">
        <x:v>1199974</x:v>
      </x:c>
      <x:c r="G551" s="253" t="str">
        <x:v>Nazli3612</x:v>
      </x:c>
      <x:c r="H551" s="253" t="str">
        <x:v>Yes</x:v>
      </x:c>
      <x:c r="I551" s="253" t="str"/>
      <x:c r="J551" s="253" t="str"/>
      <x:c r="K551" s="259"/>
      <x:c r="L551" s="268" t="str">
        <x:f>IFERROR(VLOOKUP(I551,'Handler-Team Map'!$A$7:$C$17,2,FALSE),"")</x:f>
      </x:c>
      <x:c r="M551" s="268" t="str">
        <x:f>IFERROR(VLOOKUP(I551,'Handler-Team Map'!$A$7:$C$17,3,FALSE),"")</x:f>
      </x:c>
      <x:c r="N551" s="274" t="str">
        <x:v>FT_VM_DEP300_GET100_5X</x:v>
      </x:c>
      <x:c r="O551" s="274" t="str">
        <x:v>VIP BONUS - Deposit 300 Get 100 - 5x TO</x:v>
      </x:c>
      <x:c r="P551" s="274" t="str">
        <x:v>DepositBonus</x:v>
      </x:c>
      <x:c r="Q551" s="274" t="str">
        <x:v>Approved</x:v>
      </x:c>
      <x:c r="R551" s="265" t="n">
        <x:v>100</x:v>
      </x:c>
      <x:c r="S551" s="253" t="str">
        <x:v>Yes</x:v>
      </x:c>
      <x:c r="T551" s="265" t="n">
        <x:v>29030</x:v>
      </x:c>
      <x:c r="U551" s="253" t="str">
        <x:f>IF(AND(S551="Yes",T551=0),"Yes","No")</x:f>
        <x:v>No</x:v>
      </x:c>
      <x:c r="V551" s="253" t="str">
        <x:v>Yes</x:v>
      </x:c>
      <x:c r="W551" s="253" t="str">
        <x:v>Yes</x:v>
      </x:c>
      <x:c r="X551" s="259" t="n">
        <x:v>46156.166666666664</x:v>
      </x:c>
      <x:c r="Y551" s="265" t="n">
        <x:v>15950</x:v>
      </x:c>
      <x:c r="Z551" s="265" t="n">
        <x:v>25500</x:v>
      </x:c>
      <x:c r="AA551" s="253" t="str">
        <x:f>IF(V551="No","Maturing",IF(AND(U551="Yes",Y551&gt;0),"Yes","No"))</x:f>
        <x:v>No</x:v>
      </x:c>
      <x:c r="AB551" s="253" t="str">
        <x:f>IF(W551="No","Maturing",IF(AND(U551="Yes",Z551&gt;0),"Yes","No"))</x:f>
        <x:v>No</x:v>
      </x:c>
      <x:c r="AC551" s="265" t="n">
        <x:v>8749.78</x:v>
      </x:c>
      <x:c r="AD551" s="265" t="n">
        <x:v>11664.6</x:v>
      </x:c>
      <x:c r="AE551" s="271" t="str"/>
      <x:c r="AF551" s="274" t="str">
        <x:v>Not validated - no control/holdout</x:v>
      </x:c>
      <x:c r="AG551" s="277" t="str">
        <x:v>Recovered execution only; assignment date and unclaimed-offer denominator unavailable</x:v>
      </x:c>
    </x:row>
    <x:row r="552">
      <x:c r="A552" s="252" t="str">
        <x:v>34240181</x:v>
      </x:c>
      <x:c r="B552" s="253" t="str">
        <x:v>WS1</x:v>
      </x:c>
      <x:c r="C552" s="253" t="str">
        <x:v>MB8</x:v>
      </x:c>
      <x:c r="D552" s="262" t="n">
        <x:v>46156.37804398148</x:v>
      </x:c>
      <x:c r="E552" s="259" t="n">
        <x:v>46156.166666666664</x:v>
      </x:c>
      <x:c r="F552" s="253" t="str">
        <x:v>601544</x:v>
      </x:c>
      <x:c r="G552" s="253" t="str">
        <x:v>norshasha156</x:v>
      </x:c>
      <x:c r="H552" s="253" t="str">
        <x:v>Yes</x:v>
      </x:c>
      <x:c r="I552" s="253" t="str"/>
      <x:c r="J552" s="253" t="str"/>
      <x:c r="K552" s="259"/>
      <x:c r="L552" s="268" t="str">
        <x:f>IFERROR(VLOOKUP(I552,'Handler-Team Map'!$A$7:$C$17,2,FALSE),"")</x:f>
      </x:c>
      <x:c r="M552" s="268" t="str">
        <x:f>IFERROR(VLOOKUP(I552,'Handler-Team Map'!$A$7:$C$17,3,FALSE),"")</x:f>
      </x:c>
      <x:c r="N552" s="274" t="str">
        <x:v>FT_VM_DEP1000_GET500_1X</x:v>
      </x:c>
      <x:c r="O552" s="274" t="str">
        <x:v>VIP BONUS - Deposit 1000 Get 500 - 1x TO</x:v>
      </x:c>
      <x:c r="P552" s="274" t="str">
        <x:v>DepositBonus</x:v>
      </x:c>
      <x:c r="Q552" s="274" t="str">
        <x:v>Approved</x:v>
      </x:c>
      <x:c r="R552" s="265" t="n">
        <x:v>500</x:v>
      </x:c>
      <x:c r="S552" s="253" t="str">
        <x:v>Yes</x:v>
      </x:c>
      <x:c r="T552" s="265" t="n">
        <x:v>0</x:v>
      </x:c>
      <x:c r="U552" s="253" t="str">
        <x:f>IF(AND(S552="Yes",T552=0),"Yes","No")</x:f>
        <x:v>Yes</x:v>
      </x:c>
      <x:c r="V552" s="253" t="str">
        <x:v>Yes</x:v>
      </x:c>
      <x:c r="W552" s="253" t="str">
        <x:v>Yes</x:v>
      </x:c>
      <x:c r="X552" s="259" t="n">
        <x:v>46156.166666666664</x:v>
      </x:c>
      <x:c r="Y552" s="265" t="n">
        <x:v>1000</x:v>
      </x:c>
      <x:c r="Z552" s="265" t="n">
        <x:v>1000</x:v>
      </x:c>
      <x:c r="AA552" s="253" t="str">
        <x:f>IF(V552="No","Maturing",IF(AND(U552="Yes",Y552&gt;0),"Yes","No"))</x:f>
        <x:v>Yes</x:v>
      </x:c>
      <x:c r="AB552" s="253" t="str">
        <x:f>IF(W552="No","Maturing",IF(AND(U552="Yes",Z552&gt;0),"Yes","No"))</x:f>
        <x:v>Yes</x:v>
      </x:c>
      <x:c r="AC552" s="265" t="n">
        <x:v>800.52</x:v>
      </x:c>
      <x:c r="AD552" s="265" t="n">
        <x:v>800.52</x:v>
      </x:c>
      <x:c r="AE552" s="271" t="str"/>
      <x:c r="AF552" s="274" t="str">
        <x:v>Not validated - no control/holdout</x:v>
      </x:c>
      <x:c r="AG552" s="277" t="str">
        <x:v>Recovered execution only; assignment date and unclaimed-offer denominator unavailable</x:v>
      </x:c>
    </x:row>
    <x:row r="553">
      <x:c r="A553" s="252" t="str">
        <x:v>34240861</x:v>
      </x:c>
      <x:c r="B553" s="253" t="str">
        <x:v>WS1</x:v>
      </x:c>
      <x:c r="C553" s="253" t="str">
        <x:v>MB8</x:v>
      </x:c>
      <x:c r="D553" s="262" t="n">
        <x:v>46156.47534722222</x:v>
      </x:c>
      <x:c r="E553" s="259" t="n">
        <x:v>46156.166666666664</x:v>
      </x:c>
      <x:c r="F553" s="253" t="str">
        <x:v>605081</x:v>
      </x:c>
      <x:c r="G553" s="253" t="str">
        <x:v>xxdra</x:v>
      </x:c>
      <x:c r="H553" s="253" t="str">
        <x:v>Yes</x:v>
      </x:c>
      <x:c r="I553" s="253" t="str">
        <x:v>Mikki</x:v>
      </x:c>
      <x:c r="J553" s="253" t="str">
        <x:v>Mikki</x:v>
      </x:c>
      <x:c r="K553" s="259" t="n">
        <x:v>45993.166666666664</x:v>
      </x:c>
      <x:c r="L553" s="268" t="str">
        <x:f>IFERROR(VLOOKUP(I553,'Handler-Team Map'!$A$7:$C$17,2,FALSE),"")</x:f>
      </x:c>
      <x:c r="M553" s="268" t="str">
        <x:f>IFERROR(VLOOKUP(I553,'Handler-Team Map'!$A$7:$C$17,3,FALSE),"")</x:f>
      </x:c>
      <x:c r="N553" s="274" t="str">
        <x:v>FT_VM_DEP1000_GET500_5X</x:v>
      </x:c>
      <x:c r="O553" s="274" t="str">
        <x:v>VIP BONUS - Deposit 1000 Get 500 - 5x TO</x:v>
      </x:c>
      <x:c r="P553" s="274" t="str">
        <x:v>DepositBonus</x:v>
      </x:c>
      <x:c r="Q553" s="274" t="str">
        <x:v>Approved</x:v>
      </x:c>
      <x:c r="R553" s="265" t="n">
        <x:v>500</x:v>
      </x:c>
      <x:c r="S553" s="253" t="str">
        <x:v>Yes</x:v>
      </x:c>
      <x:c r="T553" s="265" t="n">
        <x:v>14380</x:v>
      </x:c>
      <x:c r="U553" s="253" t="str">
        <x:f>IF(AND(S553="Yes",T553=0),"Yes","No")</x:f>
        <x:v>No</x:v>
      </x:c>
      <x:c r="V553" s="253" t="str">
        <x:v>Yes</x:v>
      </x:c>
      <x:c r="W553" s="253" t="str">
        <x:v>Yes</x:v>
      </x:c>
      <x:c r="X553" s="259" t="n">
        <x:v>46156.166666666664</x:v>
      </x:c>
      <x:c r="Y553" s="265" t="n">
        <x:v>6090</x:v>
      </x:c>
      <x:c r="Z553" s="265" t="n">
        <x:v>8940</x:v>
      </x:c>
      <x:c r="AA553" s="253" t="str">
        <x:f>IF(V553="No","Maturing",IF(AND(U553="Yes",Y553&gt;0),"Yes","No"))</x:f>
        <x:v>No</x:v>
      </x:c>
      <x:c r="AB553" s="253" t="str">
        <x:f>IF(W553="No","Maturing",IF(AND(U553="Yes",Z553&gt;0),"Yes","No"))</x:f>
        <x:v>No</x:v>
      </x:c>
      <x:c r="AC553" s="265" t="n">
        <x:v>4389.32</x:v>
      </x:c>
      <x:c r="AD553" s="265" t="n">
        <x:v>6189.12</x:v>
      </x:c>
      <x:c r="AE553" s="271" t="str"/>
      <x:c r="AF553" s="274" t="str">
        <x:v>Not validated - no control/holdout</x:v>
      </x:c>
      <x:c r="AG553" s="277" t="str">
        <x:v>Recovered execution only; assignment date and unclaimed-offer denominator unavailable</x:v>
      </x:c>
    </x:row>
    <x:row r="554">
      <x:c r="A554" s="252" t="str">
        <x:v>34240965</x:v>
      </x:c>
      <x:c r="B554" s="253" t="str">
        <x:v>WS1</x:v>
      </x:c>
      <x:c r="C554" s="253" t="str">
        <x:v>MB8</x:v>
      </x:c>
      <x:c r="D554" s="262" t="n">
        <x:v>46156.49414351852</x:v>
      </x:c>
      <x:c r="E554" s="259" t="n">
        <x:v>46156.166666666664</x:v>
      </x:c>
      <x:c r="F554" s="253" t="str">
        <x:v>1044016</x:v>
      </x:c>
      <x:c r="G554" s="253" t="str">
        <x:v>crapssam</x:v>
      </x:c>
      <x:c r="H554" s="253" t="str">
        <x:v>Yes</x:v>
      </x:c>
      <x:c r="I554" s="253" t="str">
        <x:v>Christy</x:v>
      </x:c>
      <x:c r="J554" s="253" t="str">
        <x:v>Christy</x:v>
      </x:c>
      <x:c r="K554" s="259" t="n">
        <x:v>45831.166666666664</x:v>
      </x:c>
      <x:c r="L554" s="268" t="str">
        <x:f>IFERROR(VLOOKUP(I554,'Handler-Team Map'!$A$7:$C$17,2,FALSE),"")</x:f>
      </x:c>
      <x:c r="M554" s="268" t="str">
        <x:f>IFERROR(VLOOKUP(I554,'Handler-Team Map'!$A$7:$C$17,3,FALSE),"")</x:f>
      </x:c>
      <x:c r="N554" s="274" t="str">
        <x:v>FT_VM_DEP1000_GET500_5X</x:v>
      </x:c>
      <x:c r="O554" s="274" t="str">
        <x:v>VIP BONUS - Deposit 1000 Get 500 - 5x TO</x:v>
      </x:c>
      <x:c r="P554" s="274" t="str">
        <x:v>DepositBonus</x:v>
      </x:c>
      <x:c r="Q554" s="274" t="str">
        <x:v>Approved</x:v>
      </x:c>
      <x:c r="R554" s="265" t="n">
        <x:v>500</x:v>
      </x:c>
      <x:c r="S554" s="253" t="str">
        <x:v>Yes</x:v>
      </x:c>
      <x:c r="T554" s="265" t="n">
        <x:v>13180</x:v>
      </x:c>
      <x:c r="U554" s="253" t="str">
        <x:f>IF(AND(S554="Yes",T554=0),"Yes","No")</x:f>
        <x:v>No</x:v>
      </x:c>
      <x:c r="V554" s="253" t="str">
        <x:v>Yes</x:v>
      </x:c>
      <x:c r="W554" s="253" t="str">
        <x:v>Yes</x:v>
      </x:c>
      <x:c r="X554" s="259" t="n">
        <x:v>46156.166666666664</x:v>
      </x:c>
      <x:c r="Y554" s="265" t="n">
        <x:v>1000</x:v>
      </x:c>
      <x:c r="Z554" s="265" t="n">
        <x:v>1600</x:v>
      </x:c>
      <x:c r="AA554" s="253" t="str">
        <x:f>IF(V554="No","Maturing",IF(AND(U554="Yes",Y554&gt;0),"Yes","No"))</x:f>
        <x:v>No</x:v>
      </x:c>
      <x:c r="AB554" s="253" t="str">
        <x:f>IF(W554="No","Maturing",IF(AND(U554="Yes",Z554&gt;0),"Yes","No"))</x:f>
        <x:v>No</x:v>
      </x:c>
      <x:c r="AC554" s="265" t="n">
        <x:v>1030.2</x:v>
      </x:c>
      <x:c r="AD554" s="265" t="n">
        <x:v>1624.75</x:v>
      </x:c>
      <x:c r="AE554" s="271" t="str"/>
      <x:c r="AF554" s="274" t="str">
        <x:v>Not validated - no control/holdout</x:v>
      </x:c>
      <x:c r="AG554" s="277" t="str">
        <x:v>Recovered execution only; assignment date and unclaimed-offer denominator unavailable</x:v>
      </x:c>
    </x:row>
    <x:row r="555">
      <x:c r="A555" s="252" t="str">
        <x:v>34241462</x:v>
      </x:c>
      <x:c r="B555" s="253" t="str">
        <x:v>WS1</x:v>
      </x:c>
      <x:c r="C555" s="253" t="str">
        <x:v>MB8</x:v>
      </x:c>
      <x:c r="D555" s="262" t="n">
        <x:v>46156.55694444444</x:v>
      </x:c>
      <x:c r="E555" s="259" t="n">
        <x:v>46156.166666666664</x:v>
      </x:c>
      <x:c r="F555" s="253" t="str">
        <x:v>1199122</x:v>
      </x:c>
      <x:c r="G555" s="253" t="str">
        <x:v>ROMI18</x:v>
      </x:c>
      <x:c r="H555" s="253" t="str">
        <x:v>Yes</x:v>
      </x:c>
      <x:c r="I555" s="253" t="str"/>
      <x:c r="J555" s="253" t="str"/>
      <x:c r="K555" s="259"/>
      <x:c r="L555" s="268" t="str">
        <x:f>IFERROR(VLOOKUP(I555,'Handler-Team Map'!$A$7:$C$17,2,FALSE),"")</x:f>
      </x:c>
      <x:c r="M555" s="268" t="str">
        <x:f>IFERROR(VLOOKUP(I555,'Handler-Team Map'!$A$7:$C$17,3,FALSE),"")</x:f>
      </x:c>
      <x:c r="N555" s="274" t="str">
        <x:v>FT_VM_DEP1000_GET500_2X</x:v>
      </x:c>
      <x:c r="O555" s="274" t="str">
        <x:v>VIP BONUS - Deposit 1000 Get 500 - 2x TO</x:v>
      </x:c>
      <x:c r="P555" s="274" t="str">
        <x:v>DepositBonus</x:v>
      </x:c>
      <x:c r="Q555" s="274" t="str">
        <x:v>Approved</x:v>
      </x:c>
      <x:c r="R555" s="265" t="n">
        <x:v>500</x:v>
      </x:c>
      <x:c r="S555" s="253" t="str">
        <x:v>Yes</x:v>
      </x:c>
      <x:c r="T555" s="265" t="n">
        <x:v>1424.66</x:v>
      </x:c>
      <x:c r="U555" s="253" t="str">
        <x:f>IF(AND(S555="Yes",T555=0),"Yes","No")</x:f>
        <x:v>No</x:v>
      </x:c>
      <x:c r="V555" s="253" t="str">
        <x:v>Yes</x:v>
      </x:c>
      <x:c r="W555" s="253" t="str">
        <x:v>Yes</x:v>
      </x:c>
      <x:c r="X555" s="259" t="n">
        <x:v>46156.166666666664</x:v>
      </x:c>
      <x:c r="Y555" s="265" t="n">
        <x:v>1266.64</x:v>
      </x:c>
      <x:c r="Z555" s="265" t="n">
        <x:v>1466.64</x:v>
      </x:c>
      <x:c r="AA555" s="253" t="str">
        <x:f>IF(V555="No","Maturing",IF(AND(U555="Yes",Y555&gt;0),"Yes","No"))</x:f>
        <x:v>No</x:v>
      </x:c>
      <x:c r="AB555" s="253" t="str">
        <x:f>IF(W555="No","Maturing",IF(AND(U555="Yes",Z555&gt;0),"Yes","No"))</x:f>
        <x:v>No</x:v>
      </x:c>
      <x:c r="AC555" s="265" t="n">
        <x:v>1323.66</x:v>
      </x:c>
      <x:c r="AD555" s="265" t="n">
        <x:v>1529.17</x:v>
      </x:c>
      <x:c r="AE555" s="271" t="str"/>
      <x:c r="AF555" s="274" t="str">
        <x:v>Not validated - no control/holdout</x:v>
      </x:c>
      <x:c r="AG555" s="277" t="str">
        <x:v>Recovered execution only; assignment date and unclaimed-offer denominator unavailable</x:v>
      </x:c>
    </x:row>
    <x:row r="556">
      <x:c r="A556" s="252" t="str">
        <x:v>34241467</x:v>
      </x:c>
      <x:c r="B556" s="253" t="str">
        <x:v>WS1</x:v>
      </x:c>
      <x:c r="C556" s="253" t="str">
        <x:v>MB8</x:v>
      </x:c>
      <x:c r="D556" s="262" t="n">
        <x:v>46156.558020833334</x:v>
      </x:c>
      <x:c r="E556" s="259" t="n">
        <x:v>46156.166666666664</x:v>
      </x:c>
      <x:c r="F556" s="253" t="str">
        <x:v>564867</x:v>
      </x:c>
      <x:c r="G556" s="253" t="str">
        <x:v>Nageen</x:v>
      </x:c>
      <x:c r="H556" s="253" t="str">
        <x:v>Yes</x:v>
      </x:c>
      <x:c r="I556" s="253" t="str">
        <x:v>Claire</x:v>
      </x:c>
      <x:c r="J556" s="253" t="str">
        <x:v>Claire</x:v>
      </x:c>
      <x:c r="K556" s="259" t="n">
        <x:v>45659.166666666664</x:v>
      </x:c>
      <x:c r="L556" s="268" t="str">
        <x:f>IFERROR(VLOOKUP(I556,'Handler-Team Map'!$A$7:$C$17,2,FALSE),"")</x:f>
      </x:c>
      <x:c r="M556" s="268" t="str">
        <x:f>IFERROR(VLOOKUP(I556,'Handler-Team Map'!$A$7:$C$17,3,FALSE),"")</x:f>
      </x:c>
      <x:c r="N556" s="274" t="str">
        <x:v>FT_VM_DEP1000_GET500_5X</x:v>
      </x:c>
      <x:c r="O556" s="274" t="str">
        <x:v>VIP BONUS - Deposit 1000 Get 500 - 5x TO</x:v>
      </x:c>
      <x:c r="P556" s="274" t="str">
        <x:v>DepositBonus</x:v>
      </x:c>
      <x:c r="Q556" s="274" t="str">
        <x:v>Approved</x:v>
      </x:c>
      <x:c r="R556" s="265" t="n">
        <x:v>500</x:v>
      </x:c>
      <x:c r="S556" s="253" t="str">
        <x:v>Yes</x:v>
      </x:c>
      <x:c r="T556" s="265" t="n">
        <x:v>53458.91</x:v>
      </x:c>
      <x:c r="U556" s="253" t="str">
        <x:f>IF(AND(S556="Yes",T556=0),"Yes","No")</x:f>
        <x:v>No</x:v>
      </x:c>
      <x:c r="V556" s="253" t="str">
        <x:v>Yes</x:v>
      </x:c>
      <x:c r="W556" s="253" t="str">
        <x:v>Yes</x:v>
      </x:c>
      <x:c r="X556" s="259" t="n">
        <x:v>46156.166666666664</x:v>
      </x:c>
      <x:c r="Y556" s="265" t="n">
        <x:v>21434.18</x:v>
      </x:c>
      <x:c r="Z556" s="265" t="n">
        <x:v>32904.38</x:v>
      </x:c>
      <x:c r="AA556" s="253" t="str">
        <x:f>IF(V556="No","Maturing",IF(AND(U556="Yes",Y556&gt;0),"Yes","No"))</x:f>
        <x:v>No</x:v>
      </x:c>
      <x:c r="AB556" s="253" t="str">
        <x:f>IF(W556="No","Maturing",IF(AND(U556="Yes",Z556&gt;0),"Yes","No"))</x:f>
        <x:v>No</x:v>
      </x:c>
      <x:c r="AC556" s="265" t="n">
        <x:v>-19457.44</x:v>
      </x:c>
      <x:c r="AD556" s="265" t="n">
        <x:v>-18828.37</x:v>
      </x:c>
      <x:c r="AE556" s="271" t="str"/>
      <x:c r="AF556" s="274" t="str">
        <x:v>Not validated - no control/holdout</x:v>
      </x:c>
      <x:c r="AG556" s="277" t="str">
        <x:v>Recovered execution only; assignment date and unclaimed-offer denominator unavailable</x:v>
      </x:c>
    </x:row>
    <x:row r="557">
      <x:c r="A557" s="252" t="str">
        <x:v>34242162</x:v>
      </x:c>
      <x:c r="B557" s="253" t="str">
        <x:v>WS1</x:v>
      </x:c>
      <x:c r="C557" s="253" t="str">
        <x:v>MB8</x:v>
      </x:c>
      <x:c r="D557" s="262" t="n">
        <x:v>46156.63699074074</x:v>
      </x:c>
      <x:c r="E557" s="259" t="n">
        <x:v>46156.166666666664</x:v>
      </x:c>
      <x:c r="F557" s="253" t="str">
        <x:v>565418</x:v>
      </x:c>
      <x:c r="G557" s="253" t="str">
        <x:v>Syukri8248</x:v>
      </x:c>
      <x:c r="H557" s="253" t="str">
        <x:v>Yes</x:v>
      </x:c>
      <x:c r="I557" s="253" t="str"/>
      <x:c r="J557" s="253" t="str"/>
      <x:c r="K557" s="259"/>
      <x:c r="L557" s="268" t="str">
        <x:f>IFERROR(VLOOKUP(I557,'Handler-Team Map'!$A$7:$C$17,2,FALSE),"")</x:f>
      </x:c>
      <x:c r="M557" s="268" t="str">
        <x:f>IFERROR(VLOOKUP(I557,'Handler-Team Map'!$A$7:$C$17,3,FALSE),"")</x:f>
      </x:c>
      <x:c r="N557" s="274" t="str">
        <x:v>FT_VM_DEP1000_GET500_1X</x:v>
      </x:c>
      <x:c r="O557" s="274" t="str">
        <x:v>VIP BONUS - Deposit 1000 Get 500 - 1x TO</x:v>
      </x:c>
      <x:c r="P557" s="274" t="str">
        <x:v>DepositBonus</x:v>
      </x:c>
      <x:c r="Q557" s="274" t="str">
        <x:v>Approved</x:v>
      </x:c>
      <x:c r="R557" s="265" t="n">
        <x:v>500</x:v>
      </x:c>
      <x:c r="S557" s="253" t="str">
        <x:v>Yes</x:v>
      </x:c>
      <x:c r="T557" s="265" t="n">
        <x:v>0</x:v>
      </x:c>
      <x:c r="U557" s="253" t="str">
        <x:f>IF(AND(S557="Yes",T557=0),"Yes","No")</x:f>
        <x:v>Yes</x:v>
      </x:c>
      <x:c r="V557" s="253" t="str">
        <x:v>Yes</x:v>
      </x:c>
      <x:c r="W557" s="253" t="str">
        <x:v>Yes</x:v>
      </x:c>
      <x:c r="X557" s="259" t="n">
        <x:v>46156.166666666664</x:v>
      </x:c>
      <x:c r="Y557" s="265" t="n">
        <x:v>4000</x:v>
      </x:c>
      <x:c r="Z557" s="265" t="n">
        <x:v>4000</x:v>
      </x:c>
      <x:c r="AA557" s="253" t="str">
        <x:f>IF(V557="No","Maturing",IF(AND(U557="Yes",Y557&gt;0),"Yes","No"))</x:f>
        <x:v>Yes</x:v>
      </x:c>
      <x:c r="AB557" s="253" t="str">
        <x:f>IF(W557="No","Maturing",IF(AND(U557="Yes",Z557&gt;0),"Yes","No"))</x:f>
        <x:v>Yes</x:v>
      </x:c>
      <x:c r="AC557" s="265" t="n">
        <x:v>3994.75</x:v>
      </x:c>
      <x:c r="AD557" s="265" t="n">
        <x:v>3994.75</x:v>
      </x:c>
      <x:c r="AE557" s="271" t="str"/>
      <x:c r="AF557" s="274" t="str">
        <x:v>Not validated - no control/holdout</x:v>
      </x:c>
      <x:c r="AG557" s="277" t="str">
        <x:v>Recovered execution only; assignment date and unclaimed-offer denominator unavailable</x:v>
      </x:c>
    </x:row>
    <x:row r="558">
      <x:c r="A558" s="252" t="str">
        <x:v>34242266</x:v>
      </x:c>
      <x:c r="B558" s="253" t="str">
        <x:v>WS1</x:v>
      </x:c>
      <x:c r="C558" s="253" t="str">
        <x:v>MB8</x:v>
      </x:c>
      <x:c r="D558" s="262" t="n">
        <x:v>46156.64943287037</x:v>
      </x:c>
      <x:c r="E558" s="259" t="n">
        <x:v>46156.166666666664</x:v>
      </x:c>
      <x:c r="F558" s="253" t="str">
        <x:v>687540</x:v>
      </x:c>
      <x:c r="G558" s="253" t="str">
        <x:v>Rick5841</x:v>
      </x:c>
      <x:c r="H558" s="253" t="str">
        <x:v>Yes</x:v>
      </x:c>
      <x:c r="I558" s="253" t="str">
        <x:v>Claire</x:v>
      </x:c>
      <x:c r="J558" s="253" t="str">
        <x:v>Claire</x:v>
      </x:c>
      <x:c r="K558" s="259" t="n">
        <x:v>46090.166666666664</x:v>
      </x:c>
      <x:c r="L558" s="268" t="str">
        <x:f>IFERROR(VLOOKUP(I558,'Handler-Team Map'!$A$7:$C$17,2,FALSE),"")</x:f>
      </x:c>
      <x:c r="M558" s="268" t="str">
        <x:f>IFERROR(VLOOKUP(I558,'Handler-Team Map'!$A$7:$C$17,3,FALSE),"")</x:f>
      </x:c>
      <x:c r="N558" s="274" t="str">
        <x:v>FT_VM_DEP1000_GET700_2X</x:v>
      </x:c>
      <x:c r="O558" s="274" t="str">
        <x:v>VIP BONUS - Deposit 1000 Get 700 - 2x TO</x:v>
      </x:c>
      <x:c r="P558" s="274" t="str">
        <x:v>DepositBonus</x:v>
      </x:c>
      <x:c r="Q558" s="274" t="str">
        <x:v>Approved</x:v>
      </x:c>
      <x:c r="R558" s="265" t="n">
        <x:v>700</x:v>
      </x:c>
      <x:c r="S558" s="253" t="str">
        <x:v>Yes</x:v>
      </x:c>
      <x:c r="T558" s="265" t="n">
        <x:v>1000</x:v>
      </x:c>
      <x:c r="U558" s="253" t="str">
        <x:f>IF(AND(S558="Yes",T558=0),"Yes","No")</x:f>
        <x:v>No</x:v>
      </x:c>
      <x:c r="V558" s="253" t="str">
        <x:v>Yes</x:v>
      </x:c>
      <x:c r="W558" s="253" t="str">
        <x:v>Yes</x:v>
      </x:c>
      <x:c r="X558" s="259" t="n">
        <x:v>46156.166666666664</x:v>
      </x:c>
      <x:c r="Y558" s="265" t="n">
        <x:v>1000</x:v>
      </x:c>
      <x:c r="Z558" s="265" t="n">
        <x:v>1000</x:v>
      </x:c>
      <x:c r="AA558" s="253" t="str">
        <x:f>IF(V558="No","Maturing",IF(AND(U558="Yes",Y558&gt;0),"Yes","No"))</x:f>
        <x:v>No</x:v>
      </x:c>
      <x:c r="AB558" s="253" t="str">
        <x:f>IF(W558="No","Maturing",IF(AND(U558="Yes",Z558&gt;0),"Yes","No"))</x:f>
        <x:v>No</x:v>
      </x:c>
      <x:c r="AC558" s="265" t="n">
        <x:v>998.29</x:v>
      </x:c>
      <x:c r="AD558" s="265" t="n">
        <x:v>998.29</x:v>
      </x:c>
      <x:c r="AE558" s="271" t="str"/>
      <x:c r="AF558" s="274" t="str">
        <x:v>Not validated - no control/holdout</x:v>
      </x:c>
      <x:c r="AG558" s="277" t="str">
        <x:v>Recovered execution only; assignment date and unclaimed-offer denominator unavailable</x:v>
      </x:c>
    </x:row>
    <x:row r="559">
      <x:c r="A559" s="252" t="str">
        <x:v>34243771</x:v>
      </x:c>
      <x:c r="B559" s="253" t="str">
        <x:v>WS1</x:v>
      </x:c>
      <x:c r="C559" s="253" t="str">
        <x:v>MB8</x:v>
      </x:c>
      <x:c r="D559" s="262" t="n">
        <x:v>46156.786574074074</x:v>
      </x:c>
      <x:c r="E559" s="259" t="n">
        <x:v>46156.166666666664</x:v>
      </x:c>
      <x:c r="F559" s="253" t="str">
        <x:v>539</x:v>
      </x:c>
      <x:c r="G559" s="253" t="str">
        <x:v>sslssl</x:v>
      </x:c>
      <x:c r="H559" s="253" t="str">
        <x:v>Yes</x:v>
      </x:c>
      <x:c r="I559" s="253" t="str">
        <x:v>Elda</x:v>
      </x:c>
      <x:c r="J559" s="253" t="str">
        <x:v>Elda</x:v>
      </x:c>
      <x:c r="K559" s="259" t="n">
        <x:v>45659.166666666664</x:v>
      </x:c>
      <x:c r="L559" s="268" t="str">
        <x:f>IFERROR(VLOOKUP(I559,'Handler-Team Map'!$A$7:$C$17,2,FALSE),"")</x:f>
      </x:c>
      <x:c r="M559" s="268" t="str">
        <x:f>IFERROR(VLOOKUP(I559,'Handler-Team Map'!$A$7:$C$17,3,FALSE),"")</x:f>
      </x:c>
      <x:c r="N559" s="274" t="str">
        <x:v>FT_VM_DEP1000_GET500_5X</x:v>
      </x:c>
      <x:c r="O559" s="274" t="str">
        <x:v>VIP BONUS - Deposit 1000 Get 500 - 5x TO</x:v>
      </x:c>
      <x:c r="P559" s="274" t="str">
        <x:v>DepositBonus</x:v>
      </x:c>
      <x:c r="Q559" s="274" t="str">
        <x:v>Approved</x:v>
      </x:c>
      <x:c r="R559" s="265" t="n">
        <x:v>500</x:v>
      </x:c>
      <x:c r="S559" s="253" t="str">
        <x:v>Yes</x:v>
      </x:c>
      <x:c r="T559" s="265" t="n">
        <x:v>250423</x:v>
      </x:c>
      <x:c r="U559" s="253" t="str">
        <x:f>IF(AND(S559="Yes",T559=0),"Yes","No")</x:f>
        <x:v>No</x:v>
      </x:c>
      <x:c r="V559" s="253" t="str">
        <x:v>Yes</x:v>
      </x:c>
      <x:c r="W559" s="253" t="str">
        <x:v>Yes</x:v>
      </x:c>
      <x:c r="X559" s="259" t="n">
        <x:v>46156.166666666664</x:v>
      </x:c>
      <x:c r="Y559" s="265" t="n">
        <x:v>182134</x:v>
      </x:c>
      <x:c r="Z559" s="265" t="n">
        <x:v>328661</x:v>
      </x:c>
      <x:c r="AA559" s="253" t="str">
        <x:f>IF(V559="No","Maturing",IF(AND(U559="Yes",Y559&gt;0),"Yes","No"))</x:f>
        <x:v>No</x:v>
      </x:c>
      <x:c r="AB559" s="253" t="str">
        <x:f>IF(W559="No","Maturing",IF(AND(U559="Yes",Z559&gt;0),"Yes","No"))</x:f>
        <x:v>No</x:v>
      </x:c>
      <x:c r="AC559" s="265" t="n">
        <x:v>36834.25</x:v>
      </x:c>
      <x:c r="AD559" s="265" t="n">
        <x:v>121560.42</x:v>
      </x:c>
      <x:c r="AE559" s="271" t="str"/>
      <x:c r="AF559" s="274" t="str">
        <x:v>Not validated - no control/holdout</x:v>
      </x:c>
      <x:c r="AG559" s="277" t="str">
        <x:v>Recovered execution only; assignment date and unclaimed-offer denominator unavailable</x:v>
      </x:c>
    </x:row>
    <x:row r="560">
      <x:c r="A560" s="252" t="str">
        <x:v>34244151</x:v>
      </x:c>
      <x:c r="B560" s="253" t="str">
        <x:v>WS1</x:v>
      </x:c>
      <x:c r="C560" s="253" t="str">
        <x:v>MB8</x:v>
      </x:c>
      <x:c r="D560" s="262" t="n">
        <x:v>46156.81818287037</x:v>
      </x:c>
      <x:c r="E560" s="259" t="n">
        <x:v>46156.166666666664</x:v>
      </x:c>
      <x:c r="F560" s="253" t="str">
        <x:v>567203</x:v>
      </x:c>
      <x:c r="G560" s="253" t="str">
        <x:v>Booboo</x:v>
      </x:c>
      <x:c r="H560" s="253" t="str">
        <x:v>Yes</x:v>
      </x:c>
      <x:c r="I560" s="253" t="str">
        <x:v>Elda</x:v>
      </x:c>
      <x:c r="J560" s="253" t="str">
        <x:v>Elda</x:v>
      </x:c>
      <x:c r="K560" s="259" t="n">
        <x:v>45659.166666666664</x:v>
      </x:c>
      <x:c r="L560" s="268" t="str">
        <x:f>IFERROR(VLOOKUP(I560,'Handler-Team Map'!$A$7:$C$17,2,FALSE),"")</x:f>
      </x:c>
      <x:c r="M560" s="268" t="str">
        <x:f>IFERROR(VLOOKUP(I560,'Handler-Team Map'!$A$7:$C$17,3,FALSE),"")</x:f>
      </x:c>
      <x:c r="N560" s="274" t="str">
        <x:v>FT_VM_DEP1000_GET500_5X</x:v>
      </x:c>
      <x:c r="O560" s="274" t="str">
        <x:v>VIP BONUS - Deposit 1000 Get 500 - 5x TO</x:v>
      </x:c>
      <x:c r="P560" s="274" t="str">
        <x:v>DepositBonus</x:v>
      </x:c>
      <x:c r="Q560" s="274" t="str">
        <x:v>Approved</x:v>
      </x:c>
      <x:c r="R560" s="265" t="n">
        <x:v>500</x:v>
      </x:c>
      <x:c r="S560" s="253" t="str">
        <x:v>Yes</x:v>
      </x:c>
      <x:c r="T560" s="265" t="n">
        <x:v>34645.82</x:v>
      </x:c>
      <x:c r="U560" s="253" t="str">
        <x:f>IF(AND(S560="Yes",T560=0),"Yes","No")</x:f>
        <x:v>No</x:v>
      </x:c>
      <x:c r="V560" s="253" t="str">
        <x:v>Yes</x:v>
      </x:c>
      <x:c r="W560" s="253" t="str">
        <x:v>Yes</x:v>
      </x:c>
      <x:c r="X560" s="259" t="n">
        <x:v>46156.166666666664</x:v>
      </x:c>
      <x:c r="Y560" s="265" t="n">
        <x:v>25864</x:v>
      </x:c>
      <x:c r="Z560" s="265" t="n">
        <x:v>48518.45</x:v>
      </x:c>
      <x:c r="AA560" s="253" t="str">
        <x:f>IF(V560="No","Maturing",IF(AND(U560="Yes",Y560&gt;0),"Yes","No"))</x:f>
        <x:v>No</x:v>
      </x:c>
      <x:c r="AB560" s="253" t="str">
        <x:f>IF(W560="No","Maturing",IF(AND(U560="Yes",Z560&gt;0),"Yes","No"))</x:f>
        <x:v>No</x:v>
      </x:c>
      <x:c r="AC560" s="265" t="n">
        <x:v>14421.02</x:v>
      </x:c>
      <x:c r="AD560" s="265" t="n">
        <x:v>22521.58</x:v>
      </x:c>
      <x:c r="AE560" s="271" t="str"/>
      <x:c r="AF560" s="274" t="str">
        <x:v>Not validated - no control/holdout</x:v>
      </x:c>
      <x:c r="AG560" s="277" t="str">
        <x:v>Recovered execution only; assignment date and unclaimed-offer denominator unavailable</x:v>
      </x:c>
    </x:row>
    <x:row r="561">
      <x:c r="A561" s="252" t="str">
        <x:v>34244817</x:v>
      </x:c>
      <x:c r="B561" s="253" t="str">
        <x:v>WS1</x:v>
      </x:c>
      <x:c r="C561" s="253" t="str">
        <x:v>MB8</x:v>
      </x:c>
      <x:c r="D561" s="262" t="n">
        <x:v>46156.87795138889</x:v>
      </x:c>
      <x:c r="E561" s="259" t="n">
        <x:v>46156.166666666664</x:v>
      </x:c>
      <x:c r="F561" s="253" t="str">
        <x:v>524808</x:v>
      </x:c>
      <x:c r="G561" s="253" t="str">
        <x:v>Shahbaz123</x:v>
      </x:c>
      <x:c r="H561" s="253" t="str">
        <x:v>Yes</x:v>
      </x:c>
      <x:c r="I561" s="253" t="str"/>
      <x:c r="J561" s="253" t="str"/>
      <x:c r="K561" s="259"/>
      <x:c r="L561" s="268" t="str">
        <x:f>IFERROR(VLOOKUP(I561,'Handler-Team Map'!$A$7:$C$17,2,FALSE),"")</x:f>
      </x:c>
      <x:c r="M561" s="268" t="str">
        <x:f>IFERROR(VLOOKUP(I561,'Handler-Team Map'!$A$7:$C$17,3,FALSE),"")</x:f>
      </x:c>
      <x:c r="N561" s="274" t="str">
        <x:v>FT_VM_DEP1000_GET500_1X</x:v>
      </x:c>
      <x:c r="O561" s="274" t="str">
        <x:v>VIP BONUS - Deposit 1000 Get 500 - 1x TO</x:v>
      </x:c>
      <x:c r="P561" s="274" t="str">
        <x:v>DepositBonus</x:v>
      </x:c>
      <x:c r="Q561" s="274" t="str">
        <x:v>Approved</x:v>
      </x:c>
      <x:c r="R561" s="265" t="n">
        <x:v>500</x:v>
      </x:c>
      <x:c r="S561" s="253" t="str">
        <x:v>Yes</x:v>
      </x:c>
      <x:c r="T561" s="265" t="n">
        <x:v>0</x:v>
      </x:c>
      <x:c r="U561" s="253" t="str">
        <x:f>IF(AND(S561="Yes",T561=0),"Yes","No")</x:f>
        <x:v>Yes</x:v>
      </x:c>
      <x:c r="V561" s="253" t="str">
        <x:v>Yes</x:v>
      </x:c>
      <x:c r="W561" s="253" t="str">
        <x:v>Yes</x:v>
      </x:c>
      <x:c r="X561" s="259" t="n">
        <x:v>46156.166666666664</x:v>
      </x:c>
      <x:c r="Y561" s="265" t="n">
        <x:v>1000</x:v>
      </x:c>
      <x:c r="Z561" s="265" t="n">
        <x:v>1000</x:v>
      </x:c>
      <x:c r="AA561" s="253" t="str">
        <x:f>IF(V561="No","Maturing",IF(AND(U561="Yes",Y561&gt;0),"Yes","No"))</x:f>
        <x:v>Yes</x:v>
      </x:c>
      <x:c r="AB561" s="253" t="str">
        <x:f>IF(W561="No","Maturing",IF(AND(U561="Yes",Z561&gt;0),"Yes","No"))</x:f>
        <x:v>Yes</x:v>
      </x:c>
      <x:c r="AC561" s="265" t="n">
        <x:v>998.13</x:v>
      </x:c>
      <x:c r="AD561" s="265" t="n">
        <x:v>996.55</x:v>
      </x:c>
      <x:c r="AE561" s="271" t="str"/>
      <x:c r="AF561" s="274" t="str">
        <x:v>Not validated - no control/holdout</x:v>
      </x:c>
      <x:c r="AG561" s="277" t="str">
        <x:v>Recovered execution only; assignment date and unclaimed-offer denominator unavailable</x:v>
      </x:c>
    </x:row>
    <x:row r="562">
      <x:c r="A562" s="252" t="str">
        <x:v>34245096</x:v>
      </x:c>
      <x:c r="B562" s="253" t="str">
        <x:v>WS1</x:v>
      </x:c>
      <x:c r="C562" s="253" t="str">
        <x:v>MB8</x:v>
      </x:c>
      <x:c r="D562" s="262" t="n">
        <x:v>46156.90045138889</x:v>
      </x:c>
      <x:c r="E562" s="259" t="n">
        <x:v>46156.166666666664</x:v>
      </x:c>
      <x:c r="F562" s="253" t="str">
        <x:v>1122015</x:v>
      </x:c>
      <x:c r="G562" s="253" t="str">
        <x:v>Liew2318</x:v>
      </x:c>
      <x:c r="H562" s="253" t="str">
        <x:v>Yes</x:v>
      </x:c>
      <x:c r="I562" s="253" t="str"/>
      <x:c r="J562" s="253" t="str"/>
      <x:c r="K562" s="259"/>
      <x:c r="L562" s="268" t="str">
        <x:f>IFERROR(VLOOKUP(I562,'Handler-Team Map'!$A$7:$C$17,2,FALSE),"")</x:f>
      </x:c>
      <x:c r="M562" s="268" t="str">
        <x:f>IFERROR(VLOOKUP(I562,'Handler-Team Map'!$A$7:$C$17,3,FALSE),"")</x:f>
      </x:c>
      <x:c r="N562" s="274" t="str">
        <x:v>FT_VM_DEP1000_GET500_2X</x:v>
      </x:c>
      <x:c r="O562" s="274" t="str">
        <x:v>VIP BONUS - Deposit 1000 Get 500 - 2x TO</x:v>
      </x:c>
      <x:c r="P562" s="274" t="str">
        <x:v>DepositBonus</x:v>
      </x:c>
      <x:c r="Q562" s="274" t="str">
        <x:v>Approved</x:v>
      </x:c>
      <x:c r="R562" s="265" t="n">
        <x:v>500</x:v>
      </x:c>
      <x:c r="S562" s="253" t="str">
        <x:v>Yes</x:v>
      </x:c>
      <x:c r="T562" s="265" t="n">
        <x:v>2000</x:v>
      </x:c>
      <x:c r="U562" s="253" t="str">
        <x:f>IF(AND(S562="Yes",T562=0),"Yes","No")</x:f>
        <x:v>No</x:v>
      </x:c>
      <x:c r="V562" s="253" t="str">
        <x:v>Yes</x:v>
      </x:c>
      <x:c r="W562" s="253" t="str">
        <x:v>Yes</x:v>
      </x:c>
      <x:c r="X562" s="259" t="n">
        <x:v>46156.166666666664</x:v>
      </x:c>
      <x:c r="Y562" s="265" t="n">
        <x:v>1000</x:v>
      </x:c>
      <x:c r="Z562" s="265" t="n">
        <x:v>1000</x:v>
      </x:c>
      <x:c r="AA562" s="253" t="str">
        <x:f>IF(V562="No","Maturing",IF(AND(U562="Yes",Y562&gt;0),"Yes","No"))</x:f>
        <x:v>No</x:v>
      </x:c>
      <x:c r="AB562" s="253" t="str">
        <x:f>IF(W562="No","Maturing",IF(AND(U562="Yes",Z562&gt;0),"Yes","No"))</x:f>
        <x:v>No</x:v>
      </x:c>
      <x:c r="AC562" s="265" t="n">
        <x:v>998.66</x:v>
      </x:c>
      <x:c r="AD562" s="265" t="n">
        <x:v>998.66</x:v>
      </x:c>
      <x:c r="AE562" s="271" t="str"/>
      <x:c r="AF562" s="274" t="str">
        <x:v>Not validated - no control/holdout</x:v>
      </x:c>
      <x:c r="AG562" s="277" t="str">
        <x:v>Recovered execution only; assignment date and unclaimed-offer denominator unavailable</x:v>
      </x:c>
    </x:row>
    <x:row r="563">
      <x:c r="A563" s="252" t="str">
        <x:v>34245449</x:v>
      </x:c>
      <x:c r="B563" s="253" t="str">
        <x:v>WS1</x:v>
      </x:c>
      <x:c r="C563" s="253" t="str">
        <x:v>MB8</x:v>
      </x:c>
      <x:c r="D563" s="262" t="n">
        <x:v>46156.92652777778</x:v>
      </x:c>
      <x:c r="E563" s="259" t="n">
        <x:v>46156.166666666664</x:v>
      </x:c>
      <x:c r="F563" s="253" t="str">
        <x:v>238790</x:v>
      </x:c>
      <x:c r="G563" s="253" t="str">
        <x:v>Maxtech888</x:v>
      </x:c>
      <x:c r="H563" s="253" t="str">
        <x:v>Yes</x:v>
      </x:c>
      <x:c r="I563" s="253" t="str">
        <x:v>Tammy</x:v>
      </x:c>
      <x:c r="J563" s="253" t="str">
        <x:v>Tammy</x:v>
      </x:c>
      <x:c r="K563" s="259" t="n">
        <x:v>45951.166666666664</x:v>
      </x:c>
      <x:c r="L563" s="268" t="str">
        <x:f>IFERROR(VLOOKUP(I563,'Handler-Team Map'!$A$7:$C$17,2,FALSE),"")</x:f>
      </x:c>
      <x:c r="M563" s="268" t="str">
        <x:f>IFERROR(VLOOKUP(I563,'Handler-Team Map'!$A$7:$C$17,3,FALSE),"")</x:f>
      </x:c>
      <x:c r="N563" s="274" t="str">
        <x:v>FT_VM_DEP1000_GET500_5X</x:v>
      </x:c>
      <x:c r="O563" s="274" t="str">
        <x:v>VIP BONUS - Deposit 1000 Get 500 - 5x TO</x:v>
      </x:c>
      <x:c r="P563" s="274" t="str">
        <x:v>DepositBonus</x:v>
      </x:c>
      <x:c r="Q563" s="274" t="str">
        <x:v>Approved</x:v>
      </x:c>
      <x:c r="R563" s="265" t="n">
        <x:v>500</x:v>
      </x:c>
      <x:c r="S563" s="253" t="str">
        <x:v>Yes</x:v>
      </x:c>
      <x:c r="T563" s="265" t="n">
        <x:v>48560</x:v>
      </x:c>
      <x:c r="U563" s="253" t="str">
        <x:f>IF(AND(S563="Yes",T563=0),"Yes","No")</x:f>
        <x:v>No</x:v>
      </x:c>
      <x:c r="V563" s="253" t="str">
        <x:v>Yes</x:v>
      </x:c>
      <x:c r="W563" s="253" t="str">
        <x:v>Yes</x:v>
      </x:c>
      <x:c r="X563" s="259" t="n">
        <x:v>46156.166666666664</x:v>
      </x:c>
      <x:c r="Y563" s="265" t="n">
        <x:v>17930</x:v>
      </x:c>
      <x:c r="Z563" s="265" t="n">
        <x:v>28850</x:v>
      </x:c>
      <x:c r="AA563" s="253" t="str">
        <x:f>IF(V563="No","Maturing",IF(AND(U563="Yes",Y563&gt;0),"Yes","No"))</x:f>
        <x:v>No</x:v>
      </x:c>
      <x:c r="AB563" s="253" t="str">
        <x:f>IF(W563="No","Maturing",IF(AND(U563="Yes",Z563&gt;0),"Yes","No"))</x:f>
        <x:v>No</x:v>
      </x:c>
      <x:c r="AC563" s="265" t="n">
        <x:v>14529.91</x:v>
      </x:c>
      <x:c r="AD563" s="265" t="n">
        <x:v>11616.2</x:v>
      </x:c>
      <x:c r="AE563" s="271" t="str"/>
      <x:c r="AF563" s="274" t="str">
        <x:v>Not validated - no control/holdout</x:v>
      </x:c>
      <x:c r="AG563" s="277" t="str">
        <x:v>Recovered execution only; assignment date and unclaimed-offer denominator unavailable</x:v>
      </x:c>
    </x:row>
    <x:row r="564">
      <x:c r="A564" s="252" t="str">
        <x:v>34246778</x:v>
      </x:c>
      <x:c r="B564" s="253" t="str">
        <x:v>WS1</x:v>
      </x:c>
      <x:c r="C564" s="253" t="str">
        <x:v>MB8</x:v>
      </x:c>
      <x:c r="D564" s="262" t="n">
        <x:v>46157.01149305556</x:v>
      </x:c>
      <x:c r="E564" s="259" t="n">
        <x:v>46157.166666666664</x:v>
      </x:c>
      <x:c r="F564" s="253" t="str">
        <x:v>323438</x:v>
      </x:c>
      <x:c r="G564" s="253" t="str">
        <x:v>me22on</x:v>
      </x:c>
      <x:c r="H564" s="253" t="str">
        <x:v>Yes</x:v>
      </x:c>
      <x:c r="I564" s="253" t="str">
        <x:v>zhen</x:v>
      </x:c>
      <x:c r="J564" s="253" t="str">
        <x:v>zhen</x:v>
      </x:c>
      <x:c r="K564" s="259" t="n">
        <x:v>46090.166666666664</x:v>
      </x:c>
      <x:c r="L564" s="268" t="str">
        <x:f>IFERROR(VLOOKUP(I564,'Handler-Team Map'!$A$7:$C$17,2,FALSE),"")</x:f>
      </x:c>
      <x:c r="M564" s="268" t="str">
        <x:f>IFERROR(VLOOKUP(I564,'Handler-Team Map'!$A$7:$C$17,3,FALSE),"")</x:f>
      </x:c>
      <x:c r="N564" s="274" t="str">
        <x:v>FT_VM_DEP300_GET100_5X</x:v>
      </x:c>
      <x:c r="O564" s="274" t="str">
        <x:v>VIP BONUS - Deposit 300 Get 100 - 5x TO</x:v>
      </x:c>
      <x:c r="P564" s="274" t="str">
        <x:v>DepositBonus</x:v>
      </x:c>
      <x:c r="Q564" s="274" t="str">
        <x:v>Approved</x:v>
      </x:c>
      <x:c r="R564" s="265" t="n">
        <x:v>100</x:v>
      </x:c>
      <x:c r="S564" s="253" t="str">
        <x:v>Yes</x:v>
      </x:c>
      <x:c r="T564" s="265" t="n">
        <x:v>117740</x:v>
      </x:c>
      <x:c r="U564" s="253" t="str">
        <x:f>IF(AND(S564="Yes",T564=0),"Yes","No")</x:f>
        <x:v>No</x:v>
      </x:c>
      <x:c r="V564" s="253" t="str">
        <x:v>Yes</x:v>
      </x:c>
      <x:c r="W564" s="253" t="str">
        <x:v>Yes</x:v>
      </x:c>
      <x:c r="X564" s="259" t="n">
        <x:v>46157.166666666664</x:v>
      </x:c>
      <x:c r="Y564" s="265" t="n">
        <x:v>31475</x:v>
      </x:c>
      <x:c r="Z564" s="265" t="n">
        <x:v>67125</x:v>
      </x:c>
      <x:c r="AA564" s="253" t="str">
        <x:f>IF(V564="No","Maturing",IF(AND(U564="Yes",Y564&gt;0),"Yes","No"))</x:f>
        <x:v>No</x:v>
      </x:c>
      <x:c r="AB564" s="253" t="str">
        <x:f>IF(W564="No","Maturing",IF(AND(U564="Yes",Z564&gt;0),"Yes","No"))</x:f>
        <x:v>No</x:v>
      </x:c>
      <x:c r="AC564" s="265" t="n">
        <x:v>4412.65</x:v>
      </x:c>
      <x:c r="AD564" s="265" t="n">
        <x:v>5280.26</x:v>
      </x:c>
      <x:c r="AE564" s="271" t="str"/>
      <x:c r="AF564" s="274" t="str">
        <x:v>Not validated - no control/holdout</x:v>
      </x:c>
      <x:c r="AG564" s="277" t="str">
        <x:v>Recovered execution only; assignment date and unclaimed-offer denominator unavailable</x:v>
      </x:c>
    </x:row>
    <x:row r="565">
      <x:c r="A565" s="252" t="str">
        <x:v>34249167</x:v>
      </x:c>
      <x:c r="B565" s="253" t="str">
        <x:v>WS1</x:v>
      </x:c>
      <x:c r="C565" s="253" t="str">
        <x:v>MB8</x:v>
      </x:c>
      <x:c r="D565" s="262" t="n">
        <x:v>46157.24841435185</x:v>
      </x:c>
      <x:c r="E565" s="259" t="n">
        <x:v>46157.166666666664</x:v>
      </x:c>
      <x:c r="F565" s="253" t="str">
        <x:v>1185055</x:v>
      </x:c>
      <x:c r="G565" s="253" t="str">
        <x:v>Penyu77</x:v>
      </x:c>
      <x:c r="H565" s="253" t="str">
        <x:v>Yes</x:v>
      </x:c>
      <x:c r="I565" s="253" t="str">
        <x:v>Christy</x:v>
      </x:c>
      <x:c r="J565" s="253" t="str">
        <x:v>Christy</x:v>
      </x:c>
      <x:c r="K565" s="259" t="n">
        <x:v>45845.166666666664</x:v>
      </x:c>
      <x:c r="L565" s="268" t="str">
        <x:f>IFERROR(VLOOKUP(I565,'Handler-Team Map'!$A$7:$C$17,2,FALSE),"")</x:f>
      </x:c>
      <x:c r="M565" s="268" t="str">
        <x:f>IFERROR(VLOOKUP(I565,'Handler-Team Map'!$A$7:$C$17,3,FALSE),"")</x:f>
      </x:c>
      <x:c r="N565" s="274" t="str">
        <x:v>FT_VM_DEP150_GET50_5X</x:v>
      </x:c>
      <x:c r="O565" s="274" t="str">
        <x:v>VIP BONUS - Deposit 150 Get 50 - 5x TO</x:v>
      </x:c>
      <x:c r="P565" s="274" t="str">
        <x:v>DepositBonus</x:v>
      </x:c>
      <x:c r="Q565" s="274" t="str">
        <x:v>Approved</x:v>
      </x:c>
      <x:c r="R565" s="265" t="n">
        <x:v>50</x:v>
      </x:c>
      <x:c r="S565" s="253" t="str">
        <x:v>Yes</x:v>
      </x:c>
      <x:c r="T565" s="265" t="n">
        <x:v>33190</x:v>
      </x:c>
      <x:c r="U565" s="253" t="str">
        <x:f>IF(AND(S565="Yes",T565=0),"Yes","No")</x:f>
        <x:v>No</x:v>
      </x:c>
      <x:c r="V565" s="253" t="str">
        <x:v>Yes</x:v>
      </x:c>
      <x:c r="W565" s="253" t="str">
        <x:v>Yes</x:v>
      </x:c>
      <x:c r="X565" s="259" t="n">
        <x:v>46157.166666666664</x:v>
      </x:c>
      <x:c r="Y565" s="265" t="n">
        <x:v>17550</x:v>
      </x:c>
      <x:c r="Z565" s="265" t="n">
        <x:v>35050</x:v>
      </x:c>
      <x:c r="AA565" s="253" t="str">
        <x:f>IF(V565="No","Maturing",IF(AND(U565="Yes",Y565&gt;0),"Yes","No"))</x:f>
        <x:v>No</x:v>
      </x:c>
      <x:c r="AB565" s="253" t="str">
        <x:f>IF(W565="No","Maturing",IF(AND(U565="Yes",Z565&gt;0),"Yes","No"))</x:f>
        <x:v>No</x:v>
      </x:c>
      <x:c r="AC565" s="265" t="n">
        <x:v>-1908.72</x:v>
      </x:c>
      <x:c r="AD565" s="265" t="n">
        <x:v>-5867.34</x:v>
      </x:c>
      <x:c r="AE565" s="271" t="str"/>
      <x:c r="AF565" s="274" t="str">
        <x:v>Not validated - no control/holdout</x:v>
      </x:c>
      <x:c r="AG565" s="277" t="str">
        <x:v>Recovered execution only; assignment date and unclaimed-offer denominator unavailable</x:v>
      </x:c>
    </x:row>
    <x:row r="566">
      <x:c r="A566" s="252" t="str">
        <x:v>34251253</x:v>
      </x:c>
      <x:c r="B566" s="253" t="str">
        <x:v>WS1</x:v>
      </x:c>
      <x:c r="C566" s="253" t="str">
        <x:v>MB8</x:v>
      </x:c>
      <x:c r="D566" s="262" t="n">
        <x:v>46157.55263888889</x:v>
      </x:c>
      <x:c r="E566" s="259" t="n">
        <x:v>46157.166666666664</x:v>
      </x:c>
      <x:c r="F566" s="253" t="str">
        <x:v>8822</x:v>
      </x:c>
      <x:c r="G566" s="253" t="str">
        <x:v>bryan1234</x:v>
      </x:c>
      <x:c r="H566" s="253" t="str">
        <x:v>Yes</x:v>
      </x:c>
      <x:c r="I566" s="253" t="str">
        <x:v>Serene</x:v>
      </x:c>
      <x:c r="J566" s="253" t="str">
        <x:v>Serene</x:v>
      </x:c>
      <x:c r="K566" s="259" t="n">
        <x:v>45859.166666666664</x:v>
      </x:c>
      <x:c r="L566" s="268" t="str">
        <x:f>IFERROR(VLOOKUP(I566,'Handler-Team Map'!$A$7:$C$17,2,FALSE),"")</x:f>
      </x:c>
      <x:c r="M566" s="268" t="str">
        <x:f>IFERROR(VLOOKUP(I566,'Handler-Team Map'!$A$7:$C$17,3,FALSE),"")</x:f>
      </x:c>
      <x:c r="N566" s="274" t="str">
        <x:v>FT_VM_DEP1000_GET500_5X</x:v>
      </x:c>
      <x:c r="O566" s="274" t="str">
        <x:v>VIP BONUS - Deposit 1000 Get 500 - 5x TO</x:v>
      </x:c>
      <x:c r="P566" s="274" t="str">
        <x:v>DepositBonus</x:v>
      </x:c>
      <x:c r="Q566" s="274" t="str">
        <x:v>Approved</x:v>
      </x:c>
      <x:c r="R566" s="265" t="n">
        <x:v>500</x:v>
      </x:c>
      <x:c r="S566" s="253" t="str">
        <x:v>Yes</x:v>
      </x:c>
      <x:c r="T566" s="265" t="n">
        <x:v>2500</x:v>
      </x:c>
      <x:c r="U566" s="253" t="str">
        <x:f>IF(AND(S566="Yes",T566=0),"Yes","No")</x:f>
        <x:v>No</x:v>
      </x:c>
      <x:c r="V566" s="253" t="str">
        <x:v>Yes</x:v>
      </x:c>
      <x:c r="W566" s="253" t="str">
        <x:v>Yes</x:v>
      </x:c>
      <x:c r="X566" s="259" t="n">
        <x:v>46157.166666666664</x:v>
      </x:c>
      <x:c r="Y566" s="265" t="n">
        <x:v>1000</x:v>
      </x:c>
      <x:c r="Z566" s="265" t="n">
        <x:v>1000</x:v>
      </x:c>
      <x:c r="AA566" s="253" t="str">
        <x:f>IF(V566="No","Maturing",IF(AND(U566="Yes",Y566&gt;0),"Yes","No"))</x:f>
        <x:v>No</x:v>
      </x:c>
      <x:c r="AB566" s="253" t="str">
        <x:f>IF(W566="No","Maturing",IF(AND(U566="Yes",Z566&gt;0),"Yes","No"))</x:f>
        <x:v>No</x:v>
      </x:c>
      <x:c r="AC566" s="265" t="n">
        <x:v>-5269</x:v>
      </x:c>
      <x:c r="AD566" s="265" t="n">
        <x:v>-5269</x:v>
      </x:c>
      <x:c r="AE566" s="271" t="str"/>
      <x:c r="AF566" s="274" t="str">
        <x:v>Not validated - no control/holdout</x:v>
      </x:c>
      <x:c r="AG566" s="277" t="str">
        <x:v>Recovered execution only; assignment date and unclaimed-offer denominator unavailable</x:v>
      </x:c>
    </x:row>
    <x:row r="567">
      <x:c r="A567" s="252" t="str">
        <x:v>34251427</x:v>
      </x:c>
      <x:c r="B567" s="253" t="str">
        <x:v>WS1</x:v>
      </x:c>
      <x:c r="C567" s="253" t="str">
        <x:v>MB8</x:v>
      </x:c>
      <x:c r="D567" s="262" t="n">
        <x:v>46157.56842592593</x:v>
      </x:c>
      <x:c r="E567" s="259" t="n">
        <x:v>46157.166666666664</x:v>
      </x:c>
      <x:c r="F567" s="253" t="str">
        <x:v>587646</x:v>
      </x:c>
      <x:c r="G567" s="253" t="str">
        <x:v>arilrich</x:v>
      </x:c>
      <x:c r="H567" s="253" t="str">
        <x:v>Yes</x:v>
      </x:c>
      <x:c r="I567" s="253" t="str">
        <x:v>Christy</x:v>
      </x:c>
      <x:c r="J567" s="253" t="str">
        <x:v>Christy</x:v>
      </x:c>
      <x:c r="K567" s="259" t="n">
        <x:v>45831.166666666664</x:v>
      </x:c>
      <x:c r="L567" s="268" t="str">
        <x:f>IFERROR(VLOOKUP(I567,'Handler-Team Map'!$A$7:$C$17,2,FALSE),"")</x:f>
      </x:c>
      <x:c r="M567" s="268" t="str">
        <x:f>IFERROR(VLOOKUP(I567,'Handler-Team Map'!$A$7:$C$17,3,FALSE),"")</x:f>
      </x:c>
      <x:c r="N567" s="274" t="str">
        <x:v>FT_VM_DEP1000_GET500_5X</x:v>
      </x:c>
      <x:c r="O567" s="274" t="str">
        <x:v>VIP BONUS - Deposit 1000 Get 500 - 5x TO</x:v>
      </x:c>
      <x:c r="P567" s="274" t="str">
        <x:v>DepositBonus</x:v>
      </x:c>
      <x:c r="Q567" s="274" t="str">
        <x:v>Approved</x:v>
      </x:c>
      <x:c r="R567" s="265" t="n">
        <x:v>500</x:v>
      </x:c>
      <x:c r="S567" s="253" t="str">
        <x:v>Yes</x:v>
      </x:c>
      <x:c r="T567" s="265" t="n">
        <x:v>9580</x:v>
      </x:c>
      <x:c r="U567" s="253" t="str">
        <x:f>IF(AND(S567="Yes",T567=0),"Yes","No")</x:f>
        <x:v>No</x:v>
      </x:c>
      <x:c r="V567" s="253" t="str">
        <x:v>Yes</x:v>
      </x:c>
      <x:c r="W567" s="253" t="str">
        <x:v>Yes</x:v>
      </x:c>
      <x:c r="X567" s="259" t="n">
        <x:v>46157.166666666664</x:v>
      </x:c>
      <x:c r="Y567" s="265" t="n">
        <x:v>3000</x:v>
      </x:c>
      <x:c r="Z567" s="265" t="n">
        <x:v>3000</x:v>
      </x:c>
      <x:c r="AA567" s="253" t="str">
        <x:f>IF(V567="No","Maturing",IF(AND(U567="Yes",Y567&gt;0),"Yes","No"))</x:f>
        <x:v>No</x:v>
      </x:c>
      <x:c r="AB567" s="253" t="str">
        <x:f>IF(W567="No","Maturing",IF(AND(U567="Yes",Z567&gt;0),"Yes","No"))</x:f>
        <x:v>No</x:v>
      </x:c>
      <x:c r="AC567" s="265" t="n">
        <x:v>3000.52</x:v>
      </x:c>
      <x:c r="AD567" s="265" t="n">
        <x:v>3000.44</x:v>
      </x:c>
      <x:c r="AE567" s="271" t="str"/>
      <x:c r="AF567" s="274" t="str">
        <x:v>Not validated - no control/holdout</x:v>
      </x:c>
      <x:c r="AG567" s="277" t="str">
        <x:v>Recovered execution only; assignment date and unclaimed-offer denominator unavailable</x:v>
      </x:c>
    </x:row>
    <x:row r="568">
      <x:c r="A568" s="252" t="str">
        <x:v>34252179</x:v>
      </x:c>
      <x:c r="B568" s="253" t="str">
        <x:v>WS1</x:v>
      </x:c>
      <x:c r="C568" s="253" t="str">
        <x:v>MB8</x:v>
      </x:c>
      <x:c r="D568" s="262" t="n">
        <x:v>46157.64079861111</x:v>
      </x:c>
      <x:c r="E568" s="259" t="n">
        <x:v>46157.166666666664</x:v>
      </x:c>
      <x:c r="F568" s="253" t="str">
        <x:v>99357</x:v>
      </x:c>
      <x:c r="G568" s="253" t="str">
        <x:v>Titanpark1412</x:v>
      </x:c>
      <x:c r="H568" s="253" t="str">
        <x:v>Yes</x:v>
      </x:c>
      <x:c r="I568" s="253" t="str">
        <x:v>Elda</x:v>
      </x:c>
      <x:c r="J568" s="253" t="str">
        <x:v>Elda</x:v>
      </x:c>
      <x:c r="K568" s="259" t="n">
        <x:v>45659.166666666664</x:v>
      </x:c>
      <x:c r="L568" s="268" t="str">
        <x:f>IFERROR(VLOOKUP(I568,'Handler-Team Map'!$A$7:$C$17,2,FALSE),"")</x:f>
      </x:c>
      <x:c r="M568" s="268" t="str">
        <x:f>IFERROR(VLOOKUP(I568,'Handler-Team Map'!$A$7:$C$17,3,FALSE),"")</x:f>
      </x:c>
      <x:c r="N568" s="274" t="str">
        <x:v>FT_VM_DEP300_GET100_5X</x:v>
      </x:c>
      <x:c r="O568" s="274" t="str">
        <x:v>VIP BONUS - Deposit 300 Get 100 - 5x TO</x:v>
      </x:c>
      <x:c r="P568" s="274" t="str">
        <x:v>DepositBonus</x:v>
      </x:c>
      <x:c r="Q568" s="274" t="str">
        <x:v>Approved</x:v>
      </x:c>
      <x:c r="R568" s="265" t="n">
        <x:v>100</x:v>
      </x:c>
      <x:c r="S568" s="253" t="str">
        <x:v>Yes</x:v>
      </x:c>
      <x:c r="T568" s="265" t="n">
        <x:v>24797</x:v>
      </x:c>
      <x:c r="U568" s="253" t="str">
        <x:f>IF(AND(S568="Yes",T568=0),"Yes","No")</x:f>
        <x:v>No</x:v>
      </x:c>
      <x:c r="V568" s="253" t="str">
        <x:v>Yes</x:v>
      </x:c>
      <x:c r="W568" s="253" t="str">
        <x:v>Yes</x:v>
      </x:c>
      <x:c r="X568" s="259" t="n">
        <x:v>46157.166666666664</x:v>
      </x:c>
      <x:c r="Y568" s="265" t="n">
        <x:v>11850.62</x:v>
      </x:c>
      <x:c r="Z568" s="265" t="n">
        <x:v>16615.62</x:v>
      </x:c>
      <x:c r="AA568" s="253" t="str">
        <x:f>IF(V568="No","Maturing",IF(AND(U568="Yes",Y568&gt;0),"Yes","No"))</x:f>
        <x:v>No</x:v>
      </x:c>
      <x:c r="AB568" s="253" t="str">
        <x:f>IF(W568="No","Maturing",IF(AND(U568="Yes",Z568&gt;0),"Yes","No"))</x:f>
        <x:v>No</x:v>
      </x:c>
      <x:c r="AC568" s="265" t="n">
        <x:v>1672.25</x:v>
      </x:c>
      <x:c r="AD568" s="265" t="n">
        <x:v>2745.12</x:v>
      </x:c>
      <x:c r="AE568" s="271" t="str"/>
      <x:c r="AF568" s="274" t="str">
        <x:v>Not validated - no control/holdout</x:v>
      </x:c>
      <x:c r="AG568" s="277" t="str">
        <x:v>Recovered execution only; assignment date and unclaimed-offer denominator unavailable</x:v>
      </x:c>
    </x:row>
    <x:row r="569">
      <x:c r="A569" s="252" t="str">
        <x:v>34252968</x:v>
      </x:c>
      <x:c r="B569" s="253" t="str">
        <x:v>WS1</x:v>
      </x:c>
      <x:c r="C569" s="253" t="str">
        <x:v>MB8</x:v>
      </x:c>
      <x:c r="D569" s="262" t="n">
        <x:v>46157.70459490741</x:v>
      </x:c>
      <x:c r="E569" s="259" t="n">
        <x:v>46157.166666666664</x:v>
      </x:c>
      <x:c r="F569" s="253" t="str">
        <x:v>788711</x:v>
      </x:c>
      <x:c r="G569" s="253" t="str">
        <x:v>ientao945</x:v>
      </x:c>
      <x:c r="H569" s="253" t="str">
        <x:v>Yes</x:v>
      </x:c>
      <x:c r="I569" s="253" t="str">
        <x:v>zhen</x:v>
      </x:c>
      <x:c r="J569" s="253" t="str">
        <x:v>zhen</x:v>
      </x:c>
      <x:c r="K569" s="259" t="n">
        <x:v>45880.166666666664</x:v>
      </x:c>
      <x:c r="L569" s="268" t="str">
        <x:f>IFERROR(VLOOKUP(I569,'Handler-Team Map'!$A$7:$C$17,2,FALSE),"")</x:f>
      </x:c>
      <x:c r="M569" s="268" t="str">
        <x:f>IFERROR(VLOOKUP(I569,'Handler-Team Map'!$A$7:$C$17,3,FALSE),"")</x:f>
      </x:c>
      <x:c r="N569" s="274" t="str">
        <x:v>FT_VM_DEP600_GET200_5X</x:v>
      </x:c>
      <x:c r="O569" s="274" t="str">
        <x:v>VIP BONUS - Deposit 600 Get 200 - 5x TO</x:v>
      </x:c>
      <x:c r="P569" s="274" t="str">
        <x:v>DepositBonus</x:v>
      </x:c>
      <x:c r="Q569" s="274" t="str">
        <x:v>Approved</x:v>
      </x:c>
      <x:c r="R569" s="265" t="n">
        <x:v>200</x:v>
      </x:c>
      <x:c r="S569" s="253" t="str">
        <x:v>Yes</x:v>
      </x:c>
      <x:c r="T569" s="265" t="n">
        <x:v>4032</x:v>
      </x:c>
      <x:c r="U569" s="253" t="str">
        <x:f>IF(AND(S569="Yes",T569=0),"Yes","No")</x:f>
        <x:v>No</x:v>
      </x:c>
      <x:c r="V569" s="253" t="str">
        <x:v>Yes</x:v>
      </x:c>
      <x:c r="W569" s="253" t="str">
        <x:v>Yes</x:v>
      </x:c>
      <x:c r="X569" s="259" t="n">
        <x:v>46157.166666666664</x:v>
      </x:c>
      <x:c r="Y569" s="265" t="n">
        <x:v>600</x:v>
      </x:c>
      <x:c r="Z569" s="265" t="n">
        <x:v>3586</x:v>
      </x:c>
      <x:c r="AA569" s="253" t="str">
        <x:f>IF(V569="No","Maturing",IF(AND(U569="Yes",Y569&gt;0),"Yes","No"))</x:f>
        <x:v>No</x:v>
      </x:c>
      <x:c r="AB569" s="253" t="str">
        <x:f>IF(W569="No","Maturing",IF(AND(U569="Yes",Z569&gt;0),"Yes","No"))</x:f>
        <x:v>No</x:v>
      </x:c>
      <x:c r="AC569" s="265" t="n">
        <x:v>-705.66</x:v>
      </x:c>
      <x:c r="AD569" s="265" t="n">
        <x:v>1778.82</x:v>
      </x:c>
      <x:c r="AE569" s="271" t="str"/>
      <x:c r="AF569" s="274" t="str">
        <x:v>Not validated - no control/holdout</x:v>
      </x:c>
      <x:c r="AG569" s="277" t="str">
        <x:v>Recovered execution only; assignment date and unclaimed-offer denominator unavailable</x:v>
      </x:c>
    </x:row>
    <x:row r="570">
      <x:c r="A570" s="252" t="str">
        <x:v>34253211</x:v>
      </x:c>
      <x:c r="B570" s="253" t="str">
        <x:v>WS1</x:v>
      </x:c>
      <x:c r="C570" s="253" t="str">
        <x:v>MB8</x:v>
      </x:c>
      <x:c r="D570" s="262" t="n">
        <x:v>46157.72825231482</x:v>
      </x:c>
      <x:c r="E570" s="259" t="n">
        <x:v>46157.166666666664</x:v>
      </x:c>
      <x:c r="F570" s="253" t="str">
        <x:v>113180</x:v>
      </x:c>
      <x:c r="G570" s="253" t="str">
        <x:v>Hazel</x:v>
      </x:c>
      <x:c r="H570" s="253" t="str">
        <x:v>Yes</x:v>
      </x:c>
      <x:c r="I570" s="253" t="str">
        <x:v>Serene</x:v>
      </x:c>
      <x:c r="J570" s="253" t="str">
        <x:v>Serene</x:v>
      </x:c>
      <x:c r="K570" s="259" t="n">
        <x:v>45831.166666666664</x:v>
      </x:c>
      <x:c r="L570" s="268" t="str">
        <x:f>IFERROR(VLOOKUP(I570,'Handler-Team Map'!$A$7:$C$17,2,FALSE),"")</x:f>
      </x:c>
      <x:c r="M570" s="268" t="str">
        <x:f>IFERROR(VLOOKUP(I570,'Handler-Team Map'!$A$7:$C$17,3,FALSE),"")</x:f>
      </x:c>
      <x:c r="N570" s="274" t="str">
        <x:v>FT_VM_DEP1000_GET700_2X</x:v>
      </x:c>
      <x:c r="O570" s="274" t="str">
        <x:v>VIP BONUS - Deposit 1000 Get 700 - 2x TO</x:v>
      </x:c>
      <x:c r="P570" s="274" t="str">
        <x:v>DepositBonus</x:v>
      </x:c>
      <x:c r="Q570" s="274" t="str">
        <x:v>Approved</x:v>
      </x:c>
      <x:c r="R570" s="265" t="n">
        <x:v>700</x:v>
      </x:c>
      <x:c r="S570" s="253" t="str">
        <x:v>Yes</x:v>
      </x:c>
      <x:c r="T570" s="265" t="n">
        <x:v>4000</x:v>
      </x:c>
      <x:c r="U570" s="253" t="str">
        <x:f>IF(AND(S570="Yes",T570=0),"Yes","No")</x:f>
        <x:v>No</x:v>
      </x:c>
      <x:c r="V570" s="253" t="str">
        <x:v>Yes</x:v>
      </x:c>
      <x:c r="W570" s="253" t="str">
        <x:v>Yes</x:v>
      </x:c>
      <x:c r="X570" s="259" t="n">
        <x:v>46157.166666666664</x:v>
      </x:c>
      <x:c r="Y570" s="265" t="n">
        <x:v>2200</x:v>
      </x:c>
      <x:c r="Z570" s="265" t="n">
        <x:v>3570</x:v>
      </x:c>
      <x:c r="AA570" s="253" t="str">
        <x:f>IF(V570="No","Maturing",IF(AND(U570="Yes",Y570&gt;0),"Yes","No"))</x:f>
        <x:v>No</x:v>
      </x:c>
      <x:c r="AB570" s="253" t="str">
        <x:f>IF(W570="No","Maturing",IF(AND(U570="Yes",Z570&gt;0),"Yes","No"))</x:f>
        <x:v>No</x:v>
      </x:c>
      <x:c r="AC570" s="265" t="n">
        <x:v>-571.37</x:v>
      </x:c>
      <x:c r="AD570" s="265" t="n">
        <x:v>1825.72</x:v>
      </x:c>
      <x:c r="AE570" s="271" t="str"/>
      <x:c r="AF570" s="274" t="str">
        <x:v>Not validated - no control/holdout</x:v>
      </x:c>
      <x:c r="AG570" s="277" t="str">
        <x:v>Recovered execution only; assignment date and unclaimed-offer denominator unavailable</x:v>
      </x:c>
    </x:row>
    <x:row r="571">
      <x:c r="A571" s="252" t="str">
        <x:v>34253246</x:v>
      </x:c>
      <x:c r="B571" s="253" t="str">
        <x:v>WS1</x:v>
      </x:c>
      <x:c r="C571" s="253" t="str">
        <x:v>MB8</x:v>
      </x:c>
      <x:c r="D571" s="262" t="n">
        <x:v>46157.73125</x:v>
      </x:c>
      <x:c r="E571" s="259" t="n">
        <x:v>46157.166666666664</x:v>
      </x:c>
      <x:c r="F571" s="253" t="str">
        <x:v>330397</x:v>
      </x:c>
      <x:c r="G571" s="253" t="str">
        <x:v>detomaso</x:v>
      </x:c>
      <x:c r="H571" s="253" t="str">
        <x:v>Yes</x:v>
      </x:c>
      <x:c r="I571" s="253" t="str">
        <x:v>Jiahui</x:v>
      </x:c>
      <x:c r="J571" s="253" t="str">
        <x:v>Jiahui</x:v>
      </x:c>
      <x:c r="K571" s="259" t="n">
        <x:v>46090.166666666664</x:v>
      </x:c>
      <x:c r="L571" s="268" t="str">
        <x:f>IFERROR(VLOOKUP(I571,'Handler-Team Map'!$A$7:$C$17,2,FALSE),"")</x:f>
      </x:c>
      <x:c r="M571" s="268" t="str">
        <x:f>IFERROR(VLOOKUP(I571,'Handler-Team Map'!$A$7:$C$17,3,FALSE),"")</x:f>
      </x:c>
      <x:c r="N571" s="274" t="str">
        <x:v>FT_VM_DEP1000_GET1000_1X</x:v>
      </x:c>
      <x:c r="O571" s="274" t="str">
        <x:v>VIP BONUS - Deposit 1000 Get 1000 - 1x TO</x:v>
      </x:c>
      <x:c r="P571" s="274" t="str">
        <x:v>DepositBonus</x:v>
      </x:c>
      <x:c r="Q571" s="274" t="str">
        <x:v>Approved</x:v>
      </x:c>
      <x:c r="R571" s="265" t="n">
        <x:v>1000</x:v>
      </x:c>
      <x:c r="S571" s="253" t="str">
        <x:v>Yes</x:v>
      </x:c>
      <x:c r="T571" s="265" t="n">
        <x:v>0</x:v>
      </x:c>
      <x:c r="U571" s="253" t="str">
        <x:f>IF(AND(S571="Yes",T571=0),"Yes","No")</x:f>
        <x:v>Yes</x:v>
      </x:c>
      <x:c r="V571" s="253" t="str">
        <x:v>Yes</x:v>
      </x:c>
      <x:c r="W571" s="253" t="str">
        <x:v>Yes</x:v>
      </x:c>
      <x:c r="X571" s="259" t="n">
        <x:v>46157.166666666664</x:v>
      </x:c>
      <x:c r="Y571" s="265" t="n">
        <x:v>1000</x:v>
      </x:c>
      <x:c r="Z571" s="265" t="n">
        <x:v>10500</x:v>
      </x:c>
      <x:c r="AA571" s="253" t="str">
        <x:f>IF(V571="No","Maturing",IF(AND(U571="Yes",Y571&gt;0),"Yes","No"))</x:f>
        <x:v>Yes</x:v>
      </x:c>
      <x:c r="AB571" s="253" t="str">
        <x:f>IF(W571="No","Maturing",IF(AND(U571="Yes",Z571&gt;0),"Yes","No"))</x:f>
        <x:v>Yes</x:v>
      </x:c>
      <x:c r="AC571" s="265" t="n">
        <x:v>-2019.21</x:v>
      </x:c>
      <x:c r="AD571" s="265" t="n">
        <x:v>-12791.88</x:v>
      </x:c>
      <x:c r="AE571" s="271" t="str"/>
      <x:c r="AF571" s="274" t="str">
        <x:v>Not validated - no control/holdout</x:v>
      </x:c>
      <x:c r="AG571" s="277" t="str">
        <x:v>Recovered execution only; assignment date and unclaimed-offer denominator unavailable</x:v>
      </x:c>
    </x:row>
    <x:row r="572">
      <x:c r="A572" s="252" t="str">
        <x:v>34253672</x:v>
      </x:c>
      <x:c r="B572" s="253" t="str">
        <x:v>WS1</x:v>
      </x:c>
      <x:c r="C572" s="253" t="str">
        <x:v>MB8</x:v>
      </x:c>
      <x:c r="D572" s="262" t="n">
        <x:v>46157.766018518516</x:v>
      </x:c>
      <x:c r="E572" s="259" t="n">
        <x:v>46157.166666666664</x:v>
      </x:c>
      <x:c r="F572" s="253" t="str">
        <x:v>185699</x:v>
      </x:c>
      <x:c r="G572" s="253" t="str">
        <x:v>Andy089</x:v>
      </x:c>
      <x:c r="H572" s="253" t="str">
        <x:v>Yes</x:v>
      </x:c>
      <x:c r="I572" s="253" t="str">
        <x:v>zhen</x:v>
      </x:c>
      <x:c r="J572" s="253" t="str">
        <x:v>zhen</x:v>
      </x:c>
      <x:c r="K572" s="259" t="n">
        <x:v>46090.166666666664</x:v>
      </x:c>
      <x:c r="L572" s="268" t="str">
        <x:f>IFERROR(VLOOKUP(I572,'Handler-Team Map'!$A$7:$C$17,2,FALSE),"")</x:f>
      </x:c>
      <x:c r="M572" s="268" t="str">
        <x:f>IFERROR(VLOOKUP(I572,'Handler-Team Map'!$A$7:$C$17,3,FALSE),"")</x:f>
      </x:c>
      <x:c r="N572" s="274" t="str">
        <x:v>FT_VM_DEP1000_GET500_5X</x:v>
      </x:c>
      <x:c r="O572" s="274" t="str">
        <x:v>VIP BONUS - Deposit 1000 Get 500 - 5x TO</x:v>
      </x:c>
      <x:c r="P572" s="274" t="str">
        <x:v>DepositBonus</x:v>
      </x:c>
      <x:c r="Q572" s="274" t="str">
        <x:v>Approved</x:v>
      </x:c>
      <x:c r="R572" s="265" t="n">
        <x:v>500</x:v>
      </x:c>
      <x:c r="S572" s="253" t="str">
        <x:v>Yes</x:v>
      </x:c>
      <x:c r="T572" s="265" t="n">
        <x:v>10100</x:v>
      </x:c>
      <x:c r="U572" s="253" t="str">
        <x:f>IF(AND(S572="Yes",T572=0),"Yes","No")</x:f>
        <x:v>No</x:v>
      </x:c>
      <x:c r="V572" s="253" t="str">
        <x:v>Yes</x:v>
      </x:c>
      <x:c r="W572" s="253" t="str">
        <x:v>Yes</x:v>
      </x:c>
      <x:c r="X572" s="259" t="n">
        <x:v>46157.166666666664</x:v>
      </x:c>
      <x:c r="Y572" s="265" t="n">
        <x:v>3390</x:v>
      </x:c>
      <x:c r="Z572" s="265" t="n">
        <x:v>3390</x:v>
      </x:c>
      <x:c r="AA572" s="253" t="str">
        <x:f>IF(V572="No","Maturing",IF(AND(U572="Yes",Y572&gt;0),"Yes","No"))</x:f>
        <x:v>No</x:v>
      </x:c>
      <x:c r="AB572" s="253" t="str">
        <x:f>IF(W572="No","Maturing",IF(AND(U572="Yes",Z572&gt;0),"Yes","No"))</x:f>
        <x:v>No</x:v>
      </x:c>
      <x:c r="AC572" s="265" t="n">
        <x:v>2197.29</x:v>
      </x:c>
      <x:c r="AD572" s="265" t="n">
        <x:v>2197.29</x:v>
      </x:c>
      <x:c r="AE572" s="271" t="str"/>
      <x:c r="AF572" s="274" t="str">
        <x:v>Not validated - no control/holdout</x:v>
      </x:c>
      <x:c r="AG572" s="277" t="str">
        <x:v>Recovered execution only; assignment date and unclaimed-offer denominator unavailable</x:v>
      </x:c>
    </x:row>
    <x:row r="573">
      <x:c r="A573" s="252" t="str">
        <x:v>34253902</x:v>
      </x:c>
      <x:c r="B573" s="253" t="str">
        <x:v>WS1</x:v>
      </x:c>
      <x:c r="C573" s="253" t="str">
        <x:v>MB8</x:v>
      </x:c>
      <x:c r="D573" s="262" t="n">
        <x:v>46157.78020833333</x:v>
      </x:c>
      <x:c r="E573" s="259" t="n">
        <x:v>46157.166666666664</x:v>
      </x:c>
      <x:c r="F573" s="253" t="str">
        <x:v>992918</x:v>
      </x:c>
      <x:c r="G573" s="253" t="str">
        <x:v>Sprema</x:v>
      </x:c>
      <x:c r="H573" s="253" t="str">
        <x:v>Yes</x:v>
      </x:c>
      <x:c r="I573" s="253" t="str"/>
      <x:c r="J573" s="253" t="str"/>
      <x:c r="K573" s="259"/>
      <x:c r="L573" s="268" t="str">
        <x:f>IFERROR(VLOOKUP(I573,'Handler-Team Map'!$A$7:$C$17,2,FALSE),"")</x:f>
      </x:c>
      <x:c r="M573" s="268" t="str">
        <x:f>IFERROR(VLOOKUP(I573,'Handler-Team Map'!$A$7:$C$17,3,FALSE),"")</x:f>
      </x:c>
      <x:c r="N573" s="274" t="str">
        <x:v>FT_VM_DEP600_GET200_5X</x:v>
      </x:c>
      <x:c r="O573" s="274" t="str">
        <x:v>VIP BONUS - Deposit 600 Get 200 - 5x TO</x:v>
      </x:c>
      <x:c r="P573" s="274" t="str">
        <x:v>DepositBonus</x:v>
      </x:c>
      <x:c r="Q573" s="274" t="str">
        <x:v>Approved</x:v>
      </x:c>
      <x:c r="R573" s="265" t="n">
        <x:v>200</x:v>
      </x:c>
      <x:c r="S573" s="253" t="str">
        <x:v>Yes</x:v>
      </x:c>
      <x:c r="T573" s="265" t="n">
        <x:v>3700</x:v>
      </x:c>
      <x:c r="U573" s="253" t="str">
        <x:f>IF(AND(S573="Yes",T573=0),"Yes","No")</x:f>
        <x:v>No</x:v>
      </x:c>
      <x:c r="V573" s="253" t="str">
        <x:v>Yes</x:v>
      </x:c>
      <x:c r="W573" s="253" t="str">
        <x:v>Yes</x:v>
      </x:c>
      <x:c r="X573" s="259" t="n">
        <x:v>46157.166666666664</x:v>
      </x:c>
      <x:c r="Y573" s="265" t="n">
        <x:v>1100</x:v>
      </x:c>
      <x:c r="Z573" s="265" t="n">
        <x:v>2100</x:v>
      </x:c>
      <x:c r="AA573" s="253" t="str">
        <x:f>IF(V573="No","Maturing",IF(AND(U573="Yes",Y573&gt;0),"Yes","No"))</x:f>
        <x:v>No</x:v>
      </x:c>
      <x:c r="AB573" s="253" t="str">
        <x:f>IF(W573="No","Maturing",IF(AND(U573="Yes",Z573&gt;0),"Yes","No"))</x:f>
        <x:v>No</x:v>
      </x:c>
      <x:c r="AC573" s="265" t="n">
        <x:v>1100.77</x:v>
      </x:c>
      <x:c r="AD573" s="265" t="n">
        <x:v>2069.12</x:v>
      </x:c>
      <x:c r="AE573" s="271" t="str"/>
      <x:c r="AF573" s="274" t="str">
        <x:v>Not validated - no control/holdout</x:v>
      </x:c>
      <x:c r="AG573" s="277" t="str">
        <x:v>Recovered execution only; assignment date and unclaimed-offer denominator unavailable</x:v>
      </x:c>
    </x:row>
    <x:row r="574">
      <x:c r="A574" s="252" t="str">
        <x:v>34256188</x:v>
      </x:c>
      <x:c r="B574" s="253" t="str">
        <x:v>WS1</x:v>
      </x:c>
      <x:c r="C574" s="253" t="str">
        <x:v>MB8</x:v>
      </x:c>
      <x:c r="D574" s="262" t="n">
        <x:v>46157.95400462963</x:v>
      </x:c>
      <x:c r="E574" s="259" t="n">
        <x:v>46157.166666666664</x:v>
      </x:c>
      <x:c r="F574" s="253" t="str">
        <x:v>532295</x:v>
      </x:c>
      <x:c r="G574" s="253" t="str">
        <x:v>tonyass</x:v>
      </x:c>
      <x:c r="H574" s="253" t="str">
        <x:v>Yes</x:v>
      </x:c>
      <x:c r="I574" s="253" t="str">
        <x:v>Elda</x:v>
      </x:c>
      <x:c r="J574" s="253" t="str">
        <x:v>Elda</x:v>
      </x:c>
      <x:c r="K574" s="259" t="n">
        <x:v>45659.166666666664</x:v>
      </x:c>
      <x:c r="L574" s="268" t="str">
        <x:f>IFERROR(VLOOKUP(I574,'Handler-Team Map'!$A$7:$C$17,2,FALSE),"")</x:f>
      </x:c>
      <x:c r="M574" s="268" t="str">
        <x:f>IFERROR(VLOOKUP(I574,'Handler-Team Map'!$A$7:$C$17,3,FALSE),"")</x:f>
      </x:c>
      <x:c r="N574" s="274" t="str">
        <x:v>FT_VM_DEP1000_GET500_5X</x:v>
      </x:c>
      <x:c r="O574" s="274" t="str">
        <x:v>VIP BONUS - Deposit 1000 Get 500 - 5x TO</x:v>
      </x:c>
      <x:c r="P574" s="274" t="str">
        <x:v>DepositBonus</x:v>
      </x:c>
      <x:c r="Q574" s="274" t="str">
        <x:v>Approved</x:v>
      </x:c>
      <x:c r="R574" s="265" t="n">
        <x:v>500</x:v>
      </x:c>
      <x:c r="S574" s="253" t="str">
        <x:v>Yes</x:v>
      </x:c>
      <x:c r="T574" s="265" t="n">
        <x:v>6150</x:v>
      </x:c>
      <x:c r="U574" s="253" t="str">
        <x:f>IF(AND(S574="Yes",T574=0),"Yes","No")</x:f>
        <x:v>No</x:v>
      </x:c>
      <x:c r="V574" s="253" t="str">
        <x:v>Yes</x:v>
      </x:c>
      <x:c r="W574" s="253" t="str">
        <x:v>Yes</x:v>
      </x:c>
      <x:c r="X574" s="259" t="n">
        <x:v>46157.166666666664</x:v>
      </x:c>
      <x:c r="Y574" s="265" t="n">
        <x:v>2400</x:v>
      </x:c>
      <x:c r="Z574" s="265" t="n">
        <x:v>3750</x:v>
      </x:c>
      <x:c r="AA574" s="253" t="str">
        <x:f>IF(V574="No","Maturing",IF(AND(U574="Yes",Y574&gt;0),"Yes","No"))</x:f>
        <x:v>No</x:v>
      </x:c>
      <x:c r="AB574" s="253" t="str">
        <x:f>IF(W574="No","Maturing",IF(AND(U574="Yes",Z574&gt;0),"Yes","No"))</x:f>
        <x:v>No</x:v>
      </x:c>
      <x:c r="AC574" s="265" t="n">
        <x:v>-2843.24</x:v>
      </x:c>
      <x:c r="AD574" s="265" t="n">
        <x:v>-2222.17</x:v>
      </x:c>
      <x:c r="AE574" s="271" t="str"/>
      <x:c r="AF574" s="274" t="str">
        <x:v>Not validated - no control/holdout</x:v>
      </x:c>
      <x:c r="AG574" s="277" t="str">
        <x:v>Recovered execution only; assignment date and unclaimed-offer denominator unavailable</x:v>
      </x:c>
    </x:row>
    <x:row r="575">
      <x:c r="A575" s="252" t="str">
        <x:v>34256649</x:v>
      </x:c>
      <x:c r="B575" s="253" t="str">
        <x:v>WS1</x:v>
      </x:c>
      <x:c r="C575" s="253" t="str">
        <x:v>MB8</x:v>
      </x:c>
      <x:c r="D575" s="262" t="n">
        <x:v>46157.98002314815</x:v>
      </x:c>
      <x:c r="E575" s="259" t="n">
        <x:v>46157.166666666664</x:v>
      </x:c>
      <x:c r="F575" s="253" t="str">
        <x:v>487514</x:v>
      </x:c>
      <x:c r="G575" s="253" t="str">
        <x:v>Ayep92</x:v>
      </x:c>
      <x:c r="H575" s="253" t="str">
        <x:v>Yes</x:v>
      </x:c>
      <x:c r="I575" s="253" t="str"/>
      <x:c r="J575" s="253" t="str"/>
      <x:c r="K575" s="259"/>
      <x:c r="L575" s="268" t="str">
        <x:f>IFERROR(VLOOKUP(I575,'Handler-Team Map'!$A$7:$C$17,2,FALSE),"")</x:f>
      </x:c>
      <x:c r="M575" s="268" t="str">
        <x:f>IFERROR(VLOOKUP(I575,'Handler-Team Map'!$A$7:$C$17,3,FALSE),"")</x:f>
      </x:c>
      <x:c r="N575" s="274" t="str">
        <x:v>FT_VM_DEP800_GET400_2X</x:v>
      </x:c>
      <x:c r="O575" s="274" t="str">
        <x:v>VIP BONUS - Deposit 800 Get 400 - 2x TO</x:v>
      </x:c>
      <x:c r="P575" s="274" t="str">
        <x:v>DepositBonus</x:v>
      </x:c>
      <x:c r="Q575" s="274" t="str">
        <x:v>Approved</x:v>
      </x:c>
      <x:c r="R575" s="265" t="n">
        <x:v>400</x:v>
      </x:c>
      <x:c r="S575" s="253" t="str">
        <x:v>Yes</x:v>
      </x:c>
      <x:c r="T575" s="265" t="n">
        <x:v>100</x:v>
      </x:c>
      <x:c r="U575" s="253" t="str">
        <x:f>IF(AND(S575="Yes",T575=0),"Yes","No")</x:f>
        <x:v>No</x:v>
      </x:c>
      <x:c r="V575" s="253" t="str">
        <x:v>Yes</x:v>
      </x:c>
      <x:c r="W575" s="253" t="str">
        <x:v>Yes</x:v>
      </x:c>
      <x:c r="X575" s="259" t="n">
        <x:v>46157.166666666664</x:v>
      </x:c>
      <x:c r="Y575" s="265" t="n">
        <x:v>2000</x:v>
      </x:c>
      <x:c r="Z575" s="265" t="n">
        <x:v>2050</x:v>
      </x:c>
      <x:c r="AA575" s="253" t="str">
        <x:f>IF(V575="No","Maturing",IF(AND(U575="Yes",Y575&gt;0),"Yes","No"))</x:f>
        <x:v>No</x:v>
      </x:c>
      <x:c r="AB575" s="253" t="str">
        <x:f>IF(W575="No","Maturing",IF(AND(U575="Yes",Z575&gt;0),"Yes","No"))</x:f>
        <x:v>No</x:v>
      </x:c>
      <x:c r="AC575" s="265" t="n">
        <x:v>1699.44</x:v>
      </x:c>
      <x:c r="AD575" s="265" t="n">
        <x:v>1749.57</x:v>
      </x:c>
      <x:c r="AE575" s="271" t="str"/>
      <x:c r="AF575" s="274" t="str">
        <x:v>Not validated - no control/holdout</x:v>
      </x:c>
      <x:c r="AG575" s="277" t="str">
        <x:v>Recovered execution only; assignment date and unclaimed-offer denominator unavailable</x:v>
      </x:c>
    </x:row>
    <x:row r="576">
      <x:c r="A576" s="252" t="str">
        <x:v>34256721</x:v>
      </x:c>
      <x:c r="B576" s="253" t="str">
        <x:v>WS1</x:v>
      </x:c>
      <x:c r="C576" s="253" t="str">
        <x:v>MB8</x:v>
      </x:c>
      <x:c r="D576" s="262" t="n">
        <x:v>46157.98594907407</x:v>
      </x:c>
      <x:c r="E576" s="259" t="n">
        <x:v>46157.166666666664</x:v>
      </x:c>
      <x:c r="F576" s="253" t="str">
        <x:v>998311</x:v>
      </x:c>
      <x:c r="G576" s="253" t="str">
        <x:v>mahathir1982</x:v>
      </x:c>
      <x:c r="H576" s="253" t="str">
        <x:v>Yes</x:v>
      </x:c>
      <x:c r="I576" s="253" t="str"/>
      <x:c r="J576" s="253" t="str"/>
      <x:c r="K576" s="259"/>
      <x:c r="L576" s="268" t="str">
        <x:f>IFERROR(VLOOKUP(I576,'Handler-Team Map'!$A$7:$C$17,2,FALSE),"")</x:f>
      </x:c>
      <x:c r="M576" s="268" t="str">
        <x:f>IFERROR(VLOOKUP(I576,'Handler-Team Map'!$A$7:$C$17,3,FALSE),"")</x:f>
      </x:c>
      <x:c r="N576" s="274" t="str">
        <x:v>FT_VM_DEP600_GET200_5X</x:v>
      </x:c>
      <x:c r="O576" s="274" t="str">
        <x:v>VIP BONUS - Deposit 600 Get 200 - 5x TO</x:v>
      </x:c>
      <x:c r="P576" s="274" t="str">
        <x:v>DepositBonus</x:v>
      </x:c>
      <x:c r="Q576" s="274" t="str">
        <x:v>Approved</x:v>
      </x:c>
      <x:c r="R576" s="265" t="n">
        <x:v>200</x:v>
      </x:c>
      <x:c r="S576" s="253" t="str">
        <x:v>Yes</x:v>
      </x:c>
      <x:c r="T576" s="265" t="n">
        <x:v>700</x:v>
      </x:c>
      <x:c r="U576" s="253" t="str">
        <x:f>IF(AND(S576="Yes",T576=0),"Yes","No")</x:f>
        <x:v>No</x:v>
      </x:c>
      <x:c r="V576" s="253" t="str">
        <x:v>Yes</x:v>
      </x:c>
      <x:c r="W576" s="253" t="str">
        <x:v>Yes</x:v>
      </x:c>
      <x:c r="X576" s="259" t="n">
        <x:v>46157.166666666664</x:v>
      </x:c>
      <x:c r="Y576" s="265" t="n">
        <x:v>876.63</x:v>
      </x:c>
      <x:c r="Z576" s="265" t="n">
        <x:v>876.63</x:v>
      </x:c>
      <x:c r="AA576" s="253" t="str">
        <x:f>IF(V576="No","Maturing",IF(AND(U576="Yes",Y576&gt;0),"Yes","No"))</x:f>
        <x:v>No</x:v>
      </x:c>
      <x:c r="AB576" s="253" t="str">
        <x:f>IF(W576="No","Maturing",IF(AND(U576="Yes",Z576&gt;0),"Yes","No"))</x:f>
        <x:v>No</x:v>
      </x:c>
      <x:c r="AC576" s="265" t="n">
        <x:v>875.14</x:v>
      </x:c>
      <x:c r="AD576" s="265" t="n">
        <x:v>875.14</x:v>
      </x:c>
      <x:c r="AE576" s="271" t="str"/>
      <x:c r="AF576" s="274" t="str">
        <x:v>Not validated - no control/holdout</x:v>
      </x:c>
      <x:c r="AG576" s="277" t="str">
        <x:v>Recovered execution only; assignment date and unclaimed-offer denominator unavailable</x:v>
      </x:c>
    </x:row>
    <x:row r="577">
      <x:c r="A577" s="252" t="str">
        <x:v>34256898</x:v>
      </x:c>
      <x:c r="B577" s="253" t="str">
        <x:v>WS1</x:v>
      </x:c>
      <x:c r="C577" s="253" t="str">
        <x:v>MB8</x:v>
      </x:c>
      <x:c r="D577" s="262" t="n">
        <x:v>46157.994571759256</x:v>
      </x:c>
      <x:c r="E577" s="259" t="n">
        <x:v>46157.166666666664</x:v>
      </x:c>
      <x:c r="F577" s="253" t="str">
        <x:v>406955</x:v>
      </x:c>
      <x:c r="G577" s="253" t="str">
        <x:v>calvin322</x:v>
      </x:c>
      <x:c r="H577" s="253" t="str">
        <x:v>Yes</x:v>
      </x:c>
      <x:c r="I577" s="253" t="str">
        <x:v>Jiahui</x:v>
      </x:c>
      <x:c r="J577" s="253" t="str">
        <x:v>Jiahui</x:v>
      </x:c>
      <x:c r="K577" s="259" t="n">
        <x:v>46090.166666666664</x:v>
      </x:c>
      <x:c r="L577" s="268" t="str">
        <x:f>IFERROR(VLOOKUP(I577,'Handler-Team Map'!$A$7:$C$17,2,FALSE),"")</x:f>
      </x:c>
      <x:c r="M577" s="268" t="str">
        <x:f>IFERROR(VLOOKUP(I577,'Handler-Team Map'!$A$7:$C$17,3,FALSE),"")</x:f>
      </x:c>
      <x:c r="N577" s="274" t="str">
        <x:v>FT_VM_DEP1000_GET1000_1X</x:v>
      </x:c>
      <x:c r="O577" s="274" t="str">
        <x:v>VIP BONUS - Deposit 1000 Get 1000 - 1x TO</x:v>
      </x:c>
      <x:c r="P577" s="274" t="str">
        <x:v>DepositBonus</x:v>
      </x:c>
      <x:c r="Q577" s="274" t="str">
        <x:v>Approved</x:v>
      </x:c>
      <x:c r="R577" s="265" t="n">
        <x:v>1000</x:v>
      </x:c>
      <x:c r="S577" s="253" t="str">
        <x:v>Yes</x:v>
      </x:c>
      <x:c r="T577" s="265" t="n">
        <x:v>36000</x:v>
      </x:c>
      <x:c r="U577" s="253" t="str">
        <x:f>IF(AND(S577="Yes",T577=0),"Yes","No")</x:f>
        <x:v>No</x:v>
      </x:c>
      <x:c r="V577" s="253" t="str">
        <x:v>Yes</x:v>
      </x:c>
      <x:c r="W577" s="253" t="str">
        <x:v>Yes</x:v>
      </x:c>
      <x:c r="X577" s="259" t="n">
        <x:v>46157.166666666664</x:v>
      </x:c>
      <x:c r="Y577" s="265" t="n">
        <x:v>1000</x:v>
      </x:c>
      <x:c r="Z577" s="265" t="n">
        <x:v>1000</x:v>
      </x:c>
      <x:c r="AA577" s="253" t="str">
        <x:f>IF(V577="No","Maturing",IF(AND(U577="Yes",Y577&gt;0),"Yes","No"))</x:f>
        <x:v>No</x:v>
      </x:c>
      <x:c r="AB577" s="253" t="str">
        <x:f>IF(W577="No","Maturing",IF(AND(U577="Yes",Z577&gt;0),"Yes","No"))</x:f>
        <x:v>No</x:v>
      </x:c>
      <x:c r="AC577" s="265" t="n">
        <x:v>-1153.85</x:v>
      </x:c>
      <x:c r="AD577" s="265" t="n">
        <x:v>-1153.85</x:v>
      </x:c>
      <x:c r="AE577" s="271" t="str"/>
      <x:c r="AF577" s="274" t="str">
        <x:v>Not validated - no control/holdout</x:v>
      </x:c>
      <x:c r="AG577" s="277" t="str">
        <x:v>Recovered execution only; assignment date and unclaimed-offer denominator unavailable</x:v>
      </x:c>
    </x:row>
    <x:row r="578">
      <x:c r="A578" s="252" t="str">
        <x:v>34258635</x:v>
      </x:c>
      <x:c r="B578" s="253" t="str">
        <x:v>WS1</x:v>
      </x:c>
      <x:c r="C578" s="253" t="str">
        <x:v>MB8</x:v>
      </x:c>
      <x:c r="D578" s="262" t="n">
        <x:v>46158.124236111114</x:v>
      </x:c>
      <x:c r="E578" s="259" t="n">
        <x:v>46158.166666666664</x:v>
      </x:c>
      <x:c r="F578" s="253" t="str">
        <x:v>488111</x:v>
      </x:c>
      <x:c r="G578" s="253" t="str">
        <x:v>Ghugan</x:v>
      </x:c>
      <x:c r="H578" s="253" t="str">
        <x:v>Yes</x:v>
      </x:c>
      <x:c r="I578" s="253" t="str"/>
      <x:c r="J578" s="253" t="str"/>
      <x:c r="K578" s="259"/>
      <x:c r="L578" s="268" t="str">
        <x:f>IFERROR(VLOOKUP(I578,'Handler-Team Map'!$A$7:$C$17,2,FALSE),"")</x:f>
      </x:c>
      <x:c r="M578" s="268" t="str">
        <x:f>IFERROR(VLOOKUP(I578,'Handler-Team Map'!$A$7:$C$17,3,FALSE),"")</x:f>
      </x:c>
      <x:c r="N578" s="274" t="str">
        <x:v>FT_VM_DEP600_GET200_5X</x:v>
      </x:c>
      <x:c r="O578" s="274" t="str">
        <x:v>VIP BONUS - Deposit 600 Get 200 - 5x TO</x:v>
      </x:c>
      <x:c r="P578" s="274" t="str">
        <x:v>DepositBonus</x:v>
      </x:c>
      <x:c r="Q578" s="274" t="str">
        <x:v>Approved</x:v>
      </x:c>
      <x:c r="R578" s="265" t="n">
        <x:v>200</x:v>
      </x:c>
      <x:c r="S578" s="253" t="str">
        <x:v>Yes</x:v>
      </x:c>
      <x:c r="T578" s="265" t="n">
        <x:v>940</x:v>
      </x:c>
      <x:c r="U578" s="253" t="str">
        <x:f>IF(AND(S578="Yes",T578=0),"Yes","No")</x:f>
        <x:v>No</x:v>
      </x:c>
      <x:c r="V578" s="253" t="str">
        <x:v>Yes</x:v>
      </x:c>
      <x:c r="W578" s="253" t="str">
        <x:v>Yes</x:v>
      </x:c>
      <x:c r="X578" s="259" t="n">
        <x:v>46158.166666666664</x:v>
      </x:c>
      <x:c r="Y578" s="265" t="n">
        <x:v>1930</x:v>
      </x:c>
      <x:c r="Z578" s="265" t="n">
        <x:v>2130</x:v>
      </x:c>
      <x:c r="AA578" s="253" t="str">
        <x:f>IF(V578="No","Maturing",IF(AND(U578="Yes",Y578&gt;0),"Yes","No"))</x:f>
        <x:v>No</x:v>
      </x:c>
      <x:c r="AB578" s="253" t="str">
        <x:f>IF(W578="No","Maturing",IF(AND(U578="Yes",Z578&gt;0),"Yes","No"))</x:f>
        <x:v>No</x:v>
      </x:c>
      <x:c r="AC578" s="265" t="n">
        <x:v>1929.99</x:v>
      </x:c>
      <x:c r="AD578" s="265" t="n">
        <x:v>2129.88</x:v>
      </x:c>
      <x:c r="AE578" s="271" t="str"/>
      <x:c r="AF578" s="274" t="str">
        <x:v>Not validated - no control/holdout</x:v>
      </x:c>
      <x:c r="AG578" s="277" t="str">
        <x:v>Recovered execution only; assignment date and unclaimed-offer denominator unavailable</x:v>
      </x:c>
    </x:row>
    <x:row r="579">
      <x:c r="A579" s="252" t="str">
        <x:v>34261054</x:v>
      </x:c>
      <x:c r="B579" s="253" t="str">
        <x:v>WS1</x:v>
      </x:c>
      <x:c r="C579" s="253" t="str">
        <x:v>MB8</x:v>
      </x:c>
      <x:c r="D579" s="262" t="n">
        <x:v>46158.492789351854</x:v>
      </x:c>
      <x:c r="E579" s="259" t="n">
        <x:v>46158.166666666664</x:v>
      </x:c>
      <x:c r="F579" s="253" t="str">
        <x:v>476510</x:v>
      </x:c>
      <x:c r="G579" s="253" t="str">
        <x:v>giinshen</x:v>
      </x:c>
      <x:c r="H579" s="253" t="str">
        <x:v>Yes</x:v>
      </x:c>
      <x:c r="I579" s="253" t="str">
        <x:v>Claire</x:v>
      </x:c>
      <x:c r="J579" s="253" t="str">
        <x:v>Claire</x:v>
      </x:c>
      <x:c r="K579" s="259" t="n">
        <x:v>45659.166666666664</x:v>
      </x:c>
      <x:c r="L579" s="268" t="str">
        <x:f>IFERROR(VLOOKUP(I579,'Handler-Team Map'!$A$7:$C$17,2,FALSE),"")</x:f>
      </x:c>
      <x:c r="M579" s="268" t="str">
        <x:f>IFERROR(VLOOKUP(I579,'Handler-Team Map'!$A$7:$C$17,3,FALSE),"")</x:f>
      </x:c>
      <x:c r="N579" s="274" t="str">
        <x:v>FT_VM_DEP1000_GET500_5X</x:v>
      </x:c>
      <x:c r="O579" s="274" t="str">
        <x:v>VIP BONUS - Deposit 1000 Get 500 - 5x TO</x:v>
      </x:c>
      <x:c r="P579" s="274" t="str">
        <x:v>DepositBonus</x:v>
      </x:c>
      <x:c r="Q579" s="274" t="str">
        <x:v>Approved</x:v>
      </x:c>
      <x:c r="R579" s="265" t="n">
        <x:v>500</x:v>
      </x:c>
      <x:c r="S579" s="253" t="str">
        <x:v>Yes</x:v>
      </x:c>
      <x:c r="T579" s="265" t="n">
        <x:v>71500</x:v>
      </x:c>
      <x:c r="U579" s="253" t="str">
        <x:f>IF(AND(S579="Yes",T579=0),"Yes","No")</x:f>
        <x:v>No</x:v>
      </x:c>
      <x:c r="V579" s="253" t="str">
        <x:v>Yes</x:v>
      </x:c>
      <x:c r="W579" s="253" t="str">
        <x:v>Yes</x:v>
      </x:c>
      <x:c r="X579" s="259" t="n">
        <x:v>46158.166666666664</x:v>
      </x:c>
      <x:c r="Y579" s="265" t="n">
        <x:v>11500</x:v>
      </x:c>
      <x:c r="Z579" s="265" t="n">
        <x:v>18750</x:v>
      </x:c>
      <x:c r="AA579" s="253" t="str">
        <x:f>IF(V579="No","Maturing",IF(AND(U579="Yes",Y579&gt;0),"Yes","No"))</x:f>
        <x:v>No</x:v>
      </x:c>
      <x:c r="AB579" s="253" t="str">
        <x:f>IF(W579="No","Maturing",IF(AND(U579="Yes",Z579&gt;0),"Yes","No"))</x:f>
        <x:v>No</x:v>
      </x:c>
      <x:c r="AC579" s="265" t="n">
        <x:v>-12568.07</x:v>
      </x:c>
      <x:c r="AD579" s="265" t="n">
        <x:v>-5299.59</x:v>
      </x:c>
      <x:c r="AE579" s="271" t="str"/>
      <x:c r="AF579" s="274" t="str">
        <x:v>Not validated - no control/holdout</x:v>
      </x:c>
      <x:c r="AG579" s="277" t="str">
        <x:v>Recovered execution only; assignment date and unclaimed-offer denominator unavailable</x:v>
      </x:c>
    </x:row>
    <x:row r="580">
      <x:c r="A580" s="252" t="str">
        <x:v>34261671</x:v>
      </x:c>
      <x:c r="B580" s="253" t="str">
        <x:v>WS1</x:v>
      </x:c>
      <x:c r="C580" s="253" t="str">
        <x:v>MB8</x:v>
      </x:c>
      <x:c r="D580" s="262" t="n">
        <x:v>46158.56141203704</x:v>
      </x:c>
      <x:c r="E580" s="259" t="n">
        <x:v>46158.166666666664</x:v>
      </x:c>
      <x:c r="F580" s="253" t="str">
        <x:v>584340</x:v>
      </x:c>
      <x:c r="G580" s="253" t="str">
        <x:v>7686AC</x:v>
      </x:c>
      <x:c r="H580" s="253" t="str">
        <x:v>Yes</x:v>
      </x:c>
      <x:c r="I580" s="253" t="str">
        <x:v>Jiahui</x:v>
      </x:c>
      <x:c r="J580" s="253" t="str">
        <x:v>Jiahui</x:v>
      </x:c>
      <x:c r="K580" s="259" t="n">
        <x:v>46090.166666666664</x:v>
      </x:c>
      <x:c r="L580" s="268" t="str">
        <x:f>IFERROR(VLOOKUP(I580,'Handler-Team Map'!$A$7:$C$17,2,FALSE),"")</x:f>
      </x:c>
      <x:c r="M580" s="268" t="str">
        <x:f>IFERROR(VLOOKUP(I580,'Handler-Team Map'!$A$7:$C$17,3,FALSE),"")</x:f>
      </x:c>
      <x:c r="N580" s="274" t="str">
        <x:v>FT_VM_DEP1000_GET500_1X</x:v>
      </x:c>
      <x:c r="O580" s="274" t="str">
        <x:v>VIP BONUS - Deposit 1000 Get 500 - 1x TO</x:v>
      </x:c>
      <x:c r="P580" s="274" t="str">
        <x:v>DepositBonus</x:v>
      </x:c>
      <x:c r="Q580" s="274" t="str">
        <x:v>Approved</x:v>
      </x:c>
      <x:c r="R580" s="265" t="n">
        <x:v>500</x:v>
      </x:c>
      <x:c r="S580" s="253" t="str">
        <x:v>Yes</x:v>
      </x:c>
      <x:c r="T580" s="265" t="n">
        <x:v>18500</x:v>
      </x:c>
      <x:c r="U580" s="253" t="str">
        <x:f>IF(AND(S580="Yes",T580=0),"Yes","No")</x:f>
        <x:v>No</x:v>
      </x:c>
      <x:c r="V580" s="253" t="str">
        <x:v>Yes</x:v>
      </x:c>
      <x:c r="W580" s="253" t="str">
        <x:v>Yes</x:v>
      </x:c>
      <x:c r="X580" s="259" t="n">
        <x:v>46158.166666666664</x:v>
      </x:c>
      <x:c r="Y580" s="265" t="n">
        <x:v>34200</x:v>
      </x:c>
      <x:c r="Z580" s="265" t="n">
        <x:v>96000</x:v>
      </x:c>
      <x:c r="AA580" s="253" t="str">
        <x:f>IF(V580="No","Maturing",IF(AND(U580="Yes",Y580&gt;0),"Yes","No"))</x:f>
        <x:v>No</x:v>
      </x:c>
      <x:c r="AB580" s="253" t="str">
        <x:f>IF(W580="No","Maturing",IF(AND(U580="Yes",Z580&gt;0),"Yes","No"))</x:f>
        <x:v>No</x:v>
      </x:c>
      <x:c r="AC580" s="265" t="n">
        <x:v>2859.1</x:v>
      </x:c>
      <x:c r="AD580" s="265" t="n">
        <x:v>18384.85</x:v>
      </x:c>
      <x:c r="AE580" s="271" t="str"/>
      <x:c r="AF580" s="274" t="str">
        <x:v>Not validated - no control/holdout</x:v>
      </x:c>
      <x:c r="AG580" s="277" t="str">
        <x:v>Recovered execution only; assignment date and unclaimed-offer denominator unavailable</x:v>
      </x:c>
    </x:row>
    <x:row r="581">
      <x:c r="A581" s="252" t="str">
        <x:v>34262017</x:v>
      </x:c>
      <x:c r="B581" s="253" t="str">
        <x:v>WS1</x:v>
      </x:c>
      <x:c r="C581" s="253" t="str">
        <x:v>MB8</x:v>
      </x:c>
      <x:c r="D581" s="262" t="n">
        <x:v>46158.603125</x:v>
      </x:c>
      <x:c r="E581" s="259" t="n">
        <x:v>46158.166666666664</x:v>
      </x:c>
      <x:c r="F581" s="253" t="str">
        <x:v>1192824</x:v>
      </x:c>
      <x:c r="G581" s="253" t="str">
        <x:v>Timi0922</x:v>
      </x:c>
      <x:c r="H581" s="253" t="str">
        <x:v>Yes</x:v>
      </x:c>
      <x:c r="I581" s="253" t="str"/>
      <x:c r="J581" s="253" t="str"/>
      <x:c r="K581" s="259"/>
      <x:c r="L581" s="268" t="str">
        <x:f>IFERROR(VLOOKUP(I581,'Handler-Team Map'!$A$7:$C$17,2,FALSE),"")</x:f>
      </x:c>
      <x:c r="M581" s="268" t="str">
        <x:f>IFERROR(VLOOKUP(I581,'Handler-Team Map'!$A$7:$C$17,3,FALSE),"")</x:f>
      </x:c>
      <x:c r="N581" s="274" t="str">
        <x:v>FT_VM_DEP700_GET300_2X</x:v>
      </x:c>
      <x:c r="O581" s="274" t="str">
        <x:v>VIP BONUS - Deposit 700 Get 300 - 2x TO</x:v>
      </x:c>
      <x:c r="P581" s="274" t="str">
        <x:v>DepositBonus</x:v>
      </x:c>
      <x:c r="Q581" s="274" t="str">
        <x:v>Approved</x:v>
      </x:c>
      <x:c r="R581" s="265" t="n">
        <x:v>300</x:v>
      </x:c>
      <x:c r="S581" s="253" t="str">
        <x:v>Yes</x:v>
      </x:c>
      <x:c r="T581" s="265" t="n">
        <x:v>800</x:v>
      </x:c>
      <x:c r="U581" s="253" t="str">
        <x:f>IF(AND(S581="Yes",T581=0),"Yes","No")</x:f>
        <x:v>No</x:v>
      </x:c>
      <x:c r="V581" s="253" t="str">
        <x:v>Yes</x:v>
      </x:c>
      <x:c r="W581" s="253" t="str">
        <x:v>Yes</x:v>
      </x:c>
      <x:c r="X581" s="259" t="n">
        <x:v>46158.166666666664</x:v>
      </x:c>
      <x:c r="Y581" s="265" t="n">
        <x:v>700</x:v>
      </x:c>
      <x:c r="Z581" s="265" t="n">
        <x:v>700</x:v>
      </x:c>
      <x:c r="AA581" s="253" t="str">
        <x:f>IF(V581="No","Maturing",IF(AND(U581="Yes",Y581&gt;0),"Yes","No"))</x:f>
        <x:v>No</x:v>
      </x:c>
      <x:c r="AB581" s="253" t="str">
        <x:f>IF(W581="No","Maturing",IF(AND(U581="Yes",Z581&gt;0),"Yes","No"))</x:f>
        <x:v>No</x:v>
      </x:c>
      <x:c r="AC581" s="265" t="n">
        <x:v>699.81</x:v>
      </x:c>
      <x:c r="AD581" s="265" t="n">
        <x:v>699.81</x:v>
      </x:c>
      <x:c r="AE581" s="271" t="str"/>
      <x:c r="AF581" s="274" t="str">
        <x:v>Not validated - no control/holdout</x:v>
      </x:c>
      <x:c r="AG581" s="277" t="str">
        <x:v>Recovered execution only; assignment date and unclaimed-offer denominator unavailable</x:v>
      </x:c>
    </x:row>
    <x:row r="582">
      <x:c r="A582" s="252" t="str">
        <x:v>34265982</x:v>
      </x:c>
      <x:c r="B582" s="253" t="str">
        <x:v>WS1</x:v>
      </x:c>
      <x:c r="C582" s="253" t="str">
        <x:v>MB8</x:v>
      </x:c>
      <x:c r="D582" s="262" t="n">
        <x:v>46158.945231481484</x:v>
      </x:c>
      <x:c r="E582" s="259" t="n">
        <x:v>46158.166666666664</x:v>
      </x:c>
      <x:c r="F582" s="253" t="str">
        <x:v>685663</x:v>
      </x:c>
      <x:c r="G582" s="253" t="str">
        <x:v>Cristian98</x:v>
      </x:c>
      <x:c r="H582" s="253" t="str">
        <x:v>Yes</x:v>
      </x:c>
      <x:c r="I582" s="253" t="str">
        <x:v>Elda</x:v>
      </x:c>
      <x:c r="J582" s="253" t="str">
        <x:v>Elda</x:v>
      </x:c>
      <x:c r="K582" s="259" t="n">
        <x:v>45790.166666666664</x:v>
      </x:c>
      <x:c r="L582" s="268" t="str">
        <x:f>IFERROR(VLOOKUP(I582,'Handler-Team Map'!$A$7:$C$17,2,FALSE),"")</x:f>
      </x:c>
      <x:c r="M582" s="268" t="str">
        <x:f>IFERROR(VLOOKUP(I582,'Handler-Team Map'!$A$7:$C$17,3,FALSE),"")</x:f>
      </x:c>
      <x:c r="N582" s="274" t="str">
        <x:v>FT_VM_DEP1000_GET500_5X</x:v>
      </x:c>
      <x:c r="O582" s="274" t="str">
        <x:v>VIP BONUS - Deposit 1000 Get 500 - 5x TO</x:v>
      </x:c>
      <x:c r="P582" s="274" t="str">
        <x:v>DepositBonus</x:v>
      </x:c>
      <x:c r="Q582" s="274" t="str">
        <x:v>Approved</x:v>
      </x:c>
      <x:c r="R582" s="265" t="n">
        <x:v>500</x:v>
      </x:c>
      <x:c r="S582" s="253" t="str">
        <x:v>Yes</x:v>
      </x:c>
      <x:c r="T582" s="265" t="n">
        <x:v>32683</x:v>
      </x:c>
      <x:c r="U582" s="253" t="str">
        <x:f>IF(AND(S582="Yes",T582=0),"Yes","No")</x:f>
        <x:v>No</x:v>
      </x:c>
      <x:c r="V582" s="253" t="str">
        <x:v>Yes</x:v>
      </x:c>
      <x:c r="W582" s="253" t="str">
        <x:v>Yes</x:v>
      </x:c>
      <x:c r="X582" s="259" t="n">
        <x:v>46158.166666666664</x:v>
      </x:c>
      <x:c r="Y582" s="265" t="n">
        <x:v>5840</x:v>
      </x:c>
      <x:c r="Z582" s="265" t="n">
        <x:v>5840</x:v>
      </x:c>
      <x:c r="AA582" s="253" t="str">
        <x:f>IF(V582="No","Maturing",IF(AND(U582="Yes",Y582&gt;0),"Yes","No"))</x:f>
        <x:v>No</x:v>
      </x:c>
      <x:c r="AB582" s="253" t="str">
        <x:f>IF(W582="No","Maturing",IF(AND(U582="Yes",Z582&gt;0),"Yes","No"))</x:f>
        <x:v>No</x:v>
      </x:c>
      <x:c r="AC582" s="265" t="n">
        <x:v>5837.17</x:v>
      </x:c>
      <x:c r="AD582" s="265" t="n">
        <x:v>5837.17</x:v>
      </x:c>
      <x:c r="AE582" s="271" t="str"/>
      <x:c r="AF582" s="274" t="str">
        <x:v>Not validated - no control/holdout</x:v>
      </x:c>
      <x:c r="AG582" s="277" t="str">
        <x:v>Recovered execution only; assignment date and unclaimed-offer denominator unavailable</x:v>
      </x:c>
    </x:row>
    <x:row r="583">
      <x:c r="A583" s="252" t="str">
        <x:v>34266833</x:v>
      </x:c>
      <x:c r="B583" s="253" t="str">
        <x:v>WS1</x:v>
      </x:c>
      <x:c r="C583" s="253" t="str">
        <x:v>MB8</x:v>
      </x:c>
      <x:c r="D583" s="262" t="n">
        <x:v>46158.99625</x:v>
      </x:c>
      <x:c r="E583" s="259" t="n">
        <x:v>46158.166666666664</x:v>
      </x:c>
      <x:c r="F583" s="253" t="str">
        <x:v>579706</x:v>
      </x:c>
      <x:c r="G583" s="253" t="str">
        <x:v>wilson89</x:v>
      </x:c>
      <x:c r="H583" s="253" t="str">
        <x:v>Yes</x:v>
      </x:c>
      <x:c r="I583" s="253" t="str">
        <x:v>Jiahui</x:v>
      </x:c>
      <x:c r="J583" s="253" t="str">
        <x:v>Jiahui</x:v>
      </x:c>
      <x:c r="K583" s="259" t="n">
        <x:v>45811.166666666664</x:v>
      </x:c>
      <x:c r="L583" s="268" t="str">
        <x:f>IFERROR(VLOOKUP(I583,'Handler-Team Map'!$A$7:$C$17,2,FALSE),"")</x:f>
      </x:c>
      <x:c r="M583" s="268" t="str">
        <x:f>IFERROR(VLOOKUP(I583,'Handler-Team Map'!$A$7:$C$17,3,FALSE),"")</x:f>
      </x:c>
      <x:c r="N583" s="274" t="str">
        <x:v>FT_VM_DEP1000_GET500_5X</x:v>
      </x:c>
      <x:c r="O583" s="274" t="str">
        <x:v>VIP BONUS - Deposit 1000 Get 500 - 5x TO</x:v>
      </x:c>
      <x:c r="P583" s="274" t="str">
        <x:v>DepositBonus</x:v>
      </x:c>
      <x:c r="Q583" s="274" t="str">
        <x:v>Approved</x:v>
      </x:c>
      <x:c r="R583" s="265" t="n">
        <x:v>500</x:v>
      </x:c>
      <x:c r="S583" s="253" t="str">
        <x:v>Yes</x:v>
      </x:c>
      <x:c r="T583" s="265" t="n">
        <x:v>1480</x:v>
      </x:c>
      <x:c r="U583" s="253" t="str">
        <x:f>IF(AND(S583="Yes",T583=0),"Yes","No")</x:f>
        <x:v>No</x:v>
      </x:c>
      <x:c r="V583" s="253" t="str">
        <x:v>Yes</x:v>
      </x:c>
      <x:c r="W583" s="253" t="str">
        <x:v>Yes</x:v>
      </x:c>
      <x:c r="X583" s="259" t="n">
        <x:v>46158.166666666664</x:v>
      </x:c>
      <x:c r="Y583" s="265" t="n">
        <x:v>1000</x:v>
      </x:c>
      <x:c r="Z583" s="265" t="n">
        <x:v>1000</x:v>
      </x:c>
      <x:c r="AA583" s="253" t="str">
        <x:f>IF(V583="No","Maturing",IF(AND(U583="Yes",Y583&gt;0),"Yes","No"))</x:f>
        <x:v>No</x:v>
      </x:c>
      <x:c r="AB583" s="253" t="str">
        <x:f>IF(W583="No","Maturing",IF(AND(U583="Yes",Z583&gt;0),"Yes","No"))</x:f>
        <x:v>No</x:v>
      </x:c>
      <x:c r="AC583" s="265" t="n">
        <x:v>1000.11</x:v>
      </x:c>
      <x:c r="AD583" s="265" t="n">
        <x:v>998.95</x:v>
      </x:c>
      <x:c r="AE583" s="271" t="str"/>
      <x:c r="AF583" s="274" t="str">
        <x:v>Not validated - no control/holdout</x:v>
      </x:c>
      <x:c r="AG583" s="277" t="str">
        <x:v>Recovered execution only; assignment date and unclaimed-offer denominator unavailable</x:v>
      </x:c>
    </x:row>
    <x:row r="584">
      <x:c r="A584" s="252" t="str">
        <x:v>34268800</x:v>
      </x:c>
      <x:c r="B584" s="253" t="str">
        <x:v>WS1</x:v>
      </x:c>
      <x:c r="C584" s="253" t="str">
        <x:v>MB8</x:v>
      </x:c>
      <x:c r="D584" s="262" t="n">
        <x:v>46159.12521990741</x:v>
      </x:c>
      <x:c r="E584" s="259" t="n">
        <x:v>46159.166666666664</x:v>
      </x:c>
      <x:c r="F584" s="253" t="str">
        <x:v>33683</x:v>
      </x:c>
      <x:c r="G584" s="253" t="str">
        <x:v>Prasad360</x:v>
      </x:c>
      <x:c r="H584" s="253" t="str">
        <x:v>Yes</x:v>
      </x:c>
      <x:c r="I584" s="253" t="str">
        <x:v>Kam</x:v>
      </x:c>
      <x:c r="J584" s="253" t="str">
        <x:v>Kam</x:v>
      </x:c>
      <x:c r="K584" s="259" t="n">
        <x:v>45817.166666666664</x:v>
      </x:c>
      <x:c r="L584" s="268" t="str">
        <x:f>IFERROR(VLOOKUP(I584,'Handler-Team Map'!$A$7:$C$17,2,FALSE),"")</x:f>
      </x:c>
      <x:c r="M584" s="268" t="str">
        <x:f>IFERROR(VLOOKUP(I584,'Handler-Team Map'!$A$7:$C$17,3,FALSE),"")</x:f>
      </x:c>
      <x:c r="N584" s="274" t="str">
        <x:v>FT_VM_DEP1000_GET500_1X</x:v>
      </x:c>
      <x:c r="O584" s="274" t="str">
        <x:v>VIP BONUS - Deposit 1000 Get 500 - 1x TO</x:v>
      </x:c>
      <x:c r="P584" s="274" t="str">
        <x:v>DepositBonus</x:v>
      </x:c>
      <x:c r="Q584" s="274" t="str">
        <x:v>Approved</x:v>
      </x:c>
      <x:c r="R584" s="265" t="n">
        <x:v>500</x:v>
      </x:c>
      <x:c r="S584" s="253" t="str">
        <x:v>Yes</x:v>
      </x:c>
      <x:c r="T584" s="265" t="n">
        <x:v>520.58</x:v>
      </x:c>
      <x:c r="U584" s="253" t="str">
        <x:f>IF(AND(S584="Yes",T584=0),"Yes","No")</x:f>
        <x:v>No</x:v>
      </x:c>
      <x:c r="V584" s="253" t="str">
        <x:v>Yes</x:v>
      </x:c>
      <x:c r="W584" s="253" t="str">
        <x:v>Yes</x:v>
      </x:c>
      <x:c r="X584" s="259" t="n">
        <x:v>46159.166666666664</x:v>
      </x:c>
      <x:c r="Y584" s="265" t="n">
        <x:v>5120.08</x:v>
      </x:c>
      <x:c r="Z584" s="265" t="n">
        <x:v>5120.08</x:v>
      </x:c>
      <x:c r="AA584" s="253" t="str">
        <x:f>IF(V584="No","Maturing",IF(AND(U584="Yes",Y584&gt;0),"Yes","No"))</x:f>
        <x:v>No</x:v>
      </x:c>
      <x:c r="AB584" s="253" t="str">
        <x:f>IF(W584="No","Maturing",IF(AND(U584="Yes",Z584&gt;0),"Yes","No"))</x:f>
        <x:v>No</x:v>
      </x:c>
      <x:c r="AC584" s="265" t="n">
        <x:v>119.53</x:v>
      </x:c>
      <x:c r="AD584" s="265" t="n">
        <x:v>119.53</x:v>
      </x:c>
      <x:c r="AE584" s="271" t="str"/>
      <x:c r="AF584" s="274" t="str">
        <x:v>Not validated - no control/holdout</x:v>
      </x:c>
      <x:c r="AG584" s="277" t="str">
        <x:v>Recovered execution only; assignment date and unclaimed-offer denominator unavailable</x:v>
      </x:c>
    </x:row>
    <x:row r="585">
      <x:c r="A585" s="252" t="str">
        <x:v>34270238</x:v>
      </x:c>
      <x:c r="B585" s="253" t="str">
        <x:v>WS1</x:v>
      </x:c>
      <x:c r="C585" s="253" t="str">
        <x:v>MB8</x:v>
      </x:c>
      <x:c r="D585" s="262" t="n">
        <x:v>46159.386458333334</x:v>
      </x:c>
      <x:c r="E585" s="259" t="n">
        <x:v>46159.166666666664</x:v>
      </x:c>
      <x:c r="F585" s="253" t="str">
        <x:v>937035</x:v>
      </x:c>
      <x:c r="G585" s="253" t="str">
        <x:v>Ivyweiii</x:v>
      </x:c>
      <x:c r="H585" s="253" t="str">
        <x:v>Yes</x:v>
      </x:c>
      <x:c r="I585" s="253" t="str"/>
      <x:c r="J585" s="253" t="str"/>
      <x:c r="K585" s="259"/>
      <x:c r="L585" s="268" t="str">
        <x:f>IFERROR(VLOOKUP(I585,'Handler-Team Map'!$A$7:$C$17,2,FALSE),"")</x:f>
      </x:c>
      <x:c r="M585" s="268" t="str">
        <x:f>IFERROR(VLOOKUP(I585,'Handler-Team Map'!$A$7:$C$17,3,FALSE),"")</x:f>
      </x:c>
      <x:c r="N585" s="274" t="str">
        <x:v>FT_VM_DEP600_GET200_5X</x:v>
      </x:c>
      <x:c r="O585" s="274" t="str">
        <x:v>VIP BONUS - Deposit 600 Get 200 - 5x TO</x:v>
      </x:c>
      <x:c r="P585" s="274" t="str">
        <x:v>DepositBonus</x:v>
      </x:c>
      <x:c r="Q585" s="274" t="str">
        <x:v>Approved</x:v>
      </x:c>
      <x:c r="R585" s="265" t="n">
        <x:v>200</x:v>
      </x:c>
      <x:c r="S585" s="253" t="str">
        <x:v>Yes</x:v>
      </x:c>
      <x:c r="T585" s="265" t="n">
        <x:v>5100</x:v>
      </x:c>
      <x:c r="U585" s="253" t="str">
        <x:f>IF(AND(S585="Yes",T585=0),"Yes","No")</x:f>
        <x:v>No</x:v>
      </x:c>
      <x:c r="V585" s="253" t="str">
        <x:v>Yes</x:v>
      </x:c>
      <x:c r="W585" s="253" t="str">
        <x:v>Yes</x:v>
      </x:c>
      <x:c r="X585" s="259" t="n">
        <x:v>46159.166666666664</x:v>
      </x:c>
      <x:c r="Y585" s="265" t="n">
        <x:v>600</x:v>
      </x:c>
      <x:c r="Z585" s="265" t="n">
        <x:v>600</x:v>
      </x:c>
      <x:c r="AA585" s="253" t="str">
        <x:f>IF(V585="No","Maturing",IF(AND(U585="Yes",Y585&gt;0),"Yes","No"))</x:f>
        <x:v>No</x:v>
      </x:c>
      <x:c r="AB585" s="253" t="str">
        <x:f>IF(W585="No","Maturing",IF(AND(U585="Yes",Z585&gt;0),"Yes","No"))</x:f>
        <x:v>No</x:v>
      </x:c>
      <x:c r="AC585" s="265" t="n">
        <x:v>598.47</x:v>
      </x:c>
      <x:c r="AD585" s="265" t="n">
        <x:v>598.47</x:v>
      </x:c>
      <x:c r="AE585" s="271" t="str"/>
      <x:c r="AF585" s="274" t="str">
        <x:v>Not validated - no control/holdout</x:v>
      </x:c>
      <x:c r="AG585" s="277" t="str">
        <x:v>Recovered execution only; assignment date and unclaimed-offer denominator unavailable</x:v>
      </x:c>
    </x:row>
    <x:row r="586">
      <x:c r="A586" s="252" t="str">
        <x:v>34275772</x:v>
      </x:c>
      <x:c r="B586" s="253" t="str">
        <x:v>WS1</x:v>
      </x:c>
      <x:c r="C586" s="253" t="str">
        <x:v>MB8</x:v>
      </x:c>
      <x:c r="D586" s="262" t="n">
        <x:v>46159.97568287037</x:v>
      </x:c>
      <x:c r="E586" s="259" t="n">
        <x:v>46159.166666666664</x:v>
      </x:c>
      <x:c r="F586" s="253" t="str">
        <x:v>610961</x:v>
      </x:c>
      <x:c r="G586" s="253" t="str">
        <x:v>Kronk99</x:v>
      </x:c>
      <x:c r="H586" s="253" t="str">
        <x:v>Yes</x:v>
      </x:c>
      <x:c r="I586" s="253" t="str"/>
      <x:c r="J586" s="253" t="str"/>
      <x:c r="K586" s="259"/>
      <x:c r="L586" s="268" t="str">
        <x:f>IFERROR(VLOOKUP(I586,'Handler-Team Map'!$A$7:$C$17,2,FALSE),"")</x:f>
      </x:c>
      <x:c r="M586" s="268" t="str">
        <x:f>IFERROR(VLOOKUP(I586,'Handler-Team Map'!$A$7:$C$17,3,FALSE),"")</x:f>
      </x:c>
      <x:c r="N586" s="274" t="str">
        <x:v>FT_VM_DEP700_GET300_2X</x:v>
      </x:c>
      <x:c r="O586" s="274" t="str">
        <x:v>VIP BONUS - Deposit 700 Get 300 - 2x TO</x:v>
      </x:c>
      <x:c r="P586" s="274" t="str">
        <x:v>DepositBonus</x:v>
      </x:c>
      <x:c r="Q586" s="274" t="str">
        <x:v>Approved</x:v>
      </x:c>
      <x:c r="R586" s="265" t="n">
        <x:v>300</x:v>
      </x:c>
      <x:c r="S586" s="253" t="str">
        <x:v>Yes</x:v>
      </x:c>
      <x:c r="T586" s="265" t="n">
        <x:v>600</x:v>
      </x:c>
      <x:c r="U586" s="253" t="str">
        <x:f>IF(AND(S586="Yes",T586=0),"Yes","No")</x:f>
        <x:v>No</x:v>
      </x:c>
      <x:c r="V586" s="253" t="str">
        <x:v>Yes</x:v>
      </x:c>
      <x:c r="W586" s="253" t="str">
        <x:v>Yes</x:v>
      </x:c>
      <x:c r="X586" s="259" t="n">
        <x:v>46159.166666666664</x:v>
      </x:c>
      <x:c r="Y586" s="265" t="n">
        <x:v>4205</x:v>
      </x:c>
      <x:c r="Z586" s="265" t="n">
        <x:v>5264.5</x:v>
      </x:c>
      <x:c r="AA586" s="253" t="str">
        <x:f>IF(V586="No","Maturing",IF(AND(U586="Yes",Y586&gt;0),"Yes","No"))</x:f>
        <x:v>No</x:v>
      </x:c>
      <x:c r="AB586" s="253" t="str">
        <x:f>IF(W586="No","Maturing",IF(AND(U586="Yes",Z586&gt;0),"Yes","No"))</x:f>
        <x:v>No</x:v>
      </x:c>
      <x:c r="AC586" s="265" t="n">
        <x:v>3380.63</x:v>
      </x:c>
      <x:c r="AD586" s="265" t="n">
        <x:v>4126.03</x:v>
      </x:c>
      <x:c r="AE586" s="271" t="str"/>
      <x:c r="AF586" s="274" t="str">
        <x:v>Not validated - no control/holdout</x:v>
      </x:c>
      <x:c r="AG586" s="277" t="str">
        <x:v>Recovered execution only; assignment date and unclaimed-offer denominator unavailable</x:v>
      </x:c>
    </x:row>
    <x:row r="587">
      <x:c r="A587" s="252" t="str">
        <x:v>34279883</x:v>
      </x:c>
      <x:c r="B587" s="253" t="str">
        <x:v>WS1</x:v>
      </x:c>
      <x:c r="C587" s="253" t="str">
        <x:v>MB8</x:v>
      </x:c>
      <x:c r="D587" s="262" t="n">
        <x:v>46160.5621875</x:v>
      </x:c>
      <x:c r="E587" s="259" t="n">
        <x:v>46160.166666666664</x:v>
      </x:c>
      <x:c r="F587" s="253" t="str">
        <x:v>546636</x:v>
      </x:c>
      <x:c r="G587" s="253" t="str">
        <x:v>SONGC</x:v>
      </x:c>
      <x:c r="H587" s="253" t="str">
        <x:v>Yes</x:v>
      </x:c>
      <x:c r="I587" s="253" t="str">
        <x:v>zhen</x:v>
      </x:c>
      <x:c r="J587" s="253" t="str">
        <x:v>zhen</x:v>
      </x:c>
      <x:c r="K587" s="259" t="n">
        <x:v>45985.166666666664</x:v>
      </x:c>
      <x:c r="L587" s="268" t="str">
        <x:f>IFERROR(VLOOKUP(I587,'Handler-Team Map'!$A$7:$C$17,2,FALSE),"")</x:f>
      </x:c>
      <x:c r="M587" s="268" t="str">
        <x:f>IFERROR(VLOOKUP(I587,'Handler-Team Map'!$A$7:$C$17,3,FALSE),"")</x:f>
      </x:c>
      <x:c r="N587" s="274" t="str">
        <x:v>FT_VM_DEP300_GET100_5X</x:v>
      </x:c>
      <x:c r="O587" s="274" t="str">
        <x:v>VIP BONUS - Deposit 300 Get 100 - 5x TO</x:v>
      </x:c>
      <x:c r="P587" s="274" t="str">
        <x:v>DepositBonus</x:v>
      </x:c>
      <x:c r="Q587" s="274" t="str">
        <x:v>Approved</x:v>
      </x:c>
      <x:c r="R587" s="265" t="n">
        <x:v>100</x:v>
      </x:c>
      <x:c r="S587" s="253" t="str">
        <x:v>Yes</x:v>
      </x:c>
      <x:c r="T587" s="265" t="n">
        <x:v>29950.6</x:v>
      </x:c>
      <x:c r="U587" s="253" t="str">
        <x:f>IF(AND(S587="Yes",T587=0),"Yes","No")</x:f>
        <x:v>No</x:v>
      </x:c>
      <x:c r="V587" s="253" t="str">
        <x:v>Yes</x:v>
      </x:c>
      <x:c r="W587" s="253" t="str">
        <x:v>Yes</x:v>
      </x:c>
      <x:c r="X587" s="259" t="n">
        <x:v>46160.166666666664</x:v>
      </x:c>
      <x:c r="Y587" s="265" t="n">
        <x:v>5230</x:v>
      </x:c>
      <x:c r="Z587" s="265" t="n">
        <x:v>9615.55</x:v>
      </x:c>
      <x:c r="AA587" s="253" t="str">
        <x:f>IF(V587="No","Maturing",IF(AND(U587="Yes",Y587&gt;0),"Yes","No"))</x:f>
        <x:v>No</x:v>
      </x:c>
      <x:c r="AB587" s="253" t="str">
        <x:f>IF(W587="No","Maturing",IF(AND(U587="Yes",Z587&gt;0),"Yes","No"))</x:f>
        <x:v>No</x:v>
      </x:c>
      <x:c r="AC587" s="265" t="n">
        <x:v>5235.69</x:v>
      </x:c>
      <x:c r="AD587" s="265" t="n">
        <x:v>-14311.31</x:v>
      </x:c>
      <x:c r="AE587" s="271" t="str"/>
      <x:c r="AF587" s="274" t="str">
        <x:v>Not validated - no control/holdout</x:v>
      </x:c>
      <x:c r="AG587" s="277" t="str">
        <x:v>Recovered execution only; assignment date and unclaimed-offer denominator unavailable</x:v>
      </x:c>
    </x:row>
    <x:row r="588">
      <x:c r="A588" s="252" t="str">
        <x:v>34279939</x:v>
      </x:c>
      <x:c r="B588" s="253" t="str">
        <x:v>WS1</x:v>
      </x:c>
      <x:c r="C588" s="253" t="str">
        <x:v>MB8</x:v>
      </x:c>
      <x:c r="D588" s="262" t="n">
        <x:v>46160.56983796296</x:v>
      </x:c>
      <x:c r="E588" s="259" t="n">
        <x:v>46160.166666666664</x:v>
      </x:c>
      <x:c r="F588" s="253" t="str">
        <x:v>203662</x:v>
      </x:c>
      <x:c r="G588" s="253" t="str">
        <x:v>Muinfaizal</x:v>
      </x:c>
      <x:c r="H588" s="253" t="str">
        <x:v>Yes</x:v>
      </x:c>
      <x:c r="I588" s="253" t="str">
        <x:v>Elda</x:v>
      </x:c>
      <x:c r="J588" s="253" t="str">
        <x:v>Elda</x:v>
      </x:c>
      <x:c r="K588" s="259" t="n">
        <x:v>45790.166666666664</x:v>
      </x:c>
      <x:c r="L588" s="268" t="str">
        <x:f>IFERROR(VLOOKUP(I588,'Handler-Team Map'!$A$7:$C$17,2,FALSE),"")</x:f>
      </x:c>
      <x:c r="M588" s="268" t="str">
        <x:f>IFERROR(VLOOKUP(I588,'Handler-Team Map'!$A$7:$C$17,3,FALSE),"")</x:f>
      </x:c>
      <x:c r="N588" s="274" t="str">
        <x:v>FT_VM_DEP150_GET50_5X</x:v>
      </x:c>
      <x:c r="O588" s="274" t="str">
        <x:v>VIP BONUS - Deposit 150 Get 50 - 5x TO</x:v>
      </x:c>
      <x:c r="P588" s="274" t="str">
        <x:v>DepositBonus</x:v>
      </x:c>
      <x:c r="Q588" s="274" t="str">
        <x:v>Approved</x:v>
      </x:c>
      <x:c r="R588" s="265" t="n">
        <x:v>50</x:v>
      </x:c>
      <x:c r="S588" s="253" t="str">
        <x:v>Yes</x:v>
      </x:c>
      <x:c r="T588" s="265" t="n">
        <x:v>13171.84</x:v>
      </x:c>
      <x:c r="U588" s="253" t="str">
        <x:f>IF(AND(S588="Yes",T588=0),"Yes","No")</x:f>
        <x:v>No</x:v>
      </x:c>
      <x:c r="V588" s="253" t="str">
        <x:v>Yes</x:v>
      </x:c>
      <x:c r="W588" s="253" t="str">
        <x:v>Yes</x:v>
      </x:c>
      <x:c r="X588" s="259" t="n">
        <x:v>46160.166666666664</x:v>
      </x:c>
      <x:c r="Y588" s="265" t="n">
        <x:v>2010</x:v>
      </x:c>
      <x:c r="Z588" s="265" t="n">
        <x:v>13170</x:v>
      </x:c>
      <x:c r="AA588" s="253" t="str">
        <x:f>IF(V588="No","Maturing",IF(AND(U588="Yes",Y588&gt;0),"Yes","No"))</x:f>
        <x:v>No</x:v>
      </x:c>
      <x:c r="AB588" s="253" t="str">
        <x:f>IF(W588="No","Maturing",IF(AND(U588="Yes",Z588&gt;0),"Yes","No"))</x:f>
        <x:v>No</x:v>
      </x:c>
      <x:c r="AC588" s="265" t="n">
        <x:v>2009.9</x:v>
      </x:c>
      <x:c r="AD588" s="265" t="n">
        <x:v>-12945.86</x:v>
      </x:c>
      <x:c r="AE588" s="271" t="str"/>
      <x:c r="AF588" s="274" t="str">
        <x:v>Not validated - no control/holdout</x:v>
      </x:c>
      <x:c r="AG588" s="277" t="str">
        <x:v>Recovered execution only; assignment date and unclaimed-offer denominator unavailable</x:v>
      </x:c>
    </x:row>
    <x:row r="589">
      <x:c r="A589" s="252" t="str">
        <x:v>34280348</x:v>
      </x:c>
      <x:c r="B589" s="253" t="str">
        <x:v>WS1</x:v>
      </x:c>
      <x:c r="C589" s="253" t="str">
        <x:v>MB8</x:v>
      </x:c>
      <x:c r="D589" s="262" t="n">
        <x:v>46160.618935185186</x:v>
      </x:c>
      <x:c r="E589" s="259" t="n">
        <x:v>46160.166666666664</x:v>
      </x:c>
      <x:c r="F589" s="253" t="str">
        <x:v>539</x:v>
      </x:c>
      <x:c r="G589" s="253" t="str">
        <x:v>sslssl</x:v>
      </x:c>
      <x:c r="H589" s="253" t="str">
        <x:v>Yes</x:v>
      </x:c>
      <x:c r="I589" s="253" t="str">
        <x:v>Elda</x:v>
      </x:c>
      <x:c r="J589" s="253" t="str">
        <x:v>Elda</x:v>
      </x:c>
      <x:c r="K589" s="259" t="n">
        <x:v>45659.166666666664</x:v>
      </x:c>
      <x:c r="L589" s="268" t="str">
        <x:f>IFERROR(VLOOKUP(I589,'Handler-Team Map'!$A$7:$C$17,2,FALSE),"")</x:f>
      </x:c>
      <x:c r="M589" s="268" t="str">
        <x:f>IFERROR(VLOOKUP(I589,'Handler-Team Map'!$A$7:$C$17,3,FALSE),"")</x:f>
      </x:c>
      <x:c r="N589" s="274" t="str">
        <x:v>FT_VM_DEP1000_GET1000_2X</x:v>
      </x:c>
      <x:c r="O589" s="274" t="str">
        <x:v>VIP BONUS - Deposit 1000 Get 1000 - 2x TO</x:v>
      </x:c>
      <x:c r="P589" s="274" t="str">
        <x:v>DepositBonus</x:v>
      </x:c>
      <x:c r="Q589" s="274" t="str">
        <x:v>Approved</x:v>
      </x:c>
      <x:c r="R589" s="265" t="n">
        <x:v>1000</x:v>
      </x:c>
      <x:c r="S589" s="253" t="str">
        <x:v>Yes</x:v>
      </x:c>
      <x:c r="T589" s="265" t="n">
        <x:v>347977</x:v>
      </x:c>
      <x:c r="U589" s="253" t="str">
        <x:f>IF(AND(S589="Yes",T589=0),"Yes","No")</x:f>
        <x:v>No</x:v>
      </x:c>
      <x:c r="V589" s="253" t="str">
        <x:v>Yes</x:v>
      </x:c>
      <x:c r="W589" s="253" t="str">
        <x:v>Yes</x:v>
      </x:c>
      <x:c r="X589" s="259" t="n">
        <x:v>46160.166666666664</x:v>
      </x:c>
      <x:c r="Y589" s="265" t="n">
        <x:v>143986</x:v>
      </x:c>
      <x:c r="Z589" s="265" t="n">
        <x:v>295564</x:v>
      </x:c>
      <x:c r="AA589" s="253" t="str">
        <x:f>IF(V589="No","Maturing",IF(AND(U589="Yes",Y589&gt;0),"Yes","No"))</x:f>
        <x:v>No</x:v>
      </x:c>
      <x:c r="AB589" s="253" t="str">
        <x:f>IF(W589="No","Maturing",IF(AND(U589="Yes",Z589&gt;0),"Yes","No"))</x:f>
        <x:v>No</x:v>
      </x:c>
      <x:c r="AC589" s="265" t="n">
        <x:v>36687.49</x:v>
      </x:c>
      <x:c r="AD589" s="265" t="n">
        <x:v>118165.54</x:v>
      </x:c>
      <x:c r="AE589" s="271" t="str"/>
      <x:c r="AF589" s="274" t="str">
        <x:v>Not validated - no control/holdout</x:v>
      </x:c>
      <x:c r="AG589" s="277" t="str">
        <x:v>Recovered execution only; assignment date and unclaimed-offer denominator unavailable</x:v>
      </x:c>
    </x:row>
    <x:row r="590">
      <x:c r="A590" s="252" t="str">
        <x:v>34280368</x:v>
      </x:c>
      <x:c r="B590" s="253" t="str">
        <x:v>WS1</x:v>
      </x:c>
      <x:c r="C590" s="253" t="str"/>
      <x:c r="D590" s="262" t="n">
        <x:v>46160.62212962963</x:v>
      </x:c>
      <x:c r="E590" s="259" t="n">
        <x:v>46160.166666666664</x:v>
      </x:c>
      <x:c r="F590" s="253" t="str">
        <x:v>1009817</x:v>
      </x:c>
      <x:c r="G590" s="253" t="str"/>
      <x:c r="H590" s="253" t="str">
        <x:v>Yes</x:v>
      </x:c>
      <x:c r="I590" s="253" t="str"/>
      <x:c r="J590" s="253" t="str"/>
      <x:c r="K590" s="259"/>
      <x:c r="L590" s="268" t="str">
        <x:f>IFERROR(VLOOKUP(I590,'Handler-Team Map'!$A$7:$C$17,2,FALSE),"")</x:f>
      </x:c>
      <x:c r="M590" s="268" t="str">
        <x:f>IFERROR(VLOOKUP(I590,'Handler-Team Map'!$A$7:$C$17,3,FALSE),"")</x:f>
      </x:c>
      <x:c r="N590" s="274" t="str">
        <x:v>FT_VM_DEP300_GET100_5X</x:v>
      </x:c>
      <x:c r="O590" s="274" t="str">
        <x:v>VIP BONUS - Deposit 300 Get 100 - 5x TO</x:v>
      </x:c>
      <x:c r="P590" s="274" t="str">
        <x:v>DepositBonus</x:v>
      </x:c>
      <x:c r="Q590" s="274" t="str">
        <x:v>Approved</x:v>
      </x:c>
      <x:c r="R590" s="265" t="n">
        <x:v>100</x:v>
      </x:c>
      <x:c r="S590" s="253" t="str">
        <x:v>No</x:v>
      </x:c>
      <x:c r="T590" s="265" t="n">
        <x:v>16413.01</x:v>
      </x:c>
      <x:c r="U590" s="253" t="str">
        <x:f>IF(AND(S590="Yes",T590=0),"Yes","No")</x:f>
        <x:v>No</x:v>
      </x:c>
      <x:c r="V590" s="253" t="str">
        <x:v>Yes</x:v>
      </x:c>
      <x:c r="W590" s="253" t="str">
        <x:v>Yes</x:v>
      </x:c>
      <x:c r="X590" s="259" t="n">
        <x:v>46160.166666666664</x:v>
      </x:c>
      <x:c r="Y590" s="265" t="n">
        <x:v>9501.66</x:v>
      </x:c>
      <x:c r="Z590" s="265" t="n">
        <x:v>12219.95</x:v>
      </x:c>
      <x:c r="AA590" s="253" t="str">
        <x:f>IF(V590="No","Maturing",IF(AND(U590="Yes",Y590&gt;0),"Yes","No"))</x:f>
        <x:v>No</x:v>
      </x:c>
      <x:c r="AB590" s="253" t="str">
        <x:f>IF(W590="No","Maturing",IF(AND(U590="Yes",Z590&gt;0),"Yes","No"))</x:f>
        <x:v>No</x:v>
      </x:c>
      <x:c r="AC590" s="265" t="n">
        <x:v>4036.06</x:v>
      </x:c>
      <x:c r="AD590" s="265" t="n">
        <x:v>5460.56</x:v>
      </x:c>
      <x:c r="AE590" s="271" t="str"/>
      <x:c r="AF590" s="274" t="str">
        <x:v>Not validated - no control/holdout</x:v>
      </x:c>
      <x:c r="AG590" s="277" t="str">
        <x:v>Recovered execution only; assignment date and unclaimed-offer denominator unavailable</x:v>
      </x:c>
    </x:row>
    <x:row r="591">
      <x:c r="A591" s="252" t="str">
        <x:v>34280691</x:v>
      </x:c>
      <x:c r="B591" s="253" t="str">
        <x:v>WS1</x:v>
      </x:c>
      <x:c r="C591" s="253" t="str">
        <x:v>MB8</x:v>
      </x:c>
      <x:c r="D591" s="262" t="n">
        <x:v>46160.65663194445</x:v>
      </x:c>
      <x:c r="E591" s="259" t="n">
        <x:v>46160.166666666664</x:v>
      </x:c>
      <x:c r="F591" s="253" t="str">
        <x:v>433845</x:v>
      </x:c>
      <x:c r="G591" s="253" t="str">
        <x:v>aderson124</x:v>
      </x:c>
      <x:c r="H591" s="253" t="str">
        <x:v>Yes</x:v>
      </x:c>
      <x:c r="I591" s="253" t="str">
        <x:v>Sheena</x:v>
      </x:c>
      <x:c r="J591" s="253" t="str">
        <x:v>Sheena</x:v>
      </x:c>
      <x:c r="K591" s="259" t="n">
        <x:v>45852.166666666664</x:v>
      </x:c>
      <x:c r="L591" s="268" t="str">
        <x:f>IFERROR(VLOOKUP(I591,'Handler-Team Map'!$A$7:$C$17,2,FALSE),"")</x:f>
      </x:c>
      <x:c r="M591" s="268" t="str">
        <x:f>IFERROR(VLOOKUP(I591,'Handler-Team Map'!$A$7:$C$17,3,FALSE),"")</x:f>
      </x:c>
      <x:c r="N591" s="274" t="str">
        <x:v>FT_VM_DEP1000_GET500_5X</x:v>
      </x:c>
      <x:c r="O591" s="274" t="str">
        <x:v>VIP BONUS - Deposit 1000 Get 500 - 5x TO</x:v>
      </x:c>
      <x:c r="P591" s="274" t="str">
        <x:v>DepositBonus</x:v>
      </x:c>
      <x:c r="Q591" s="274" t="str">
        <x:v>Approved</x:v>
      </x:c>
      <x:c r="R591" s="265" t="n">
        <x:v>500</x:v>
      </x:c>
      <x:c r="S591" s="253" t="str">
        <x:v>Yes</x:v>
      </x:c>
      <x:c r="T591" s="265" t="n">
        <x:v>36720</x:v>
      </x:c>
      <x:c r="U591" s="253" t="str">
        <x:f>IF(AND(S591="Yes",T591=0),"Yes","No")</x:f>
        <x:v>No</x:v>
      </x:c>
      <x:c r="V591" s="253" t="str">
        <x:v>Yes</x:v>
      </x:c>
      <x:c r="W591" s="253" t="str">
        <x:v>Yes</x:v>
      </x:c>
      <x:c r="X591" s="259" t="n">
        <x:v>46160.166666666664</x:v>
      </x:c>
      <x:c r="Y591" s="265" t="n">
        <x:v>11000</x:v>
      </x:c>
      <x:c r="Z591" s="265" t="n">
        <x:v>16200</x:v>
      </x:c>
      <x:c r="AA591" s="253" t="str">
        <x:f>IF(V591="No","Maturing",IF(AND(U591="Yes",Y591&gt;0),"Yes","No"))</x:f>
        <x:v>No</x:v>
      </x:c>
      <x:c r="AB591" s="253" t="str">
        <x:f>IF(W591="No","Maturing",IF(AND(U591="Yes",Z591&gt;0),"Yes","No"))</x:f>
        <x:v>No</x:v>
      </x:c>
      <x:c r="AC591" s="265" t="n">
        <x:v>10880.11</x:v>
      </x:c>
      <x:c r="AD591" s="265" t="n">
        <x:v>734.03</x:v>
      </x:c>
      <x:c r="AE591" s="271" t="str"/>
      <x:c r="AF591" s="274" t="str">
        <x:v>Not validated - no control/holdout</x:v>
      </x:c>
      <x:c r="AG591" s="277" t="str">
        <x:v>Recovered execution only; assignment date and unclaimed-offer denominator unavailable</x:v>
      </x:c>
    </x:row>
    <x:row r="592">
      <x:c r="A592" s="252" t="str">
        <x:v>34281432</x:v>
      </x:c>
      <x:c r="B592" s="253" t="str">
        <x:v>WS1</x:v>
      </x:c>
      <x:c r="C592" s="253" t="str">
        <x:v>MB8</x:v>
      </x:c>
      <x:c r="D592" s="262" t="n">
        <x:v>46160.734918981485</x:v>
      </x:c>
      <x:c r="E592" s="259" t="n">
        <x:v>46160.166666666664</x:v>
      </x:c>
      <x:c r="F592" s="253" t="str">
        <x:v>663490</x:v>
      </x:c>
      <x:c r="G592" s="253" t="str">
        <x:v>Arsenal9968</x:v>
      </x:c>
      <x:c r="H592" s="253" t="str">
        <x:v>Yes</x:v>
      </x:c>
      <x:c r="I592" s="253" t="str">
        <x:v>Claire</x:v>
      </x:c>
      <x:c r="J592" s="253" t="str">
        <x:v>Claire</x:v>
      </x:c>
      <x:c r="K592" s="259" t="n">
        <x:v>45659.166666666664</x:v>
      </x:c>
      <x:c r="L592" s="268" t="str">
        <x:f>IFERROR(VLOOKUP(I592,'Handler-Team Map'!$A$7:$C$17,2,FALSE),"")</x:f>
      </x:c>
      <x:c r="M592" s="268" t="str">
        <x:f>IFERROR(VLOOKUP(I592,'Handler-Team Map'!$A$7:$C$17,3,FALSE),"")</x:f>
      </x:c>
      <x:c r="N592" s="274" t="str">
        <x:v>FT_VM_DEP700_GET300_2X</x:v>
      </x:c>
      <x:c r="O592" s="274" t="str">
        <x:v>VIP BONUS - Deposit 700 Get 300 - 2x TO</x:v>
      </x:c>
      <x:c r="P592" s="274" t="str">
        <x:v>DepositBonus</x:v>
      </x:c>
      <x:c r="Q592" s="274" t="str">
        <x:v>Approved</x:v>
      </x:c>
      <x:c r="R592" s="265" t="n">
        <x:v>300</x:v>
      </x:c>
      <x:c r="S592" s="253" t="str">
        <x:v>Yes</x:v>
      </x:c>
      <x:c r="T592" s="265" t="n">
        <x:v>110440</x:v>
      </x:c>
      <x:c r="U592" s="253" t="str">
        <x:f>IF(AND(S592="Yes",T592=0),"Yes","No")</x:f>
        <x:v>No</x:v>
      </x:c>
      <x:c r="V592" s="253" t="str">
        <x:v>Yes</x:v>
      </x:c>
      <x:c r="W592" s="253" t="str">
        <x:v>Yes</x:v>
      </x:c>
      <x:c r="X592" s="259" t="n">
        <x:v>46160.166666666664</x:v>
      </x:c>
      <x:c r="Y592" s="265" t="n">
        <x:v>30404</x:v>
      </x:c>
      <x:c r="Z592" s="265" t="n">
        <x:v>50057</x:v>
      </x:c>
      <x:c r="AA592" s="253" t="str">
        <x:f>IF(V592="No","Maturing",IF(AND(U592="Yes",Y592&gt;0),"Yes","No"))</x:f>
        <x:v>No</x:v>
      </x:c>
      <x:c r="AB592" s="253" t="str">
        <x:f>IF(W592="No","Maturing",IF(AND(U592="Yes",Z592&gt;0),"Yes","No"))</x:f>
        <x:v>No</x:v>
      </x:c>
      <x:c r="AC592" s="265" t="n">
        <x:v>-1256.14</x:v>
      </x:c>
      <x:c r="AD592" s="265" t="n">
        <x:v>11356.85</x:v>
      </x:c>
      <x:c r="AE592" s="271" t="str"/>
      <x:c r="AF592" s="274" t="str">
        <x:v>Not validated - no control/holdout</x:v>
      </x:c>
      <x:c r="AG592" s="277" t="str">
        <x:v>Recovered execution only; assignment date and unclaimed-offer denominator unavailable</x:v>
      </x:c>
    </x:row>
    <x:row r="593">
      <x:c r="A593" s="252" t="str">
        <x:v>34281983</x:v>
      </x:c>
      <x:c r="B593" s="253" t="str">
        <x:v>WS1</x:v>
      </x:c>
      <x:c r="C593" s="253" t="str">
        <x:v>MB8</x:v>
      </x:c>
      <x:c r="D593" s="262" t="n">
        <x:v>46160.788506944446</x:v>
      </x:c>
      <x:c r="E593" s="259" t="n">
        <x:v>46160.166666666664</x:v>
      </x:c>
      <x:c r="F593" s="253" t="str">
        <x:v>532295</x:v>
      </x:c>
      <x:c r="G593" s="253" t="str">
        <x:v>tonyass</x:v>
      </x:c>
      <x:c r="H593" s="253" t="str">
        <x:v>Yes</x:v>
      </x:c>
      <x:c r="I593" s="253" t="str">
        <x:v>Elda</x:v>
      </x:c>
      <x:c r="J593" s="253" t="str">
        <x:v>Elda</x:v>
      </x:c>
      <x:c r="K593" s="259" t="n">
        <x:v>45659.166666666664</x:v>
      </x:c>
      <x:c r="L593" s="268" t="str">
        <x:f>IFERROR(VLOOKUP(I593,'Handler-Team Map'!$A$7:$C$17,2,FALSE),"")</x:f>
      </x:c>
      <x:c r="M593" s="268" t="str">
        <x:f>IFERROR(VLOOKUP(I593,'Handler-Team Map'!$A$7:$C$17,3,FALSE),"")</x:f>
      </x:c>
      <x:c r="N593" s="274" t="str">
        <x:v>FT_VM_DEP1000_GET500_5X</x:v>
      </x:c>
      <x:c r="O593" s="274" t="str">
        <x:v>VIP BONUS - Deposit 1000 Get 500 - 5x TO</x:v>
      </x:c>
      <x:c r="P593" s="274" t="str">
        <x:v>DepositBonus</x:v>
      </x:c>
      <x:c r="Q593" s="274" t="str">
        <x:v>Approved</x:v>
      </x:c>
      <x:c r="R593" s="265" t="n">
        <x:v>500</x:v>
      </x:c>
      <x:c r="S593" s="253" t="str">
        <x:v>Yes</x:v>
      </x:c>
      <x:c r="T593" s="265" t="n">
        <x:v>6650</x:v>
      </x:c>
      <x:c r="U593" s="253" t="str">
        <x:f>IF(AND(S593="Yes",T593=0),"Yes","No")</x:f>
        <x:v>No</x:v>
      </x:c>
      <x:c r="V593" s="253" t="str">
        <x:v>Yes</x:v>
      </x:c>
      <x:c r="W593" s="253" t="str">
        <x:v>Yes</x:v>
      </x:c>
      <x:c r="X593" s="259" t="n">
        <x:v>46160.166666666664</x:v>
      </x:c>
      <x:c r="Y593" s="265" t="n">
        <x:v>1700</x:v>
      </x:c>
      <x:c r="Z593" s="265" t="n">
        <x:v>3050</x:v>
      </x:c>
      <x:c r="AA593" s="253" t="str">
        <x:f>IF(V593="No","Maturing",IF(AND(U593="Yes",Y593&gt;0),"Yes","No"))</x:f>
        <x:v>No</x:v>
      </x:c>
      <x:c r="AB593" s="253" t="str">
        <x:f>IF(W593="No","Maturing",IF(AND(U593="Yes",Z593&gt;0),"Yes","No"))</x:f>
        <x:v>No</x:v>
      </x:c>
      <x:c r="AC593" s="265" t="n">
        <x:v>1112.82</x:v>
      </x:c>
      <x:c r="AD593" s="265" t="n">
        <x:v>1770.55</x:v>
      </x:c>
      <x:c r="AE593" s="271" t="str"/>
      <x:c r="AF593" s="274" t="str">
        <x:v>Not validated - no control/holdout</x:v>
      </x:c>
      <x:c r="AG593" s="277" t="str">
        <x:v>Recovered execution only; assignment date and unclaimed-offer denominator unavailable</x:v>
      </x:c>
    </x:row>
    <x:row r="594">
      <x:c r="A594" s="252" t="str">
        <x:v>34282009</x:v>
      </x:c>
      <x:c r="B594" s="253" t="str">
        <x:v>WS1</x:v>
      </x:c>
      <x:c r="C594" s="253" t="str">
        <x:v>MB8</x:v>
      </x:c>
      <x:c r="D594" s="262" t="n">
        <x:v>46160.79255787037</x:v>
      </x:c>
      <x:c r="E594" s="259" t="n">
        <x:v>46160.166666666664</x:v>
      </x:c>
      <x:c r="F594" s="253" t="str">
        <x:v>37007</x:v>
      </x:c>
      <x:c r="G594" s="253" t="str">
        <x:v>KuLelaki</x:v>
      </x:c>
      <x:c r="H594" s="253" t="str">
        <x:v>Yes</x:v>
      </x:c>
      <x:c r="I594" s="253" t="str">
        <x:v>Elda</x:v>
      </x:c>
      <x:c r="J594" s="253" t="str">
        <x:v>Elda</x:v>
      </x:c>
      <x:c r="K594" s="259" t="n">
        <x:v>45659.166666666664</x:v>
      </x:c>
      <x:c r="L594" s="268" t="str">
        <x:f>IFERROR(VLOOKUP(I594,'Handler-Team Map'!$A$7:$C$17,2,FALSE),"")</x:f>
      </x:c>
      <x:c r="M594" s="268" t="str">
        <x:f>IFERROR(VLOOKUP(I594,'Handler-Team Map'!$A$7:$C$17,3,FALSE),"")</x:f>
      </x:c>
      <x:c r="N594" s="274" t="str">
        <x:v>FT_VM_DEP1000_GET800_2X</x:v>
      </x:c>
      <x:c r="O594" s="274" t="str">
        <x:v>VIP BONUS - Deposit 1000 Get 800 - 2x TO</x:v>
      </x:c>
      <x:c r="P594" s="274" t="str">
        <x:v>DepositBonus</x:v>
      </x:c>
      <x:c r="Q594" s="274" t="str">
        <x:v>Approved</x:v>
      </x:c>
      <x:c r="R594" s="265" t="n">
        <x:v>800</x:v>
      </x:c>
      <x:c r="S594" s="253" t="str">
        <x:v>Yes</x:v>
      </x:c>
      <x:c r="T594" s="265" t="n">
        <x:v>1000</x:v>
      </x:c>
      <x:c r="U594" s="253" t="str">
        <x:f>IF(AND(S594="Yes",T594=0),"Yes","No")</x:f>
        <x:v>No</x:v>
      </x:c>
      <x:c r="V594" s="253" t="str">
        <x:v>Yes</x:v>
      </x:c>
      <x:c r="W594" s="253" t="str">
        <x:v>Yes</x:v>
      </x:c>
      <x:c r="X594" s="259" t="n">
        <x:v>46160.166666666664</x:v>
      </x:c>
      <x:c r="Y594" s="265" t="n">
        <x:v>2500</x:v>
      </x:c>
      <x:c r="Z594" s="265" t="n">
        <x:v>2500</x:v>
      </x:c>
      <x:c r="AA594" s="253" t="str">
        <x:f>IF(V594="No","Maturing",IF(AND(U594="Yes",Y594&gt;0),"Yes","No"))</x:f>
        <x:v>No</x:v>
      </x:c>
      <x:c r="AB594" s="253" t="str">
        <x:f>IF(W594="No","Maturing",IF(AND(U594="Yes",Z594&gt;0),"Yes","No"))</x:f>
        <x:v>No</x:v>
      </x:c>
      <x:c r="AC594" s="265" t="n">
        <x:v>-2006.47</x:v>
      </x:c>
      <x:c r="AD594" s="265" t="n">
        <x:v>-2006.47</x:v>
      </x:c>
      <x:c r="AE594" s="271" t="str"/>
      <x:c r="AF594" s="274" t="str">
        <x:v>Not validated - no control/holdout</x:v>
      </x:c>
      <x:c r="AG594" s="277" t="str">
        <x:v>Recovered execution only; assignment date and unclaimed-offer denominator unavailable</x:v>
      </x:c>
    </x:row>
    <x:row r="595">
      <x:c r="A595" s="252" t="str">
        <x:v>34282055</x:v>
      </x:c>
      <x:c r="B595" s="253" t="str">
        <x:v>WS1</x:v>
      </x:c>
      <x:c r="C595" s="253" t="str">
        <x:v>MB8</x:v>
      </x:c>
      <x:c r="D595" s="262" t="n">
        <x:v>46160.79746527778</x:v>
      </x:c>
      <x:c r="E595" s="259" t="n">
        <x:v>46160.166666666664</x:v>
      </x:c>
      <x:c r="F595" s="253" t="str">
        <x:v>564867</x:v>
      </x:c>
      <x:c r="G595" s="253" t="str">
        <x:v>Nageen</x:v>
      </x:c>
      <x:c r="H595" s="253" t="str">
        <x:v>Yes</x:v>
      </x:c>
      <x:c r="I595" s="253" t="str">
        <x:v>Claire</x:v>
      </x:c>
      <x:c r="J595" s="253" t="str">
        <x:v>Claire</x:v>
      </x:c>
      <x:c r="K595" s="259" t="n">
        <x:v>45659.166666666664</x:v>
      </x:c>
      <x:c r="L595" s="268" t="str">
        <x:f>IFERROR(VLOOKUP(I595,'Handler-Team Map'!$A$7:$C$17,2,FALSE),"")</x:f>
      </x:c>
      <x:c r="M595" s="268" t="str">
        <x:f>IFERROR(VLOOKUP(I595,'Handler-Team Map'!$A$7:$C$17,3,FALSE),"")</x:f>
      </x:c>
      <x:c r="N595" s="274" t="str">
        <x:v>FT_VM_DEP1000_GET500_5X</x:v>
      </x:c>
      <x:c r="O595" s="274" t="str">
        <x:v>VIP BONUS - Deposit 1000 Get 500 - 5x TO</x:v>
      </x:c>
      <x:c r="P595" s="274" t="str">
        <x:v>DepositBonus</x:v>
      </x:c>
      <x:c r="Q595" s="274" t="str">
        <x:v>Approved</x:v>
      </x:c>
      <x:c r="R595" s="265" t="n">
        <x:v>500</x:v>
      </x:c>
      <x:c r="S595" s="253" t="str">
        <x:v>Yes</x:v>
      </x:c>
      <x:c r="T595" s="265" t="n">
        <x:v>57032.91</x:v>
      </x:c>
      <x:c r="U595" s="253" t="str">
        <x:f>IF(AND(S595="Yes",T595=0),"Yes","No")</x:f>
        <x:v>No</x:v>
      </x:c>
      <x:c r="V595" s="253" t="str">
        <x:v>Yes</x:v>
      </x:c>
      <x:c r="W595" s="253" t="str">
        <x:v>Yes</x:v>
      </x:c>
      <x:c r="X595" s="259" t="n">
        <x:v>46160.166666666664</x:v>
      </x:c>
      <x:c r="Y595" s="265" t="n">
        <x:v>18504.38</x:v>
      </x:c>
      <x:c r="Z595" s="265" t="n">
        <x:v>33704.38</x:v>
      </x:c>
      <x:c r="AA595" s="253" t="str">
        <x:f>IF(V595="No","Maturing",IF(AND(U595="Yes",Y595&gt;0),"Yes","No"))</x:f>
        <x:v>No</x:v>
      </x:c>
      <x:c r="AB595" s="253" t="str">
        <x:f>IF(W595="No","Maturing",IF(AND(U595="Yes",Z595&gt;0),"Yes","No"))</x:f>
        <x:v>No</x:v>
      </x:c>
      <x:c r="AC595" s="265" t="n">
        <x:v>-6914.19</x:v>
      </x:c>
      <x:c r="AD595" s="265" t="n">
        <x:v>7935.64</x:v>
      </x:c>
      <x:c r="AE595" s="271" t="str"/>
      <x:c r="AF595" s="274" t="str">
        <x:v>Not validated - no control/holdout</x:v>
      </x:c>
      <x:c r="AG595" s="277" t="str">
        <x:v>Recovered execution only; assignment date and unclaimed-offer denominator unavailable</x:v>
      </x:c>
    </x:row>
    <x:row r="596">
      <x:c r="A596" s="252" t="str">
        <x:v>34282373</x:v>
      </x:c>
      <x:c r="B596" s="253" t="str">
        <x:v>WS1</x:v>
      </x:c>
      <x:c r="C596" s="253" t="str">
        <x:v>MB8</x:v>
      </x:c>
      <x:c r="D596" s="262" t="n">
        <x:v>46160.833287037036</x:v>
      </x:c>
      <x:c r="E596" s="259" t="n">
        <x:v>46160.166666666664</x:v>
      </x:c>
      <x:c r="F596" s="253" t="str">
        <x:v>306733</x:v>
      </x:c>
      <x:c r="G596" s="253" t="str">
        <x:v>HC5140</x:v>
      </x:c>
      <x:c r="H596" s="253" t="str">
        <x:v>Yes</x:v>
      </x:c>
      <x:c r="I596" s="253" t="str">
        <x:v>Claire</x:v>
      </x:c>
      <x:c r="J596" s="253" t="str">
        <x:v>Claire</x:v>
      </x:c>
      <x:c r="K596" s="259" t="n">
        <x:v>45659.166666666664</x:v>
      </x:c>
      <x:c r="L596" s="268" t="str">
        <x:f>IFERROR(VLOOKUP(I596,'Handler-Team Map'!$A$7:$C$17,2,FALSE),"")</x:f>
      </x:c>
      <x:c r="M596" s="268" t="str">
        <x:f>IFERROR(VLOOKUP(I596,'Handler-Team Map'!$A$7:$C$17,3,FALSE),"")</x:f>
      </x:c>
      <x:c r="N596" s="274" t="str">
        <x:v>FT_VM_DEP700_GET300_2X</x:v>
      </x:c>
      <x:c r="O596" s="274" t="str">
        <x:v>VIP BONUS - Deposit 700 Get 300 - 2x TO</x:v>
      </x:c>
      <x:c r="P596" s="274" t="str">
        <x:v>DepositBonus</x:v>
      </x:c>
      <x:c r="Q596" s="274" t="str">
        <x:v>Approved</x:v>
      </x:c>
      <x:c r="R596" s="265" t="n">
        <x:v>300</x:v>
      </x:c>
      <x:c r="S596" s="253" t="str">
        <x:v>Yes</x:v>
      </x:c>
      <x:c r="T596" s="265" t="n">
        <x:v>198399</x:v>
      </x:c>
      <x:c r="U596" s="253" t="str">
        <x:f>IF(AND(S596="Yes",T596=0),"Yes","No")</x:f>
        <x:v>No</x:v>
      </x:c>
      <x:c r="V596" s="253" t="str">
        <x:v>Yes</x:v>
      </x:c>
      <x:c r="W596" s="253" t="str">
        <x:v>Yes</x:v>
      </x:c>
      <x:c r="X596" s="259" t="n">
        <x:v>46160.166666666664</x:v>
      </x:c>
      <x:c r="Y596" s="265" t="n">
        <x:v>131500</x:v>
      </x:c>
      <x:c r="Z596" s="265" t="n">
        <x:v>192200</x:v>
      </x:c>
      <x:c r="AA596" s="253" t="str">
        <x:f>IF(V596="No","Maturing",IF(AND(U596="Yes",Y596&gt;0),"Yes","No"))</x:f>
        <x:v>No</x:v>
      </x:c>
      <x:c r="AB596" s="253" t="str">
        <x:f>IF(W596="No","Maturing",IF(AND(U596="Yes",Z596&gt;0),"Yes","No"))</x:f>
        <x:v>No</x:v>
      </x:c>
      <x:c r="AC596" s="265" t="n">
        <x:v>-19009.97</x:v>
      </x:c>
      <x:c r="AD596" s="265" t="n">
        <x:v>4478.79</x:v>
      </x:c>
      <x:c r="AE596" s="271" t="str"/>
      <x:c r="AF596" s="274" t="str">
        <x:v>Not validated - no control/holdout</x:v>
      </x:c>
      <x:c r="AG596" s="277" t="str">
        <x:v>Recovered execution only; assignment date and unclaimed-offer denominator unavailable</x:v>
      </x:c>
    </x:row>
    <x:row r="597">
      <x:c r="A597" s="252" t="str">
        <x:v>34282591</x:v>
      </x:c>
      <x:c r="B597" s="253" t="str">
        <x:v>WS1</x:v>
      </x:c>
      <x:c r="C597" s="253" t="str">
        <x:v>MB8</x:v>
      </x:c>
      <x:c r="D597" s="262" t="n">
        <x:v>46160.84997685185</x:v>
      </x:c>
      <x:c r="E597" s="259" t="n">
        <x:v>46160.166666666664</x:v>
      </x:c>
      <x:c r="F597" s="253" t="str">
        <x:v>521114</x:v>
      </x:c>
      <x:c r="G597" s="253" t="str">
        <x:v>Nzboss8181</x:v>
      </x:c>
      <x:c r="H597" s="253" t="str">
        <x:v>Yes</x:v>
      </x:c>
      <x:c r="I597" s="253" t="str">
        <x:v>Claire</x:v>
      </x:c>
      <x:c r="J597" s="253" t="str">
        <x:v>Claire</x:v>
      </x:c>
      <x:c r="K597" s="259" t="n">
        <x:v>45659.166666666664</x:v>
      </x:c>
      <x:c r="L597" s="268" t="str">
        <x:f>IFERROR(VLOOKUP(I597,'Handler-Team Map'!$A$7:$C$17,2,FALSE),"")</x:f>
      </x:c>
      <x:c r="M597" s="268" t="str">
        <x:f>IFERROR(VLOOKUP(I597,'Handler-Team Map'!$A$7:$C$17,3,FALSE),"")</x:f>
      </x:c>
      <x:c r="N597" s="274" t="str">
        <x:v>FT_VM_DEP1000_GET900_2X</x:v>
      </x:c>
      <x:c r="O597" s="274" t="str">
        <x:v>VIP BONUS - Deposit 1000 Get 900 - 2x TO</x:v>
      </x:c>
      <x:c r="P597" s="274" t="str">
        <x:v>DepositBonus</x:v>
      </x:c>
      <x:c r="Q597" s="274" t="str">
        <x:v>Approved</x:v>
      </x:c>
      <x:c r="R597" s="265" t="n">
        <x:v>900</x:v>
      </x:c>
      <x:c r="S597" s="253" t="str">
        <x:v>Yes</x:v>
      </x:c>
      <x:c r="T597" s="265" t="n">
        <x:v>290900</x:v>
      </x:c>
      <x:c r="U597" s="253" t="str">
        <x:f>IF(AND(S597="Yes",T597=0),"Yes","No")</x:f>
        <x:v>No</x:v>
      </x:c>
      <x:c r="V597" s="253" t="str">
        <x:v>Yes</x:v>
      </x:c>
      <x:c r="W597" s="253" t="str">
        <x:v>Yes</x:v>
      </x:c>
      <x:c r="X597" s="259" t="n">
        <x:v>46160.166666666664</x:v>
      </x:c>
      <x:c r="Y597" s="265" t="n">
        <x:v>55200</x:v>
      </x:c>
      <x:c r="Z597" s="265" t="n">
        <x:v>118400</x:v>
      </x:c>
      <x:c r="AA597" s="253" t="str">
        <x:f>IF(V597="No","Maturing",IF(AND(U597="Yes",Y597&gt;0),"Yes","No"))</x:f>
        <x:v>No</x:v>
      </x:c>
      <x:c r="AB597" s="253" t="str">
        <x:f>IF(W597="No","Maturing",IF(AND(U597="Yes",Z597&gt;0),"Yes","No"))</x:f>
        <x:v>No</x:v>
      </x:c>
      <x:c r="AC597" s="265" t="n">
        <x:v>16200.06</x:v>
      </x:c>
      <x:c r="AD597" s="265" t="n">
        <x:v>3400.1</x:v>
      </x:c>
      <x:c r="AE597" s="271" t="str"/>
      <x:c r="AF597" s="274" t="str">
        <x:v>Not validated - no control/holdout</x:v>
      </x:c>
      <x:c r="AG597" s="277" t="str">
        <x:v>Recovered execution only; assignment date and unclaimed-offer denominator unavailable</x:v>
      </x:c>
    </x:row>
    <x:row r="598">
      <x:c r="A598" s="252" t="str">
        <x:v>34282851</x:v>
      </x:c>
      <x:c r="B598" s="253" t="str">
        <x:v>WS1</x:v>
      </x:c>
      <x:c r="C598" s="253" t="str">
        <x:v>MB8</x:v>
      </x:c>
      <x:c r="D598" s="262" t="n">
        <x:v>46160.8705787037</x:v>
      </x:c>
      <x:c r="E598" s="259" t="n">
        <x:v>46160.166666666664</x:v>
      </x:c>
      <x:c r="F598" s="253" t="str">
        <x:v>676839</x:v>
      </x:c>
      <x:c r="G598" s="253" t="str">
        <x:v>Psyee88</x:v>
      </x:c>
      <x:c r="H598" s="253" t="str">
        <x:v>Yes</x:v>
      </x:c>
      <x:c r="I598" s="253" t="str">
        <x:v>Serene</x:v>
      </x:c>
      <x:c r="J598" s="253" t="str">
        <x:v>Serene</x:v>
      </x:c>
      <x:c r="K598" s="259" t="n">
        <x:v>46077.166666666664</x:v>
      </x:c>
      <x:c r="L598" s="268" t="str">
        <x:f>IFERROR(VLOOKUP(I598,'Handler-Team Map'!$A$7:$C$17,2,FALSE),"")</x:f>
      </x:c>
      <x:c r="M598" s="268" t="str">
        <x:f>IFERROR(VLOOKUP(I598,'Handler-Team Map'!$A$7:$C$17,3,FALSE),"")</x:f>
      </x:c>
      <x:c r="N598" s="274" t="str">
        <x:v>FT_VM_DEP1000_GET500_2X</x:v>
      </x:c>
      <x:c r="O598" s="274" t="str">
        <x:v>VIP BONUS - Deposit 1000 Get 500 - 2x TO</x:v>
      </x:c>
      <x:c r="P598" s="274" t="str">
        <x:v>DepositBonus</x:v>
      </x:c>
      <x:c r="Q598" s="274" t="str">
        <x:v>Approved</x:v>
      </x:c>
      <x:c r="R598" s="265" t="n">
        <x:v>500</x:v>
      </x:c>
      <x:c r="S598" s="253" t="str">
        <x:v>Yes</x:v>
      </x:c>
      <x:c r="T598" s="265" t="n">
        <x:v>0</x:v>
      </x:c>
      <x:c r="U598" s="253" t="str">
        <x:f>IF(AND(S598="Yes",T598=0),"Yes","No")</x:f>
        <x:v>Yes</x:v>
      </x:c>
      <x:c r="V598" s="253" t="str">
        <x:v>Yes</x:v>
      </x:c>
      <x:c r="W598" s="253" t="str">
        <x:v>Yes</x:v>
      </x:c>
      <x:c r="X598" s="259" t="n">
        <x:v>46160.166666666664</x:v>
      </x:c>
      <x:c r="Y598" s="265" t="n">
        <x:v>1000</x:v>
      </x:c>
      <x:c r="Z598" s="265" t="n">
        <x:v>1000</x:v>
      </x:c>
      <x:c r="AA598" s="253" t="str">
        <x:f>IF(V598="No","Maturing",IF(AND(U598="Yes",Y598&gt;0),"Yes","No"))</x:f>
        <x:v>Yes</x:v>
      </x:c>
      <x:c r="AB598" s="253" t="str">
        <x:f>IF(W598="No","Maturing",IF(AND(U598="Yes",Z598&gt;0),"Yes","No"))</x:f>
        <x:v>Yes</x:v>
      </x:c>
      <x:c r="AC598" s="265" t="n">
        <x:v>999.74</x:v>
      </x:c>
      <x:c r="AD598" s="265" t="n">
        <x:v>999.74</x:v>
      </x:c>
      <x:c r="AE598" s="271" t="str"/>
      <x:c r="AF598" s="274" t="str">
        <x:v>Not validated - no control/holdout</x:v>
      </x:c>
      <x:c r="AG598" s="277" t="str">
        <x:v>Recovered execution only; assignment date and unclaimed-offer denominator unavailable</x:v>
      </x:c>
    </x:row>
    <x:row r="599">
      <x:c r="A599" s="252" t="str">
        <x:v>34283875</x:v>
      </x:c>
      <x:c r="B599" s="253" t="str">
        <x:v>WS1</x:v>
      </x:c>
      <x:c r="C599" s="253" t="str">
        <x:v>MB8</x:v>
      </x:c>
      <x:c r="D599" s="262" t="n">
        <x:v>46160.954201388886</x:v>
      </x:c>
      <x:c r="E599" s="259" t="n">
        <x:v>46160.166666666664</x:v>
      </x:c>
      <x:c r="F599" s="253" t="str">
        <x:v>977657</x:v>
      </x:c>
      <x:c r="G599" s="253" t="str">
        <x:v>CSS8897</x:v>
      </x:c>
      <x:c r="H599" s="253" t="str">
        <x:v>Yes</x:v>
      </x:c>
      <x:c r="I599" s="253" t="str">
        <x:v>zhen</x:v>
      </x:c>
      <x:c r="J599" s="253" t="str">
        <x:v>zhen</x:v>
      </x:c>
      <x:c r="K599" s="259" t="n">
        <x:v>45922.166666666664</x:v>
      </x:c>
      <x:c r="L599" s="268" t="str">
        <x:f>IFERROR(VLOOKUP(I599,'Handler-Team Map'!$A$7:$C$17,2,FALSE),"")</x:f>
      </x:c>
      <x:c r="M599" s="268" t="str">
        <x:f>IFERROR(VLOOKUP(I599,'Handler-Team Map'!$A$7:$C$17,3,FALSE),"")</x:f>
      </x:c>
      <x:c r="N599" s="274" t="str">
        <x:v>FT_VM_DEP1000_GET800_1X</x:v>
      </x:c>
      <x:c r="O599" s="274" t="str">
        <x:v>VIP BONUS - Deposit 1000 Get 800 - 1x TO</x:v>
      </x:c>
      <x:c r="P599" s="274" t="str">
        <x:v>DepositBonus</x:v>
      </x:c>
      <x:c r="Q599" s="274" t="str">
        <x:v>Approved</x:v>
      </x:c>
      <x:c r="R599" s="265" t="n">
        <x:v>800</x:v>
      </x:c>
      <x:c r="S599" s="253" t="str">
        <x:v>Yes</x:v>
      </x:c>
      <x:c r="T599" s="265" t="n">
        <x:v>0</x:v>
      </x:c>
      <x:c r="U599" s="253" t="str">
        <x:f>IF(AND(S599="Yes",T599=0),"Yes","No")</x:f>
        <x:v>Yes</x:v>
      </x:c>
      <x:c r="V599" s="253" t="str">
        <x:v>Yes</x:v>
      </x:c>
      <x:c r="W599" s="253" t="str">
        <x:v>Yes</x:v>
      </x:c>
      <x:c r="X599" s="259" t="n">
        <x:v>46160.166666666664</x:v>
      </x:c>
      <x:c r="Y599" s="265" t="n">
        <x:v>2000</x:v>
      </x:c>
      <x:c r="Z599" s="265" t="n">
        <x:v>2000</x:v>
      </x:c>
      <x:c r="AA599" s="253" t="str">
        <x:f>IF(V599="No","Maturing",IF(AND(U599="Yes",Y599&gt;0),"Yes","No"))</x:f>
        <x:v>Yes</x:v>
      </x:c>
      <x:c r="AB599" s="253" t="str">
        <x:f>IF(W599="No","Maturing",IF(AND(U599="Yes",Z599&gt;0),"Yes","No"))</x:f>
        <x:v>Yes</x:v>
      </x:c>
      <x:c r="AC599" s="265" t="n">
        <x:v>-1645.59</x:v>
      </x:c>
      <x:c r="AD599" s="265" t="n">
        <x:v>-1645.6</x:v>
      </x:c>
      <x:c r="AE599" s="271" t="str"/>
      <x:c r="AF599" s="274" t="str">
        <x:v>Not validated - no control/holdout</x:v>
      </x:c>
      <x:c r="AG599" s="277" t="str">
        <x:v>Recovered execution only; assignment date and unclaimed-offer denominator unavailable</x:v>
      </x:c>
    </x:row>
    <x:row r="600">
      <x:c r="A600" s="252" t="str">
        <x:v>34284616</x:v>
      </x:c>
      <x:c r="B600" s="253" t="str">
        <x:v>WS1</x:v>
      </x:c>
      <x:c r="C600" s="253" t="str">
        <x:v>MB8</x:v>
      </x:c>
      <x:c r="D600" s="262" t="n">
        <x:v>46161.00324074074</x:v>
      </x:c>
      <x:c r="E600" s="259" t="n">
        <x:v>46161.166666666664</x:v>
      </x:c>
      <x:c r="F600" s="253" t="str">
        <x:v>304784</x:v>
      </x:c>
      <x:c r="G600" s="253" t="str">
        <x:v>sinee5059</x:v>
      </x:c>
      <x:c r="H600" s="253" t="str">
        <x:v>Yes</x:v>
      </x:c>
      <x:c r="I600" s="253" t="str">
        <x:v>Claire</x:v>
      </x:c>
      <x:c r="J600" s="253" t="str">
        <x:v>Claire</x:v>
      </x:c>
      <x:c r="K600" s="259" t="n">
        <x:v>45765.166666666664</x:v>
      </x:c>
      <x:c r="L600" s="268" t="str">
        <x:f>IFERROR(VLOOKUP(I600,'Handler-Team Map'!$A$7:$C$17,2,FALSE),"")</x:f>
      </x:c>
      <x:c r="M600" s="268" t="str">
        <x:f>IFERROR(VLOOKUP(I600,'Handler-Team Map'!$A$7:$C$17,3,FALSE),"")</x:f>
      </x:c>
      <x:c r="N600" s="274" t="str">
        <x:v>FT_VM_DEP300_GET100_5X</x:v>
      </x:c>
      <x:c r="O600" s="274" t="str">
        <x:v>VIP BONUS - Deposit 300 Get 100 - 5x TO</x:v>
      </x:c>
      <x:c r="P600" s="274" t="str">
        <x:v>DepositBonus</x:v>
      </x:c>
      <x:c r="Q600" s="274" t="str">
        <x:v>Approved</x:v>
      </x:c>
      <x:c r="R600" s="265" t="n">
        <x:v>100</x:v>
      </x:c>
      <x:c r="S600" s="253" t="str">
        <x:v>Yes</x:v>
      </x:c>
      <x:c r="T600" s="265" t="n">
        <x:v>52159.99</x:v>
      </x:c>
      <x:c r="U600" s="253" t="str">
        <x:f>IF(AND(S600="Yes",T600=0),"Yes","No")</x:f>
        <x:v>No</x:v>
      </x:c>
      <x:c r="V600" s="253" t="str">
        <x:v>Yes</x:v>
      </x:c>
      <x:c r="W600" s="253" t="str">
        <x:v>Yes</x:v>
      </x:c>
      <x:c r="X600" s="259" t="n">
        <x:v>46161.166666666664</x:v>
      </x:c>
      <x:c r="Y600" s="265" t="n">
        <x:v>7460</x:v>
      </x:c>
      <x:c r="Z600" s="265" t="n">
        <x:v>15072.93</x:v>
      </x:c>
      <x:c r="AA600" s="253" t="str">
        <x:f>IF(V600="No","Maturing",IF(AND(U600="Yes",Y600&gt;0),"Yes","No"))</x:f>
        <x:v>No</x:v>
      </x:c>
      <x:c r="AB600" s="253" t="str">
        <x:f>IF(W600="No","Maturing",IF(AND(U600="Yes",Z600&gt;0),"Yes","No"))</x:f>
        <x:v>No</x:v>
      </x:c>
      <x:c r="AC600" s="265" t="n">
        <x:v>4395.7</x:v>
      </x:c>
      <x:c r="AD600" s="265" t="n">
        <x:v>6439.48</x:v>
      </x:c>
      <x:c r="AE600" s="271" t="str"/>
      <x:c r="AF600" s="274" t="str">
        <x:v>Not validated - no control/holdout</x:v>
      </x:c>
      <x:c r="AG600" s="277" t="str">
        <x:v>Recovered execution only; assignment date and unclaimed-offer denominator unavailable</x:v>
      </x:c>
    </x:row>
    <x:row r="601">
      <x:c r="A601" s="252" t="str">
        <x:v>34285794</x:v>
      </x:c>
      <x:c r="B601" s="253" t="str">
        <x:v>WS1</x:v>
      </x:c>
      <x:c r="C601" s="253" t="str">
        <x:v>MB8</x:v>
      </x:c>
      <x:c r="D601" s="262" t="n">
        <x:v>46161.07451388889</x:v>
      </x:c>
      <x:c r="E601" s="259" t="n">
        <x:v>46161.166666666664</x:v>
      </x:c>
      <x:c r="F601" s="253" t="str">
        <x:v>218256</x:v>
      </x:c>
      <x:c r="G601" s="253" t="str">
        <x:v>Bobby2626</x:v>
      </x:c>
      <x:c r="H601" s="253" t="str">
        <x:v>Yes</x:v>
      </x:c>
      <x:c r="I601" s="253" t="str">
        <x:v>Elda</x:v>
      </x:c>
      <x:c r="J601" s="253" t="str">
        <x:v>Elda</x:v>
      </x:c>
      <x:c r="K601" s="259" t="n">
        <x:v>45659.166666666664</x:v>
      </x:c>
      <x:c r="L601" s="268" t="str">
        <x:f>IFERROR(VLOOKUP(I601,'Handler-Team Map'!$A$7:$C$17,2,FALSE),"")</x:f>
      </x:c>
      <x:c r="M601" s="268" t="str">
        <x:f>IFERROR(VLOOKUP(I601,'Handler-Team Map'!$A$7:$C$17,3,FALSE),"")</x:f>
      </x:c>
      <x:c r="N601" s="274" t="str">
        <x:v>FT_VM_DEP1000_GET500_5X</x:v>
      </x:c>
      <x:c r="O601" s="274" t="str">
        <x:v>VIP BONUS - Deposit 1000 Get 500 - 5x TO</x:v>
      </x:c>
      <x:c r="P601" s="274" t="str">
        <x:v>DepositBonus</x:v>
      </x:c>
      <x:c r="Q601" s="274" t="str">
        <x:v>Approved</x:v>
      </x:c>
      <x:c r="R601" s="265" t="n">
        <x:v>500</x:v>
      </x:c>
      <x:c r="S601" s="253" t="str">
        <x:v>Yes</x:v>
      </x:c>
      <x:c r="T601" s="265" t="n">
        <x:v>27500</x:v>
      </x:c>
      <x:c r="U601" s="253" t="str">
        <x:f>IF(AND(S601="Yes",T601=0),"Yes","No")</x:f>
        <x:v>No</x:v>
      </x:c>
      <x:c r="V601" s="253" t="str">
        <x:v>Yes</x:v>
      </x:c>
      <x:c r="W601" s="253" t="str">
        <x:v>Yes</x:v>
      </x:c>
      <x:c r="X601" s="259" t="n">
        <x:v>46161.166666666664</x:v>
      </x:c>
      <x:c r="Y601" s="265" t="n">
        <x:v>43000</x:v>
      </x:c>
      <x:c r="Z601" s="265" t="n">
        <x:v>53600</x:v>
      </x:c>
      <x:c r="AA601" s="253" t="str">
        <x:f>IF(V601="No","Maturing",IF(AND(U601="Yes",Y601&gt;0),"Yes","No"))</x:f>
        <x:v>No</x:v>
      </x:c>
      <x:c r="AB601" s="253" t="str">
        <x:f>IF(W601="No","Maturing",IF(AND(U601="Yes",Z601&gt;0),"Yes","No"))</x:f>
        <x:v>No</x:v>
      </x:c>
      <x:c r="AC601" s="265" t="n">
        <x:v>-58167.5</x:v>
      </x:c>
      <x:c r="AD601" s="265" t="n">
        <x:v>-109161.21</x:v>
      </x:c>
      <x:c r="AE601" s="271" t="str"/>
      <x:c r="AF601" s="274" t="str">
        <x:v>Not validated - no control/holdout</x:v>
      </x:c>
      <x:c r="AG601" s="277" t="str">
        <x:v>Recovered execution only; assignment date and unclaimed-offer denominator unavailable</x:v>
      </x:c>
    </x:row>
    <x:row r="602">
      <x:c r="A602" s="252" t="str">
        <x:v>34286212</x:v>
      </x:c>
      <x:c r="B602" s="253" t="str">
        <x:v>WS1</x:v>
      </x:c>
      <x:c r="C602" s="253" t="str">
        <x:v>MB8</x:v>
      </x:c>
      <x:c r="D602" s="262" t="n">
        <x:v>46161.1059837963</x:v>
      </x:c>
      <x:c r="E602" s="259" t="n">
        <x:v>46161.166666666664</x:v>
      </x:c>
      <x:c r="F602" s="253" t="str">
        <x:v>668806</x:v>
      </x:c>
      <x:c r="G602" s="253" t="str">
        <x:v>Achaikecik</x:v>
      </x:c>
      <x:c r="H602" s="253" t="str">
        <x:v>Yes</x:v>
      </x:c>
      <x:c r="I602" s="253" t="str">
        <x:v>Tammy</x:v>
      </x:c>
      <x:c r="J602" s="253" t="str">
        <x:v>Tammy</x:v>
      </x:c>
      <x:c r="K602" s="259" t="n">
        <x:v>45951.166666666664</x:v>
      </x:c>
      <x:c r="L602" s="268" t="str">
        <x:f>IFERROR(VLOOKUP(I602,'Handler-Team Map'!$A$7:$C$17,2,FALSE),"")</x:f>
      </x:c>
      <x:c r="M602" s="268" t="str">
        <x:f>IFERROR(VLOOKUP(I602,'Handler-Team Map'!$A$7:$C$17,3,FALSE),"")</x:f>
      </x:c>
      <x:c r="N602" s="274" t="str">
        <x:v>FT_VM_DEP300_GET100_2X</x:v>
      </x:c>
      <x:c r="O602" s="274" t="str">
        <x:v>VIP BONUS - Deposit 300 Get 100 - 2x TO</x:v>
      </x:c>
      <x:c r="P602" s="274" t="str">
        <x:v>DepositBonus</x:v>
      </x:c>
      <x:c r="Q602" s="274" t="str">
        <x:v>Approved</x:v>
      </x:c>
      <x:c r="R602" s="265" t="n">
        <x:v>100</x:v>
      </x:c>
      <x:c r="S602" s="253" t="str">
        <x:v>Yes</x:v>
      </x:c>
      <x:c r="T602" s="265" t="n">
        <x:v>39886.18</x:v>
      </x:c>
      <x:c r="U602" s="253" t="str">
        <x:f>IF(AND(S602="Yes",T602=0),"Yes","No")</x:f>
        <x:v>No</x:v>
      </x:c>
      <x:c r="V602" s="253" t="str">
        <x:v>Yes</x:v>
      </x:c>
      <x:c r="W602" s="253" t="str">
        <x:v>Yes</x:v>
      </x:c>
      <x:c r="X602" s="259" t="n">
        <x:v>46161.166666666664</x:v>
      </x:c>
      <x:c r="Y602" s="265" t="n">
        <x:v>7900</x:v>
      </x:c>
      <x:c r="Z602" s="265" t="n">
        <x:v>7900</x:v>
      </x:c>
      <x:c r="AA602" s="253" t="str">
        <x:f>IF(V602="No","Maturing",IF(AND(U602="Yes",Y602&gt;0),"Yes","No"))</x:f>
        <x:v>No</x:v>
      </x:c>
      <x:c r="AB602" s="253" t="str">
        <x:f>IF(W602="No","Maturing",IF(AND(U602="Yes",Z602&gt;0),"Yes","No"))</x:f>
        <x:v>No</x:v>
      </x:c>
      <x:c r="AC602" s="265" t="n">
        <x:v>1900.12</x:v>
      </x:c>
      <x:c r="AD602" s="265" t="n">
        <x:v>1901.91</x:v>
      </x:c>
      <x:c r="AE602" s="271" t="str"/>
      <x:c r="AF602" s="274" t="str">
        <x:v>Not validated - no control/holdout</x:v>
      </x:c>
      <x:c r="AG602" s="277" t="str">
        <x:v>Recovered execution only; assignment date and unclaimed-offer denominator unavailable</x:v>
      </x:c>
    </x:row>
    <x:row r="603">
      <x:c r="A603" s="252" t="str">
        <x:v>34287309</x:v>
      </x:c>
      <x:c r="B603" s="253" t="str">
        <x:v>WS1</x:v>
      </x:c>
      <x:c r="C603" s="253" t="str">
        <x:v>MB8</x:v>
      </x:c>
      <x:c r="D603" s="262" t="n">
        <x:v>46161.33756944445</x:v>
      </x:c>
      <x:c r="E603" s="259" t="n">
        <x:v>46161.166666666664</x:v>
      </x:c>
      <x:c r="F603" s="253" t="str">
        <x:v>926540</x:v>
      </x:c>
      <x:c r="G603" s="253" t="str">
        <x:v>BARONGOH</x:v>
      </x:c>
      <x:c r="H603" s="253" t="str">
        <x:v>Yes</x:v>
      </x:c>
      <x:c r="I603" s="253" t="str"/>
      <x:c r="J603" s="253" t="str"/>
      <x:c r="K603" s="259"/>
      <x:c r="L603" s="268" t="str">
        <x:f>IFERROR(VLOOKUP(I603,'Handler-Team Map'!$A$7:$C$17,2,FALSE),"")</x:f>
      </x:c>
      <x:c r="M603" s="268" t="str">
        <x:f>IFERROR(VLOOKUP(I603,'Handler-Team Map'!$A$7:$C$17,3,FALSE),"")</x:f>
      </x:c>
      <x:c r="N603" s="274" t="str">
        <x:v>FT_VM_DEP600_GET200_5X</x:v>
      </x:c>
      <x:c r="O603" s="274" t="str">
        <x:v>VIP BONUS - Deposit 600 Get 200 - 5x TO</x:v>
      </x:c>
      <x:c r="P603" s="274" t="str">
        <x:v>DepositBonus</x:v>
      </x:c>
      <x:c r="Q603" s="274" t="str">
        <x:v>Approved</x:v>
      </x:c>
      <x:c r="R603" s="265" t="n">
        <x:v>200</x:v>
      </x:c>
      <x:c r="S603" s="253" t="str">
        <x:v>Yes</x:v>
      </x:c>
      <x:c r="T603" s="265" t="n">
        <x:v>1000</x:v>
      </x:c>
      <x:c r="U603" s="253" t="str">
        <x:f>IF(AND(S603="Yes",T603=0),"Yes","No")</x:f>
        <x:v>No</x:v>
      </x:c>
      <x:c r="V603" s="253" t="str">
        <x:v>Yes</x:v>
      </x:c>
      <x:c r="W603" s="253" t="str">
        <x:v>Yes</x:v>
      </x:c>
      <x:c r="X603" s="259" t="n">
        <x:v>46161.166666666664</x:v>
      </x:c>
      <x:c r="Y603" s="265" t="n">
        <x:v>2800</x:v>
      </x:c>
      <x:c r="Z603" s="265" t="n">
        <x:v>2800</x:v>
      </x:c>
      <x:c r="AA603" s="253" t="str">
        <x:f>IF(V603="No","Maturing",IF(AND(U603="Yes",Y603&gt;0),"Yes","No"))</x:f>
        <x:v>No</x:v>
      </x:c>
      <x:c r="AB603" s="253" t="str">
        <x:f>IF(W603="No","Maturing",IF(AND(U603="Yes",Z603&gt;0),"Yes","No"))</x:f>
        <x:v>No</x:v>
      </x:c>
      <x:c r="AC603" s="265" t="n">
        <x:v>2799.47</x:v>
      </x:c>
      <x:c r="AD603" s="265" t="n">
        <x:v>2799.47</x:v>
      </x:c>
      <x:c r="AE603" s="271" t="str"/>
      <x:c r="AF603" s="274" t="str">
        <x:v>Not validated - no control/holdout</x:v>
      </x:c>
      <x:c r="AG603" s="277" t="str">
        <x:v>Recovered execution only; assignment date and unclaimed-offer denominator unavailable</x:v>
      </x:c>
    </x:row>
    <x:row r="604">
      <x:c r="A604" s="252" t="str">
        <x:v>34287440</x:v>
      </x:c>
      <x:c r="B604" s="253" t="str">
        <x:v>WS1</x:v>
      </x:c>
      <x:c r="C604" s="253" t="str">
        <x:v>MB8</x:v>
      </x:c>
      <x:c r="D604" s="262" t="n">
        <x:v>46161.36178240741</x:v>
      </x:c>
      <x:c r="E604" s="259" t="n">
        <x:v>46161.166666666664</x:v>
      </x:c>
      <x:c r="F604" s="253" t="str">
        <x:v>827371</x:v>
      </x:c>
      <x:c r="G604" s="253" t="str">
        <x:v>marc187</x:v>
      </x:c>
      <x:c r="H604" s="253" t="str">
        <x:v>Yes</x:v>
      </x:c>
      <x:c r="I604" s="253" t="str">
        <x:v>Claire</x:v>
      </x:c>
      <x:c r="J604" s="253" t="str">
        <x:v>Claire</x:v>
      </x:c>
      <x:c r="K604" s="259" t="n">
        <x:v>45755.166666666664</x:v>
      </x:c>
      <x:c r="L604" s="268" t="str">
        <x:f>IFERROR(VLOOKUP(I604,'Handler-Team Map'!$A$7:$C$17,2,FALSE),"")</x:f>
      </x:c>
      <x:c r="M604" s="268" t="str">
        <x:f>IFERROR(VLOOKUP(I604,'Handler-Team Map'!$A$7:$C$17,3,FALSE),"")</x:f>
      </x:c>
      <x:c r="N604" s="274" t="str">
        <x:v>FT_VM_DEP1000_GET1000_2X</x:v>
      </x:c>
      <x:c r="O604" s="274" t="str">
        <x:v>VIP BONUS - Deposit 1000 Get 1000 - 2x TO</x:v>
      </x:c>
      <x:c r="P604" s="274" t="str">
        <x:v>DepositBonus</x:v>
      </x:c>
      <x:c r="Q604" s="274" t="str">
        <x:v>Approved</x:v>
      </x:c>
      <x:c r="R604" s="265" t="n">
        <x:v>1000</x:v>
      </x:c>
      <x:c r="S604" s="253" t="str">
        <x:v>Yes</x:v>
      </x:c>
      <x:c r="T604" s="265" t="n">
        <x:v>1954231.07</x:v>
      </x:c>
      <x:c r="U604" s="253" t="str">
        <x:f>IF(AND(S604="Yes",T604=0),"Yes","No")</x:f>
        <x:v>No</x:v>
      </x:c>
      <x:c r="V604" s="253" t="str">
        <x:v>Yes</x:v>
      </x:c>
      <x:c r="W604" s="253" t="str">
        <x:v>Yes</x:v>
      </x:c>
      <x:c r="X604" s="259" t="n">
        <x:v>46161.166666666664</x:v>
      </x:c>
      <x:c r="Y604" s="265" t="n">
        <x:v>244374.08</x:v>
      </x:c>
      <x:c r="Z604" s="265" t="n">
        <x:v>577274.08</x:v>
      </x:c>
      <x:c r="AA604" s="253" t="str">
        <x:f>IF(V604="No","Maturing",IF(AND(U604="Yes",Y604&gt;0),"Yes","No"))</x:f>
        <x:v>No</x:v>
      </x:c>
      <x:c r="AB604" s="253" t="str">
        <x:f>IF(W604="No","Maturing",IF(AND(U604="Yes",Z604&gt;0),"Yes","No"))</x:f>
        <x:v>No</x:v>
      </x:c>
      <x:c r="AC604" s="265" t="n">
        <x:v>50697.93</x:v>
      </x:c>
      <x:c r="AD604" s="265" t="n">
        <x:v>1462.16</x:v>
      </x:c>
      <x:c r="AE604" s="271" t="str"/>
      <x:c r="AF604" s="274" t="str">
        <x:v>Not validated - no control/holdout</x:v>
      </x:c>
      <x:c r="AG604" s="277" t="str">
        <x:v>Recovered execution only; assignment date and unclaimed-offer denominator unavailable</x:v>
      </x:c>
    </x:row>
    <x:row r="605">
      <x:c r="A605" s="252" t="str">
        <x:v>34287714</x:v>
      </x:c>
      <x:c r="B605" s="253" t="str">
        <x:v>WS1</x:v>
      </x:c>
      <x:c r="C605" s="253" t="str">
        <x:v>MB8</x:v>
      </x:c>
      <x:c r="D605" s="262" t="n">
        <x:v>46161.39885416667</x:v>
      </x:c>
      <x:c r="E605" s="259" t="n">
        <x:v>46161.166666666664</x:v>
      </x:c>
      <x:c r="F605" s="253" t="str">
        <x:v>461077</x:v>
      </x:c>
      <x:c r="G605" s="253" t="str">
        <x:v>Chenghe</x:v>
      </x:c>
      <x:c r="H605" s="253" t="str">
        <x:v>Yes</x:v>
      </x:c>
      <x:c r="I605" s="253" t="str">
        <x:v>Claire</x:v>
      </x:c>
      <x:c r="J605" s="253" t="str">
        <x:v>Claire</x:v>
      </x:c>
      <x:c r="K605" s="259" t="n">
        <x:v>45659.166666666664</x:v>
      </x:c>
      <x:c r="L605" s="268" t="str">
        <x:f>IFERROR(VLOOKUP(I605,'Handler-Team Map'!$A$7:$C$17,2,FALSE),"")</x:f>
      </x:c>
      <x:c r="M605" s="268" t="str">
        <x:f>IFERROR(VLOOKUP(I605,'Handler-Team Map'!$A$7:$C$17,3,FALSE),"")</x:f>
      </x:c>
      <x:c r="N605" s="274" t="str">
        <x:v>FT_VM_DEP800_GET400_2X</x:v>
      </x:c>
      <x:c r="O605" s="274" t="str">
        <x:v>VIP BONUS - Deposit 800 Get 400 - 2x TO</x:v>
      </x:c>
      <x:c r="P605" s="274" t="str">
        <x:v>DepositBonus</x:v>
      </x:c>
      <x:c r="Q605" s="274" t="str">
        <x:v>Approved</x:v>
      </x:c>
      <x:c r="R605" s="265" t="n">
        <x:v>400</x:v>
      </x:c>
      <x:c r="S605" s="253" t="str">
        <x:v>Yes</x:v>
      </x:c>
      <x:c r="T605" s="265" t="n">
        <x:v>208700</x:v>
      </x:c>
      <x:c r="U605" s="253" t="str">
        <x:f>IF(AND(S605="Yes",T605=0),"Yes","No")</x:f>
        <x:v>No</x:v>
      </x:c>
      <x:c r="V605" s="253" t="str">
        <x:v>Yes</x:v>
      </x:c>
      <x:c r="W605" s="253" t="str">
        <x:v>Yes</x:v>
      </x:c>
      <x:c r="X605" s="259" t="n">
        <x:v>46161.166666666664</x:v>
      </x:c>
      <x:c r="Y605" s="265" t="n">
        <x:v>70200</x:v>
      </x:c>
      <x:c r="Z605" s="265" t="n">
        <x:v>106000</x:v>
      </x:c>
      <x:c r="AA605" s="253" t="str">
        <x:f>IF(V605="No","Maturing",IF(AND(U605="Yes",Y605&gt;0),"Yes","No"))</x:f>
        <x:v>No</x:v>
      </x:c>
      <x:c r="AB605" s="253" t="str">
        <x:f>IF(W605="No","Maturing",IF(AND(U605="Yes",Z605&gt;0),"Yes","No"))</x:f>
        <x:v>No</x:v>
      </x:c>
      <x:c r="AC605" s="265" t="n">
        <x:v>3200.77</x:v>
      </x:c>
      <x:c r="AD605" s="265" t="n">
        <x:v>6220.3</x:v>
      </x:c>
      <x:c r="AE605" s="271" t="str"/>
      <x:c r="AF605" s="274" t="str">
        <x:v>Not validated - no control/holdout</x:v>
      </x:c>
      <x:c r="AG605" s="277" t="str">
        <x:v>Recovered execution only; assignment date and unclaimed-offer denominator unavailable</x:v>
      </x:c>
    </x:row>
    <x:row r="606">
      <x:c r="A606" s="252" t="str">
        <x:v>34288113</x:v>
      </x:c>
      <x:c r="B606" s="253" t="str">
        <x:v>WS1</x:v>
      </x:c>
      <x:c r="C606" s="253" t="str">
        <x:v>MB8</x:v>
      </x:c>
      <x:c r="D606" s="262" t="n">
        <x:v>46161.43817129629</x:v>
      </x:c>
      <x:c r="E606" s="259" t="n">
        <x:v>46161.166666666664</x:v>
      </x:c>
      <x:c r="F606" s="253" t="str">
        <x:v>150566</x:v>
      </x:c>
      <x:c r="G606" s="253" t="str">
        <x:v>Arn3077</x:v>
      </x:c>
      <x:c r="H606" s="253" t="str">
        <x:v>Yes</x:v>
      </x:c>
      <x:c r="I606" s="253" t="str">
        <x:v>Serene</x:v>
      </x:c>
      <x:c r="J606" s="253" t="str">
        <x:v>Serene</x:v>
      </x:c>
      <x:c r="K606" s="259" t="n">
        <x:v>46090.166666666664</x:v>
      </x:c>
      <x:c r="L606" s="268" t="str">
        <x:f>IFERROR(VLOOKUP(I606,'Handler-Team Map'!$A$7:$C$17,2,FALSE),"")</x:f>
      </x:c>
      <x:c r="M606" s="268" t="str">
        <x:f>IFERROR(VLOOKUP(I606,'Handler-Team Map'!$A$7:$C$17,3,FALSE),"")</x:f>
      </x:c>
      <x:c r="N606" s="274" t="str">
        <x:v>FT_VM_DEP300_GET100_5X</x:v>
      </x:c>
      <x:c r="O606" s="274" t="str">
        <x:v>VIP BONUS - Deposit 300 Get 100 - 5x TO</x:v>
      </x:c>
      <x:c r="P606" s="274" t="str">
        <x:v>DepositBonus</x:v>
      </x:c>
      <x:c r="Q606" s="274" t="str">
        <x:v>Approved</x:v>
      </x:c>
      <x:c r="R606" s="265" t="n">
        <x:v>100</x:v>
      </x:c>
      <x:c r="S606" s="253" t="str">
        <x:v>Yes</x:v>
      </x:c>
      <x:c r="T606" s="265" t="n">
        <x:v>26160</x:v>
      </x:c>
      <x:c r="U606" s="253" t="str">
        <x:f>IF(AND(S606="Yes",T606=0),"Yes","No")</x:f>
        <x:v>No</x:v>
      </x:c>
      <x:c r="V606" s="253" t="str">
        <x:v>Yes</x:v>
      </x:c>
      <x:c r="W606" s="253" t="str">
        <x:v>Yes</x:v>
      </x:c>
      <x:c r="X606" s="259" t="n">
        <x:v>46161.166666666664</x:v>
      </x:c>
      <x:c r="Y606" s="265" t="n">
        <x:v>4550</x:v>
      </x:c>
      <x:c r="Z606" s="265" t="n">
        <x:v>7450</x:v>
      </x:c>
      <x:c r="AA606" s="253" t="str">
        <x:f>IF(V606="No","Maturing",IF(AND(U606="Yes",Y606&gt;0),"Yes","No"))</x:f>
        <x:v>No</x:v>
      </x:c>
      <x:c r="AB606" s="253" t="str">
        <x:f>IF(W606="No","Maturing",IF(AND(U606="Yes",Z606&gt;0),"Yes","No"))</x:f>
        <x:v>No</x:v>
      </x:c>
      <x:c r="AC606" s="265" t="n">
        <x:v>717.68</x:v>
      </x:c>
      <x:c r="AD606" s="265" t="n">
        <x:v>2817.39</x:v>
      </x:c>
      <x:c r="AE606" s="271" t="str"/>
      <x:c r="AF606" s="274" t="str">
        <x:v>Not validated - no control/holdout</x:v>
      </x:c>
      <x:c r="AG606" s="277" t="str">
        <x:v>Recovered execution only; assignment date and unclaimed-offer denominator unavailable</x:v>
      </x:c>
    </x:row>
    <x:row r="607">
      <x:c r="A607" s="252" t="str">
        <x:v>34288597</x:v>
      </x:c>
      <x:c r="B607" s="253" t="str">
        <x:v>WS1</x:v>
      </x:c>
      <x:c r="C607" s="253" t="str">
        <x:v>MB8</x:v>
      </x:c>
      <x:c r="D607" s="262" t="n">
        <x:v>46161.499548611115</x:v>
      </x:c>
      <x:c r="E607" s="259" t="n">
        <x:v>46161.166666666664</x:v>
      </x:c>
      <x:c r="F607" s="253" t="str">
        <x:v>1190425</x:v>
      </x:c>
      <x:c r="G607" s="253" t="str">
        <x:v>Lorry</x:v>
      </x:c>
      <x:c r="H607" s="253" t="str">
        <x:v>Yes</x:v>
      </x:c>
      <x:c r="I607" s="253" t="str">
        <x:v>Serene</x:v>
      </x:c>
      <x:c r="J607" s="253" t="str">
        <x:v>Serene</x:v>
      </x:c>
      <x:c r="K607" s="259" t="n">
        <x:v>46077.166666666664</x:v>
      </x:c>
      <x:c r="L607" s="268" t="str">
        <x:f>IFERROR(VLOOKUP(I607,'Handler-Team Map'!$A$7:$C$17,2,FALSE),"")</x:f>
      </x:c>
      <x:c r="M607" s="268" t="str">
        <x:f>IFERROR(VLOOKUP(I607,'Handler-Team Map'!$A$7:$C$17,3,FALSE),"")</x:f>
      </x:c>
      <x:c r="N607" s="274" t="str">
        <x:v>FT_VM_DEP600_GET200_5X</x:v>
      </x:c>
      <x:c r="O607" s="274" t="str">
        <x:v>VIP BONUS - Deposit 600 Get 200 - 5x TO</x:v>
      </x:c>
      <x:c r="P607" s="274" t="str">
        <x:v>DepositBonus</x:v>
      </x:c>
      <x:c r="Q607" s="274" t="str">
        <x:v>Approved</x:v>
      </x:c>
      <x:c r="R607" s="265" t="n">
        <x:v>200</x:v>
      </x:c>
      <x:c r="S607" s="253" t="str">
        <x:v>Yes</x:v>
      </x:c>
      <x:c r="T607" s="265" t="n">
        <x:v>201647.89</x:v>
      </x:c>
      <x:c r="U607" s="253" t="str">
        <x:f>IF(AND(S607="Yes",T607=0),"Yes","No")</x:f>
        <x:v>No</x:v>
      </x:c>
      <x:c r="V607" s="253" t="str">
        <x:v>Yes</x:v>
      </x:c>
      <x:c r="W607" s="253" t="str">
        <x:v>Yes</x:v>
      </x:c>
      <x:c r="X607" s="259" t="n">
        <x:v>46161.166666666664</x:v>
      </x:c>
      <x:c r="Y607" s="265" t="n">
        <x:v>8748.53</x:v>
      </x:c>
      <x:c r="Z607" s="265" t="n">
        <x:v>13648.53</x:v>
      </x:c>
      <x:c r="AA607" s="253" t="str">
        <x:f>IF(V607="No","Maturing",IF(AND(U607="Yes",Y607&gt;0),"Yes","No"))</x:f>
        <x:v>No</x:v>
      </x:c>
      <x:c r="AB607" s="253" t="str">
        <x:f>IF(W607="No","Maturing",IF(AND(U607="Yes",Z607&gt;0),"Yes","No"))</x:f>
        <x:v>No</x:v>
      </x:c>
      <x:c r="AC607" s="265" t="n">
        <x:v>6635.37</x:v>
      </x:c>
      <x:c r="AD607" s="265" t="n">
        <x:v>10928.09</x:v>
      </x:c>
      <x:c r="AE607" s="271" t="str"/>
      <x:c r="AF607" s="274" t="str">
        <x:v>Not validated - no control/holdout</x:v>
      </x:c>
      <x:c r="AG607" s="277" t="str">
        <x:v>Recovered execution only; assignment date and unclaimed-offer denominator unavailable</x:v>
      </x:c>
    </x:row>
    <x:row r="608">
      <x:c r="A608" s="252" t="str">
        <x:v>34289492</x:v>
      </x:c>
      <x:c r="B608" s="253" t="str">
        <x:v>WS1</x:v>
      </x:c>
      <x:c r="C608" s="253" t="str">
        <x:v>MB8</x:v>
      </x:c>
      <x:c r="D608" s="262" t="n">
        <x:v>46161.58456018518</x:v>
      </x:c>
      <x:c r="E608" s="259" t="n">
        <x:v>46161.166666666664</x:v>
      </x:c>
      <x:c r="F608" s="253" t="str">
        <x:v>923480</x:v>
      </x:c>
      <x:c r="G608" s="253" t="str">
        <x:v>jared081199</x:v>
      </x:c>
      <x:c r="H608" s="253" t="str">
        <x:v>Yes</x:v>
      </x:c>
      <x:c r="I608" s="253" t="str">
        <x:v>Tammy</x:v>
      </x:c>
      <x:c r="J608" s="253" t="str">
        <x:v>Tammy</x:v>
      </x:c>
      <x:c r="K608" s="259" t="n">
        <x:v>45951.166666666664</x:v>
      </x:c>
      <x:c r="L608" s="268" t="str">
        <x:f>IFERROR(VLOOKUP(I608,'Handler-Team Map'!$A$7:$C$17,2,FALSE),"")</x:f>
      </x:c>
      <x:c r="M608" s="268" t="str">
        <x:f>IFERROR(VLOOKUP(I608,'Handler-Team Map'!$A$7:$C$17,3,FALSE),"")</x:f>
      </x:c>
      <x:c r="N608" s="274" t="str">
        <x:v>FT_VM_DEP600_GET200_5X</x:v>
      </x:c>
      <x:c r="O608" s="274" t="str">
        <x:v>VIP BONUS - Deposit 600 Get 200 - 5x TO</x:v>
      </x:c>
      <x:c r="P608" s="274" t="str">
        <x:v>DepositBonus</x:v>
      </x:c>
      <x:c r="Q608" s="274" t="str">
        <x:v>Approved</x:v>
      </x:c>
      <x:c r="R608" s="265" t="n">
        <x:v>200</x:v>
      </x:c>
      <x:c r="S608" s="253" t="str">
        <x:v>Yes</x:v>
      </x:c>
      <x:c r="T608" s="265" t="n">
        <x:v>7060</x:v>
      </x:c>
      <x:c r="U608" s="253" t="str">
        <x:f>IF(AND(S608="Yes",T608=0),"Yes","No")</x:f>
        <x:v>No</x:v>
      </x:c>
      <x:c r="V608" s="253" t="str">
        <x:v>Yes</x:v>
      </x:c>
      <x:c r="W608" s="253" t="str">
        <x:v>Yes</x:v>
      </x:c>
      <x:c r="X608" s="259" t="n">
        <x:v>46161.166666666664</x:v>
      </x:c>
      <x:c r="Y608" s="265" t="n">
        <x:v>5400</x:v>
      </x:c>
      <x:c r="Z608" s="265" t="n">
        <x:v>12324</x:v>
      </x:c>
      <x:c r="AA608" s="253" t="str">
        <x:f>IF(V608="No","Maturing",IF(AND(U608="Yes",Y608&gt;0),"Yes","No"))</x:f>
        <x:v>No</x:v>
      </x:c>
      <x:c r="AB608" s="253" t="str">
        <x:f>IF(W608="No","Maturing",IF(AND(U608="Yes",Z608&gt;0),"Yes","No"))</x:f>
        <x:v>No</x:v>
      </x:c>
      <x:c r="AC608" s="265" t="n">
        <x:v>1187.91</x:v>
      </x:c>
      <x:c r="AD608" s="265" t="n">
        <x:v>2173.89</x:v>
      </x:c>
      <x:c r="AE608" s="271" t="str"/>
      <x:c r="AF608" s="274" t="str">
        <x:v>Not validated - no control/holdout</x:v>
      </x:c>
      <x:c r="AG608" s="277" t="str">
        <x:v>Recovered execution only; assignment date and unclaimed-offer denominator unavailable</x:v>
      </x:c>
    </x:row>
    <x:row r="609">
      <x:c r="A609" s="252" t="str">
        <x:v>34290174</x:v>
      </x:c>
      <x:c r="B609" s="253" t="str">
        <x:v>WS1</x:v>
      </x:c>
      <x:c r="C609" s="253" t="str">
        <x:v>MB8</x:v>
      </x:c>
      <x:c r="D609" s="262" t="n">
        <x:v>46161.666608796295</x:v>
      </x:c>
      <x:c r="E609" s="259" t="n">
        <x:v>46161.166666666664</x:v>
      </x:c>
      <x:c r="F609" s="253" t="str">
        <x:v>380888</x:v>
      </x:c>
      <x:c r="G609" s="253" t="str">
        <x:v>andy9790</x:v>
      </x:c>
      <x:c r="H609" s="253" t="str">
        <x:v>Yes</x:v>
      </x:c>
      <x:c r="I609" s="253" t="str">
        <x:v>Serene</x:v>
      </x:c>
      <x:c r="J609" s="253" t="str">
        <x:v>Serene</x:v>
      </x:c>
      <x:c r="K609" s="259" t="n">
        <x:v>45859.166666666664</x:v>
      </x:c>
      <x:c r="L609" s="268" t="str">
        <x:f>IFERROR(VLOOKUP(I609,'Handler-Team Map'!$A$7:$C$17,2,FALSE),"")</x:f>
      </x:c>
      <x:c r="M609" s="268" t="str">
        <x:f>IFERROR(VLOOKUP(I609,'Handler-Team Map'!$A$7:$C$17,3,FALSE),"")</x:f>
      </x:c>
      <x:c r="N609" s="274" t="str">
        <x:v>FT_VM_DEP700_GET300_2X</x:v>
      </x:c>
      <x:c r="O609" s="274" t="str">
        <x:v>VIP BONUS - Deposit 700 Get 300 - 2x TO</x:v>
      </x:c>
      <x:c r="P609" s="274" t="str">
        <x:v>DepositBonus</x:v>
      </x:c>
      <x:c r="Q609" s="274" t="str">
        <x:v>Approved</x:v>
      </x:c>
      <x:c r="R609" s="265" t="n">
        <x:v>300</x:v>
      </x:c>
      <x:c r="S609" s="253" t="str">
        <x:v>Yes</x:v>
      </x:c>
      <x:c r="T609" s="265" t="n">
        <x:v>700</x:v>
      </x:c>
      <x:c r="U609" s="253" t="str">
        <x:f>IF(AND(S609="Yes",T609=0),"Yes","No")</x:f>
        <x:v>No</x:v>
      </x:c>
      <x:c r="V609" s="253" t="str">
        <x:v>Yes</x:v>
      </x:c>
      <x:c r="W609" s="253" t="str">
        <x:v>Yes</x:v>
      </x:c>
      <x:c r="X609" s="259" t="n">
        <x:v>46161.166666666664</x:v>
      </x:c>
      <x:c r="Y609" s="265" t="n">
        <x:v>700</x:v>
      </x:c>
      <x:c r="Z609" s="265" t="n">
        <x:v>700</x:v>
      </x:c>
      <x:c r="AA609" s="253" t="str">
        <x:f>IF(V609="No","Maturing",IF(AND(U609="Yes",Y609&gt;0),"Yes","No"))</x:f>
        <x:v>No</x:v>
      </x:c>
      <x:c r="AB609" s="253" t="str">
        <x:f>IF(W609="No","Maturing",IF(AND(U609="Yes",Z609&gt;0),"Yes","No"))</x:f>
        <x:v>No</x:v>
      </x:c>
      <x:c r="AC609" s="265" t="n">
        <x:v>710</x:v>
      </x:c>
      <x:c r="AD609" s="265" t="n">
        <x:v>710</x:v>
      </x:c>
      <x:c r="AE609" s="271" t="str"/>
      <x:c r="AF609" s="274" t="str">
        <x:v>Not validated - no control/holdout</x:v>
      </x:c>
      <x:c r="AG609" s="277" t="str">
        <x:v>Recovered execution only; assignment date and unclaimed-offer denominator unavailable</x:v>
      </x:c>
    </x:row>
    <x:row r="610">
      <x:c r="A610" s="252" t="str">
        <x:v>34290477</x:v>
      </x:c>
      <x:c r="B610" s="253" t="str">
        <x:v>WS1</x:v>
      </x:c>
      <x:c r="C610" s="253" t="str">
        <x:v>MB8</x:v>
      </x:c>
      <x:c r="D610" s="262" t="n">
        <x:v>46161.70013888889</x:v>
      </x:c>
      <x:c r="E610" s="259" t="n">
        <x:v>46161.166666666664</x:v>
      </x:c>
      <x:c r="F610" s="253" t="str">
        <x:v>788432</x:v>
      </x:c>
      <x:c r="G610" s="253" t="str">
        <x:v>Jerrytan999</x:v>
      </x:c>
      <x:c r="H610" s="253" t="str">
        <x:v>Yes</x:v>
      </x:c>
      <x:c r="I610" s="253" t="str">
        <x:v>zhen</x:v>
      </x:c>
      <x:c r="J610" s="253" t="str">
        <x:v>zhen</x:v>
      </x:c>
      <x:c r="K610" s="259" t="n">
        <x:v>45880.166666666664</x:v>
      </x:c>
      <x:c r="L610" s="268" t="str">
        <x:f>IFERROR(VLOOKUP(I610,'Handler-Team Map'!$A$7:$C$17,2,FALSE),"")</x:f>
      </x:c>
      <x:c r="M610" s="268" t="str">
        <x:f>IFERROR(VLOOKUP(I610,'Handler-Team Map'!$A$7:$C$17,3,FALSE),"")</x:f>
      </x:c>
      <x:c r="N610" s="274" t="str">
        <x:v>FT_VM_DEP1000_GET500_1X</x:v>
      </x:c>
      <x:c r="O610" s="274" t="str">
        <x:v>VIP BONUS - Deposit 1000 Get 500 - 1x TO</x:v>
      </x:c>
      <x:c r="P610" s="274" t="str">
        <x:v>DepositBonus</x:v>
      </x:c>
      <x:c r="Q610" s="274" t="str">
        <x:v>Approved</x:v>
      </x:c>
      <x:c r="R610" s="265" t="n">
        <x:v>500</x:v>
      </x:c>
      <x:c r="S610" s="253" t="str">
        <x:v>Yes</x:v>
      </x:c>
      <x:c r="T610" s="265" t="n">
        <x:v>1088</x:v>
      </x:c>
      <x:c r="U610" s="253" t="str">
        <x:f>IF(AND(S610="Yes",T610=0),"Yes","No")</x:f>
        <x:v>No</x:v>
      </x:c>
      <x:c r="V610" s="253" t="str">
        <x:v>Yes</x:v>
      </x:c>
      <x:c r="W610" s="253" t="str">
        <x:v>Yes</x:v>
      </x:c>
      <x:c r="X610" s="259" t="n">
        <x:v>46161.166666666664</x:v>
      </x:c>
      <x:c r="Y610" s="265" t="n">
        <x:v>1780</x:v>
      </x:c>
      <x:c r="Z610" s="265" t="n">
        <x:v>1780</x:v>
      </x:c>
      <x:c r="AA610" s="253" t="str">
        <x:f>IF(V610="No","Maturing",IF(AND(U610="Yes",Y610&gt;0),"Yes","No"))</x:f>
        <x:v>No</x:v>
      </x:c>
      <x:c r="AB610" s="253" t="str">
        <x:f>IF(W610="No","Maturing",IF(AND(U610="Yes",Z610&gt;0),"Yes","No"))</x:f>
        <x:v>No</x:v>
      </x:c>
      <x:c r="AC610" s="265" t="n">
        <x:v>236.58</x:v>
      </x:c>
      <x:c r="AD610" s="265" t="n">
        <x:v>236.6</x:v>
      </x:c>
      <x:c r="AE610" s="271" t="str"/>
      <x:c r="AF610" s="274" t="str">
        <x:v>Not validated - no control/holdout</x:v>
      </x:c>
      <x:c r="AG610" s="277" t="str">
        <x:v>Recovered execution only; assignment date and unclaimed-offer denominator unavailable</x:v>
      </x:c>
    </x:row>
    <x:row r="611">
      <x:c r="A611" s="252" t="str">
        <x:v>34290710</x:v>
      </x:c>
      <x:c r="B611" s="253" t="str">
        <x:v>WS1</x:v>
      </x:c>
      <x:c r="C611" s="253" t="str">
        <x:v>MB8</x:v>
      </x:c>
      <x:c r="D611" s="262" t="n">
        <x:v>46161.716319444444</x:v>
      </x:c>
      <x:c r="E611" s="259" t="n">
        <x:v>46161.166666666664</x:v>
      </x:c>
      <x:c r="F611" s="253" t="str">
        <x:v>419319</x:v>
      </x:c>
      <x:c r="G611" s="253" t="str">
        <x:v>kudinn</x:v>
      </x:c>
      <x:c r="H611" s="253" t="str">
        <x:v>Yes</x:v>
      </x:c>
      <x:c r="I611" s="253" t="str"/>
      <x:c r="J611" s="253" t="str"/>
      <x:c r="K611" s="259"/>
      <x:c r="L611" s="268" t="str">
        <x:f>IFERROR(VLOOKUP(I611,'Handler-Team Map'!$A$7:$C$17,2,FALSE),"")</x:f>
      </x:c>
      <x:c r="M611" s="268" t="str">
        <x:f>IFERROR(VLOOKUP(I611,'Handler-Team Map'!$A$7:$C$17,3,FALSE),"")</x:f>
      </x:c>
      <x:c r="N611" s="274" t="str">
        <x:v>FT_VM_DEP600_GET200_5X</x:v>
      </x:c>
      <x:c r="O611" s="274" t="str">
        <x:v>VIP BONUS - Deposit 600 Get 200 - 5x TO</x:v>
      </x:c>
      <x:c r="P611" s="274" t="str">
        <x:v>DepositBonus</x:v>
      </x:c>
      <x:c r="Q611" s="274" t="str">
        <x:v>Approved</x:v>
      </x:c>
      <x:c r="R611" s="265" t="n">
        <x:v>200</x:v>
      </x:c>
      <x:c r="S611" s="253" t="str">
        <x:v>Yes</x:v>
      </x:c>
      <x:c r="T611" s="265" t="n">
        <x:v>100</x:v>
      </x:c>
      <x:c r="U611" s="253" t="str">
        <x:f>IF(AND(S611="Yes",T611=0),"Yes","No")</x:f>
        <x:v>No</x:v>
      </x:c>
      <x:c r="V611" s="253" t="str">
        <x:v>Yes</x:v>
      </x:c>
      <x:c r="W611" s="253" t="str">
        <x:v>Yes</x:v>
      </x:c>
      <x:c r="X611" s="259" t="n">
        <x:v>46161.166666666664</x:v>
      </x:c>
      <x:c r="Y611" s="265" t="n">
        <x:v>1330</x:v>
      </x:c>
      <x:c r="Z611" s="265" t="n">
        <x:v>1330</x:v>
      </x:c>
      <x:c r="AA611" s="253" t="str">
        <x:f>IF(V611="No","Maturing",IF(AND(U611="Yes",Y611&gt;0),"Yes","No"))</x:f>
        <x:v>No</x:v>
      </x:c>
      <x:c r="AB611" s="253" t="str">
        <x:f>IF(W611="No","Maturing",IF(AND(U611="Yes",Z611&gt;0),"Yes","No"))</x:f>
        <x:v>No</x:v>
      </x:c>
      <x:c r="AC611" s="265" t="n">
        <x:v>144.15</x:v>
      </x:c>
      <x:c r="AD611" s="265" t="n">
        <x:v>140.79</x:v>
      </x:c>
      <x:c r="AE611" s="271" t="str"/>
      <x:c r="AF611" s="274" t="str">
        <x:v>Not validated - no control/holdout</x:v>
      </x:c>
      <x:c r="AG611" s="277" t="str">
        <x:v>Recovered execution only; assignment date and unclaimed-offer denominator unavailable</x:v>
      </x:c>
    </x:row>
    <x:row r="612">
      <x:c r="A612" s="252" t="str">
        <x:v>34291160</x:v>
      </x:c>
      <x:c r="B612" s="253" t="str">
        <x:v>WS1</x:v>
      </x:c>
      <x:c r="C612" s="253" t="str">
        <x:v>MB8</x:v>
      </x:c>
      <x:c r="D612" s="262" t="n">
        <x:v>46161.76059027778</x:v>
      </x:c>
      <x:c r="E612" s="259" t="n">
        <x:v>46161.166666666664</x:v>
      </x:c>
      <x:c r="F612" s="253" t="str">
        <x:v>1179606</x:v>
      </x:c>
      <x:c r="G612" s="253" t="str">
        <x:v>yonerota</x:v>
      </x:c>
      <x:c r="H612" s="253" t="str">
        <x:v>Yes</x:v>
      </x:c>
      <x:c r="I612" s="253" t="str"/>
      <x:c r="J612" s="253" t="str"/>
      <x:c r="K612" s="259"/>
      <x:c r="L612" s="268" t="str">
        <x:f>IFERROR(VLOOKUP(I612,'Handler-Team Map'!$A$7:$C$17,2,FALSE),"")</x:f>
      </x:c>
      <x:c r="M612" s="268" t="str">
        <x:f>IFERROR(VLOOKUP(I612,'Handler-Team Map'!$A$7:$C$17,3,FALSE),"")</x:f>
      </x:c>
      <x:c r="N612" s="274" t="str">
        <x:v>FT_VM_DEP800_GET400_2X</x:v>
      </x:c>
      <x:c r="O612" s="274" t="str">
        <x:v>VIP BONUS - Deposit 800 Get 400 - 2x TO</x:v>
      </x:c>
      <x:c r="P612" s="274" t="str">
        <x:v>DepositBonus</x:v>
      </x:c>
      <x:c r="Q612" s="274" t="str">
        <x:v>Approved</x:v>
      </x:c>
      <x:c r="R612" s="265" t="n">
        <x:v>400</x:v>
      </x:c>
      <x:c r="S612" s="253" t="str">
        <x:v>Yes</x:v>
      </x:c>
      <x:c r="T612" s="265" t="n">
        <x:v>2528</x:v>
      </x:c>
      <x:c r="U612" s="253" t="str">
        <x:f>IF(AND(S612="Yes",T612=0),"Yes","No")</x:f>
        <x:v>No</x:v>
      </x:c>
      <x:c r="V612" s="253" t="str">
        <x:v>Yes</x:v>
      </x:c>
      <x:c r="W612" s="253" t="str">
        <x:v>Yes</x:v>
      </x:c>
      <x:c r="X612" s="259" t="n">
        <x:v>46161.166666666664</x:v>
      </x:c>
      <x:c r="Y612" s="265" t="n">
        <x:v>850</x:v>
      </x:c>
      <x:c r="Z612" s="265" t="n">
        <x:v>850</x:v>
      </x:c>
      <x:c r="AA612" s="253" t="str">
        <x:f>IF(V612="No","Maturing",IF(AND(U612="Yes",Y612&gt;0),"Yes","No"))</x:f>
        <x:v>No</x:v>
      </x:c>
      <x:c r="AB612" s="253" t="str">
        <x:f>IF(W612="No","Maturing",IF(AND(U612="Yes",Z612&gt;0),"Yes","No"))</x:f>
        <x:v>No</x:v>
      </x:c>
      <x:c r="AC612" s="265" t="n">
        <x:v>-1059.43</x:v>
      </x:c>
      <x:c r="AD612" s="265" t="n">
        <x:v>-1059.43</x:v>
      </x:c>
      <x:c r="AE612" s="271" t="str"/>
      <x:c r="AF612" s="274" t="str">
        <x:v>Not validated - no control/holdout</x:v>
      </x:c>
      <x:c r="AG612" s="277" t="str">
        <x:v>Recovered execution only; assignment date and unclaimed-offer denominator unavailable</x:v>
      </x:c>
    </x:row>
    <x:row r="613">
      <x:c r="A613" s="252" t="str">
        <x:v>34291292</x:v>
      </x:c>
      <x:c r="B613" s="253" t="str">
        <x:v>WS1</x:v>
      </x:c>
      <x:c r="C613" s="253" t="str">
        <x:v>MB8</x:v>
      </x:c>
      <x:c r="D613" s="262" t="n">
        <x:v>46161.77564814815</x:v>
      </x:c>
      <x:c r="E613" s="259" t="n">
        <x:v>46161.166666666664</x:v>
      </x:c>
      <x:c r="F613" s="253" t="str">
        <x:v>779246</x:v>
      </x:c>
      <x:c r="G613" s="253" t="str">
        <x:v>hhhooi</x:v>
      </x:c>
      <x:c r="H613" s="253" t="str">
        <x:v>Yes</x:v>
      </x:c>
      <x:c r="I613" s="253" t="str">
        <x:v>Tammy</x:v>
      </x:c>
      <x:c r="J613" s="253" t="str">
        <x:v>Tammy</x:v>
      </x:c>
      <x:c r="K613" s="259" t="n">
        <x:v>46028.166666666664</x:v>
      </x:c>
      <x:c r="L613" s="268" t="str">
        <x:f>IFERROR(VLOOKUP(I613,'Handler-Team Map'!$A$7:$C$17,2,FALSE),"")</x:f>
      </x:c>
      <x:c r="M613" s="268" t="str">
        <x:f>IFERROR(VLOOKUP(I613,'Handler-Team Map'!$A$7:$C$17,3,FALSE),"")</x:f>
      </x:c>
      <x:c r="N613" s="274" t="str">
        <x:v>FT_VM_DEP1000_GET700_2X</x:v>
      </x:c>
      <x:c r="O613" s="274" t="str">
        <x:v>VIP BONUS - Deposit 1000 Get 700 - 2x TO</x:v>
      </x:c>
      <x:c r="P613" s="274" t="str">
        <x:v>DepositBonus</x:v>
      </x:c>
      <x:c r="Q613" s="274" t="str">
        <x:v>Approved</x:v>
      </x:c>
      <x:c r="R613" s="265" t="n">
        <x:v>700</x:v>
      </x:c>
      <x:c r="S613" s="253" t="str">
        <x:v>Yes</x:v>
      </x:c>
      <x:c r="T613" s="265" t="n">
        <x:v>1000</x:v>
      </x:c>
      <x:c r="U613" s="253" t="str">
        <x:f>IF(AND(S613="Yes",T613=0),"Yes","No")</x:f>
        <x:v>No</x:v>
      </x:c>
      <x:c r="V613" s="253" t="str">
        <x:v>Yes</x:v>
      </x:c>
      <x:c r="W613" s="253" t="str">
        <x:v>Yes</x:v>
      </x:c>
      <x:c r="X613" s="259" t="n">
        <x:v>46161.166666666664</x:v>
      </x:c>
      <x:c r="Y613" s="265" t="n">
        <x:v>1000</x:v>
      </x:c>
      <x:c r="Z613" s="265" t="n">
        <x:v>1000</x:v>
      </x:c>
      <x:c r="AA613" s="253" t="str">
        <x:f>IF(V613="No","Maturing",IF(AND(U613="Yes",Y613&gt;0),"Yes","No"))</x:f>
        <x:v>No</x:v>
      </x:c>
      <x:c r="AB613" s="253" t="str">
        <x:f>IF(W613="No","Maturing",IF(AND(U613="Yes",Z613&gt;0),"Yes","No"))</x:f>
        <x:v>No</x:v>
      </x:c>
      <x:c r="AC613" s="265" t="n">
        <x:v>1221.56</x:v>
      </x:c>
      <x:c r="AD613" s="265" t="n">
        <x:v>1221.56</x:v>
      </x:c>
      <x:c r="AE613" s="271" t="str"/>
      <x:c r="AF613" s="274" t="str">
        <x:v>Not validated - no control/holdout</x:v>
      </x:c>
      <x:c r="AG613" s="277" t="str">
        <x:v>Recovered execution only; assignment date and unclaimed-offer denominator unavailable</x:v>
      </x:c>
    </x:row>
    <x:row r="614">
      <x:c r="A614" s="252" t="str">
        <x:v>34291763</x:v>
      </x:c>
      <x:c r="B614" s="253" t="str">
        <x:v>WS1</x:v>
      </x:c>
      <x:c r="C614" s="253" t="str">
        <x:v>MB8</x:v>
      </x:c>
      <x:c r="D614" s="262" t="n">
        <x:v>46161.82550925926</x:v>
      </x:c>
      <x:c r="E614" s="259" t="n">
        <x:v>46161.166666666664</x:v>
      </x:c>
      <x:c r="F614" s="253" t="str">
        <x:v>926540</x:v>
      </x:c>
      <x:c r="G614" s="253" t="str">
        <x:v>BARONGOH</x:v>
      </x:c>
      <x:c r="H614" s="253" t="str">
        <x:v>Yes</x:v>
      </x:c>
      <x:c r="I614" s="253" t="str"/>
      <x:c r="J614" s="253" t="str"/>
      <x:c r="K614" s="259"/>
      <x:c r="L614" s="268" t="str">
        <x:f>IFERROR(VLOOKUP(I614,'Handler-Team Map'!$A$7:$C$17,2,FALSE),"")</x:f>
      </x:c>
      <x:c r="M614" s="268" t="str">
        <x:f>IFERROR(VLOOKUP(I614,'Handler-Team Map'!$A$7:$C$17,3,FALSE),"")</x:f>
      </x:c>
      <x:c r="N614" s="274" t="str">
        <x:v>FT_VM_DEP800_GET400_2X</x:v>
      </x:c>
      <x:c r="O614" s="274" t="str">
        <x:v>VIP BONUS - Deposit 800 Get 400 - 2x TO</x:v>
      </x:c>
      <x:c r="P614" s="274" t="str">
        <x:v>DepositBonus</x:v>
      </x:c>
      <x:c r="Q614" s="274" t="str">
        <x:v>Approved</x:v>
      </x:c>
      <x:c r="R614" s="265" t="n">
        <x:v>400</x:v>
      </x:c>
      <x:c r="S614" s="253" t="str">
        <x:v>Yes</x:v>
      </x:c>
      <x:c r="T614" s="265" t="n">
        <x:v>1000</x:v>
      </x:c>
      <x:c r="U614" s="253" t="str">
        <x:f>IF(AND(S614="Yes",T614=0),"Yes","No")</x:f>
        <x:v>No</x:v>
      </x:c>
      <x:c r="V614" s="253" t="str">
        <x:v>Yes</x:v>
      </x:c>
      <x:c r="W614" s="253" t="str">
        <x:v>Yes</x:v>
      </x:c>
      <x:c r="X614" s="259" t="n">
        <x:v>46161.166666666664</x:v>
      </x:c>
      <x:c r="Y614" s="265" t="n">
        <x:v>2800</x:v>
      </x:c>
      <x:c r="Z614" s="265" t="n">
        <x:v>2800</x:v>
      </x:c>
      <x:c r="AA614" s="253" t="str">
        <x:f>IF(V614="No","Maturing",IF(AND(U614="Yes",Y614&gt;0),"Yes","No"))</x:f>
        <x:v>No</x:v>
      </x:c>
      <x:c r="AB614" s="253" t="str">
        <x:f>IF(W614="No","Maturing",IF(AND(U614="Yes",Z614&gt;0),"Yes","No"))</x:f>
        <x:v>No</x:v>
      </x:c>
      <x:c r="AC614" s="265" t="n">
        <x:v>2799.47</x:v>
      </x:c>
      <x:c r="AD614" s="265" t="n">
        <x:v>2799.47</x:v>
      </x:c>
      <x:c r="AE614" s="271" t="str"/>
      <x:c r="AF614" s="274" t="str">
        <x:v>Not validated - no control/holdout</x:v>
      </x:c>
      <x:c r="AG614" s="277" t="str">
        <x:v>Recovered execution only; assignment date and unclaimed-offer denominator unavailable</x:v>
      </x:c>
    </x:row>
    <x:row r="615">
      <x:c r="A615" s="252" t="str">
        <x:v>34292689</x:v>
      </x:c>
      <x:c r="B615" s="253" t="str">
        <x:v>WS1</x:v>
      </x:c>
      <x:c r="C615" s="253" t="str">
        <x:v>MB8</x:v>
      </x:c>
      <x:c r="D615" s="262" t="n">
        <x:v>46161.904490740744</x:v>
      </x:c>
      <x:c r="E615" s="259" t="n">
        <x:v>46161.166666666664</x:v>
      </x:c>
      <x:c r="F615" s="253" t="str">
        <x:v>716818</x:v>
      </x:c>
      <x:c r="G615" s="253" t="str">
        <x:v>yan1288</x:v>
      </x:c>
      <x:c r="H615" s="253" t="str">
        <x:v>Yes</x:v>
      </x:c>
      <x:c r="I615" s="253" t="str"/>
      <x:c r="J615" s="253" t="str"/>
      <x:c r="K615" s="259"/>
      <x:c r="L615" s="268" t="str">
        <x:f>IFERROR(VLOOKUP(I615,'Handler-Team Map'!$A$7:$C$17,2,FALSE),"")</x:f>
      </x:c>
      <x:c r="M615" s="268" t="str">
        <x:f>IFERROR(VLOOKUP(I615,'Handler-Team Map'!$A$7:$C$17,3,FALSE),"")</x:f>
      </x:c>
      <x:c r="N615" s="274" t="str">
        <x:v>FT_VM_DEP600_GET200_5X</x:v>
      </x:c>
      <x:c r="O615" s="274" t="str">
        <x:v>VIP BONUS - Deposit 600 Get 200 - 5x TO</x:v>
      </x:c>
      <x:c r="P615" s="274" t="str">
        <x:v>DepositBonus</x:v>
      </x:c>
      <x:c r="Q615" s="274" t="str">
        <x:v>Approved</x:v>
      </x:c>
      <x:c r="R615" s="265" t="n">
        <x:v>200</x:v>
      </x:c>
      <x:c r="S615" s="253" t="str">
        <x:v>Yes</x:v>
      </x:c>
      <x:c r="T615" s="265" t="n">
        <x:v>0</x:v>
      </x:c>
      <x:c r="U615" s="253" t="str">
        <x:f>IF(AND(S615="Yes",T615=0),"Yes","No")</x:f>
        <x:v>Yes</x:v>
      </x:c>
      <x:c r="V615" s="253" t="str">
        <x:v>Yes</x:v>
      </x:c>
      <x:c r="W615" s="253" t="str">
        <x:v>Yes</x:v>
      </x:c>
      <x:c r="X615" s="259" t="n">
        <x:v>46161.166666666664</x:v>
      </x:c>
      <x:c r="Y615" s="265" t="n">
        <x:v>1750</x:v>
      </x:c>
      <x:c r="Z615" s="265" t="n">
        <x:v>1750</x:v>
      </x:c>
      <x:c r="AA615" s="253" t="str">
        <x:f>IF(V615="No","Maturing",IF(AND(U615="Yes",Y615&gt;0),"Yes","No"))</x:f>
        <x:v>Yes</x:v>
      </x:c>
      <x:c r="AB615" s="253" t="str">
        <x:f>IF(W615="No","Maturing",IF(AND(U615="Yes",Z615&gt;0),"Yes","No"))</x:f>
        <x:v>Yes</x:v>
      </x:c>
      <x:c r="AC615" s="265" t="n">
        <x:v>-1107.97</x:v>
      </x:c>
      <x:c r="AD615" s="265" t="n">
        <x:v>-944.47</x:v>
      </x:c>
      <x:c r="AE615" s="271" t="str"/>
      <x:c r="AF615" s="274" t="str">
        <x:v>Not validated - no control/holdout</x:v>
      </x:c>
      <x:c r="AG615" s="277" t="str">
        <x:v>Recovered execution only; assignment date and unclaimed-offer denominator unavailable</x:v>
      </x:c>
    </x:row>
    <x:row r="616">
      <x:c r="A616" s="252" t="str">
        <x:v>34293072</x:v>
      </x:c>
      <x:c r="B616" s="253" t="str">
        <x:v>WS1</x:v>
      </x:c>
      <x:c r="C616" s="253" t="str">
        <x:v>MB8</x:v>
      </x:c>
      <x:c r="D616" s="262" t="n">
        <x:v>46161.93203703704</x:v>
      </x:c>
      <x:c r="E616" s="259" t="n">
        <x:v>46161.166666666664</x:v>
      </x:c>
      <x:c r="F616" s="253" t="str">
        <x:v>288472</x:v>
      </x:c>
      <x:c r="G616" s="253" t="str">
        <x:v>ANGIENG5</x:v>
      </x:c>
      <x:c r="H616" s="253" t="str">
        <x:v>Yes</x:v>
      </x:c>
      <x:c r="I616" s="253" t="str">
        <x:v>Claire</x:v>
      </x:c>
      <x:c r="J616" s="253" t="str">
        <x:v>Claire</x:v>
      </x:c>
      <x:c r="K616" s="259" t="n">
        <x:v>45659.166666666664</x:v>
      </x:c>
      <x:c r="L616" s="268" t="str">
        <x:f>IFERROR(VLOOKUP(I616,'Handler-Team Map'!$A$7:$C$17,2,FALSE),"")</x:f>
      </x:c>
      <x:c r="M616" s="268" t="str">
        <x:f>IFERROR(VLOOKUP(I616,'Handler-Team Map'!$A$7:$C$17,3,FALSE),"")</x:f>
      </x:c>
      <x:c r="N616" s="274" t="str">
        <x:v>FT_VM_DEP1000_GET500_5X</x:v>
      </x:c>
      <x:c r="O616" s="274" t="str">
        <x:v>VIP BONUS - Deposit 1000 Get 500 - 5x TO</x:v>
      </x:c>
      <x:c r="P616" s="274" t="str">
        <x:v>DepositBonus</x:v>
      </x:c>
      <x:c r="Q616" s="274" t="str">
        <x:v>Approved</x:v>
      </x:c>
      <x:c r="R616" s="265" t="n">
        <x:v>500</x:v>
      </x:c>
      <x:c r="S616" s="253" t="str">
        <x:v>Yes</x:v>
      </x:c>
      <x:c r="T616" s="265" t="n">
        <x:v>18991</x:v>
      </x:c>
      <x:c r="U616" s="253" t="str">
        <x:f>IF(AND(S616="Yes",T616=0),"Yes","No")</x:f>
        <x:v>No</x:v>
      </x:c>
      <x:c r="V616" s="253" t="str">
        <x:v>Yes</x:v>
      </x:c>
      <x:c r="W616" s="253" t="str">
        <x:v>Yes</x:v>
      </x:c>
      <x:c r="X616" s="259" t="n">
        <x:v>46161.166666666664</x:v>
      </x:c>
      <x:c r="Y616" s="265" t="n">
        <x:v>5610</x:v>
      </x:c>
      <x:c r="Z616" s="265" t="n">
        <x:v>6350</x:v>
      </x:c>
      <x:c r="AA616" s="253" t="str">
        <x:f>IF(V616="No","Maturing",IF(AND(U616="Yes",Y616&gt;0),"Yes","No"))</x:f>
        <x:v>No</x:v>
      </x:c>
      <x:c r="AB616" s="253" t="str">
        <x:f>IF(W616="No","Maturing",IF(AND(U616="Yes",Z616&gt;0),"Yes","No"))</x:f>
        <x:v>No</x:v>
      </x:c>
      <x:c r="AC616" s="265" t="n">
        <x:v>4419.83</x:v>
      </x:c>
      <x:c r="AD616" s="265" t="n">
        <x:v>5158.37</x:v>
      </x:c>
      <x:c r="AE616" s="271" t="str"/>
      <x:c r="AF616" s="274" t="str">
        <x:v>Not validated - no control/holdout</x:v>
      </x:c>
      <x:c r="AG616" s="277" t="str">
        <x:v>Recovered execution only; assignment date and unclaimed-offer denominator unavailable</x:v>
      </x:c>
    </x:row>
    <x:row r="617">
      <x:c r="A617" s="252" t="str">
        <x:v>34293285</x:v>
      </x:c>
      <x:c r="B617" s="253" t="str">
        <x:v>WS1</x:v>
      </x:c>
      <x:c r="C617" s="253" t="str">
        <x:v>MB8</x:v>
      </x:c>
      <x:c r="D617" s="262" t="n">
        <x:v>46161.94732638889</x:v>
      </x:c>
      <x:c r="E617" s="259" t="n">
        <x:v>46161.166666666664</x:v>
      </x:c>
      <x:c r="F617" s="253" t="str">
        <x:v>40741</x:v>
      </x:c>
      <x:c r="G617" s="253" t="str">
        <x:v>Gemaunting</x:v>
      </x:c>
      <x:c r="H617" s="253" t="str">
        <x:v>Yes</x:v>
      </x:c>
      <x:c r="I617" s="253" t="str">
        <x:v>Tammy</x:v>
      </x:c>
      <x:c r="J617" s="253" t="str">
        <x:v>Tammy</x:v>
      </x:c>
      <x:c r="K617" s="259" t="n">
        <x:v>45951.166666666664</x:v>
      </x:c>
      <x:c r="L617" s="268" t="str">
        <x:f>IFERROR(VLOOKUP(I617,'Handler-Team Map'!$A$7:$C$17,2,FALSE),"")</x:f>
      </x:c>
      <x:c r="M617" s="268" t="str">
        <x:f>IFERROR(VLOOKUP(I617,'Handler-Team Map'!$A$7:$C$17,3,FALSE),"")</x:f>
      </x:c>
      <x:c r="N617" s="274" t="str">
        <x:v>FT_VM_DEP600_GET200_5X</x:v>
      </x:c>
      <x:c r="O617" s="274" t="str">
        <x:v>VIP BONUS - Deposit 600 Get 200 - 5x TO</x:v>
      </x:c>
      <x:c r="P617" s="274" t="str">
        <x:v>DepositBonus</x:v>
      </x:c>
      <x:c r="Q617" s="274" t="str">
        <x:v>Approved</x:v>
      </x:c>
      <x:c r="R617" s="265" t="n">
        <x:v>200</x:v>
      </x:c>
      <x:c r="S617" s="253" t="str">
        <x:v>Yes</x:v>
      </x:c>
      <x:c r="T617" s="265" t="n">
        <x:v>7588</x:v>
      </x:c>
      <x:c r="U617" s="253" t="str">
        <x:f>IF(AND(S617="Yes",T617=0),"Yes","No")</x:f>
        <x:v>No</x:v>
      </x:c>
      <x:c r="V617" s="253" t="str">
        <x:v>Yes</x:v>
      </x:c>
      <x:c r="W617" s="253" t="str">
        <x:v>Yes</x:v>
      </x:c>
      <x:c r="X617" s="259" t="n">
        <x:v>46161.166666666664</x:v>
      </x:c>
      <x:c r="Y617" s="265" t="n">
        <x:v>8140</x:v>
      </x:c>
      <x:c r="Z617" s="265" t="n">
        <x:v>8220</x:v>
      </x:c>
      <x:c r="AA617" s="253" t="str">
        <x:f>IF(V617="No","Maturing",IF(AND(U617="Yes",Y617&gt;0),"Yes","No"))</x:f>
        <x:v>No</x:v>
      </x:c>
      <x:c r="AB617" s="253" t="str">
        <x:f>IF(W617="No","Maturing",IF(AND(U617="Yes",Z617&gt;0),"Yes","No"))</x:f>
        <x:v>No</x:v>
      </x:c>
      <x:c r="AC617" s="265" t="n">
        <x:v>505.01</x:v>
      </x:c>
      <x:c r="AD617" s="265" t="n">
        <x:v>584.42</x:v>
      </x:c>
      <x:c r="AE617" s="271" t="str"/>
      <x:c r="AF617" s="274" t="str">
        <x:v>Not validated - no control/holdout</x:v>
      </x:c>
      <x:c r="AG617" s="277" t="str">
        <x:v>Recovered execution only; assignment date and unclaimed-offer denominator unavailable</x:v>
      </x:c>
    </x:row>
    <x:row r="618">
      <x:c r="A618" s="252" t="str">
        <x:v>34293458</x:v>
      </x:c>
      <x:c r="B618" s="253" t="str">
        <x:v>WS1</x:v>
      </x:c>
      <x:c r="C618" s="253" t="str">
        <x:v>MB8</x:v>
      </x:c>
      <x:c r="D618" s="262" t="n">
        <x:v>46161.958020833335</x:v>
      </x:c>
      <x:c r="E618" s="259" t="n">
        <x:v>46161.166666666664</x:v>
      </x:c>
      <x:c r="F618" s="253" t="str">
        <x:v>533556</x:v>
      </x:c>
      <x:c r="G618" s="253" t="str">
        <x:v>kcchiew</x:v>
      </x:c>
      <x:c r="H618" s="253" t="str">
        <x:v>Yes</x:v>
      </x:c>
      <x:c r="I618" s="253" t="str"/>
      <x:c r="J618" s="253" t="str"/>
      <x:c r="K618" s="259"/>
      <x:c r="L618" s="268" t="str">
        <x:f>IFERROR(VLOOKUP(I618,'Handler-Team Map'!$A$7:$C$17,2,FALSE),"")</x:f>
      </x:c>
      <x:c r="M618" s="268" t="str">
        <x:f>IFERROR(VLOOKUP(I618,'Handler-Team Map'!$A$7:$C$17,3,FALSE),"")</x:f>
      </x:c>
      <x:c r="N618" s="274" t="str">
        <x:v>FT_VM_DEP600_GET200_5X</x:v>
      </x:c>
      <x:c r="O618" s="274" t="str">
        <x:v>VIP BONUS - Deposit 600 Get 200 - 5x TO</x:v>
      </x:c>
      <x:c r="P618" s="274" t="str">
        <x:v>DepositBonus</x:v>
      </x:c>
      <x:c r="Q618" s="274" t="str">
        <x:v>Approved</x:v>
      </x:c>
      <x:c r="R618" s="265" t="n">
        <x:v>200</x:v>
      </x:c>
      <x:c r="S618" s="253" t="str">
        <x:v>Yes</x:v>
      </x:c>
      <x:c r="T618" s="265" t="n">
        <x:v>3430</x:v>
      </x:c>
      <x:c r="U618" s="253" t="str">
        <x:f>IF(AND(S618="Yes",T618=0),"Yes","No")</x:f>
        <x:v>No</x:v>
      </x:c>
      <x:c r="V618" s="253" t="str">
        <x:v>Yes</x:v>
      </x:c>
      <x:c r="W618" s="253" t="str">
        <x:v>Yes</x:v>
      </x:c>
      <x:c r="X618" s="259" t="n">
        <x:v>46161.166666666664</x:v>
      </x:c>
      <x:c r="Y618" s="265" t="n">
        <x:v>600</x:v>
      </x:c>
      <x:c r="Z618" s="265" t="n">
        <x:v>930</x:v>
      </x:c>
      <x:c r="AA618" s="253" t="str">
        <x:f>IF(V618="No","Maturing",IF(AND(U618="Yes",Y618&gt;0),"Yes","No"))</x:f>
        <x:v>No</x:v>
      </x:c>
      <x:c r="AB618" s="253" t="str">
        <x:f>IF(W618="No","Maturing",IF(AND(U618="Yes",Z618&gt;0),"Yes","No"))</x:f>
        <x:v>No</x:v>
      </x:c>
      <x:c r="AC618" s="265" t="n">
        <x:v>-299.9</x:v>
      </x:c>
      <x:c r="AD618" s="265" t="n">
        <x:v>-89.14</x:v>
      </x:c>
      <x:c r="AE618" s="271" t="str"/>
      <x:c r="AF618" s="274" t="str">
        <x:v>Not validated - no control/holdout</x:v>
      </x:c>
      <x:c r="AG618" s="277" t="str">
        <x:v>Recovered execution only; assignment date and unclaimed-offer denominator unavailable</x:v>
      </x:c>
    </x:row>
    <x:row r="619">
      <x:c r="A619" s="252" t="str">
        <x:v>34294531</x:v>
      </x:c>
      <x:c r="B619" s="253" t="str">
        <x:v>WS1</x:v>
      </x:c>
      <x:c r="C619" s="253" t="str">
        <x:v>MB8</x:v>
      </x:c>
      <x:c r="D619" s="262" t="n">
        <x:v>46162.02</x:v>
      </x:c>
      <x:c r="E619" s="259" t="n">
        <x:v>46162.166666666664</x:v>
      </x:c>
      <x:c r="F619" s="253" t="str">
        <x:v>938628</x:v>
      </x:c>
      <x:c r="G619" s="253" t="str">
        <x:v>leonlai</x:v>
      </x:c>
      <x:c r="H619" s="253" t="str">
        <x:v>Yes</x:v>
      </x:c>
      <x:c r="I619" s="253" t="str">
        <x:v>zhen</x:v>
      </x:c>
      <x:c r="J619" s="253" t="str">
        <x:v>zhen</x:v>
      </x:c>
      <x:c r="K619" s="259" t="n">
        <x:v>45922.166666666664</x:v>
      </x:c>
      <x:c r="L619" s="268" t="str">
        <x:f>IFERROR(VLOOKUP(I619,'Handler-Team Map'!$A$7:$C$17,2,FALSE),"")</x:f>
      </x:c>
      <x:c r="M619" s="268" t="str">
        <x:f>IFERROR(VLOOKUP(I619,'Handler-Team Map'!$A$7:$C$17,3,FALSE),"")</x:f>
      </x:c>
      <x:c r="N619" s="274" t="str">
        <x:v>FT_VM_DEP1000_GET700_1X</x:v>
      </x:c>
      <x:c r="O619" s="274" t="str">
        <x:v>VIP BONUS - Deposit 1000 Get 700 - 1x TO</x:v>
      </x:c>
      <x:c r="P619" s="274" t="str">
        <x:v>DepositBonus</x:v>
      </x:c>
      <x:c r="Q619" s="274" t="str">
        <x:v>Approved</x:v>
      </x:c>
      <x:c r="R619" s="265" t="n">
        <x:v>700</x:v>
      </x:c>
      <x:c r="S619" s="253" t="str">
        <x:v>Yes</x:v>
      </x:c>
      <x:c r="T619" s="265" t="n">
        <x:v>148.5</x:v>
      </x:c>
      <x:c r="U619" s="253" t="str">
        <x:f>IF(AND(S619="Yes",T619=0),"Yes","No")</x:f>
        <x:v>No</x:v>
      </x:c>
      <x:c r="V619" s="253" t="str">
        <x:v>Yes</x:v>
      </x:c>
      <x:c r="W619" s="253" t="str">
        <x:v>Yes</x:v>
      </x:c>
      <x:c r="X619" s="259" t="n">
        <x:v>46162.166666666664</x:v>
      </x:c>
      <x:c r="Y619" s="265" t="n">
        <x:v>1000</x:v>
      </x:c>
      <x:c r="Z619" s="265" t="n">
        <x:v>1000</x:v>
      </x:c>
      <x:c r="AA619" s="253" t="str">
        <x:f>IF(V619="No","Maturing",IF(AND(U619="Yes",Y619&gt;0),"Yes","No"))</x:f>
        <x:v>No</x:v>
      </x:c>
      <x:c r="AB619" s="253" t="str">
        <x:f>IF(W619="No","Maturing",IF(AND(U619="Yes",Z619&gt;0),"Yes","No"))</x:f>
        <x:v>No</x:v>
      </x:c>
      <x:c r="AC619" s="265" t="n">
        <x:v>999.22</x:v>
      </x:c>
      <x:c r="AD619" s="265" t="n">
        <x:v>997.65</x:v>
      </x:c>
      <x:c r="AE619" s="271" t="str"/>
      <x:c r="AF619" s="274" t="str">
        <x:v>Not validated - no control/holdout</x:v>
      </x:c>
      <x:c r="AG619" s="277" t="str">
        <x:v>Recovered execution only; assignment date and unclaimed-offer denominator unavailable</x:v>
      </x:c>
    </x:row>
    <x:row r="620">
      <x:c r="A620" s="252" t="str">
        <x:v>34295779</x:v>
      </x:c>
      <x:c r="B620" s="253" t="str">
        <x:v>WS1</x:v>
      </x:c>
      <x:c r="C620" s="253" t="str">
        <x:v>MB8</x:v>
      </x:c>
      <x:c r="D620" s="262" t="n">
        <x:v>46162.10854166667</x:v>
      </x:c>
      <x:c r="E620" s="259" t="n">
        <x:v>46162.166666666664</x:v>
      </x:c>
      <x:c r="F620" s="253" t="str">
        <x:v>422328</x:v>
      </x:c>
      <x:c r="G620" s="253" t="str">
        <x:v>yap5643</x:v>
      </x:c>
      <x:c r="H620" s="253" t="str">
        <x:v>Yes</x:v>
      </x:c>
      <x:c r="I620" s="253" t="str">
        <x:v>Claire</x:v>
      </x:c>
      <x:c r="J620" s="253" t="str">
        <x:v>Claire</x:v>
      </x:c>
      <x:c r="K620" s="259" t="n">
        <x:v>45659.166666666664</x:v>
      </x:c>
      <x:c r="L620" s="268" t="str">
        <x:f>IFERROR(VLOOKUP(I620,'Handler-Team Map'!$A$7:$C$17,2,FALSE),"")</x:f>
      </x:c>
      <x:c r="M620" s="268" t="str">
        <x:f>IFERROR(VLOOKUP(I620,'Handler-Team Map'!$A$7:$C$17,3,FALSE),"")</x:f>
      </x:c>
      <x:c r="N620" s="274" t="str">
        <x:v>FT_VM_DEP1000_GET1000_1X</x:v>
      </x:c>
      <x:c r="O620" s="274" t="str">
        <x:v>VIP BONUS - Deposit 1000 Get 1000 - 1x TO</x:v>
      </x:c>
      <x:c r="P620" s="274" t="str">
        <x:v>DepositBonus</x:v>
      </x:c>
      <x:c r="Q620" s="274" t="str">
        <x:v>Approved</x:v>
      </x:c>
      <x:c r="R620" s="265" t="n">
        <x:v>1000</x:v>
      </x:c>
      <x:c r="S620" s="253" t="str">
        <x:v>Yes</x:v>
      </x:c>
      <x:c r="T620" s="265" t="n">
        <x:v>224600</x:v>
      </x:c>
      <x:c r="U620" s="253" t="str">
        <x:f>IF(AND(S620="Yes",T620=0),"Yes","No")</x:f>
        <x:v>No</x:v>
      </x:c>
      <x:c r="V620" s="253" t="str">
        <x:v>Yes</x:v>
      </x:c>
      <x:c r="W620" s="253" t="str">
        <x:v>Yes</x:v>
      </x:c>
      <x:c r="X620" s="259" t="n">
        <x:v>46162.166666666664</x:v>
      </x:c>
      <x:c r="Y620" s="265" t="n">
        <x:v>83500</x:v>
      </x:c>
      <x:c r="Z620" s="265" t="n">
        <x:v>120000</x:v>
      </x:c>
      <x:c r="AA620" s="253" t="str">
        <x:f>IF(V620="No","Maturing",IF(AND(U620="Yes",Y620&gt;0),"Yes","No"))</x:f>
        <x:v>No</x:v>
      </x:c>
      <x:c r="AB620" s="253" t="str">
        <x:f>IF(W620="No","Maturing",IF(AND(U620="Yes",Z620&gt;0),"Yes","No"))</x:f>
        <x:v>No</x:v>
      </x:c>
      <x:c r="AC620" s="265" t="n">
        <x:v>79994.28</x:v>
      </x:c>
      <x:c r="AD620" s="265" t="n">
        <x:v>112690.45</x:v>
      </x:c>
      <x:c r="AE620" s="271" t="str"/>
      <x:c r="AF620" s="274" t="str">
        <x:v>Not validated - no control/holdout</x:v>
      </x:c>
      <x:c r="AG620" s="277" t="str">
        <x:v>Recovered execution only; assignment date and unclaimed-offer denominator unavailable</x:v>
      </x:c>
    </x:row>
    <x:row r="621">
      <x:c r="A621" s="252" t="str">
        <x:v>34296352</x:v>
      </x:c>
      <x:c r="B621" s="253" t="str">
        <x:v>WS1</x:v>
      </x:c>
      <x:c r="C621" s="253" t="str">
        <x:v>MB8</x:v>
      </x:c>
      <x:c r="D621" s="262" t="n">
        <x:v>46162.18914351852</x:v>
      </x:c>
      <x:c r="E621" s="259" t="n">
        <x:v>46162.166666666664</x:v>
      </x:c>
      <x:c r="F621" s="253" t="str">
        <x:v>527905</x:v>
      </x:c>
      <x:c r="G621" s="253" t="str">
        <x:v>Desperado7</x:v>
      </x:c>
      <x:c r="H621" s="253" t="str">
        <x:v>Yes</x:v>
      </x:c>
      <x:c r="I621" s="253" t="str">
        <x:v>Tammy</x:v>
      </x:c>
      <x:c r="J621" s="253" t="str">
        <x:v>Tammy</x:v>
      </x:c>
      <x:c r="K621" s="259" t="n">
        <x:v>46014.166666666664</x:v>
      </x:c>
      <x:c r="L621" s="268" t="str">
        <x:f>IFERROR(VLOOKUP(I621,'Handler-Team Map'!$A$7:$C$17,2,FALSE),"")</x:f>
      </x:c>
      <x:c r="M621" s="268" t="str">
        <x:f>IFERROR(VLOOKUP(I621,'Handler-Team Map'!$A$7:$C$17,3,FALSE),"")</x:f>
      </x:c>
      <x:c r="N621" s="274" t="str">
        <x:v>FT_VM_DEP1000_GET500_1X</x:v>
      </x:c>
      <x:c r="O621" s="274" t="str">
        <x:v>VIP BONUS - Deposit 1000 Get 500 - 1x TO</x:v>
      </x:c>
      <x:c r="P621" s="274" t="str">
        <x:v>DepositBonus</x:v>
      </x:c>
      <x:c r="Q621" s="274" t="str">
        <x:v>Approved</x:v>
      </x:c>
      <x:c r="R621" s="265" t="n">
        <x:v>500</x:v>
      </x:c>
      <x:c r="S621" s="253" t="str">
        <x:v>Yes</x:v>
      </x:c>
      <x:c r="T621" s="265" t="n">
        <x:v>0</x:v>
      </x:c>
      <x:c r="U621" s="253" t="str">
        <x:f>IF(AND(S621="Yes",T621=0),"Yes","No")</x:f>
        <x:v>Yes</x:v>
      </x:c>
      <x:c r="V621" s="253" t="str">
        <x:v>Yes</x:v>
      </x:c>
      <x:c r="W621" s="253" t="str">
        <x:v>Yes</x:v>
      </x:c>
      <x:c r="X621" s="259" t="n">
        <x:v>46162.166666666664</x:v>
      </x:c>
      <x:c r="Y621" s="265" t="n">
        <x:v>1000</x:v>
      </x:c>
      <x:c r="Z621" s="265" t="n">
        <x:v>1030</x:v>
      </x:c>
      <x:c r="AA621" s="253" t="str">
        <x:f>IF(V621="No","Maturing",IF(AND(U621="Yes",Y621&gt;0),"Yes","No"))</x:f>
        <x:v>Yes</x:v>
      </x:c>
      <x:c r="AB621" s="253" t="str">
        <x:f>IF(W621="No","Maturing",IF(AND(U621="Yes",Z621&gt;0),"Yes","No"))</x:f>
        <x:v>Yes</x:v>
      </x:c>
      <x:c r="AC621" s="265" t="n">
        <x:v>-604.46</x:v>
      </x:c>
      <x:c r="AD621" s="265" t="n">
        <x:v>-574.97</x:v>
      </x:c>
      <x:c r="AE621" s="271" t="str"/>
      <x:c r="AF621" s="274" t="str">
        <x:v>Not validated - no control/holdout</x:v>
      </x:c>
      <x:c r="AG621" s="277" t="str">
        <x:v>Recovered execution only; assignment date and unclaimed-offer denominator unavailable</x:v>
      </x:c>
    </x:row>
    <x:row r="622">
      <x:c r="A622" s="252" t="str">
        <x:v>34296840</x:v>
      </x:c>
      <x:c r="B622" s="253" t="str">
        <x:v>WS1</x:v>
      </x:c>
      <x:c r="C622" s="253" t="str">
        <x:v>MB8</x:v>
      </x:c>
      <x:c r="D622" s="262" t="n">
        <x:v>46162.315717592595</x:v>
      </x:c>
      <x:c r="E622" s="259" t="n">
        <x:v>46162.166666666664</x:v>
      </x:c>
      <x:c r="F622" s="253" t="str">
        <x:v>450398</x:v>
      </x:c>
      <x:c r="G622" s="253" t="str">
        <x:v>johnnytan8</x:v>
      </x:c>
      <x:c r="H622" s="253" t="str">
        <x:v>Yes</x:v>
      </x:c>
      <x:c r="I622" s="253" t="str">
        <x:v>Elda</x:v>
      </x:c>
      <x:c r="J622" s="253" t="str">
        <x:v>Elda</x:v>
      </x:c>
      <x:c r="K622" s="259" t="n">
        <x:v>45790.166666666664</x:v>
      </x:c>
      <x:c r="L622" s="268" t="str">
        <x:f>IFERROR(VLOOKUP(I622,'Handler-Team Map'!$A$7:$C$17,2,FALSE),"")</x:f>
      </x:c>
      <x:c r="M622" s="268" t="str">
        <x:f>IFERROR(VLOOKUP(I622,'Handler-Team Map'!$A$7:$C$17,3,FALSE),"")</x:f>
      </x:c>
      <x:c r="N622" s="274" t="str">
        <x:v>FT_VM_DEP800_GET400_2X</x:v>
      </x:c>
      <x:c r="O622" s="274" t="str">
        <x:v>VIP BONUS - Deposit 800 Get 400 - 2x TO</x:v>
      </x:c>
      <x:c r="P622" s="274" t="str">
        <x:v>DepositBonus</x:v>
      </x:c>
      <x:c r="Q622" s="274" t="str">
        <x:v>Approved</x:v>
      </x:c>
      <x:c r="R622" s="265" t="n">
        <x:v>400</x:v>
      </x:c>
      <x:c r="S622" s="253" t="str">
        <x:v>Yes</x:v>
      </x:c>
      <x:c r="T622" s="265" t="n">
        <x:v>1600</x:v>
      </x:c>
      <x:c r="U622" s="253" t="str">
        <x:f>IF(AND(S622="Yes",T622=0),"Yes","No")</x:f>
        <x:v>No</x:v>
      </x:c>
      <x:c r="V622" s="253" t="str">
        <x:v>Yes</x:v>
      </x:c>
      <x:c r="W622" s="253" t="str">
        <x:v>Yes</x:v>
      </x:c>
      <x:c r="X622" s="259" t="n">
        <x:v>46162.166666666664</x:v>
      </x:c>
      <x:c r="Y622" s="265" t="n">
        <x:v>800</x:v>
      </x:c>
      <x:c r="Z622" s="265" t="n">
        <x:v>800</x:v>
      </x:c>
      <x:c r="AA622" s="253" t="str">
        <x:f>IF(V622="No","Maturing",IF(AND(U622="Yes",Y622&gt;0),"Yes","No"))</x:f>
        <x:v>No</x:v>
      </x:c>
      <x:c r="AB622" s="253" t="str">
        <x:f>IF(W622="No","Maturing",IF(AND(U622="Yes",Z622&gt;0),"Yes","No"))</x:f>
        <x:v>No</x:v>
      </x:c>
      <x:c r="AC622" s="265" t="n">
        <x:v>-552.32</x:v>
      </x:c>
      <x:c r="AD622" s="265" t="n">
        <x:v>-552.32</x:v>
      </x:c>
      <x:c r="AE622" s="271" t="str"/>
      <x:c r="AF622" s="274" t="str">
        <x:v>Not validated - no control/holdout</x:v>
      </x:c>
      <x:c r="AG622" s="277" t="str">
        <x:v>Recovered execution only; assignment date and unclaimed-offer denominator unavailable</x:v>
      </x:c>
    </x:row>
    <x:row r="623">
      <x:c r="A623" s="252" t="str">
        <x:v>34297382</x:v>
      </x:c>
      <x:c r="B623" s="253" t="str">
        <x:v>WS1</x:v>
      </x:c>
      <x:c r="C623" s="253" t="str">
        <x:v>MB8</x:v>
      </x:c>
      <x:c r="D623" s="262" t="n">
        <x:v>46162.41780092593</x:v>
      </x:c>
      <x:c r="E623" s="259" t="n">
        <x:v>46162.166666666664</x:v>
      </x:c>
      <x:c r="F623" s="253" t="str">
        <x:v>163316</x:v>
      </x:c>
      <x:c r="G623" s="253" t="str">
        <x:v>huathuat</x:v>
      </x:c>
      <x:c r="H623" s="253" t="str">
        <x:v>Yes</x:v>
      </x:c>
      <x:c r="I623" s="253" t="str">
        <x:v>Elda</x:v>
      </x:c>
      <x:c r="J623" s="253" t="str">
        <x:v>Elda</x:v>
      </x:c>
      <x:c r="K623" s="259" t="n">
        <x:v>46090.166666666664</x:v>
      </x:c>
      <x:c r="L623" s="268" t="str">
        <x:f>IFERROR(VLOOKUP(I623,'Handler-Team Map'!$A$7:$C$17,2,FALSE),"")</x:f>
      </x:c>
      <x:c r="M623" s="268" t="str">
        <x:f>IFERROR(VLOOKUP(I623,'Handler-Team Map'!$A$7:$C$17,3,FALSE),"")</x:f>
      </x:c>
      <x:c r="N623" s="274" t="str">
        <x:v>FT_VM_DEP600_GET200_5X</x:v>
      </x:c>
      <x:c r="O623" s="274" t="str">
        <x:v>VIP BONUS - Deposit 600 Get 200 - 5x TO</x:v>
      </x:c>
      <x:c r="P623" s="274" t="str">
        <x:v>DepositBonus</x:v>
      </x:c>
      <x:c r="Q623" s="274" t="str">
        <x:v>Approved</x:v>
      </x:c>
      <x:c r="R623" s="265" t="n">
        <x:v>200</x:v>
      </x:c>
      <x:c r="S623" s="253" t="str">
        <x:v>Yes</x:v>
      </x:c>
      <x:c r="T623" s="265" t="n">
        <x:v>24780</x:v>
      </x:c>
      <x:c r="U623" s="253" t="str">
        <x:f>IF(AND(S623="Yes",T623=0),"Yes","No")</x:f>
        <x:v>No</x:v>
      </x:c>
      <x:c r="V623" s="253" t="str">
        <x:v>Yes</x:v>
      </x:c>
      <x:c r="W623" s="253" t="str">
        <x:v>Yes</x:v>
      </x:c>
      <x:c r="X623" s="259" t="n">
        <x:v>46162.166666666664</x:v>
      </x:c>
      <x:c r="Y623" s="265" t="n">
        <x:v>600</x:v>
      </x:c>
      <x:c r="Z623" s="265" t="n">
        <x:v>5050</x:v>
      </x:c>
      <x:c r="AA623" s="253" t="str">
        <x:f>IF(V623="No","Maturing",IF(AND(U623="Yes",Y623&gt;0),"Yes","No"))</x:f>
        <x:v>No</x:v>
      </x:c>
      <x:c r="AB623" s="253" t="str">
        <x:f>IF(W623="No","Maturing",IF(AND(U623="Yes",Z623&gt;0),"Yes","No"))</x:f>
        <x:v>No</x:v>
      </x:c>
      <x:c r="AC623" s="265" t="n">
        <x:v>-600</x:v>
      </x:c>
      <x:c r="AD623" s="265" t="n">
        <x:v>-1150.47</x:v>
      </x:c>
      <x:c r="AE623" s="271" t="str"/>
      <x:c r="AF623" s="274" t="str">
        <x:v>Not validated - no control/holdout</x:v>
      </x:c>
      <x:c r="AG623" s="277" t="str">
        <x:v>Recovered execution only; assignment date and unclaimed-offer denominator unavailable</x:v>
      </x:c>
    </x:row>
    <x:row r="624">
      <x:c r="A624" s="252" t="str">
        <x:v>34298144</x:v>
      </x:c>
      <x:c r="B624" s="253" t="str">
        <x:v>WS1</x:v>
      </x:c>
      <x:c r="C624" s="253" t="str">
        <x:v>MB8</x:v>
      </x:c>
      <x:c r="D624" s="262" t="n">
        <x:v>46162.521516203706</x:v>
      </x:c>
      <x:c r="E624" s="259" t="n">
        <x:v>46162.166666666664</x:v>
      </x:c>
      <x:c r="F624" s="253" t="str">
        <x:v>274195</x:v>
      </x:c>
      <x:c r="G624" s="253" t="str">
        <x:v>Win131313</x:v>
      </x:c>
      <x:c r="H624" s="253" t="str">
        <x:v>Yes</x:v>
      </x:c>
      <x:c r="I624" s="253" t="str">
        <x:v>Claire</x:v>
      </x:c>
      <x:c r="J624" s="253" t="str">
        <x:v>Claire</x:v>
      </x:c>
      <x:c r="K624" s="259" t="n">
        <x:v>45922.166666666664</x:v>
      </x:c>
      <x:c r="L624" s="268" t="str">
        <x:f>IFERROR(VLOOKUP(I624,'Handler-Team Map'!$A$7:$C$17,2,FALSE),"")</x:f>
      </x:c>
      <x:c r="M624" s="268" t="str">
        <x:f>IFERROR(VLOOKUP(I624,'Handler-Team Map'!$A$7:$C$17,3,FALSE),"")</x:f>
      </x:c>
      <x:c r="N624" s="274" t="str">
        <x:v>FT_VM_DEP1000_GET500_2X</x:v>
      </x:c>
      <x:c r="O624" s="274" t="str">
        <x:v>VIP BONUS - Deposit 1000 Get 500 - 2x TO</x:v>
      </x:c>
      <x:c r="P624" s="274" t="str">
        <x:v>DepositBonus</x:v>
      </x:c>
      <x:c r="Q624" s="274" t="str">
        <x:v>Approved</x:v>
      </x:c>
      <x:c r="R624" s="265" t="n">
        <x:v>500</x:v>
      </x:c>
      <x:c r="S624" s="253" t="str">
        <x:v>Yes</x:v>
      </x:c>
      <x:c r="T624" s="265" t="n">
        <x:v>4200</x:v>
      </x:c>
      <x:c r="U624" s="253" t="str">
        <x:f>IF(AND(S624="Yes",T624=0),"Yes","No")</x:f>
        <x:v>No</x:v>
      </x:c>
      <x:c r="V624" s="253" t="str">
        <x:v>Yes</x:v>
      </x:c>
      <x:c r="W624" s="253" t="str">
        <x:v>Yes</x:v>
      </x:c>
      <x:c r="X624" s="259" t="n">
        <x:v>46162.166666666664</x:v>
      </x:c>
      <x:c r="Y624" s="265" t="n">
        <x:v>1000</x:v>
      </x:c>
      <x:c r="Z624" s="265" t="n">
        <x:v>1000</x:v>
      </x:c>
      <x:c r="AA624" s="253" t="str">
        <x:f>IF(V624="No","Maturing",IF(AND(U624="Yes",Y624&gt;0),"Yes","No"))</x:f>
        <x:v>No</x:v>
      </x:c>
      <x:c r="AB624" s="253" t="str">
        <x:f>IF(W624="No","Maturing",IF(AND(U624="Yes",Z624&gt;0),"Yes","No"))</x:f>
        <x:v>No</x:v>
      </x:c>
      <x:c r="AC624" s="265" t="n">
        <x:v>820.38</x:v>
      </x:c>
      <x:c r="AD624" s="265" t="n">
        <x:v>820.38</x:v>
      </x:c>
      <x:c r="AE624" s="271" t="str"/>
      <x:c r="AF624" s="274" t="str">
        <x:v>Not validated - no control/holdout</x:v>
      </x:c>
      <x:c r="AG624" s="277" t="str">
        <x:v>Recovered execution only; assignment date and unclaimed-offer denominator unavailable</x:v>
      </x:c>
    </x:row>
    <x:row r="625">
      <x:c r="A625" s="252" t="str">
        <x:v>34298527</x:v>
      </x:c>
      <x:c r="B625" s="253" t="str">
        <x:v>WS1</x:v>
      </x:c>
      <x:c r="C625" s="253" t="str">
        <x:v>MB8</x:v>
      </x:c>
      <x:c r="D625" s="262" t="n">
        <x:v>46162.55946759259</x:v>
      </x:c>
      <x:c r="E625" s="259" t="n">
        <x:v>46162.166666666664</x:v>
      </x:c>
      <x:c r="F625" s="253" t="str">
        <x:v>476126</x:v>
      </x:c>
      <x:c r="G625" s="253" t="str">
        <x:v>Mahendraj</x:v>
      </x:c>
      <x:c r="H625" s="253" t="str">
        <x:v>Yes</x:v>
      </x:c>
      <x:c r="I625" s="253" t="str">
        <x:v>Sheena</x:v>
      </x:c>
      <x:c r="J625" s="253" t="str">
        <x:v>Sheena</x:v>
      </x:c>
      <x:c r="K625" s="259" t="n">
        <x:v>46090.166666666664</x:v>
      </x:c>
      <x:c r="L625" s="268" t="str">
        <x:f>IFERROR(VLOOKUP(I625,'Handler-Team Map'!$A$7:$C$17,2,FALSE),"")</x:f>
      </x:c>
      <x:c r="M625" s="268" t="str">
        <x:f>IFERROR(VLOOKUP(I625,'Handler-Team Map'!$A$7:$C$17,3,FALSE),"")</x:f>
      </x:c>
      <x:c r="N625" s="274" t="str">
        <x:v>FT_VM_DEP1000_GET800_2X</x:v>
      </x:c>
      <x:c r="O625" s="274" t="str">
        <x:v>VIP BONUS - Deposit 1000 Get 800 - 2x TO</x:v>
      </x:c>
      <x:c r="P625" s="274" t="str">
        <x:v>DepositBonus</x:v>
      </x:c>
      <x:c r="Q625" s="274" t="str">
        <x:v>Approved</x:v>
      </x:c>
      <x:c r="R625" s="265" t="n">
        <x:v>800</x:v>
      </x:c>
      <x:c r="S625" s="253" t="str">
        <x:v>Yes</x:v>
      </x:c>
      <x:c r="T625" s="265" t="n">
        <x:v>1250</x:v>
      </x:c>
      <x:c r="U625" s="253" t="str">
        <x:f>IF(AND(S625="Yes",T625=0),"Yes","No")</x:f>
        <x:v>No</x:v>
      </x:c>
      <x:c r="V625" s="253" t="str">
        <x:v>Yes</x:v>
      </x:c>
      <x:c r="W625" s="253" t="str">
        <x:v>Yes</x:v>
      </x:c>
      <x:c r="X625" s="259" t="n">
        <x:v>46162.166666666664</x:v>
      </x:c>
      <x:c r="Y625" s="265" t="n">
        <x:v>6400</x:v>
      </x:c>
      <x:c r="Z625" s="265" t="n">
        <x:v>6400</x:v>
      </x:c>
      <x:c r="AA625" s="253" t="str">
        <x:f>IF(V625="No","Maturing",IF(AND(U625="Yes",Y625&gt;0),"Yes","No"))</x:f>
        <x:v>No</x:v>
      </x:c>
      <x:c r="AB625" s="253" t="str">
        <x:f>IF(W625="No","Maturing",IF(AND(U625="Yes",Z625&gt;0),"Yes","No"))</x:f>
        <x:v>No</x:v>
      </x:c>
      <x:c r="AC625" s="265" t="n">
        <x:v>-3900.59</x:v>
      </x:c>
      <x:c r="AD625" s="265" t="n">
        <x:v>-3900.59</x:v>
      </x:c>
      <x:c r="AE625" s="271" t="str"/>
      <x:c r="AF625" s="274" t="str">
        <x:v>Not validated - no control/holdout</x:v>
      </x:c>
      <x:c r="AG625" s="277" t="str">
        <x:v>Recovered execution only; assignment date and unclaimed-offer denominator unavailable</x:v>
      </x:c>
    </x:row>
    <x:row r="626">
      <x:c r="A626" s="252" t="str">
        <x:v>34298693</x:v>
      </x:c>
      <x:c r="B626" s="253" t="str">
        <x:v>WS1</x:v>
      </x:c>
      <x:c r="C626" s="253" t="str">
        <x:v>MB8</x:v>
      </x:c>
      <x:c r="D626" s="262" t="n">
        <x:v>46162.57678240741</x:v>
      </x:c>
      <x:c r="E626" s="259" t="n">
        <x:v>46162.166666666664</x:v>
      </x:c>
      <x:c r="F626" s="253" t="str">
        <x:v>284757</x:v>
      </x:c>
      <x:c r="G626" s="253" t="str">
        <x:v>patrickchik</x:v>
      </x:c>
      <x:c r="H626" s="253" t="str">
        <x:v>Yes</x:v>
      </x:c>
      <x:c r="I626" s="253" t="str">
        <x:v>Christy</x:v>
      </x:c>
      <x:c r="J626" s="253" t="str">
        <x:v>Christy</x:v>
      </x:c>
      <x:c r="K626" s="259" t="n">
        <x:v>45859.166666666664</x:v>
      </x:c>
      <x:c r="L626" s="268" t="str">
        <x:f>IFERROR(VLOOKUP(I626,'Handler-Team Map'!$A$7:$C$17,2,FALSE),"")</x:f>
      </x:c>
      <x:c r="M626" s="268" t="str">
        <x:f>IFERROR(VLOOKUP(I626,'Handler-Team Map'!$A$7:$C$17,3,FALSE),"")</x:f>
      </x:c>
      <x:c r="N626" s="274" t="str">
        <x:v>FT_VM_DEP600_GET200_5X</x:v>
      </x:c>
      <x:c r="O626" s="274" t="str">
        <x:v>VIP BONUS - Deposit 600 Get 200 - 5x TO</x:v>
      </x:c>
      <x:c r="P626" s="274" t="str">
        <x:v>DepositBonus</x:v>
      </x:c>
      <x:c r="Q626" s="274" t="str">
        <x:v>Approved</x:v>
      </x:c>
      <x:c r="R626" s="265" t="n">
        <x:v>200</x:v>
      </x:c>
      <x:c r="S626" s="253" t="str">
        <x:v>Yes</x:v>
      </x:c>
      <x:c r="T626" s="265" t="n">
        <x:v>0</x:v>
      </x:c>
      <x:c r="U626" s="253" t="str">
        <x:f>IF(AND(S626="Yes",T626=0),"Yes","No")</x:f>
        <x:v>Yes</x:v>
      </x:c>
      <x:c r="V626" s="253" t="str">
        <x:v>Yes</x:v>
      </x:c>
      <x:c r="W626" s="253" t="str">
        <x:v>Yes</x:v>
      </x:c>
      <x:c r="X626" s="259" t="n">
        <x:v>46162.166666666664</x:v>
      </x:c>
      <x:c r="Y626" s="265" t="n">
        <x:v>600</x:v>
      </x:c>
      <x:c r="Z626" s="265" t="n">
        <x:v>850</x:v>
      </x:c>
      <x:c r="AA626" s="253" t="str">
        <x:f>IF(V626="No","Maturing",IF(AND(U626="Yes",Y626&gt;0),"Yes","No"))</x:f>
        <x:v>Yes</x:v>
      </x:c>
      <x:c r="AB626" s="253" t="str">
        <x:f>IF(W626="No","Maturing",IF(AND(U626="Yes",Z626&gt;0),"Yes","No"))</x:f>
        <x:v>Yes</x:v>
      </x:c>
      <x:c r="AC626" s="265" t="n">
        <x:v>600</x:v>
      </x:c>
      <x:c r="AD626" s="265" t="n">
        <x:v>847.89</x:v>
      </x:c>
      <x:c r="AE626" s="271" t="str"/>
      <x:c r="AF626" s="274" t="str">
        <x:v>Not validated - no control/holdout</x:v>
      </x:c>
      <x:c r="AG626" s="277" t="str">
        <x:v>Recovered execution only; assignment date and unclaimed-offer denominator unavailable</x:v>
      </x:c>
    </x:row>
    <x:row r="627">
      <x:c r="A627" s="252" t="str">
        <x:v>34298847</x:v>
      </x:c>
      <x:c r="B627" s="253" t="str">
        <x:v>WS1</x:v>
      </x:c>
      <x:c r="C627" s="253" t="str">
        <x:v>MB8</x:v>
      </x:c>
      <x:c r="D627" s="262" t="n">
        <x:v>46162.59545138889</x:v>
      </x:c>
      <x:c r="E627" s="259" t="n">
        <x:v>46162.166666666664</x:v>
      </x:c>
      <x:c r="F627" s="253" t="str">
        <x:v>587646</x:v>
      </x:c>
      <x:c r="G627" s="253" t="str">
        <x:v>arilrich</x:v>
      </x:c>
      <x:c r="H627" s="253" t="str">
        <x:v>Yes</x:v>
      </x:c>
      <x:c r="I627" s="253" t="str">
        <x:v>Christy</x:v>
      </x:c>
      <x:c r="J627" s="253" t="str">
        <x:v>Christy</x:v>
      </x:c>
      <x:c r="K627" s="259" t="n">
        <x:v>45831.166666666664</x:v>
      </x:c>
      <x:c r="L627" s="268" t="str">
        <x:f>IFERROR(VLOOKUP(I627,'Handler-Team Map'!$A$7:$C$17,2,FALSE),"")</x:f>
      </x:c>
      <x:c r="M627" s="268" t="str">
        <x:f>IFERROR(VLOOKUP(I627,'Handler-Team Map'!$A$7:$C$17,3,FALSE),"")</x:f>
      </x:c>
      <x:c r="N627" s="274" t="str">
        <x:v>FT_VM_DEP1000_GET500_5X</x:v>
      </x:c>
      <x:c r="O627" s="274" t="str">
        <x:v>VIP BONUS - Deposit 1000 Get 500 - 5x TO</x:v>
      </x:c>
      <x:c r="P627" s="274" t="str">
        <x:v>DepositBonus</x:v>
      </x:c>
      <x:c r="Q627" s="274" t="str">
        <x:v>Approved</x:v>
      </x:c>
      <x:c r="R627" s="265" t="n">
        <x:v>500</x:v>
      </x:c>
      <x:c r="S627" s="253" t="str">
        <x:v>Yes</x:v>
      </x:c>
      <x:c r="T627" s="265" t="n">
        <x:v>11580</x:v>
      </x:c>
      <x:c r="U627" s="253" t="str">
        <x:f>IF(AND(S627="Yes",T627=0),"Yes","No")</x:f>
        <x:v>No</x:v>
      </x:c>
      <x:c r="V627" s="253" t="str">
        <x:v>Yes</x:v>
      </x:c>
      <x:c r="W627" s="253" t="str">
        <x:v>Yes</x:v>
      </x:c>
      <x:c r="X627" s="259" t="n">
        <x:v>46162.166666666664</x:v>
      </x:c>
      <x:c r="Y627" s="265" t="n">
        <x:v>1000</x:v>
      </x:c>
      <x:c r="Z627" s="265" t="n">
        <x:v>1250</x:v>
      </x:c>
      <x:c r="AA627" s="253" t="str">
        <x:f>IF(V627="No","Maturing",IF(AND(U627="Yes",Y627&gt;0),"Yes","No"))</x:f>
        <x:v>No</x:v>
      </x:c>
      <x:c r="AB627" s="253" t="str">
        <x:f>IF(W627="No","Maturing",IF(AND(U627="Yes",Z627&gt;0),"Yes","No"))</x:f>
        <x:v>No</x:v>
      </x:c>
      <x:c r="AC627" s="265" t="n">
        <x:v>1000.43</x:v>
      </x:c>
      <x:c r="AD627" s="265" t="n">
        <x:v>1250.2</x:v>
      </x:c>
      <x:c r="AE627" s="271" t="str"/>
      <x:c r="AF627" s="274" t="str">
        <x:v>Not validated - no control/holdout</x:v>
      </x:c>
      <x:c r="AG627" s="277" t="str">
        <x:v>Recovered execution only; assignment date and unclaimed-offer denominator unavailable</x:v>
      </x:c>
    </x:row>
    <x:row r="628">
      <x:c r="A628" s="252" t="str">
        <x:v>34299469</x:v>
      </x:c>
      <x:c r="B628" s="253" t="str">
        <x:v>WS1</x:v>
      </x:c>
      <x:c r="C628" s="253" t="str">
        <x:v>MB8</x:v>
      </x:c>
      <x:c r="D628" s="262" t="n">
        <x:v>46162.65802083333</x:v>
      </x:c>
      <x:c r="E628" s="259" t="n">
        <x:v>46162.166666666664</x:v>
      </x:c>
      <x:c r="F628" s="253" t="str">
        <x:v>923480</x:v>
      </x:c>
      <x:c r="G628" s="253" t="str">
        <x:v>jared081199</x:v>
      </x:c>
      <x:c r="H628" s="253" t="str">
        <x:v>Yes</x:v>
      </x:c>
      <x:c r="I628" s="253" t="str">
        <x:v>Tammy</x:v>
      </x:c>
      <x:c r="J628" s="253" t="str">
        <x:v>Tammy</x:v>
      </x:c>
      <x:c r="K628" s="259" t="n">
        <x:v>45951.166666666664</x:v>
      </x:c>
      <x:c r="L628" s="268" t="str">
        <x:f>IFERROR(VLOOKUP(I628,'Handler-Team Map'!$A$7:$C$17,2,FALSE),"")</x:f>
      </x:c>
      <x:c r="M628" s="268" t="str">
        <x:f>IFERROR(VLOOKUP(I628,'Handler-Team Map'!$A$7:$C$17,3,FALSE),"")</x:f>
      </x:c>
      <x:c r="N628" s="274" t="str">
        <x:v>FT_VM_DEP800_GET400_2X</x:v>
      </x:c>
      <x:c r="O628" s="274" t="str">
        <x:v>VIP BONUS - Deposit 800 Get 400 - 2x TO</x:v>
      </x:c>
      <x:c r="P628" s="274" t="str">
        <x:v>DepositBonus</x:v>
      </x:c>
      <x:c r="Q628" s="274" t="str">
        <x:v>Approved</x:v>
      </x:c>
      <x:c r="R628" s="265" t="n">
        <x:v>400</x:v>
      </x:c>
      <x:c r="S628" s="253" t="str">
        <x:v>Yes</x:v>
      </x:c>
      <x:c r="T628" s="265" t="n">
        <x:v>9660</x:v>
      </x:c>
      <x:c r="U628" s="253" t="str">
        <x:f>IF(AND(S628="Yes",T628=0),"Yes","No")</x:f>
        <x:v>No</x:v>
      </x:c>
      <x:c r="V628" s="253" t="str">
        <x:v>Yes</x:v>
      </x:c>
      <x:c r="W628" s="253" t="str">
        <x:v>Yes</x:v>
      </x:c>
      <x:c r="X628" s="259" t="n">
        <x:v>46162.166666666664</x:v>
      </x:c>
      <x:c r="Y628" s="265" t="n">
        <x:v>2800</x:v>
      </x:c>
      <x:c r="Z628" s="265" t="n">
        <x:v>9724</x:v>
      </x:c>
      <x:c r="AA628" s="253" t="str">
        <x:f>IF(V628="No","Maturing",IF(AND(U628="Yes",Y628&gt;0),"Yes","No"))</x:f>
        <x:v>No</x:v>
      </x:c>
      <x:c r="AB628" s="253" t="str">
        <x:f>IF(W628="No","Maturing",IF(AND(U628="Yes",Z628&gt;0),"Yes","No"))</x:f>
        <x:v>No</x:v>
      </x:c>
      <x:c r="AC628" s="265" t="n">
        <x:v>978.26</x:v>
      </x:c>
      <x:c r="AD628" s="265" t="n">
        <x:v>1872.59</x:v>
      </x:c>
      <x:c r="AE628" s="271" t="str"/>
      <x:c r="AF628" s="274" t="str">
        <x:v>Not validated - no control/holdout</x:v>
      </x:c>
      <x:c r="AG628" s="277" t="str">
        <x:v>Recovered execution only; assignment date and unclaimed-offer denominator unavailable</x:v>
      </x:c>
    </x:row>
    <x:row r="629">
      <x:c r="A629" s="252" t="str">
        <x:v>34299488</x:v>
      </x:c>
      <x:c r="B629" s="253" t="str">
        <x:v>WS1</x:v>
      </x:c>
      <x:c r="C629" s="253" t="str">
        <x:v>MB8</x:v>
      </x:c>
      <x:c r="D629" s="262" t="n">
        <x:v>46162.659583333334</x:v>
      </x:c>
      <x:c r="E629" s="259" t="n">
        <x:v>46162.166666666664</x:v>
      </x:c>
      <x:c r="F629" s="253" t="str">
        <x:v>1151232</x:v>
      </x:c>
      <x:c r="G629" s="253" t="str">
        <x:v>lanlan9053</x:v>
      </x:c>
      <x:c r="H629" s="253" t="str">
        <x:v>Yes</x:v>
      </x:c>
      <x:c r="I629" s="253" t="str">
        <x:v>zhen</x:v>
      </x:c>
      <x:c r="J629" s="253" t="str">
        <x:v>zhen</x:v>
      </x:c>
      <x:c r="K629" s="259" t="n">
        <x:v>45880.166666666664</x:v>
      </x:c>
      <x:c r="L629" s="268" t="str">
        <x:f>IFERROR(VLOOKUP(I629,'Handler-Team Map'!$A$7:$C$17,2,FALSE),"")</x:f>
      </x:c>
      <x:c r="M629" s="268" t="str">
        <x:f>IFERROR(VLOOKUP(I629,'Handler-Team Map'!$A$7:$C$17,3,FALSE),"")</x:f>
      </x:c>
      <x:c r="N629" s="274" t="str">
        <x:v>FT_VM_DEP150_GET50_5X</x:v>
      </x:c>
      <x:c r="O629" s="274" t="str">
        <x:v>VIP BONUS - Deposit 150 Get 50 - 5x TO</x:v>
      </x:c>
      <x:c r="P629" s="274" t="str">
        <x:v>DepositBonus</x:v>
      </x:c>
      <x:c r="Q629" s="274" t="str">
        <x:v>Approved</x:v>
      </x:c>
      <x:c r="R629" s="265" t="n">
        <x:v>50</x:v>
      </x:c>
      <x:c r="S629" s="253" t="str">
        <x:v>Yes</x:v>
      </x:c>
      <x:c r="T629" s="265" t="n">
        <x:v>250</x:v>
      </x:c>
      <x:c r="U629" s="253" t="str">
        <x:f>IF(AND(S629="Yes",T629=0),"Yes","No")</x:f>
        <x:v>No</x:v>
      </x:c>
      <x:c r="V629" s="253" t="str">
        <x:v>Yes</x:v>
      </x:c>
      <x:c r="W629" s="253" t="str">
        <x:v>Yes</x:v>
      </x:c>
      <x:c r="X629" s="259" t="n">
        <x:v>46162.166666666664</x:v>
      </x:c>
      <x:c r="Y629" s="265" t="n">
        <x:v>450</x:v>
      </x:c>
      <x:c r="Z629" s="265" t="n">
        <x:v>450</x:v>
      </x:c>
      <x:c r="AA629" s="253" t="str">
        <x:f>IF(V629="No","Maturing",IF(AND(U629="Yes",Y629&gt;0),"Yes","No"))</x:f>
        <x:v>No</x:v>
      </x:c>
      <x:c r="AB629" s="253" t="str">
        <x:f>IF(W629="No","Maturing",IF(AND(U629="Yes",Z629&gt;0),"Yes","No"))</x:f>
        <x:v>No</x:v>
      </x:c>
      <x:c r="AC629" s="265" t="n">
        <x:v>451.92</x:v>
      </x:c>
      <x:c r="AD629" s="265" t="n">
        <x:v>452.84</x:v>
      </x:c>
      <x:c r="AE629" s="271" t="str"/>
      <x:c r="AF629" s="274" t="str">
        <x:v>Not validated - no control/holdout</x:v>
      </x:c>
      <x:c r="AG629" s="277" t="str">
        <x:v>Recovered execution only; assignment date and unclaimed-offer denominator unavailable</x:v>
      </x:c>
    </x:row>
    <x:row r="630">
      <x:c r="A630" s="252" t="str">
        <x:v>34299699</x:v>
      </x:c>
      <x:c r="B630" s="253" t="str">
        <x:v>WS1</x:v>
      </x:c>
      <x:c r="C630" s="253" t="str">
        <x:v>MB8</x:v>
      </x:c>
      <x:c r="D630" s="262" t="n">
        <x:v>46162.6778587963</x:v>
      </x:c>
      <x:c r="E630" s="259" t="n">
        <x:v>46162.166666666664</x:v>
      </x:c>
      <x:c r="F630" s="253" t="str">
        <x:v>856604</x:v>
      </x:c>
      <x:c r="G630" s="253" t="str">
        <x:v>hwings79</x:v>
      </x:c>
      <x:c r="H630" s="253" t="str">
        <x:v>Yes</x:v>
      </x:c>
      <x:c r="I630" s="253" t="str">
        <x:v>Claire</x:v>
      </x:c>
      <x:c r="J630" s="253" t="str">
        <x:v>Claire</x:v>
      </x:c>
      <x:c r="K630" s="259" t="n">
        <x:v>45887.166666666664</x:v>
      </x:c>
      <x:c r="L630" s="268" t="str">
        <x:f>IFERROR(VLOOKUP(I630,'Handler-Team Map'!$A$7:$C$17,2,FALSE),"")</x:f>
      </x:c>
      <x:c r="M630" s="268" t="str">
        <x:f>IFERROR(VLOOKUP(I630,'Handler-Team Map'!$A$7:$C$17,3,FALSE),"")</x:f>
      </x:c>
      <x:c r="N630" s="274" t="str">
        <x:v>FT_VM_DEP1000_GET500_5X</x:v>
      </x:c>
      <x:c r="O630" s="274" t="str">
        <x:v>VIP BONUS - Deposit 1000 Get 500 - 5x TO</x:v>
      </x:c>
      <x:c r="P630" s="274" t="str">
        <x:v>DepositBonus</x:v>
      </x:c>
      <x:c r="Q630" s="274" t="str">
        <x:v>Approved</x:v>
      </x:c>
      <x:c r="R630" s="265" t="n">
        <x:v>500</x:v>
      </x:c>
      <x:c r="S630" s="253" t="str">
        <x:v>Yes</x:v>
      </x:c>
      <x:c r="T630" s="265" t="n">
        <x:v>16060</x:v>
      </x:c>
      <x:c r="U630" s="253" t="str">
        <x:f>IF(AND(S630="Yes",T630=0),"Yes","No")</x:f>
        <x:v>No</x:v>
      </x:c>
      <x:c r="V630" s="253" t="str">
        <x:v>Yes</x:v>
      </x:c>
      <x:c r="W630" s="253" t="str">
        <x:v>Yes</x:v>
      </x:c>
      <x:c r="X630" s="259" t="n">
        <x:v>46162.166666666664</x:v>
      </x:c>
      <x:c r="Y630" s="265" t="n">
        <x:v>1000</x:v>
      </x:c>
      <x:c r="Z630" s="265" t="n">
        <x:v>3750</x:v>
      </x:c>
      <x:c r="AA630" s="253" t="str">
        <x:f>IF(V630="No","Maturing",IF(AND(U630="Yes",Y630&gt;0),"Yes","No"))</x:f>
        <x:v>No</x:v>
      </x:c>
      <x:c r="AB630" s="253" t="str">
        <x:f>IF(W630="No","Maturing",IF(AND(U630="Yes",Z630&gt;0),"Yes","No"))</x:f>
        <x:v>No</x:v>
      </x:c>
      <x:c r="AC630" s="265" t="n">
        <x:v>883.67</x:v>
      </x:c>
      <x:c r="AD630" s="265" t="n">
        <x:v>3430.3</x:v>
      </x:c>
      <x:c r="AE630" s="271" t="str"/>
      <x:c r="AF630" s="274" t="str">
        <x:v>Not validated - no control/holdout</x:v>
      </x:c>
      <x:c r="AG630" s="277" t="str">
        <x:v>Recovered execution only; assignment date and unclaimed-offer denominator unavailable</x:v>
      </x:c>
    </x:row>
    <x:row r="631">
      <x:c r="A631" s="252" t="str">
        <x:v>34299731</x:v>
      </x:c>
      <x:c r="B631" s="253" t="str">
        <x:v>WS1</x:v>
      </x:c>
      <x:c r="C631" s="253" t="str">
        <x:v>MB8</x:v>
      </x:c>
      <x:c r="D631" s="262" t="n">
        <x:v>46162.68009259259</x:v>
      </x:c>
      <x:c r="E631" s="259" t="n">
        <x:v>46162.166666666664</x:v>
      </x:c>
      <x:c r="F631" s="253" t="str">
        <x:v>291306</x:v>
      </x:c>
      <x:c r="G631" s="253" t="str">
        <x:v>Jochang88</x:v>
      </x:c>
      <x:c r="H631" s="253" t="str">
        <x:v>Yes</x:v>
      </x:c>
      <x:c r="I631" s="253" t="str">
        <x:v>zhen</x:v>
      </x:c>
      <x:c r="J631" s="253" t="str">
        <x:v>zhen</x:v>
      </x:c>
      <x:c r="K631" s="259" t="n">
        <x:v>45880.166666666664</x:v>
      </x:c>
      <x:c r="L631" s="268" t="str">
        <x:f>IFERROR(VLOOKUP(I631,'Handler-Team Map'!$A$7:$C$17,2,FALSE),"")</x:f>
      </x:c>
      <x:c r="M631" s="268" t="str">
        <x:f>IFERROR(VLOOKUP(I631,'Handler-Team Map'!$A$7:$C$17,3,FALSE),"")</x:f>
      </x:c>
      <x:c r="N631" s="274" t="str">
        <x:v>FT_VM_DEP1000_GET800_2X</x:v>
      </x:c>
      <x:c r="O631" s="274" t="str">
        <x:v>VIP BONUS - Deposit 1000 Get 800 - 2x TO</x:v>
      </x:c>
      <x:c r="P631" s="274" t="str">
        <x:v>DepositBonus</x:v>
      </x:c>
      <x:c r="Q631" s="274" t="str">
        <x:v>Approved</x:v>
      </x:c>
      <x:c r="R631" s="265" t="n">
        <x:v>800</x:v>
      </x:c>
      <x:c r="S631" s="253" t="str">
        <x:v>Yes</x:v>
      </x:c>
      <x:c r="T631" s="265" t="n">
        <x:v>1780</x:v>
      </x:c>
      <x:c r="U631" s="253" t="str">
        <x:f>IF(AND(S631="Yes",T631=0),"Yes","No")</x:f>
        <x:v>No</x:v>
      </x:c>
      <x:c r="V631" s="253" t="str">
        <x:v>Yes</x:v>
      </x:c>
      <x:c r="W631" s="253" t="str">
        <x:v>Yes</x:v>
      </x:c>
      <x:c r="X631" s="259" t="n">
        <x:v>46162.166666666664</x:v>
      </x:c>
      <x:c r="Y631" s="265" t="n">
        <x:v>2120</x:v>
      </x:c>
      <x:c r="Z631" s="265" t="n">
        <x:v>2120</x:v>
      </x:c>
      <x:c r="AA631" s="253" t="str">
        <x:f>IF(V631="No","Maturing",IF(AND(U631="Yes",Y631&gt;0),"Yes","No"))</x:f>
        <x:v>No</x:v>
      </x:c>
      <x:c r="AB631" s="253" t="str">
        <x:f>IF(W631="No","Maturing",IF(AND(U631="Yes",Z631&gt;0),"Yes","No"))</x:f>
        <x:v>No</x:v>
      </x:c>
      <x:c r="AC631" s="265" t="n">
        <x:v>-770.07</x:v>
      </x:c>
      <x:c r="AD631" s="265" t="n">
        <x:v>-769.95</x:v>
      </x:c>
      <x:c r="AE631" s="271" t="str"/>
      <x:c r="AF631" s="274" t="str">
        <x:v>Not validated - no control/holdout</x:v>
      </x:c>
      <x:c r="AG631" s="277" t="str">
        <x:v>Recovered execution only; assignment date and unclaimed-offer denominator unavailable</x:v>
      </x:c>
    </x:row>
    <x:row r="632">
      <x:c r="A632" s="252" t="str">
        <x:v>34300388</x:v>
      </x:c>
      <x:c r="B632" s="253" t="str">
        <x:v>WS1</x:v>
      </x:c>
      <x:c r="C632" s="253" t="str">
        <x:v>MB8</x:v>
      </x:c>
      <x:c r="D632" s="262" t="n">
        <x:v>46162.73539351852</x:v>
      </x:c>
      <x:c r="E632" s="259" t="n">
        <x:v>46162.166666666664</x:v>
      </x:c>
      <x:c r="F632" s="253" t="str">
        <x:v>314935</x:v>
      </x:c>
      <x:c r="G632" s="253" t="str">
        <x:v>Oxp6392</x:v>
      </x:c>
      <x:c r="H632" s="253" t="str">
        <x:v>Yes</x:v>
      </x:c>
      <x:c r="I632" s="253" t="str">
        <x:v>Sheena</x:v>
      </x:c>
      <x:c r="J632" s="253" t="str">
        <x:v>Sheena</x:v>
      </x:c>
      <x:c r="K632" s="259" t="n">
        <x:v>45852.166666666664</x:v>
      </x:c>
      <x:c r="L632" s="268" t="str">
        <x:f>IFERROR(VLOOKUP(I632,'Handler-Team Map'!$A$7:$C$17,2,FALSE),"")</x:f>
      </x:c>
      <x:c r="M632" s="268" t="str">
        <x:f>IFERROR(VLOOKUP(I632,'Handler-Team Map'!$A$7:$C$17,3,FALSE),"")</x:f>
      </x:c>
      <x:c r="N632" s="274" t="str">
        <x:v>FT_VM_DEP1000_GET500_5X</x:v>
      </x:c>
      <x:c r="O632" s="274" t="str">
        <x:v>VIP BONUS - Deposit 1000 Get 500 - 5x TO</x:v>
      </x:c>
      <x:c r="P632" s="274" t="str">
        <x:v>DepositBonus</x:v>
      </x:c>
      <x:c r="Q632" s="274" t="str">
        <x:v>Approved</x:v>
      </x:c>
      <x:c r="R632" s="265" t="n">
        <x:v>500</x:v>
      </x:c>
      <x:c r="S632" s="253" t="str">
        <x:v>Yes</x:v>
      </x:c>
      <x:c r="T632" s="265" t="n">
        <x:v>960</x:v>
      </x:c>
      <x:c r="U632" s="253" t="str">
        <x:f>IF(AND(S632="Yes",T632=0),"Yes","No")</x:f>
        <x:v>No</x:v>
      </x:c>
      <x:c r="V632" s="253" t="str">
        <x:v>Yes</x:v>
      </x:c>
      <x:c r="W632" s="253" t="str">
        <x:v>Yes</x:v>
      </x:c>
      <x:c r="X632" s="259" t="n">
        <x:v>46162.166666666664</x:v>
      </x:c>
      <x:c r="Y632" s="265" t="n">
        <x:v>1610</x:v>
      </x:c>
      <x:c r="Z632" s="265" t="n">
        <x:v>1810</x:v>
      </x:c>
      <x:c r="AA632" s="253" t="str">
        <x:f>IF(V632="No","Maturing",IF(AND(U632="Yes",Y632&gt;0),"Yes","No"))</x:f>
        <x:v>No</x:v>
      </x:c>
      <x:c r="AB632" s="253" t="str">
        <x:f>IF(W632="No","Maturing",IF(AND(U632="Yes",Z632&gt;0),"Yes","No"))</x:f>
        <x:v>No</x:v>
      </x:c>
      <x:c r="AC632" s="265" t="n">
        <x:v>518.74</x:v>
      </x:c>
      <x:c r="AD632" s="265" t="n">
        <x:v>656.04</x:v>
      </x:c>
      <x:c r="AE632" s="271" t="str"/>
      <x:c r="AF632" s="274" t="str">
        <x:v>Not validated - no control/holdout</x:v>
      </x:c>
      <x:c r="AG632" s="277" t="str">
        <x:v>Recovered execution only; assignment date and unclaimed-offer denominator unavailable</x:v>
      </x:c>
    </x:row>
    <x:row r="633">
      <x:c r="A633" s="252" t="str">
        <x:v>34300865</x:v>
      </x:c>
      <x:c r="B633" s="253" t="str">
        <x:v>WS1</x:v>
      </x:c>
      <x:c r="C633" s="253" t="str">
        <x:v>MB8</x:v>
      </x:c>
      <x:c r="D633" s="262" t="n">
        <x:v>46162.77347222222</x:v>
      </x:c>
      <x:c r="E633" s="259" t="n">
        <x:v>46162.166666666664</x:v>
      </x:c>
      <x:c r="F633" s="253" t="str">
        <x:v>773496</x:v>
      </x:c>
      <x:c r="G633" s="253" t="str">
        <x:v>Nazrul8182</x:v>
      </x:c>
      <x:c r="H633" s="253" t="str">
        <x:v>Yes</x:v>
      </x:c>
      <x:c r="I633" s="253" t="str">
        <x:v>zhen</x:v>
      </x:c>
      <x:c r="J633" s="253" t="str">
        <x:v>zhen</x:v>
      </x:c>
      <x:c r="K633" s="259" t="n">
        <x:v>45922.166666666664</x:v>
      </x:c>
      <x:c r="L633" s="268" t="str">
        <x:f>IFERROR(VLOOKUP(I633,'Handler-Team Map'!$A$7:$C$17,2,FALSE),"")</x:f>
      </x:c>
      <x:c r="M633" s="268" t="str">
        <x:f>IFERROR(VLOOKUP(I633,'Handler-Team Map'!$A$7:$C$17,3,FALSE),"")</x:f>
      </x:c>
      <x:c r="N633" s="274" t="str">
        <x:v>FT_VM_DEP1000_GET800_2X</x:v>
      </x:c>
      <x:c r="O633" s="274" t="str">
        <x:v>VIP BONUS - Deposit 1000 Get 800 - 2x TO</x:v>
      </x:c>
      <x:c r="P633" s="274" t="str">
        <x:v>DepositBonus</x:v>
      </x:c>
      <x:c r="Q633" s="274" t="str">
        <x:v>Approved</x:v>
      </x:c>
      <x:c r="R633" s="265" t="n">
        <x:v>800</x:v>
      </x:c>
      <x:c r="S633" s="253" t="str">
        <x:v>Yes</x:v>
      </x:c>
      <x:c r="T633" s="265" t="n">
        <x:v>9237</x:v>
      </x:c>
      <x:c r="U633" s="253" t="str">
        <x:f>IF(AND(S633="Yes",T633=0),"Yes","No")</x:f>
        <x:v>No</x:v>
      </x:c>
      <x:c r="V633" s="253" t="str">
        <x:v>Yes</x:v>
      </x:c>
      <x:c r="W633" s="253" t="str">
        <x:v>Yes</x:v>
      </x:c>
      <x:c r="X633" s="259" t="n">
        <x:v>46162.166666666664</x:v>
      </x:c>
      <x:c r="Y633" s="265" t="n">
        <x:v>2000</x:v>
      </x:c>
      <x:c r="Z633" s="265" t="n">
        <x:v>4000</x:v>
      </x:c>
      <x:c r="AA633" s="253" t="str">
        <x:f>IF(V633="No","Maturing",IF(AND(U633="Yes",Y633&gt;0),"Yes","No"))</x:f>
        <x:v>No</x:v>
      </x:c>
      <x:c r="AB633" s="253" t="str">
        <x:f>IF(W633="No","Maturing",IF(AND(U633="Yes",Z633&gt;0),"Yes","No"))</x:f>
        <x:v>No</x:v>
      </x:c>
      <x:c r="AC633" s="265" t="n">
        <x:v>1991.09</x:v>
      </x:c>
      <x:c r="AD633" s="265" t="n">
        <x:v>3973.86</x:v>
      </x:c>
      <x:c r="AE633" s="271" t="str"/>
      <x:c r="AF633" s="274" t="str">
        <x:v>Not validated - no control/holdout</x:v>
      </x:c>
      <x:c r="AG633" s="277" t="str">
        <x:v>Recovered execution only; assignment date and unclaimed-offer denominator unavailable</x:v>
      </x:c>
    </x:row>
    <x:row r="634">
      <x:c r="A634" s="252" t="str">
        <x:v>34301065</x:v>
      </x:c>
      <x:c r="B634" s="253" t="str">
        <x:v>WS1</x:v>
      </x:c>
      <x:c r="C634" s="253" t="str">
        <x:v>MB8</x:v>
      </x:c>
      <x:c r="D634" s="262" t="n">
        <x:v>46162.78491898148</x:v>
      </x:c>
      <x:c r="E634" s="259" t="n">
        <x:v>46162.166666666664</x:v>
      </x:c>
      <x:c r="F634" s="253" t="str">
        <x:v>562330</x:v>
      </x:c>
      <x:c r="G634" s="253" t="str">
        <x:v>Liverpool</x:v>
      </x:c>
      <x:c r="H634" s="253" t="str">
        <x:v>Yes</x:v>
      </x:c>
      <x:c r="I634" s="253" t="str">
        <x:v>Kam</x:v>
      </x:c>
      <x:c r="J634" s="253" t="str">
        <x:v>Kam</x:v>
      </x:c>
      <x:c r="K634" s="259" t="n">
        <x:v>45971.166666666664</x:v>
      </x:c>
      <x:c r="L634" s="268" t="str">
        <x:f>IFERROR(VLOOKUP(I634,'Handler-Team Map'!$A$7:$C$17,2,FALSE),"")</x:f>
      </x:c>
      <x:c r="M634" s="268" t="str">
        <x:f>IFERROR(VLOOKUP(I634,'Handler-Team Map'!$A$7:$C$17,3,FALSE),"")</x:f>
      </x:c>
      <x:c r="N634" s="274" t="str">
        <x:v>FT_VM_DEP1000_GET700_2X</x:v>
      </x:c>
      <x:c r="O634" s="274" t="str">
        <x:v>VIP BONUS - Deposit 1000 Get 700 - 2x TO</x:v>
      </x:c>
      <x:c r="P634" s="274" t="str">
        <x:v>DepositBonus</x:v>
      </x:c>
      <x:c r="Q634" s="274" t="str">
        <x:v>Approved</x:v>
      </x:c>
      <x:c r="R634" s="265" t="n">
        <x:v>700</x:v>
      </x:c>
      <x:c r="S634" s="253" t="str">
        <x:v>Yes</x:v>
      </x:c>
      <x:c r="T634" s="265" t="n">
        <x:v>9700</x:v>
      </x:c>
      <x:c r="U634" s="253" t="str">
        <x:f>IF(AND(S634="Yes",T634=0),"Yes","No")</x:f>
        <x:v>No</x:v>
      </x:c>
      <x:c r="V634" s="253" t="str">
        <x:v>Yes</x:v>
      </x:c>
      <x:c r="W634" s="253" t="str">
        <x:v>Yes</x:v>
      </x:c>
      <x:c r="X634" s="259" t="n">
        <x:v>46162.166666666664</x:v>
      </x:c>
      <x:c r="Y634" s="265" t="n">
        <x:v>4950</x:v>
      </x:c>
      <x:c r="Z634" s="265" t="n">
        <x:v>7100</x:v>
      </x:c>
      <x:c r="AA634" s="253" t="str">
        <x:f>IF(V634="No","Maturing",IF(AND(U634="Yes",Y634&gt;0),"Yes","No"))</x:f>
        <x:v>No</x:v>
      </x:c>
      <x:c r="AB634" s="253" t="str">
        <x:f>IF(W634="No","Maturing",IF(AND(U634="Yes",Z634&gt;0),"Yes","No"))</x:f>
        <x:v>No</x:v>
      </x:c>
      <x:c r="AC634" s="265" t="n">
        <x:v>4377.31</x:v>
      </x:c>
      <x:c r="AD634" s="265" t="n">
        <x:v>4325.43</x:v>
      </x:c>
      <x:c r="AE634" s="271" t="str"/>
      <x:c r="AF634" s="274" t="str">
        <x:v>Not validated - no control/holdout</x:v>
      </x:c>
      <x:c r="AG634" s="277" t="str">
        <x:v>Recovered execution only; assignment date and unclaimed-offer denominator unavailable</x:v>
      </x:c>
    </x:row>
    <x:row r="635">
      <x:c r="A635" s="252" t="str">
        <x:v>34301495</x:v>
      </x:c>
      <x:c r="B635" s="253" t="str">
        <x:v>WS1</x:v>
      </x:c>
      <x:c r="C635" s="253" t="str">
        <x:v>MB8</x:v>
      </x:c>
      <x:c r="D635" s="262" t="n">
        <x:v>46162.824016203704</x:v>
      </x:c>
      <x:c r="E635" s="259" t="n">
        <x:v>46162.166666666664</x:v>
      </x:c>
      <x:c r="F635" s="253" t="str">
        <x:v>1181391</x:v>
      </x:c>
      <x:c r="G635" s="253" t="str">
        <x:v>Kook27</x:v>
      </x:c>
      <x:c r="H635" s="253" t="str">
        <x:v>Yes</x:v>
      </x:c>
      <x:c r="I635" s="253" t="str">
        <x:v>Jiahui</x:v>
      </x:c>
      <x:c r="J635" s="253" t="str">
        <x:v>Jiahui</x:v>
      </x:c>
      <x:c r="K635" s="259" t="n">
        <x:v>45811.166666666664</x:v>
      </x:c>
      <x:c r="L635" s="268" t="str">
        <x:f>IFERROR(VLOOKUP(I635,'Handler-Team Map'!$A$7:$C$17,2,FALSE),"")</x:f>
      </x:c>
      <x:c r="M635" s="268" t="str">
        <x:f>IFERROR(VLOOKUP(I635,'Handler-Team Map'!$A$7:$C$17,3,FALSE),"")</x:f>
      </x:c>
      <x:c r="N635" s="274" t="str">
        <x:v>FT_VM_DEP1000_GET700_1X</x:v>
      </x:c>
      <x:c r="O635" s="274" t="str">
        <x:v>VIP BONUS - Deposit 1000 Get 700 - 1x TO</x:v>
      </x:c>
      <x:c r="P635" s="274" t="str">
        <x:v>DepositBonus</x:v>
      </x:c>
      <x:c r="Q635" s="274" t="str">
        <x:v>Approved</x:v>
      </x:c>
      <x:c r="R635" s="265" t="n">
        <x:v>700</x:v>
      </x:c>
      <x:c r="S635" s="253" t="str">
        <x:v>Yes</x:v>
      </x:c>
      <x:c r="T635" s="265" t="n">
        <x:v>5700</x:v>
      </x:c>
      <x:c r="U635" s="253" t="str">
        <x:f>IF(AND(S635="Yes",T635=0),"Yes","No")</x:f>
        <x:v>No</x:v>
      </x:c>
      <x:c r="V635" s="253" t="str">
        <x:v>Yes</x:v>
      </x:c>
      <x:c r="W635" s="253" t="str">
        <x:v>Yes</x:v>
      </x:c>
      <x:c r="X635" s="259" t="n">
        <x:v>46162.166666666664</x:v>
      </x:c>
      <x:c r="Y635" s="265" t="n">
        <x:v>2400</x:v>
      </x:c>
      <x:c r="Z635" s="265" t="n">
        <x:v>2400</x:v>
      </x:c>
      <x:c r="AA635" s="253" t="str">
        <x:f>IF(V635="No","Maturing",IF(AND(U635="Yes",Y635&gt;0),"Yes","No"))</x:f>
        <x:v>No</x:v>
      </x:c>
      <x:c r="AB635" s="253" t="str">
        <x:f>IF(W635="No","Maturing",IF(AND(U635="Yes",Z635&gt;0),"Yes","No"))</x:f>
        <x:v>No</x:v>
      </x:c>
      <x:c r="AC635" s="265" t="n">
        <x:v>1401.12</x:v>
      </x:c>
      <x:c r="AD635" s="265" t="n">
        <x:v>1401.12</x:v>
      </x:c>
      <x:c r="AE635" s="271" t="str"/>
      <x:c r="AF635" s="274" t="str">
        <x:v>Not validated - no control/holdout</x:v>
      </x:c>
      <x:c r="AG635" s="277" t="str">
        <x:v>Recovered execution only; assignment date and unclaimed-offer denominator unavailable</x:v>
      </x:c>
    </x:row>
    <x:row r="636">
      <x:c r="A636" s="252" t="str">
        <x:v>34301629</x:v>
      </x:c>
      <x:c r="B636" s="253" t="str">
        <x:v>WS1</x:v>
      </x:c>
      <x:c r="C636" s="253" t="str">
        <x:v>MB8</x:v>
      </x:c>
      <x:c r="D636" s="262" t="n">
        <x:v>46162.833020833335</x:v>
      </x:c>
      <x:c r="E636" s="259" t="n">
        <x:v>46162.166666666664</x:v>
      </x:c>
      <x:c r="F636" s="253" t="str">
        <x:v>703632</x:v>
      </x:c>
      <x:c r="G636" s="253" t="str">
        <x:v>Keyingyeon</x:v>
      </x:c>
      <x:c r="H636" s="253" t="str">
        <x:v>Yes</x:v>
      </x:c>
      <x:c r="I636" s="253" t="str">
        <x:v>Tammy</x:v>
      </x:c>
      <x:c r="J636" s="253" t="str">
        <x:v>Tammy</x:v>
      </x:c>
      <x:c r="K636" s="259" t="n">
        <x:v>45951.166666666664</x:v>
      </x:c>
      <x:c r="L636" s="268" t="str">
        <x:f>IFERROR(VLOOKUP(I636,'Handler-Team Map'!$A$7:$C$17,2,FALSE),"")</x:f>
      </x:c>
      <x:c r="M636" s="268" t="str">
        <x:f>IFERROR(VLOOKUP(I636,'Handler-Team Map'!$A$7:$C$17,3,FALSE),"")</x:f>
      </x:c>
      <x:c r="N636" s="274" t="str">
        <x:v>FT_VM_DEP1000_GET800_2X</x:v>
      </x:c>
      <x:c r="O636" s="274" t="str">
        <x:v>VIP BONUS - Deposit 1000 Get 800 - 2x TO</x:v>
      </x:c>
      <x:c r="P636" s="274" t="str">
        <x:v>DepositBonus</x:v>
      </x:c>
      <x:c r="Q636" s="274" t="str">
        <x:v>Approved</x:v>
      </x:c>
      <x:c r="R636" s="265" t="n">
        <x:v>800</x:v>
      </x:c>
      <x:c r="S636" s="253" t="str">
        <x:v>Yes</x:v>
      </x:c>
      <x:c r="T636" s="265" t="n">
        <x:v>8800</x:v>
      </x:c>
      <x:c r="U636" s="253" t="str">
        <x:f>IF(AND(S636="Yes",T636=0),"Yes","No")</x:f>
        <x:v>No</x:v>
      </x:c>
      <x:c r="V636" s="253" t="str">
        <x:v>Yes</x:v>
      </x:c>
      <x:c r="W636" s="253" t="str">
        <x:v>Yes</x:v>
      </x:c>
      <x:c r="X636" s="259" t="n">
        <x:v>46162.166666666664</x:v>
      </x:c>
      <x:c r="Y636" s="265" t="n">
        <x:v>25500</x:v>
      </x:c>
      <x:c r="Z636" s="265" t="n">
        <x:v>48941</x:v>
      </x:c>
      <x:c r="AA636" s="253" t="str">
        <x:f>IF(V636="No","Maturing",IF(AND(U636="Yes",Y636&gt;0),"Yes","No"))</x:f>
        <x:v>No</x:v>
      </x:c>
      <x:c r="AB636" s="253" t="str">
        <x:f>IF(W636="No","Maturing",IF(AND(U636="Yes",Z636&gt;0),"Yes","No"))</x:f>
        <x:v>No</x:v>
      </x:c>
      <x:c r="AC636" s="265" t="n">
        <x:v>12725.71</x:v>
      </x:c>
      <x:c r="AD636" s="265" t="n">
        <x:v>8384.54</x:v>
      </x:c>
      <x:c r="AE636" s="271" t="str"/>
      <x:c r="AF636" s="274" t="str">
        <x:v>Not validated - no control/holdout</x:v>
      </x:c>
      <x:c r="AG636" s="277" t="str">
        <x:v>Recovered execution only; assignment date and unclaimed-offer denominator unavailable</x:v>
      </x:c>
    </x:row>
    <x:row r="637">
      <x:c r="A637" s="252" t="str">
        <x:v>34303143</x:v>
      </x:c>
      <x:c r="B637" s="253" t="str">
        <x:v>WS1</x:v>
      </x:c>
      <x:c r="C637" s="253" t="str">
        <x:v>MB8</x:v>
      </x:c>
      <x:c r="D637" s="262" t="n">
        <x:v>46162.94299768518</x:v>
      </x:c>
      <x:c r="E637" s="259" t="n">
        <x:v>46162.166666666664</x:v>
      </x:c>
      <x:c r="F637" s="253" t="str">
        <x:v>38910</x:v>
      </x:c>
      <x:c r="G637" s="253" t="str">
        <x:v>Snowy2kaki</x:v>
      </x:c>
      <x:c r="H637" s="253" t="str">
        <x:v>Yes</x:v>
      </x:c>
      <x:c r="I637" s="253" t="str">
        <x:v>Claire</x:v>
      </x:c>
      <x:c r="J637" s="253" t="str">
        <x:v>Claire</x:v>
      </x:c>
      <x:c r="K637" s="259" t="n">
        <x:v>45659.166666666664</x:v>
      </x:c>
      <x:c r="L637" s="268" t="str">
        <x:f>IFERROR(VLOOKUP(I637,'Handler-Team Map'!$A$7:$C$17,2,FALSE),"")</x:f>
      </x:c>
      <x:c r="M637" s="268" t="str">
        <x:f>IFERROR(VLOOKUP(I637,'Handler-Team Map'!$A$7:$C$17,3,FALSE),"")</x:f>
      </x:c>
      <x:c r="N637" s="274" t="str">
        <x:v>FT_VM_DEP1000_GET1000_1X</x:v>
      </x:c>
      <x:c r="O637" s="274" t="str">
        <x:v>VIP BONUS - Deposit 1000 Get 1000 - 1x TO</x:v>
      </x:c>
      <x:c r="P637" s="274" t="str">
        <x:v>DepositBonus</x:v>
      </x:c>
      <x:c r="Q637" s="274" t="str">
        <x:v>Approved</x:v>
      </x:c>
      <x:c r="R637" s="265" t="n">
        <x:v>1000</x:v>
      </x:c>
      <x:c r="S637" s="253" t="str">
        <x:v>Yes</x:v>
      </x:c>
      <x:c r="T637" s="265" t="n">
        <x:v>239200</x:v>
      </x:c>
      <x:c r="U637" s="253" t="str">
        <x:f>IF(AND(S637="Yes",T637=0),"Yes","No")</x:f>
        <x:v>No</x:v>
      </x:c>
      <x:c r="V637" s="253" t="str">
        <x:v>Yes</x:v>
      </x:c>
      <x:c r="W637" s="253" t="str">
        <x:v>Yes</x:v>
      </x:c>
      <x:c r="X637" s="259" t="n">
        <x:v>46162.166666666664</x:v>
      </x:c>
      <x:c r="Y637" s="265" t="n">
        <x:v>17000</x:v>
      </x:c>
      <x:c r="Z637" s="265" t="n">
        <x:v>30000</x:v>
      </x:c>
      <x:c r="AA637" s="253" t="str">
        <x:f>IF(V637="No","Maturing",IF(AND(U637="Yes",Y637&gt;0),"Yes","No"))</x:f>
        <x:v>No</x:v>
      </x:c>
      <x:c r="AB637" s="253" t="str">
        <x:f>IF(W637="No","Maturing",IF(AND(U637="Yes",Z637&gt;0),"Yes","No"))</x:f>
        <x:v>No</x:v>
      </x:c>
      <x:c r="AC637" s="265" t="n">
        <x:v>23407.1</x:v>
      </x:c>
      <x:c r="AD637" s="265" t="n">
        <x:v>35568.82</x:v>
      </x:c>
      <x:c r="AE637" s="271" t="str"/>
      <x:c r="AF637" s="274" t="str">
        <x:v>Not validated - no control/holdout</x:v>
      </x:c>
      <x:c r="AG637" s="277" t="str">
        <x:v>Recovered execution only; assignment date and unclaimed-offer denominator unavailable</x:v>
      </x:c>
    </x:row>
    <x:row r="638">
      <x:c r="A638" s="252" t="str">
        <x:v>34304095</x:v>
      </x:c>
      <x:c r="B638" s="253" t="str">
        <x:v>WS1</x:v>
      </x:c>
      <x:c r="C638" s="253" t="str">
        <x:v>MB8</x:v>
      </x:c>
      <x:c r="D638" s="262" t="n">
        <x:v>46162.99167824074</x:v>
      </x:c>
      <x:c r="E638" s="259" t="n">
        <x:v>46162.166666666664</x:v>
      </x:c>
      <x:c r="F638" s="253" t="str">
        <x:v>1153667</x:v>
      </x:c>
      <x:c r="G638" s="253" t="str">
        <x:v>fushigiguy</x:v>
      </x:c>
      <x:c r="H638" s="253" t="str">
        <x:v>Yes</x:v>
      </x:c>
      <x:c r="I638" s="253" t="str">
        <x:v>Elda</x:v>
      </x:c>
      <x:c r="J638" s="253" t="str">
        <x:v>Elda</x:v>
      </x:c>
      <x:c r="K638" s="259" t="n">
        <x:v>45659.166666666664</x:v>
      </x:c>
      <x:c r="L638" s="268" t="str">
        <x:f>IFERROR(VLOOKUP(I638,'Handler-Team Map'!$A$7:$C$17,2,FALSE),"")</x:f>
      </x:c>
      <x:c r="M638" s="268" t="str">
        <x:f>IFERROR(VLOOKUP(I638,'Handler-Team Map'!$A$7:$C$17,3,FALSE),"")</x:f>
      </x:c>
      <x:c r="N638" s="274" t="str">
        <x:v>FT_VM_DEP1000_GET800_2X</x:v>
      </x:c>
      <x:c r="O638" s="274" t="str">
        <x:v>VIP BONUS - Deposit 1000 Get 800 - 2x TO</x:v>
      </x:c>
      <x:c r="P638" s="274" t="str">
        <x:v>DepositBonus</x:v>
      </x:c>
      <x:c r="Q638" s="274" t="str">
        <x:v>Approved</x:v>
      </x:c>
      <x:c r="R638" s="265" t="n">
        <x:v>800</x:v>
      </x:c>
      <x:c r="S638" s="253" t="str">
        <x:v>Yes</x:v>
      </x:c>
      <x:c r="T638" s="265" t="n">
        <x:v>13200</x:v>
      </x:c>
      <x:c r="U638" s="253" t="str">
        <x:f>IF(AND(S638="Yes",T638=0),"Yes","No")</x:f>
        <x:v>No</x:v>
      </x:c>
      <x:c r="V638" s="253" t="str">
        <x:v>Yes</x:v>
      </x:c>
      <x:c r="W638" s="253" t="str">
        <x:v>Yes</x:v>
      </x:c>
      <x:c r="X638" s="259" t="n">
        <x:v>46162.166666666664</x:v>
      </x:c>
      <x:c r="Y638" s="265" t="n">
        <x:v>25500</x:v>
      </x:c>
      <x:c r="Z638" s="265" t="n">
        <x:v>25500</x:v>
      </x:c>
      <x:c r="AA638" s="253" t="str">
        <x:f>IF(V638="No","Maturing",IF(AND(U638="Yes",Y638&gt;0),"Yes","No"))</x:f>
        <x:v>No</x:v>
      </x:c>
      <x:c r="AB638" s="253" t="str">
        <x:f>IF(W638="No","Maturing",IF(AND(U638="Yes",Z638&gt;0),"Yes","No"))</x:f>
        <x:v>No</x:v>
      </x:c>
      <x:c r="AC638" s="265" t="n">
        <x:v>278.63</x:v>
      </x:c>
      <x:c r="AD638" s="265" t="n">
        <x:v>499.57</x:v>
      </x:c>
      <x:c r="AE638" s="271" t="str"/>
      <x:c r="AF638" s="274" t="str">
        <x:v>Not validated - no control/holdout</x:v>
      </x:c>
      <x:c r="AG638" s="277" t="str">
        <x:v>Recovered execution only; assignment date and unclaimed-offer denominator unavailable</x:v>
      </x:c>
    </x:row>
    <x:row r="639">
      <x:c r="A639" s="252" t="str">
        <x:v>34304146</x:v>
      </x:c>
      <x:c r="B639" s="253" t="str">
        <x:v>WS1</x:v>
      </x:c>
      <x:c r="C639" s="253" t="str">
        <x:v>MB8</x:v>
      </x:c>
      <x:c r="D639" s="262" t="n">
        <x:v>46162.99453703704</x:v>
      </x:c>
      <x:c r="E639" s="259" t="n">
        <x:v>46162.166666666664</x:v>
      </x:c>
      <x:c r="F639" s="253" t="str">
        <x:v>834759</x:v>
      </x:c>
      <x:c r="G639" s="253" t="str">
        <x:v>chenyeow</x:v>
      </x:c>
      <x:c r="H639" s="253" t="str">
        <x:v>Yes</x:v>
      </x:c>
      <x:c r="I639" s="253" t="str">
        <x:v>zhen</x:v>
      </x:c>
      <x:c r="J639" s="253" t="str">
        <x:v>zhen</x:v>
      </x:c>
      <x:c r="K639" s="259" t="n">
        <x:v>45922.166666666664</x:v>
      </x:c>
      <x:c r="L639" s="268" t="str">
        <x:f>IFERROR(VLOOKUP(I639,'Handler-Team Map'!$A$7:$C$17,2,FALSE),"")</x:f>
      </x:c>
      <x:c r="M639" s="268" t="str">
        <x:f>IFERROR(VLOOKUP(I639,'Handler-Team Map'!$A$7:$C$17,3,FALSE),"")</x:f>
      </x:c>
      <x:c r="N639" s="274" t="str">
        <x:v>FT_VM_DEP1000_GET500_5X</x:v>
      </x:c>
      <x:c r="O639" s="274" t="str">
        <x:v>VIP BONUS - Deposit 1000 Get 500 - 5x TO</x:v>
      </x:c>
      <x:c r="P639" s="274" t="str">
        <x:v>DepositBonus</x:v>
      </x:c>
      <x:c r="Q639" s="274" t="str">
        <x:v>Approved</x:v>
      </x:c>
      <x:c r="R639" s="265" t="n">
        <x:v>500</x:v>
      </x:c>
      <x:c r="S639" s="253" t="str">
        <x:v>Yes</x:v>
      </x:c>
      <x:c r="T639" s="265" t="n">
        <x:v>2000</x:v>
      </x:c>
      <x:c r="U639" s="253" t="str">
        <x:f>IF(AND(S639="Yes",T639=0),"Yes","No")</x:f>
        <x:v>No</x:v>
      </x:c>
      <x:c r="V639" s="253" t="str">
        <x:v>Yes</x:v>
      </x:c>
      <x:c r="W639" s="253" t="str">
        <x:v>Yes</x:v>
      </x:c>
      <x:c r="X639" s="259" t="n">
        <x:v>46162.166666666664</x:v>
      </x:c>
      <x:c r="Y639" s="265" t="n">
        <x:v>1000</x:v>
      </x:c>
      <x:c r="Z639" s="265" t="n">
        <x:v>1500</x:v>
      </x:c>
      <x:c r="AA639" s="253" t="str">
        <x:f>IF(V639="No","Maturing",IF(AND(U639="Yes",Y639&gt;0),"Yes","No"))</x:f>
        <x:v>No</x:v>
      </x:c>
      <x:c r="AB639" s="253" t="str">
        <x:f>IF(W639="No","Maturing",IF(AND(U639="Yes",Z639&gt;0),"Yes","No"))</x:f>
        <x:v>No</x:v>
      </x:c>
      <x:c r="AC639" s="265" t="n">
        <x:v>-2999.76</x:v>
      </x:c>
      <x:c r="AD639" s="265" t="n">
        <x:v>-3679.53</x:v>
      </x:c>
      <x:c r="AE639" s="271" t="str"/>
      <x:c r="AF639" s="274" t="str">
        <x:v>Not validated - no control/holdout</x:v>
      </x:c>
      <x:c r="AG639" s="277" t="str">
        <x:v>Recovered execution only; assignment date and unclaimed-offer denominator unavailable</x:v>
      </x:c>
    </x:row>
    <x:row r="640">
      <x:c r="A640" s="252" t="str">
        <x:v>34305101</x:v>
      </x:c>
      <x:c r="B640" s="253" t="str">
        <x:v>WS1</x:v>
      </x:c>
      <x:c r="C640" s="253" t="str">
        <x:v>MB8</x:v>
      </x:c>
      <x:c r="D640" s="262" t="n">
        <x:v>46163.042662037034</x:v>
      </x:c>
      <x:c r="E640" s="259" t="n">
        <x:v>46163.166666666664</x:v>
      </x:c>
      <x:c r="F640" s="253" t="str">
        <x:v>62892</x:v>
      </x:c>
      <x:c r="G640" s="253" t="str">
        <x:v>Prolakers97</x:v>
      </x:c>
      <x:c r="H640" s="253" t="str">
        <x:v>Yes</x:v>
      </x:c>
      <x:c r="I640" s="253" t="str"/>
      <x:c r="J640" s="253" t="str"/>
      <x:c r="K640" s="259"/>
      <x:c r="L640" s="268" t="str">
        <x:f>IFERROR(VLOOKUP(I640,'Handler-Team Map'!$A$7:$C$17,2,FALSE),"")</x:f>
      </x:c>
      <x:c r="M640" s="268" t="str">
        <x:f>IFERROR(VLOOKUP(I640,'Handler-Team Map'!$A$7:$C$17,3,FALSE),"")</x:f>
      </x:c>
      <x:c r="N640" s="274" t="str">
        <x:v>FT_VM_DEP1000_GET500_1X</x:v>
      </x:c>
      <x:c r="O640" s="274" t="str">
        <x:v>VIP BONUS - Deposit 1000 Get 500 - 1x TO</x:v>
      </x:c>
      <x:c r="P640" s="274" t="str">
        <x:v>DepositBonus</x:v>
      </x:c>
      <x:c r="Q640" s="274" t="str">
        <x:v>Approved</x:v>
      </x:c>
      <x:c r="R640" s="265" t="n">
        <x:v>500</x:v>
      </x:c>
      <x:c r="S640" s="253" t="str">
        <x:v>Yes</x:v>
      </x:c>
      <x:c r="T640" s="265" t="n">
        <x:v>0</x:v>
      </x:c>
      <x:c r="U640" s="253" t="str">
        <x:f>IF(AND(S640="Yes",T640=0),"Yes","No")</x:f>
        <x:v>Yes</x:v>
      </x:c>
      <x:c r="V640" s="253" t="str">
        <x:v>Yes</x:v>
      </x:c>
      <x:c r="W640" s="253" t="str">
        <x:v>Yes</x:v>
      </x:c>
      <x:c r="X640" s="259" t="n">
        <x:v>46163.166666666664</x:v>
      </x:c>
      <x:c r="Y640" s="265" t="n">
        <x:v>1000</x:v>
      </x:c>
      <x:c r="Z640" s="265" t="n">
        <x:v>1000</x:v>
      </x:c>
      <x:c r="AA640" s="253" t="str">
        <x:f>IF(V640="No","Maturing",IF(AND(U640="Yes",Y640&gt;0),"Yes","No"))</x:f>
        <x:v>Yes</x:v>
      </x:c>
      <x:c r="AB640" s="253" t="str">
        <x:f>IF(W640="No","Maturing",IF(AND(U640="Yes",Z640&gt;0),"Yes","No"))</x:f>
        <x:v>Yes</x:v>
      </x:c>
      <x:c r="AC640" s="265" t="n">
        <x:v>-103.73</x:v>
      </x:c>
      <x:c r="AD640" s="265" t="n">
        <x:v>-103.73</x:v>
      </x:c>
      <x:c r="AE640" s="271" t="str"/>
      <x:c r="AF640" s="274" t="str">
        <x:v>Not validated - no control/holdout</x:v>
      </x:c>
      <x:c r="AG640" s="277" t="str">
        <x:v>Recovered execution only; assignment date and unclaimed-offer denominator unavailable</x:v>
      </x:c>
    </x:row>
    <x:row r="641">
      <x:c r="A641" s="252" t="str">
        <x:v>34306576</x:v>
      </x:c>
      <x:c r="B641" s="253" t="str">
        <x:v>WS1</x:v>
      </x:c>
      <x:c r="C641" s="253" t="str">
        <x:v>MB8</x:v>
      </x:c>
      <x:c r="D641" s="262" t="n">
        <x:v>46163.16951388889</x:v>
      </x:c>
      <x:c r="E641" s="259" t="n">
        <x:v>46163.166666666664</x:v>
      </x:c>
      <x:c r="F641" s="253" t="str">
        <x:v>685809</x:v>
      </x:c>
      <x:c r="G641" s="253" t="str">
        <x:v>Naz85</x:v>
      </x:c>
      <x:c r="H641" s="253" t="str">
        <x:v>Yes</x:v>
      </x:c>
      <x:c r="I641" s="253" t="str">
        <x:v>Elda</x:v>
      </x:c>
      <x:c r="J641" s="253" t="str">
        <x:v>Elda</x:v>
      </x:c>
      <x:c r="K641" s="259" t="n">
        <x:v>45790.166666666664</x:v>
      </x:c>
      <x:c r="L641" s="268" t="str">
        <x:f>IFERROR(VLOOKUP(I641,'Handler-Team Map'!$A$7:$C$17,2,FALSE),"")</x:f>
      </x:c>
      <x:c r="M641" s="268" t="str">
        <x:f>IFERROR(VLOOKUP(I641,'Handler-Team Map'!$A$7:$C$17,3,FALSE),"")</x:f>
      </x:c>
      <x:c r="N641" s="274" t="str">
        <x:v>FT_VM_DEP700_GET300_2X</x:v>
      </x:c>
      <x:c r="O641" s="274" t="str">
        <x:v>VIP BONUS - Deposit 700 Get 300 - 2x TO</x:v>
      </x:c>
      <x:c r="P641" s="274" t="str">
        <x:v>DepositBonus</x:v>
      </x:c>
      <x:c r="Q641" s="274" t="str">
        <x:v>Approved</x:v>
      </x:c>
      <x:c r="R641" s="265" t="n">
        <x:v>300</x:v>
      </x:c>
      <x:c r="S641" s="253" t="str">
        <x:v>Yes</x:v>
      </x:c>
      <x:c r="T641" s="265" t="n">
        <x:v>700</x:v>
      </x:c>
      <x:c r="U641" s="253" t="str">
        <x:f>IF(AND(S641="Yes",T641=0),"Yes","No")</x:f>
        <x:v>No</x:v>
      </x:c>
      <x:c r="V641" s="253" t="str">
        <x:v>Yes</x:v>
      </x:c>
      <x:c r="W641" s="253" t="str">
        <x:v>Yes</x:v>
      </x:c>
      <x:c r="X641" s="259" t="n">
        <x:v>46163.166666666664</x:v>
      </x:c>
      <x:c r="Y641" s="265" t="n">
        <x:v>2700</x:v>
      </x:c>
      <x:c r="Z641" s="265" t="n">
        <x:v>2700</x:v>
      </x:c>
      <x:c r="AA641" s="253" t="str">
        <x:f>IF(V641="No","Maturing",IF(AND(U641="Yes",Y641&gt;0),"Yes","No"))</x:f>
        <x:v>No</x:v>
      </x:c>
      <x:c r="AB641" s="253" t="str">
        <x:f>IF(W641="No","Maturing",IF(AND(U641="Yes",Z641&gt;0),"Yes","No"))</x:f>
        <x:v>No</x:v>
      </x:c>
      <x:c r="AC641" s="265" t="n">
        <x:v>2699.86</x:v>
      </x:c>
      <x:c r="AD641" s="265" t="n">
        <x:v>2699.86</x:v>
      </x:c>
      <x:c r="AE641" s="271" t="str"/>
      <x:c r="AF641" s="274" t="str">
        <x:v>Not validated - no control/holdout</x:v>
      </x:c>
      <x:c r="AG641" s="277" t="str">
        <x:v>Recovered execution only; assignment date and unclaimed-offer denominator unavailable</x:v>
      </x:c>
    </x:row>
    <x:row r="642">
      <x:c r="A642" s="252" t="str">
        <x:v>34307027</x:v>
      </x:c>
      <x:c r="B642" s="253" t="str">
        <x:v>WS1</x:v>
      </x:c>
      <x:c r="C642" s="253" t="str">
        <x:v>MB8</x:v>
      </x:c>
      <x:c r="D642" s="262" t="n">
        <x:v>46163.270370370374</x:v>
      </x:c>
      <x:c r="E642" s="259" t="n">
        <x:v>46163.166666666664</x:v>
      </x:c>
      <x:c r="F642" s="253" t="str">
        <x:v>198722</x:v>
      </x:c>
      <x:c r="G642" s="253" t="str">
        <x:v>firdaus153</x:v>
      </x:c>
      <x:c r="H642" s="253" t="str">
        <x:v>Yes</x:v>
      </x:c>
      <x:c r="I642" s="253" t="str"/>
      <x:c r="J642" s="253" t="str"/>
      <x:c r="K642" s="259"/>
      <x:c r="L642" s="268" t="str">
        <x:f>IFERROR(VLOOKUP(I642,'Handler-Team Map'!$A$7:$C$17,2,FALSE),"")</x:f>
      </x:c>
      <x:c r="M642" s="268" t="str">
        <x:f>IFERROR(VLOOKUP(I642,'Handler-Team Map'!$A$7:$C$17,3,FALSE),"")</x:f>
      </x:c>
      <x:c r="N642" s="274" t="str">
        <x:v>FT_VM_DEP1000_GET500_1X</x:v>
      </x:c>
      <x:c r="O642" s="274" t="str">
        <x:v>VIP BONUS - Deposit 1000 Get 500 - 1x TO</x:v>
      </x:c>
      <x:c r="P642" s="274" t="str">
        <x:v>DepositBonus</x:v>
      </x:c>
      <x:c r="Q642" s="274" t="str">
        <x:v>Approved</x:v>
      </x:c>
      <x:c r="R642" s="265" t="n">
        <x:v>500</x:v>
      </x:c>
      <x:c r="S642" s="253" t="str">
        <x:v>Yes</x:v>
      </x:c>
      <x:c r="T642" s="265" t="n">
        <x:v>50</x:v>
      </x:c>
      <x:c r="U642" s="253" t="str">
        <x:f>IF(AND(S642="Yes",T642=0),"Yes","No")</x:f>
        <x:v>No</x:v>
      </x:c>
      <x:c r="V642" s="253" t="str">
        <x:v>Yes</x:v>
      </x:c>
      <x:c r="W642" s="253" t="str">
        <x:v>Yes</x:v>
      </x:c>
      <x:c r="X642" s="259" t="n">
        <x:v>46163.166666666664</x:v>
      </x:c>
      <x:c r="Y642" s="265" t="n">
        <x:v>1030</x:v>
      </x:c>
      <x:c r="Z642" s="265" t="n">
        <x:v>1030</x:v>
      </x:c>
      <x:c r="AA642" s="253" t="str">
        <x:f>IF(V642="No","Maturing",IF(AND(U642="Yes",Y642&gt;0),"Yes","No"))</x:f>
        <x:v>No</x:v>
      </x:c>
      <x:c r="AB642" s="253" t="str">
        <x:f>IF(W642="No","Maturing",IF(AND(U642="Yes",Z642&gt;0),"Yes","No"))</x:f>
        <x:v>No</x:v>
      </x:c>
      <x:c r="AC642" s="265" t="n">
        <x:v>1030</x:v>
      </x:c>
      <x:c r="AD642" s="265" t="n">
        <x:v>1029.51</x:v>
      </x:c>
      <x:c r="AE642" s="271" t="str"/>
      <x:c r="AF642" s="274" t="str">
        <x:v>Not validated - no control/holdout</x:v>
      </x:c>
      <x:c r="AG642" s="277" t="str">
        <x:v>Recovered execution only; assignment date and unclaimed-offer denominator unavailable</x:v>
      </x:c>
    </x:row>
    <x:row r="643">
      <x:c r="A643" s="252" t="str">
        <x:v>34307356</x:v>
      </x:c>
      <x:c r="B643" s="253" t="str">
        <x:v>WS1</x:v>
      </x:c>
      <x:c r="C643" s="253" t="str">
        <x:v>MB8</x:v>
      </x:c>
      <x:c r="D643" s="262" t="n">
        <x:v>46163.34028935185</x:v>
      </x:c>
      <x:c r="E643" s="259" t="n">
        <x:v>46163.166666666664</x:v>
      </x:c>
      <x:c r="F643" s="253" t="str">
        <x:v>772894</x:v>
      </x:c>
      <x:c r="G643" s="253" t="str">
        <x:v>anuar531</x:v>
      </x:c>
      <x:c r="H643" s="253" t="str">
        <x:v>Yes</x:v>
      </x:c>
      <x:c r="I643" s="253" t="str">
        <x:v>Claire</x:v>
      </x:c>
      <x:c r="J643" s="253" t="str">
        <x:v>Claire</x:v>
      </x:c>
      <x:c r="K643" s="259" t="n">
        <x:v>45659.166666666664</x:v>
      </x:c>
      <x:c r="L643" s="268" t="str">
        <x:f>IFERROR(VLOOKUP(I643,'Handler-Team Map'!$A$7:$C$17,2,FALSE),"")</x:f>
      </x:c>
      <x:c r="M643" s="268" t="str">
        <x:f>IFERROR(VLOOKUP(I643,'Handler-Team Map'!$A$7:$C$17,3,FALSE),"")</x:f>
      </x:c>
      <x:c r="N643" s="274" t="str">
        <x:v>FT_VM_DEP1000_GET500_5X</x:v>
      </x:c>
      <x:c r="O643" s="274" t="str">
        <x:v>VIP BONUS - Deposit 1000 Get 500 - 5x TO</x:v>
      </x:c>
      <x:c r="P643" s="274" t="str">
        <x:v>DepositBonus</x:v>
      </x:c>
      <x:c r="Q643" s="274" t="str">
        <x:v>Approved</x:v>
      </x:c>
      <x:c r="R643" s="265" t="n">
        <x:v>500</x:v>
      </x:c>
      <x:c r="S643" s="253" t="str">
        <x:v>Yes</x:v>
      </x:c>
      <x:c r="T643" s="265" t="n">
        <x:v>8664</x:v>
      </x:c>
      <x:c r="U643" s="253" t="str">
        <x:f>IF(AND(S643="Yes",T643=0),"Yes","No")</x:f>
        <x:v>No</x:v>
      </x:c>
      <x:c r="V643" s="253" t="str">
        <x:v>Yes</x:v>
      </x:c>
      <x:c r="W643" s="253" t="str">
        <x:v>Yes</x:v>
      </x:c>
      <x:c r="X643" s="259" t="n">
        <x:v>46163.166666666664</x:v>
      </x:c>
      <x:c r="Y643" s="265" t="n">
        <x:v>3698</x:v>
      </x:c>
      <x:c r="Z643" s="265" t="n">
        <x:v>3698</x:v>
      </x:c>
      <x:c r="AA643" s="253" t="str">
        <x:f>IF(V643="No","Maturing",IF(AND(U643="Yes",Y643&gt;0),"Yes","No"))</x:f>
        <x:v>No</x:v>
      </x:c>
      <x:c r="AB643" s="253" t="str">
        <x:f>IF(W643="No","Maturing",IF(AND(U643="Yes",Z643&gt;0),"Yes","No"))</x:f>
        <x:v>No</x:v>
      </x:c>
      <x:c r="AC643" s="265" t="n">
        <x:v>2996.68</x:v>
      </x:c>
      <x:c r="AD643" s="265" t="n">
        <x:v>2996.68</x:v>
      </x:c>
      <x:c r="AE643" s="271" t="str"/>
      <x:c r="AF643" s="274" t="str">
        <x:v>Not validated - no control/holdout</x:v>
      </x:c>
      <x:c r="AG643" s="277" t="str">
        <x:v>Recovered execution only; assignment date and unclaimed-offer denominator unavailable</x:v>
      </x:c>
    </x:row>
    <x:row r="644">
      <x:c r="A644" s="252" t="str">
        <x:v>34308969</x:v>
      </x:c>
      <x:c r="B644" s="253" t="str">
        <x:v>WS1</x:v>
      </x:c>
      <x:c r="C644" s="253" t="str">
        <x:v>MB8</x:v>
      </x:c>
      <x:c r="D644" s="262" t="n">
        <x:v>46163.52165509259</x:v>
      </x:c>
      <x:c r="E644" s="259" t="n">
        <x:v>46163.166666666664</x:v>
      </x:c>
      <x:c r="F644" s="253" t="str">
        <x:v>534007</x:v>
      </x:c>
      <x:c r="G644" s="253" t="str">
        <x:v>sahilyar15</x:v>
      </x:c>
      <x:c r="H644" s="253" t="str">
        <x:v>Yes</x:v>
      </x:c>
      <x:c r="I644" s="253" t="str">
        <x:v>Tammy</x:v>
      </x:c>
      <x:c r="J644" s="253" t="str">
        <x:v>Tammy</x:v>
      </x:c>
      <x:c r="K644" s="259" t="n">
        <x:v>45951.166666666664</x:v>
      </x:c>
      <x:c r="L644" s="268" t="str">
        <x:f>IFERROR(VLOOKUP(I644,'Handler-Team Map'!$A$7:$C$17,2,FALSE),"")</x:f>
      </x:c>
      <x:c r="M644" s="268" t="str">
        <x:f>IFERROR(VLOOKUP(I644,'Handler-Team Map'!$A$7:$C$17,3,FALSE),"")</x:f>
      </x:c>
      <x:c r="N644" s="274" t="str">
        <x:v>FT_VM_DEP1000_GET500_5X</x:v>
      </x:c>
      <x:c r="O644" s="274" t="str">
        <x:v>VIP BONUS - Deposit 1000 Get 500 - 5x TO</x:v>
      </x:c>
      <x:c r="P644" s="274" t="str">
        <x:v>DepositBonus</x:v>
      </x:c>
      <x:c r="Q644" s="274" t="str">
        <x:v>Approved</x:v>
      </x:c>
      <x:c r="R644" s="265" t="n">
        <x:v>500</x:v>
      </x:c>
      <x:c r="S644" s="253" t="str">
        <x:v>Yes</x:v>
      </x:c>
      <x:c r="T644" s="265" t="n">
        <x:v>7150</x:v>
      </x:c>
      <x:c r="U644" s="253" t="str">
        <x:f>IF(AND(S644="Yes",T644=0),"Yes","No")</x:f>
        <x:v>No</x:v>
      </x:c>
      <x:c r="V644" s="253" t="str">
        <x:v>Yes</x:v>
      </x:c>
      <x:c r="W644" s="253" t="str">
        <x:v>Yes</x:v>
      </x:c>
      <x:c r="X644" s="259" t="n">
        <x:v>46163.166666666664</x:v>
      </x:c>
      <x:c r="Y644" s="265" t="n">
        <x:v>1400</x:v>
      </x:c>
      <x:c r="Z644" s="265" t="n">
        <x:v>1560</x:v>
      </x:c>
      <x:c r="AA644" s="253" t="str">
        <x:f>IF(V644="No","Maturing",IF(AND(U644="Yes",Y644&gt;0),"Yes","No"))</x:f>
        <x:v>No</x:v>
      </x:c>
      <x:c r="AB644" s="253" t="str">
        <x:f>IF(W644="No","Maturing",IF(AND(U644="Yes",Z644&gt;0),"Yes","No"))</x:f>
        <x:v>No</x:v>
      </x:c>
      <x:c r="AC644" s="265" t="n">
        <x:v>-1232.18</x:v>
      </x:c>
      <x:c r="AD644" s="265" t="n">
        <x:v>-1073.18</x:v>
      </x:c>
      <x:c r="AE644" s="271" t="str"/>
      <x:c r="AF644" s="274" t="str">
        <x:v>Not validated - no control/holdout</x:v>
      </x:c>
      <x:c r="AG644" s="277" t="str">
        <x:v>Recovered execution only; assignment date and unclaimed-offer denominator unavailable</x:v>
      </x:c>
    </x:row>
    <x:row r="645">
      <x:c r="A645" s="252" t="str">
        <x:v>34309865</x:v>
      </x:c>
      <x:c r="B645" s="253" t="str">
        <x:v>WS1</x:v>
      </x:c>
      <x:c r="C645" s="253" t="str">
        <x:v>MB8</x:v>
      </x:c>
      <x:c r="D645" s="262" t="n">
        <x:v>46163.59997685185</x:v>
      </x:c>
      <x:c r="E645" s="259" t="n">
        <x:v>46163.166666666664</x:v>
      </x:c>
      <x:c r="F645" s="253" t="str">
        <x:v>599828</x:v>
      </x:c>
      <x:c r="G645" s="253" t="str">
        <x:v>jaman1975</x:v>
      </x:c>
      <x:c r="H645" s="253" t="str">
        <x:v>Yes</x:v>
      </x:c>
      <x:c r="I645" s="253" t="str">
        <x:v>Elda</x:v>
      </x:c>
      <x:c r="J645" s="253" t="str">
        <x:v>Elda</x:v>
      </x:c>
      <x:c r="K645" s="259" t="n">
        <x:v>45659.166666666664</x:v>
      </x:c>
      <x:c r="L645" s="268" t="str">
        <x:f>IFERROR(VLOOKUP(I645,'Handler-Team Map'!$A$7:$C$17,2,FALSE),"")</x:f>
      </x:c>
      <x:c r="M645" s="268" t="str">
        <x:f>IFERROR(VLOOKUP(I645,'Handler-Team Map'!$A$7:$C$17,3,FALSE),"")</x:f>
      </x:c>
      <x:c r="N645" s="274" t="str">
        <x:v>FT_VM_DEP1000_GET500_5X</x:v>
      </x:c>
      <x:c r="O645" s="274" t="str">
        <x:v>VIP BONUS - Deposit 1000 Get 500 - 5x TO</x:v>
      </x:c>
      <x:c r="P645" s="274" t="str">
        <x:v>DepositBonus</x:v>
      </x:c>
      <x:c r="Q645" s="274" t="str">
        <x:v>Approved</x:v>
      </x:c>
      <x:c r="R645" s="265" t="n">
        <x:v>500</x:v>
      </x:c>
      <x:c r="S645" s="253" t="str">
        <x:v>Yes</x:v>
      </x:c>
      <x:c r="T645" s="265" t="n">
        <x:v>41810</x:v>
      </x:c>
      <x:c r="U645" s="253" t="str">
        <x:f>IF(AND(S645="Yes",T645=0),"Yes","No")</x:f>
        <x:v>No</x:v>
      </x:c>
      <x:c r="V645" s="253" t="str">
        <x:v>Yes</x:v>
      </x:c>
      <x:c r="W645" s="253" t="str">
        <x:v>Yes</x:v>
      </x:c>
      <x:c r="X645" s="259" t="n">
        <x:v>46163.166666666664</x:v>
      </x:c>
      <x:c r="Y645" s="265" t="n">
        <x:v>6445</x:v>
      </x:c>
      <x:c r="Z645" s="265" t="n">
        <x:v>21405</x:v>
      </x:c>
      <x:c r="AA645" s="253" t="str">
        <x:f>IF(V645="No","Maturing",IF(AND(U645="Yes",Y645&gt;0),"Yes","No"))</x:f>
        <x:v>No</x:v>
      </x:c>
      <x:c r="AB645" s="253" t="str">
        <x:f>IF(W645="No","Maturing",IF(AND(U645="Yes",Z645&gt;0),"Yes","No"))</x:f>
        <x:v>No</x:v>
      </x:c>
      <x:c r="AC645" s="265" t="n">
        <x:v>8260.9</x:v>
      </x:c>
      <x:c r="AD645" s="265" t="n">
        <x:v>14056.57</x:v>
      </x:c>
      <x:c r="AE645" s="271" t="str"/>
      <x:c r="AF645" s="274" t="str">
        <x:v>Not validated - no control/holdout</x:v>
      </x:c>
      <x:c r="AG645" s="277" t="str">
        <x:v>Recovered execution only; assignment date and unclaimed-offer denominator unavailable</x:v>
      </x:c>
    </x:row>
    <x:row r="646">
      <x:c r="A646" s="252" t="str">
        <x:v>34309872</x:v>
      </x:c>
      <x:c r="B646" s="253" t="str">
        <x:v>WS1</x:v>
      </x:c>
      <x:c r="C646" s="253" t="str">
        <x:v>MB8</x:v>
      </x:c>
      <x:c r="D646" s="262" t="n">
        <x:v>46163.600277777776</x:v>
      </x:c>
      <x:c r="E646" s="259" t="n">
        <x:v>46163.166666666664</x:v>
      </x:c>
      <x:c r="F646" s="253" t="str">
        <x:v>989705</x:v>
      </x:c>
      <x:c r="G646" s="253" t="str">
        <x:v>damon11121</x:v>
      </x:c>
      <x:c r="H646" s="253" t="str">
        <x:v>Yes</x:v>
      </x:c>
      <x:c r="I646" s="253" t="str"/>
      <x:c r="J646" s="253" t="str"/>
      <x:c r="K646" s="259"/>
      <x:c r="L646" s="268" t="str">
        <x:f>IFERROR(VLOOKUP(I646,'Handler-Team Map'!$A$7:$C$17,2,FALSE),"")</x:f>
      </x:c>
      <x:c r="M646" s="268" t="str">
        <x:f>IFERROR(VLOOKUP(I646,'Handler-Team Map'!$A$7:$C$17,3,FALSE),"")</x:f>
      </x:c>
      <x:c r="N646" s="274" t="str">
        <x:v>FT_VM_DEP800_GET400_2X</x:v>
      </x:c>
      <x:c r="O646" s="274" t="str">
        <x:v>VIP BONUS - Deposit 800 Get 400 - 2x TO</x:v>
      </x:c>
      <x:c r="P646" s="274" t="str">
        <x:v>DepositBonus</x:v>
      </x:c>
      <x:c r="Q646" s="274" t="str">
        <x:v>Approved</x:v>
      </x:c>
      <x:c r="R646" s="265" t="n">
        <x:v>400</x:v>
      </x:c>
      <x:c r="S646" s="253" t="str">
        <x:v>Yes</x:v>
      </x:c>
      <x:c r="T646" s="265" t="n">
        <x:v>550</x:v>
      </x:c>
      <x:c r="U646" s="253" t="str">
        <x:f>IF(AND(S646="Yes",T646=0),"Yes","No")</x:f>
        <x:v>No</x:v>
      </x:c>
      <x:c r="V646" s="253" t="str">
        <x:v>Yes</x:v>
      </x:c>
      <x:c r="W646" s="253" t="str">
        <x:v>Yes</x:v>
      </x:c>
      <x:c r="X646" s="259" t="n">
        <x:v>46163.166666666664</x:v>
      </x:c>
      <x:c r="Y646" s="265" t="n">
        <x:v>10400</x:v>
      </x:c>
      <x:c r="Z646" s="265" t="n">
        <x:v>42600</x:v>
      </x:c>
      <x:c r="AA646" s="253" t="str">
        <x:f>IF(V646="No","Maturing",IF(AND(U646="Yes",Y646&gt;0),"Yes","No"))</x:f>
        <x:v>No</x:v>
      </x:c>
      <x:c r="AB646" s="253" t="str">
        <x:f>IF(W646="No","Maturing",IF(AND(U646="Yes",Z646&gt;0),"Yes","No"))</x:f>
        <x:v>No</x:v>
      </x:c>
      <x:c r="AC646" s="265" t="n">
        <x:v>-4765.74</x:v>
      </x:c>
      <x:c r="AD646" s="265" t="n">
        <x:v>-24427.43</x:v>
      </x:c>
      <x:c r="AE646" s="271" t="str"/>
      <x:c r="AF646" s="274" t="str">
        <x:v>Not validated - no control/holdout</x:v>
      </x:c>
      <x:c r="AG646" s="277" t="str">
        <x:v>Recovered execution only; assignment date and unclaimed-offer denominator unavailable</x:v>
      </x:c>
    </x:row>
    <x:row r="647">
      <x:c r="A647" s="252" t="str">
        <x:v>34310671</x:v>
      </x:c>
      <x:c r="B647" s="253" t="str">
        <x:v>WS1</x:v>
      </x:c>
      <x:c r="C647" s="253" t="str">
        <x:v>MB8</x:v>
      </x:c>
      <x:c r="D647" s="262" t="n">
        <x:v>46163.67072916667</x:v>
      </x:c>
      <x:c r="E647" s="259" t="n">
        <x:v>46163.166666666664</x:v>
      </x:c>
      <x:c r="F647" s="253" t="str">
        <x:v>161355</x:v>
      </x:c>
      <x:c r="G647" s="253" t="str">
        <x:v>Ryan8</x:v>
      </x:c>
      <x:c r="H647" s="253" t="str">
        <x:v>Yes</x:v>
      </x:c>
      <x:c r="I647" s="253" t="str">
        <x:v>Elda</x:v>
      </x:c>
      <x:c r="J647" s="253" t="str">
        <x:v>Elda</x:v>
      </x:c>
      <x:c r="K647" s="259" t="n">
        <x:v>45659.166666666664</x:v>
      </x:c>
      <x:c r="L647" s="268" t="str">
        <x:f>IFERROR(VLOOKUP(I647,'Handler-Team Map'!$A$7:$C$17,2,FALSE),"")</x:f>
      </x:c>
      <x:c r="M647" s="268" t="str">
        <x:f>IFERROR(VLOOKUP(I647,'Handler-Team Map'!$A$7:$C$17,3,FALSE),"")</x:f>
      </x:c>
      <x:c r="N647" s="274" t="str">
        <x:v>FT_VM_DEP600_GET200_5X</x:v>
      </x:c>
      <x:c r="O647" s="274" t="str">
        <x:v>VIP BONUS - Deposit 600 Get 200 - 5x TO</x:v>
      </x:c>
      <x:c r="P647" s="274" t="str">
        <x:v>DepositBonus</x:v>
      </x:c>
      <x:c r="Q647" s="274" t="str">
        <x:v>Approved</x:v>
      </x:c>
      <x:c r="R647" s="265" t="n">
        <x:v>200</x:v>
      </x:c>
      <x:c r="S647" s="253" t="str">
        <x:v>Yes</x:v>
      </x:c>
      <x:c r="T647" s="265" t="n">
        <x:v>54420</x:v>
      </x:c>
      <x:c r="U647" s="253" t="str">
        <x:f>IF(AND(S647="Yes",T647=0),"Yes","No")</x:f>
        <x:v>No</x:v>
      </x:c>
      <x:c r="V647" s="253" t="str">
        <x:v>Yes</x:v>
      </x:c>
      <x:c r="W647" s="253" t="str">
        <x:v>Yes</x:v>
      </x:c>
      <x:c r="X647" s="259" t="n">
        <x:v>46163.166666666664</x:v>
      </x:c>
      <x:c r="Y647" s="265" t="n">
        <x:v>33590</x:v>
      </x:c>
      <x:c r="Z647" s="265" t="n">
        <x:v>39490</x:v>
      </x:c>
      <x:c r="AA647" s="253" t="str">
        <x:f>IF(V647="No","Maturing",IF(AND(U647="Yes",Y647&gt;0),"Yes","No"))</x:f>
        <x:v>No</x:v>
      </x:c>
      <x:c r="AB647" s="253" t="str">
        <x:f>IF(W647="No","Maturing",IF(AND(U647="Yes",Z647&gt;0),"Yes","No"))</x:f>
        <x:v>No</x:v>
      </x:c>
      <x:c r="AC647" s="265" t="n">
        <x:v>26679.03</x:v>
      </x:c>
      <x:c r="AD647" s="265" t="n">
        <x:v>23158.2</x:v>
      </x:c>
      <x:c r="AE647" s="271" t="str"/>
      <x:c r="AF647" s="274" t="str">
        <x:v>Not validated - no control/holdout</x:v>
      </x:c>
      <x:c r="AG647" s="277" t="str">
        <x:v>Recovered execution only; assignment date and unclaimed-offer denominator unavailable</x:v>
      </x:c>
    </x:row>
    <x:row r="648">
      <x:c r="A648" s="252" t="str">
        <x:v>34310779</x:v>
      </x:c>
      <x:c r="B648" s="253" t="str">
        <x:v>WS1</x:v>
      </x:c>
      <x:c r="C648" s="253" t="str">
        <x:v>MB8</x:v>
      </x:c>
      <x:c r="D648" s="262" t="n">
        <x:v>46163.67949074074</x:v>
      </x:c>
      <x:c r="E648" s="259" t="n">
        <x:v>46163.166666666664</x:v>
      </x:c>
      <x:c r="F648" s="253" t="str">
        <x:v>113180</x:v>
      </x:c>
      <x:c r="G648" s="253" t="str">
        <x:v>Hazel</x:v>
      </x:c>
      <x:c r="H648" s="253" t="str">
        <x:v>Yes</x:v>
      </x:c>
      <x:c r="I648" s="253" t="str">
        <x:v>Serene</x:v>
      </x:c>
      <x:c r="J648" s="253" t="str">
        <x:v>Serene</x:v>
      </x:c>
      <x:c r="K648" s="259" t="n">
        <x:v>45831.166666666664</x:v>
      </x:c>
      <x:c r="L648" s="268" t="str">
        <x:f>IFERROR(VLOOKUP(I648,'Handler-Team Map'!$A$7:$C$17,2,FALSE),"")</x:f>
      </x:c>
      <x:c r="M648" s="268" t="str">
        <x:f>IFERROR(VLOOKUP(I648,'Handler-Team Map'!$A$7:$C$17,3,FALSE),"")</x:f>
      </x:c>
      <x:c r="N648" s="274" t="str">
        <x:v>FT_VM_DEP1000_GET500_5X</x:v>
      </x:c>
      <x:c r="O648" s="274" t="str">
        <x:v>VIP BONUS - Deposit 1000 Get 500 - 5x TO</x:v>
      </x:c>
      <x:c r="P648" s="274" t="str">
        <x:v>DepositBonus</x:v>
      </x:c>
      <x:c r="Q648" s="274" t="str">
        <x:v>Approved</x:v>
      </x:c>
      <x:c r="R648" s="265" t="n">
        <x:v>500</x:v>
      </x:c>
      <x:c r="S648" s="253" t="str">
        <x:v>Yes</x:v>
      </x:c>
      <x:c r="T648" s="265" t="n">
        <x:v>4200</x:v>
      </x:c>
      <x:c r="U648" s="253" t="str">
        <x:f>IF(AND(S648="Yes",T648=0),"Yes","No")</x:f>
        <x:v>No</x:v>
      </x:c>
      <x:c r="V648" s="253" t="str">
        <x:v>Yes</x:v>
      </x:c>
      <x:c r="W648" s="253" t="str">
        <x:v>Yes</x:v>
      </x:c>
      <x:c r="X648" s="259" t="n">
        <x:v>46163.166666666664</x:v>
      </x:c>
      <x:c r="Y648" s="265" t="n">
        <x:v>2370</x:v>
      </x:c>
      <x:c r="Z648" s="265" t="n">
        <x:v>3605</x:v>
      </x:c>
      <x:c r="AA648" s="253" t="str">
        <x:f>IF(V648="No","Maturing",IF(AND(U648="Yes",Y648&gt;0),"Yes","No"))</x:f>
        <x:v>No</x:v>
      </x:c>
      <x:c r="AB648" s="253" t="str">
        <x:f>IF(W648="No","Maturing",IF(AND(U648="Yes",Z648&gt;0),"Yes","No"))</x:f>
        <x:v>No</x:v>
      </x:c>
      <x:c r="AC648" s="265" t="n">
        <x:v>1051.7</x:v>
      </x:c>
      <x:c r="AD648" s="265" t="n">
        <x:v>1862.27</x:v>
      </x:c>
      <x:c r="AE648" s="271" t="str"/>
      <x:c r="AF648" s="274" t="str">
        <x:v>Not validated - no control/holdout</x:v>
      </x:c>
      <x:c r="AG648" s="277" t="str">
        <x:v>Recovered execution only; assignment date and unclaimed-offer denominator unavailable</x:v>
      </x:c>
    </x:row>
    <x:row r="649">
      <x:c r="A649" s="252" t="str">
        <x:v>34311214</x:v>
      </x:c>
      <x:c r="B649" s="253" t="str">
        <x:v>WS1</x:v>
      </x:c>
      <x:c r="C649" s="253" t="str">
        <x:v>MB8</x:v>
      </x:c>
      <x:c r="D649" s="262" t="n">
        <x:v>46163.711331018516</x:v>
      </x:c>
      <x:c r="E649" s="259" t="n">
        <x:v>46163.166666666664</x:v>
      </x:c>
      <x:c r="F649" s="253" t="str">
        <x:v>546546</x:v>
      </x:c>
      <x:c r="G649" s="253" t="str">
        <x:v>Thanabalan</x:v>
      </x:c>
      <x:c r="H649" s="253" t="str">
        <x:v>Yes</x:v>
      </x:c>
      <x:c r="I649" s="253" t="str">
        <x:v>Claire</x:v>
      </x:c>
      <x:c r="J649" s="253" t="str">
        <x:v>Claire</x:v>
      </x:c>
      <x:c r="K649" s="259" t="n">
        <x:v>45659.166666666664</x:v>
      </x:c>
      <x:c r="L649" s="268" t="str">
        <x:f>IFERROR(VLOOKUP(I649,'Handler-Team Map'!$A$7:$C$17,2,FALSE),"")</x:f>
      </x:c>
      <x:c r="M649" s="268" t="str">
        <x:f>IFERROR(VLOOKUP(I649,'Handler-Team Map'!$A$7:$C$17,3,FALSE),"")</x:f>
      </x:c>
      <x:c r="N649" s="274" t="str">
        <x:v>FT_VM_DEP1000_GET500_5X</x:v>
      </x:c>
      <x:c r="O649" s="274" t="str">
        <x:v>VIP BONUS - Deposit 1000 Get 500 - 5x TO</x:v>
      </x:c>
      <x:c r="P649" s="274" t="str">
        <x:v>DepositBonus</x:v>
      </x:c>
      <x:c r="Q649" s="274" t="str">
        <x:v>Approved</x:v>
      </x:c>
      <x:c r="R649" s="265" t="n">
        <x:v>500</x:v>
      </x:c>
      <x:c r="S649" s="253" t="str">
        <x:v>Yes</x:v>
      </x:c>
      <x:c r="T649" s="265" t="n">
        <x:v>2490</x:v>
      </x:c>
      <x:c r="U649" s="253" t="str">
        <x:f>IF(AND(S649="Yes",T649=0),"Yes","No")</x:f>
        <x:v>No</x:v>
      </x:c>
      <x:c r="V649" s="253" t="str">
        <x:v>Yes</x:v>
      </x:c>
      <x:c r="W649" s="253" t="str">
        <x:v>Yes</x:v>
      </x:c>
      <x:c r="X649" s="259" t="n">
        <x:v>46163.166666666664</x:v>
      </x:c>
      <x:c r="Y649" s="265" t="n">
        <x:v>1000</x:v>
      </x:c>
      <x:c r="Z649" s="265" t="n">
        <x:v>37300</x:v>
      </x:c>
      <x:c r="AA649" s="253" t="str">
        <x:f>IF(V649="No","Maturing",IF(AND(U649="Yes",Y649&gt;0),"Yes","No"))</x:f>
        <x:v>No</x:v>
      </x:c>
      <x:c r="AB649" s="253" t="str">
        <x:f>IF(W649="No","Maturing",IF(AND(U649="Yes",Z649&gt;0),"Yes","No"))</x:f>
        <x:v>No</x:v>
      </x:c>
      <x:c r="AC649" s="265" t="n">
        <x:v>999.1</x:v>
      </x:c>
      <x:c r="AD649" s="265" t="n">
        <x:v>2798.34</x:v>
      </x:c>
      <x:c r="AE649" s="271" t="str"/>
      <x:c r="AF649" s="274" t="str">
        <x:v>Not validated - no control/holdout</x:v>
      </x:c>
      <x:c r="AG649" s="277" t="str">
        <x:v>Recovered execution only; assignment date and unclaimed-offer denominator unavailable</x:v>
      </x:c>
    </x:row>
    <x:row r="650">
      <x:c r="A650" s="252" t="str">
        <x:v>34311452</x:v>
      </x:c>
      <x:c r="B650" s="253" t="str">
        <x:v>WS1</x:v>
      </x:c>
      <x:c r="C650" s="253" t="str">
        <x:v>MB8</x:v>
      </x:c>
      <x:c r="D650" s="262" t="n">
        <x:v>46163.72739583333</x:v>
      </x:c>
      <x:c r="E650" s="259" t="n">
        <x:v>46163.166666666664</x:v>
      </x:c>
      <x:c r="F650" s="253" t="str">
        <x:v>531637</x:v>
      </x:c>
      <x:c r="G650" s="253" t="str">
        <x:v>yongsoon</x:v>
      </x:c>
      <x:c r="H650" s="253" t="str">
        <x:v>Yes</x:v>
      </x:c>
      <x:c r="I650" s="253" t="str">
        <x:v>zhen</x:v>
      </x:c>
      <x:c r="J650" s="253" t="str">
        <x:v>zhen</x:v>
      </x:c>
      <x:c r="K650" s="259" t="n">
        <x:v>46090.166666666664</x:v>
      </x:c>
      <x:c r="L650" s="268" t="str">
        <x:f>IFERROR(VLOOKUP(I650,'Handler-Team Map'!$A$7:$C$17,2,FALSE),"")</x:f>
      </x:c>
      <x:c r="M650" s="268" t="str">
        <x:f>IFERROR(VLOOKUP(I650,'Handler-Team Map'!$A$7:$C$17,3,FALSE),"")</x:f>
      </x:c>
      <x:c r="N650" s="274" t="str">
        <x:v>FT_VM_DEP300_GET100_5X</x:v>
      </x:c>
      <x:c r="O650" s="274" t="str">
        <x:v>VIP BONUS - Deposit 300 Get 100 - 5x TO</x:v>
      </x:c>
      <x:c r="P650" s="274" t="str">
        <x:v>DepositBonus</x:v>
      </x:c>
      <x:c r="Q650" s="274" t="str">
        <x:v>Approved</x:v>
      </x:c>
      <x:c r="R650" s="265" t="n">
        <x:v>100</x:v>
      </x:c>
      <x:c r="S650" s="253" t="str">
        <x:v>Yes</x:v>
      </x:c>
      <x:c r="T650" s="265" t="n">
        <x:v>48082</x:v>
      </x:c>
      <x:c r="U650" s="253" t="str">
        <x:f>IF(AND(S650="Yes",T650=0),"Yes","No")</x:f>
        <x:v>No</x:v>
      </x:c>
      <x:c r="V650" s="253" t="str">
        <x:v>Yes</x:v>
      </x:c>
      <x:c r="W650" s="253" t="str">
        <x:v>Yes</x:v>
      </x:c>
      <x:c r="X650" s="259" t="n">
        <x:v>46163.166666666664</x:v>
      </x:c>
      <x:c r="Y650" s="265" t="n">
        <x:v>7844</x:v>
      </x:c>
      <x:c r="Z650" s="265" t="n">
        <x:v>8281</x:v>
      </x:c>
      <x:c r="AA650" s="253" t="str">
        <x:f>IF(V650="No","Maturing",IF(AND(U650="Yes",Y650&gt;0),"Yes","No"))</x:f>
        <x:v>No</x:v>
      </x:c>
      <x:c r="AB650" s="253" t="str">
        <x:f>IF(W650="No","Maturing",IF(AND(U650="Yes",Z650&gt;0),"Yes","No"))</x:f>
        <x:v>No</x:v>
      </x:c>
      <x:c r="AC650" s="265" t="n">
        <x:v>5664.36</x:v>
      </x:c>
      <x:c r="AD650" s="265" t="n">
        <x:v>5187.33</x:v>
      </x:c>
      <x:c r="AE650" s="271" t="str"/>
      <x:c r="AF650" s="274" t="str">
        <x:v>Not validated - no control/holdout</x:v>
      </x:c>
      <x:c r="AG650" s="277" t="str">
        <x:v>Recovered execution only; assignment date and unclaimed-offer denominator unavailable</x:v>
      </x:c>
    </x:row>
    <x:row r="651">
      <x:c r="A651" s="252" t="str">
        <x:v>34311591</x:v>
      </x:c>
      <x:c r="B651" s="253" t="str">
        <x:v>WS1</x:v>
      </x:c>
      <x:c r="C651" s="253" t="str">
        <x:v>MB8</x:v>
      </x:c>
      <x:c r="D651" s="262" t="n">
        <x:v>46163.73899305556</x:v>
      </x:c>
      <x:c r="E651" s="259" t="n">
        <x:v>46163.166666666664</x:v>
      </x:c>
      <x:c r="F651" s="253" t="str">
        <x:v>650335</x:v>
      </x:c>
      <x:c r="G651" s="253" t="str">
        <x:v>Azrulshah</x:v>
      </x:c>
      <x:c r="H651" s="253" t="str">
        <x:v>Yes</x:v>
      </x:c>
      <x:c r="I651" s="253" t="str">
        <x:v>Elda</x:v>
      </x:c>
      <x:c r="J651" s="253" t="str">
        <x:v>Elda</x:v>
      </x:c>
      <x:c r="K651" s="259" t="n">
        <x:v>45659.166666666664</x:v>
      </x:c>
      <x:c r="L651" s="268" t="str">
        <x:f>IFERROR(VLOOKUP(I651,'Handler-Team Map'!$A$7:$C$17,2,FALSE),"")</x:f>
      </x:c>
      <x:c r="M651" s="268" t="str">
        <x:f>IFERROR(VLOOKUP(I651,'Handler-Team Map'!$A$7:$C$17,3,FALSE),"")</x:f>
      </x:c>
      <x:c r="N651" s="274" t="str">
        <x:v>FT_VM_DEP300_GET100_5X</x:v>
      </x:c>
      <x:c r="O651" s="274" t="str">
        <x:v>VIP BONUS - Deposit 300 Get 100 - 5x TO</x:v>
      </x:c>
      <x:c r="P651" s="274" t="str">
        <x:v>DepositBonus</x:v>
      </x:c>
      <x:c r="Q651" s="274" t="str">
        <x:v>Approved</x:v>
      </x:c>
      <x:c r="R651" s="265" t="n">
        <x:v>100</x:v>
      </x:c>
      <x:c r="S651" s="253" t="str">
        <x:v>Yes</x:v>
      </x:c>
      <x:c r="T651" s="265" t="n">
        <x:v>14833</x:v>
      </x:c>
      <x:c r="U651" s="253" t="str">
        <x:f>IF(AND(S651="Yes",T651=0),"Yes","No")</x:f>
        <x:v>No</x:v>
      </x:c>
      <x:c r="V651" s="253" t="str">
        <x:v>Yes</x:v>
      </x:c>
      <x:c r="W651" s="253" t="str">
        <x:v>Yes</x:v>
      </x:c>
      <x:c r="X651" s="259" t="n">
        <x:v>46163.166666666664</x:v>
      </x:c>
      <x:c r="Y651" s="265" t="n">
        <x:v>4080</x:v>
      </x:c>
      <x:c r="Z651" s="265" t="n">
        <x:v>4170</x:v>
      </x:c>
      <x:c r="AA651" s="253" t="str">
        <x:f>IF(V651="No","Maturing",IF(AND(U651="Yes",Y651&gt;0),"Yes","No"))</x:f>
        <x:v>No</x:v>
      </x:c>
      <x:c r="AB651" s="253" t="str">
        <x:f>IF(W651="No","Maturing",IF(AND(U651="Yes",Z651&gt;0),"Yes","No"))</x:f>
        <x:v>No</x:v>
      </x:c>
      <x:c r="AC651" s="265" t="n">
        <x:v>-1999.42</x:v>
      </x:c>
      <x:c r="AD651" s="265" t="n">
        <x:v>-2030.43</x:v>
      </x:c>
      <x:c r="AE651" s="271" t="str"/>
      <x:c r="AF651" s="274" t="str">
        <x:v>Not validated - no control/holdout</x:v>
      </x:c>
      <x:c r="AG651" s="277" t="str">
        <x:v>Recovered execution only; assignment date and unclaimed-offer denominator unavailable</x:v>
      </x:c>
    </x:row>
    <x:row r="652">
      <x:c r="A652" s="252" t="str">
        <x:v>34311925</x:v>
      </x:c>
      <x:c r="B652" s="253" t="str">
        <x:v>WS1</x:v>
      </x:c>
      <x:c r="C652" s="253" t="str">
        <x:v>MB8</x:v>
      </x:c>
      <x:c r="D652" s="262" t="n">
        <x:v>46163.763703703706</x:v>
      </x:c>
      <x:c r="E652" s="259" t="n">
        <x:v>46163.166666666664</x:v>
      </x:c>
      <x:c r="F652" s="253" t="str">
        <x:v>773891</x:v>
      </x:c>
      <x:c r="G652" s="253" t="str">
        <x:v>arifls</x:v>
      </x:c>
      <x:c r="H652" s="253" t="str">
        <x:v>Yes</x:v>
      </x:c>
      <x:c r="I652" s="253" t="str">
        <x:v>Tammy</x:v>
      </x:c>
      <x:c r="J652" s="253" t="str">
        <x:v>Tammy</x:v>
      </x:c>
      <x:c r="K652" s="259" t="n">
        <x:v>45951.166666666664</x:v>
      </x:c>
      <x:c r="L652" s="268" t="str">
        <x:f>IFERROR(VLOOKUP(I652,'Handler-Team Map'!$A$7:$C$17,2,FALSE),"")</x:f>
      </x:c>
      <x:c r="M652" s="268" t="str">
        <x:f>IFERROR(VLOOKUP(I652,'Handler-Team Map'!$A$7:$C$17,3,FALSE),"")</x:f>
      </x:c>
      <x:c r="N652" s="274" t="str">
        <x:v>FT_VM_DEP600_GET200_5X</x:v>
      </x:c>
      <x:c r="O652" s="274" t="str">
        <x:v>VIP BONUS - Deposit 600 Get 200 - 5x TO</x:v>
      </x:c>
      <x:c r="P652" s="274" t="str">
        <x:v>DepositBonus</x:v>
      </x:c>
      <x:c r="Q652" s="274" t="str">
        <x:v>Approved</x:v>
      </x:c>
      <x:c r="R652" s="265" t="n">
        <x:v>200</x:v>
      </x:c>
      <x:c r="S652" s="253" t="str">
        <x:v>Yes</x:v>
      </x:c>
      <x:c r="T652" s="265" t="n">
        <x:v>36100</x:v>
      </x:c>
      <x:c r="U652" s="253" t="str">
        <x:f>IF(AND(S652="Yes",T652=0),"Yes","No")</x:f>
        <x:v>No</x:v>
      </x:c>
      <x:c r="V652" s="253" t="str">
        <x:v>Yes</x:v>
      </x:c>
      <x:c r="W652" s="253" t="str">
        <x:v>Yes</x:v>
      </x:c>
      <x:c r="X652" s="259" t="n">
        <x:v>46163.166666666664</x:v>
      </x:c>
      <x:c r="Y652" s="265" t="n">
        <x:v>7493</x:v>
      </x:c>
      <x:c r="Z652" s="265" t="n">
        <x:v>9493</x:v>
      </x:c>
      <x:c r="AA652" s="253" t="str">
        <x:f>IF(V652="No","Maturing",IF(AND(U652="Yes",Y652&gt;0),"Yes","No"))</x:f>
        <x:v>No</x:v>
      </x:c>
      <x:c r="AB652" s="253" t="str">
        <x:f>IF(W652="No","Maturing",IF(AND(U652="Yes",Z652&gt;0),"Yes","No"))</x:f>
        <x:v>No</x:v>
      </x:c>
      <x:c r="AC652" s="265" t="n">
        <x:v>7493.17</x:v>
      </x:c>
      <x:c r="AD652" s="265" t="n">
        <x:v>9493.13</x:v>
      </x:c>
      <x:c r="AE652" s="271" t="str"/>
      <x:c r="AF652" s="274" t="str">
        <x:v>Not validated - no control/holdout</x:v>
      </x:c>
      <x:c r="AG652" s="277" t="str">
        <x:v>Recovered execution only; assignment date and unclaimed-offer denominator unavailable</x:v>
      </x:c>
    </x:row>
    <x:row r="653">
      <x:c r="A653" s="252" t="str">
        <x:v>34312423</x:v>
      </x:c>
      <x:c r="B653" s="253" t="str">
        <x:v>WS1</x:v>
      </x:c>
      <x:c r="C653" s="253" t="str">
        <x:v>MB8</x:v>
      </x:c>
      <x:c r="D653" s="262" t="n">
        <x:v>46163.805659722224</x:v>
      </x:c>
      <x:c r="E653" s="259" t="n">
        <x:v>46163.166666666664</x:v>
      </x:c>
      <x:c r="F653" s="253" t="str">
        <x:v>1210975</x:v>
      </x:c>
      <x:c r="G653" s="253" t="str">
        <x:v>hardev90</x:v>
      </x:c>
      <x:c r="H653" s="253" t="str">
        <x:v>Yes</x:v>
      </x:c>
      <x:c r="I653" s="253" t="str"/>
      <x:c r="J653" s="253" t="str"/>
      <x:c r="K653" s="259"/>
      <x:c r="L653" s="268" t="str">
        <x:f>IFERROR(VLOOKUP(I653,'Handler-Team Map'!$A$7:$C$17,2,FALSE),"")</x:f>
      </x:c>
      <x:c r="M653" s="268" t="str">
        <x:f>IFERROR(VLOOKUP(I653,'Handler-Team Map'!$A$7:$C$17,3,FALSE),"")</x:f>
      </x:c>
      <x:c r="N653" s="274" t="str">
        <x:v>FT_VM_DEP1000_GET1000_1X</x:v>
      </x:c>
      <x:c r="O653" s="274" t="str">
        <x:v>VIP BONUS - Deposit 1000 Get 1000 - 1x TO</x:v>
      </x:c>
      <x:c r="P653" s="274" t="str">
        <x:v>DepositBonus</x:v>
      </x:c>
      <x:c r="Q653" s="274" t="str">
        <x:v>Approved</x:v>
      </x:c>
      <x:c r="R653" s="265" t="n">
        <x:v>1000</x:v>
      </x:c>
      <x:c r="S653" s="253" t="str">
        <x:v>Yes</x:v>
      </x:c>
      <x:c r="T653" s="265" t="n">
        <x:v>122287</x:v>
      </x:c>
      <x:c r="U653" s="253" t="str">
        <x:f>IF(AND(S653="Yes",T653=0),"Yes","No")</x:f>
        <x:v>No</x:v>
      </x:c>
      <x:c r="V653" s="253" t="str">
        <x:v>Yes</x:v>
      </x:c>
      <x:c r="W653" s="253" t="str">
        <x:v>Yes</x:v>
      </x:c>
      <x:c r="X653" s="259" t="n">
        <x:v>46163.166666666664</x:v>
      </x:c>
      <x:c r="Y653" s="265" t="n">
        <x:v>27548</x:v>
      </x:c>
      <x:c r="Z653" s="265" t="n">
        <x:v>354996</x:v>
      </x:c>
      <x:c r="AA653" s="253" t="str">
        <x:f>IF(V653="No","Maturing",IF(AND(U653="Yes",Y653&gt;0),"Yes","No"))</x:f>
        <x:v>No</x:v>
      </x:c>
      <x:c r="AB653" s="253" t="str">
        <x:f>IF(W653="No","Maturing",IF(AND(U653="Yes",Z653&gt;0),"Yes","No"))</x:f>
        <x:v>No</x:v>
      </x:c>
      <x:c r="AC653" s="265" t="n">
        <x:v>-20678.42</x:v>
      </x:c>
      <x:c r="AD653" s="265" t="n">
        <x:v>283972.98</x:v>
      </x:c>
      <x:c r="AE653" s="271" t="str"/>
      <x:c r="AF653" s="274" t="str">
        <x:v>Not validated - no control/holdout</x:v>
      </x:c>
      <x:c r="AG653" s="277" t="str">
        <x:v>Recovered execution only; assignment date and unclaimed-offer denominator unavailable</x:v>
      </x:c>
    </x:row>
    <x:row r="654">
      <x:c r="A654" s="252" t="str">
        <x:v>34312554</x:v>
      </x:c>
      <x:c r="B654" s="253" t="str">
        <x:v>WS1</x:v>
      </x:c>
      <x:c r="C654" s="253" t="str">
        <x:v>MB8</x:v>
      </x:c>
      <x:c r="D654" s="262" t="n">
        <x:v>46163.81706018518</x:v>
      </x:c>
      <x:c r="E654" s="259" t="n">
        <x:v>46163.166666666664</x:v>
      </x:c>
      <x:c r="F654" s="253" t="str">
        <x:v>577473</x:v>
      </x:c>
      <x:c r="G654" s="253" t="str">
        <x:v>Dzqsyl3966</x:v>
      </x:c>
      <x:c r="H654" s="253" t="str">
        <x:v>Yes</x:v>
      </x:c>
      <x:c r="I654" s="253" t="str"/>
      <x:c r="J654" s="253" t="str"/>
      <x:c r="K654" s="259"/>
      <x:c r="L654" s="268" t="str">
        <x:f>IFERROR(VLOOKUP(I654,'Handler-Team Map'!$A$7:$C$17,2,FALSE),"")</x:f>
      </x:c>
      <x:c r="M654" s="268" t="str">
        <x:f>IFERROR(VLOOKUP(I654,'Handler-Team Map'!$A$7:$C$17,3,FALSE),"")</x:f>
      </x:c>
      <x:c r="N654" s="274" t="str">
        <x:v>FT_VM_DEP600_GET200_5X</x:v>
      </x:c>
      <x:c r="O654" s="274" t="str">
        <x:v>VIP BONUS - Deposit 600 Get 200 - 5x TO</x:v>
      </x:c>
      <x:c r="P654" s="274" t="str">
        <x:v>DepositBonus</x:v>
      </x:c>
      <x:c r="Q654" s="274" t="str">
        <x:v>Approved</x:v>
      </x:c>
      <x:c r="R654" s="265" t="n">
        <x:v>200</x:v>
      </x:c>
      <x:c r="S654" s="253" t="str">
        <x:v>Yes</x:v>
      </x:c>
      <x:c r="T654" s="265" t="n">
        <x:v>1000</x:v>
      </x:c>
      <x:c r="U654" s="253" t="str">
        <x:f>IF(AND(S654="Yes",T654=0),"Yes","No")</x:f>
        <x:v>No</x:v>
      </x:c>
      <x:c r="V654" s="253" t="str">
        <x:v>Yes</x:v>
      </x:c>
      <x:c r="W654" s="253" t="str">
        <x:v>Yes</x:v>
      </x:c>
      <x:c r="X654" s="259" t="n">
        <x:v>46163.166666666664</x:v>
      </x:c>
      <x:c r="Y654" s="265" t="n">
        <x:v>600</x:v>
      </x:c>
      <x:c r="Z654" s="265" t="n">
        <x:v>1400</x:v>
      </x:c>
      <x:c r="AA654" s="253" t="str">
        <x:f>IF(V654="No","Maturing",IF(AND(U654="Yes",Y654&gt;0),"Yes","No"))</x:f>
        <x:v>No</x:v>
      </x:c>
      <x:c r="AB654" s="253" t="str">
        <x:f>IF(W654="No","Maturing",IF(AND(U654="Yes",Z654&gt;0),"Yes","No"))</x:f>
        <x:v>No</x:v>
      </x:c>
      <x:c r="AC654" s="265" t="n">
        <x:v>-464.41</x:v>
      </x:c>
      <x:c r="AD654" s="265" t="n">
        <x:v>-1139.34</x:v>
      </x:c>
      <x:c r="AE654" s="271" t="str"/>
      <x:c r="AF654" s="274" t="str">
        <x:v>Not validated - no control/holdout</x:v>
      </x:c>
      <x:c r="AG654" s="277" t="str">
        <x:v>Recovered execution only; assignment date and unclaimed-offer denominator unavailable</x:v>
      </x:c>
    </x:row>
    <x:row r="655">
      <x:c r="A655" s="252" t="str">
        <x:v>34312597</x:v>
      </x:c>
      <x:c r="B655" s="253" t="str">
        <x:v>WS1</x:v>
      </x:c>
      <x:c r="C655" s="253" t="str">
        <x:v>MB8</x:v>
      </x:c>
      <x:c r="D655" s="262" t="n">
        <x:v>46163.81895833334</x:v>
      </x:c>
      <x:c r="E655" s="259" t="n">
        <x:v>46163.166666666664</x:v>
      </x:c>
      <x:c r="F655" s="253" t="str">
        <x:v>934695</x:v>
      </x:c>
      <x:c r="G655" s="253" t="str">
        <x:v>Wil123</x:v>
      </x:c>
      <x:c r="H655" s="253" t="str">
        <x:v>Yes</x:v>
      </x:c>
      <x:c r="I655" s="253" t="str">
        <x:v>Claire</x:v>
      </x:c>
      <x:c r="J655" s="253" t="str">
        <x:v>Claire</x:v>
      </x:c>
      <x:c r="K655" s="259" t="n">
        <x:v>45659.166666666664</x:v>
      </x:c>
      <x:c r="L655" s="268" t="str">
        <x:f>IFERROR(VLOOKUP(I655,'Handler-Team Map'!$A$7:$C$17,2,FALSE),"")</x:f>
      </x:c>
      <x:c r="M655" s="268" t="str">
        <x:f>IFERROR(VLOOKUP(I655,'Handler-Team Map'!$A$7:$C$17,3,FALSE),"")</x:f>
      </x:c>
      <x:c r="N655" s="274" t="str">
        <x:v>FT_VM_DEP1000_GET500_5X</x:v>
      </x:c>
      <x:c r="O655" s="274" t="str">
        <x:v>VIP BONUS - Deposit 1000 Get 500 - 5x TO</x:v>
      </x:c>
      <x:c r="P655" s="274" t="str">
        <x:v>DepositBonus</x:v>
      </x:c>
      <x:c r="Q655" s="274" t="str">
        <x:v>Approved</x:v>
      </x:c>
      <x:c r="R655" s="265" t="n">
        <x:v>500</x:v>
      </x:c>
      <x:c r="S655" s="253" t="str">
        <x:v>Yes</x:v>
      </x:c>
      <x:c r="T655" s="265" t="n">
        <x:v>3500</x:v>
      </x:c>
      <x:c r="U655" s="253" t="str">
        <x:f>IF(AND(S655="Yes",T655=0),"Yes","No")</x:f>
        <x:v>No</x:v>
      </x:c>
      <x:c r="V655" s="253" t="str">
        <x:v>Yes</x:v>
      </x:c>
      <x:c r="W655" s="253" t="str">
        <x:v>Yes</x:v>
      </x:c>
      <x:c r="X655" s="259" t="n">
        <x:v>46163.166666666664</x:v>
      </x:c>
      <x:c r="Y655" s="265" t="n">
        <x:v>1000</x:v>
      </x:c>
      <x:c r="Z655" s="265" t="n">
        <x:v>1500</x:v>
      </x:c>
      <x:c r="AA655" s="253" t="str">
        <x:f>IF(V655="No","Maturing",IF(AND(U655="Yes",Y655&gt;0),"Yes","No"))</x:f>
        <x:v>No</x:v>
      </x:c>
      <x:c r="AB655" s="253" t="str">
        <x:f>IF(W655="No","Maturing",IF(AND(U655="Yes",Z655&gt;0),"Yes","No"))</x:f>
        <x:v>No</x:v>
      </x:c>
      <x:c r="AC655" s="265" t="n">
        <x:v>996.64</x:v>
      </x:c>
      <x:c r="AD655" s="265" t="n">
        <x:v>1457.69</x:v>
      </x:c>
      <x:c r="AE655" s="271" t="str"/>
      <x:c r="AF655" s="274" t="str">
        <x:v>Not validated - no control/holdout</x:v>
      </x:c>
      <x:c r="AG655" s="277" t="str">
        <x:v>Recovered execution only; assignment date and unclaimed-offer denominator unavailable</x:v>
      </x:c>
    </x:row>
    <x:row r="656">
      <x:c r="A656" s="252" t="str">
        <x:v>34312901</x:v>
      </x:c>
      <x:c r="B656" s="253" t="str">
        <x:v>WS1</x:v>
      </x:c>
      <x:c r="C656" s="253" t="str">
        <x:v>MB8</x:v>
      </x:c>
      <x:c r="D656" s="262" t="n">
        <x:v>46163.84087962963</x:v>
      </x:c>
      <x:c r="E656" s="259" t="n">
        <x:v>46163.166666666664</x:v>
      </x:c>
      <x:c r="F656" s="253" t="str">
        <x:v>869594</x:v>
      </x:c>
      <x:c r="G656" s="253" t="str">
        <x:v>Tiam1688</x:v>
      </x:c>
      <x:c r="H656" s="253" t="str">
        <x:v>Yes</x:v>
      </x:c>
      <x:c r="I656" s="253" t="str"/>
      <x:c r="J656" s="253" t="str"/>
      <x:c r="K656" s="259"/>
      <x:c r="L656" s="268" t="str">
        <x:f>IFERROR(VLOOKUP(I656,'Handler-Team Map'!$A$7:$C$17,2,FALSE),"")</x:f>
      </x:c>
      <x:c r="M656" s="268" t="str">
        <x:f>IFERROR(VLOOKUP(I656,'Handler-Team Map'!$A$7:$C$17,3,FALSE),"")</x:f>
      </x:c>
      <x:c r="N656" s="274" t="str">
        <x:v>FT_VM_DEP600_GET200_5X</x:v>
      </x:c>
      <x:c r="O656" s="274" t="str">
        <x:v>VIP BONUS - Deposit 600 Get 200 - 5x TO</x:v>
      </x:c>
      <x:c r="P656" s="274" t="str">
        <x:v>DepositBonus</x:v>
      </x:c>
      <x:c r="Q656" s="274" t="str">
        <x:v>Approved</x:v>
      </x:c>
      <x:c r="R656" s="265" t="n">
        <x:v>200</x:v>
      </x:c>
      <x:c r="S656" s="253" t="str">
        <x:v>Yes</x:v>
      </x:c>
      <x:c r="T656" s="265" t="n">
        <x:v>3750</x:v>
      </x:c>
      <x:c r="U656" s="253" t="str">
        <x:f>IF(AND(S656="Yes",T656=0),"Yes","No")</x:f>
        <x:v>No</x:v>
      </x:c>
      <x:c r="V656" s="253" t="str">
        <x:v>Yes</x:v>
      </x:c>
      <x:c r="W656" s="253" t="str">
        <x:v>Yes</x:v>
      </x:c>
      <x:c r="X656" s="259" t="n">
        <x:v>46163.166666666664</x:v>
      </x:c>
      <x:c r="Y656" s="265" t="n">
        <x:v>1800</x:v>
      </x:c>
      <x:c r="Z656" s="265" t="n">
        <x:v>1800</x:v>
      </x:c>
      <x:c r="AA656" s="253" t="str">
        <x:f>IF(V656="No","Maturing",IF(AND(U656="Yes",Y656&gt;0),"Yes","No"))</x:f>
        <x:v>No</x:v>
      </x:c>
      <x:c r="AB656" s="253" t="str">
        <x:f>IF(W656="No","Maturing",IF(AND(U656="Yes",Z656&gt;0),"Yes","No"))</x:f>
        <x:v>No</x:v>
      </x:c>
      <x:c r="AC656" s="265" t="n">
        <x:v>1799.76</x:v>
      </x:c>
      <x:c r="AD656" s="265" t="n">
        <x:v>1800.11</x:v>
      </x:c>
      <x:c r="AE656" s="271" t="str"/>
      <x:c r="AF656" s="274" t="str">
        <x:v>Not validated - no control/holdout</x:v>
      </x:c>
      <x:c r="AG656" s="277" t="str">
        <x:v>Recovered execution only; assignment date and unclaimed-offer denominator unavailable</x:v>
      </x:c>
    </x:row>
    <x:row r="657">
      <x:c r="A657" s="252" t="str">
        <x:v>34313283</x:v>
      </x:c>
      <x:c r="B657" s="253" t="str">
        <x:v>WS1</x:v>
      </x:c>
      <x:c r="C657" s="253" t="str">
        <x:v>MB8</x:v>
      </x:c>
      <x:c r="D657" s="262" t="n">
        <x:v>46163.86568287037</x:v>
      </x:c>
      <x:c r="E657" s="259" t="n">
        <x:v>46163.166666666664</x:v>
      </x:c>
      <x:c r="F657" s="253" t="str">
        <x:v>631041</x:v>
      </x:c>
      <x:c r="G657" s="253" t="str">
        <x:v>ThoMas0529</x:v>
      </x:c>
      <x:c r="H657" s="253" t="str">
        <x:v>Yes</x:v>
      </x:c>
      <x:c r="I657" s="253" t="str">
        <x:v>Tammy</x:v>
      </x:c>
      <x:c r="J657" s="253" t="str">
        <x:v>Tammy</x:v>
      </x:c>
      <x:c r="K657" s="259" t="n">
        <x:v>45951.166666666664</x:v>
      </x:c>
      <x:c r="L657" s="268" t="str">
        <x:f>IFERROR(VLOOKUP(I657,'Handler-Team Map'!$A$7:$C$17,2,FALSE),"")</x:f>
      </x:c>
      <x:c r="M657" s="268" t="str">
        <x:f>IFERROR(VLOOKUP(I657,'Handler-Team Map'!$A$7:$C$17,3,FALSE),"")</x:f>
      </x:c>
      <x:c r="N657" s="274" t="str">
        <x:v>FT_VM_DEP1000_GET500_5X</x:v>
      </x:c>
      <x:c r="O657" s="274" t="str">
        <x:v>VIP BONUS - Deposit 1000 Get 500 - 5x TO</x:v>
      </x:c>
      <x:c r="P657" s="274" t="str">
        <x:v>DepositBonus</x:v>
      </x:c>
      <x:c r="Q657" s="274" t="str">
        <x:v>Approved</x:v>
      </x:c>
      <x:c r="R657" s="265" t="n">
        <x:v>500</x:v>
      </x:c>
      <x:c r="S657" s="253" t="str">
        <x:v>Yes</x:v>
      </x:c>
      <x:c r="T657" s="265" t="n">
        <x:v>1000</x:v>
      </x:c>
      <x:c r="U657" s="253" t="str">
        <x:f>IF(AND(S657="Yes",T657=0),"Yes","No")</x:f>
        <x:v>No</x:v>
      </x:c>
      <x:c r="V657" s="253" t="str">
        <x:v>Yes</x:v>
      </x:c>
      <x:c r="W657" s="253" t="str">
        <x:v>Yes</x:v>
      </x:c>
      <x:c r="X657" s="259" t="n">
        <x:v>46163.166666666664</x:v>
      </x:c>
      <x:c r="Y657" s="265" t="n">
        <x:v>1000</x:v>
      </x:c>
      <x:c r="Z657" s="265" t="n">
        <x:v>2600</x:v>
      </x:c>
      <x:c r="AA657" s="253" t="str">
        <x:f>IF(V657="No","Maturing",IF(AND(U657="Yes",Y657&gt;0),"Yes","No"))</x:f>
        <x:v>No</x:v>
      </x:c>
      <x:c r="AB657" s="253" t="str">
        <x:f>IF(W657="No","Maturing",IF(AND(U657="Yes",Z657&gt;0),"Yes","No"))</x:f>
        <x:v>No</x:v>
      </x:c>
      <x:c r="AC657" s="265" t="n">
        <x:v>999.73</x:v>
      </x:c>
      <x:c r="AD657" s="265" t="n">
        <x:v>-400.08</x:v>
      </x:c>
      <x:c r="AE657" s="271" t="str"/>
      <x:c r="AF657" s="274" t="str">
        <x:v>Not validated - no control/holdout</x:v>
      </x:c>
      <x:c r="AG657" s="277" t="str">
        <x:v>Recovered execution only; assignment date and unclaimed-offer denominator unavailable</x:v>
      </x:c>
    </x:row>
    <x:row r="658">
      <x:c r="A658" s="252" t="str">
        <x:v>34313437</x:v>
      </x:c>
      <x:c r="B658" s="253" t="str">
        <x:v>WS1</x:v>
      </x:c>
      <x:c r="C658" s="253" t="str">
        <x:v>MB8</x:v>
      </x:c>
      <x:c r="D658" s="262" t="n">
        <x:v>46163.875752314816</x:v>
      </x:c>
      <x:c r="E658" s="259" t="n">
        <x:v>46163.166666666664</x:v>
      </x:c>
      <x:c r="F658" s="253" t="str">
        <x:v>1041738</x:v>
      </x:c>
      <x:c r="G658" s="253" t="str">
        <x:v>ndzm777</x:v>
      </x:c>
      <x:c r="H658" s="253" t="str">
        <x:v>Yes</x:v>
      </x:c>
      <x:c r="I658" s="253" t="str">
        <x:v>zhen</x:v>
      </x:c>
      <x:c r="J658" s="253" t="str">
        <x:v>zhen</x:v>
      </x:c>
      <x:c r="K658" s="259" t="n">
        <x:v>45880.166666666664</x:v>
      </x:c>
      <x:c r="L658" s="268" t="str">
        <x:f>IFERROR(VLOOKUP(I658,'Handler-Team Map'!$A$7:$C$17,2,FALSE),"")</x:f>
      </x:c>
      <x:c r="M658" s="268" t="str">
        <x:f>IFERROR(VLOOKUP(I658,'Handler-Team Map'!$A$7:$C$17,3,FALSE),"")</x:f>
      </x:c>
      <x:c r="N658" s="274" t="str">
        <x:v>FT_VM_DEP600_GET200_5X</x:v>
      </x:c>
      <x:c r="O658" s="274" t="str">
        <x:v>VIP BONUS - Deposit 600 Get 200 - 5x TO</x:v>
      </x:c>
      <x:c r="P658" s="274" t="str">
        <x:v>DepositBonus</x:v>
      </x:c>
      <x:c r="Q658" s="274" t="str">
        <x:v>Approved</x:v>
      </x:c>
      <x:c r="R658" s="265" t="n">
        <x:v>200</x:v>
      </x:c>
      <x:c r="S658" s="253" t="str">
        <x:v>Yes</x:v>
      </x:c>
      <x:c r="T658" s="265" t="n">
        <x:v>30906</x:v>
      </x:c>
      <x:c r="U658" s="253" t="str">
        <x:f>IF(AND(S658="Yes",T658=0),"Yes","No")</x:f>
        <x:v>No</x:v>
      </x:c>
      <x:c r="V658" s="253" t="str">
        <x:v>Yes</x:v>
      </x:c>
      <x:c r="W658" s="253" t="str">
        <x:v>Yes</x:v>
      </x:c>
      <x:c r="X658" s="259" t="n">
        <x:v>46163.166666666664</x:v>
      </x:c>
      <x:c r="Y658" s="265" t="n">
        <x:v>5096</x:v>
      </x:c>
      <x:c r="Z658" s="265" t="n">
        <x:v>7258</x:v>
      </x:c>
      <x:c r="AA658" s="253" t="str">
        <x:f>IF(V658="No","Maturing",IF(AND(U658="Yes",Y658&gt;0),"Yes","No"))</x:f>
        <x:v>No</x:v>
      </x:c>
      <x:c r="AB658" s="253" t="str">
        <x:f>IF(W658="No","Maturing",IF(AND(U658="Yes",Z658&gt;0),"Yes","No"))</x:f>
        <x:v>No</x:v>
      </x:c>
      <x:c r="AC658" s="265" t="n">
        <x:v>5097.86</x:v>
      </x:c>
      <x:c r="AD658" s="265" t="n">
        <x:v>7260.17</x:v>
      </x:c>
      <x:c r="AE658" s="271" t="str"/>
      <x:c r="AF658" s="274" t="str">
        <x:v>Not validated - no control/holdout</x:v>
      </x:c>
      <x:c r="AG658" s="277" t="str">
        <x:v>Recovered execution only; assignment date and unclaimed-offer denominator unavailable</x:v>
      </x:c>
    </x:row>
    <x:row r="659">
      <x:c r="A659" s="252" t="str">
        <x:v>34315154</x:v>
      </x:c>
      <x:c r="B659" s="253" t="str">
        <x:v>WS1</x:v>
      </x:c>
      <x:c r="C659" s="253" t="str">
        <x:v>MB8</x:v>
      </x:c>
      <x:c r="D659" s="262" t="n">
        <x:v>46163.96729166667</x:v>
      </x:c>
      <x:c r="E659" s="259" t="n">
        <x:v>46163.166666666664</x:v>
      </x:c>
      <x:c r="F659" s="253" t="str">
        <x:v>1201273</x:v>
      </x:c>
      <x:c r="G659" s="253" t="str">
        <x:v>Go5208</x:v>
      </x:c>
      <x:c r="H659" s="253" t="str">
        <x:v>Yes</x:v>
      </x:c>
      <x:c r="I659" s="253" t="str"/>
      <x:c r="J659" s="253" t="str"/>
      <x:c r="K659" s="259"/>
      <x:c r="L659" s="268" t="str">
        <x:f>IFERROR(VLOOKUP(I659,'Handler-Team Map'!$A$7:$C$17,2,FALSE),"")</x:f>
      </x:c>
      <x:c r="M659" s="268" t="str">
        <x:f>IFERROR(VLOOKUP(I659,'Handler-Team Map'!$A$7:$C$17,3,FALSE),"")</x:f>
      </x:c>
      <x:c r="N659" s="274" t="str">
        <x:v>FT_VM_DEP600_GET200_5X</x:v>
      </x:c>
      <x:c r="O659" s="274" t="str">
        <x:v>VIP BONUS - Deposit 600 Get 200 - 5x TO</x:v>
      </x:c>
      <x:c r="P659" s="274" t="str">
        <x:v>DepositBonus</x:v>
      </x:c>
      <x:c r="Q659" s="274" t="str">
        <x:v>Approved</x:v>
      </x:c>
      <x:c r="R659" s="265" t="n">
        <x:v>200</x:v>
      </x:c>
      <x:c r="S659" s="253" t="str">
        <x:v>Yes</x:v>
      </x:c>
      <x:c r="T659" s="265" t="n">
        <x:v>2880</x:v>
      </x:c>
      <x:c r="U659" s="253" t="str">
        <x:f>IF(AND(S659="Yes",T659=0),"Yes","No")</x:f>
        <x:v>No</x:v>
      </x:c>
      <x:c r="V659" s="253" t="str">
        <x:v>Yes</x:v>
      </x:c>
      <x:c r="W659" s="253" t="str">
        <x:v>Yes</x:v>
      </x:c>
      <x:c r="X659" s="259" t="n">
        <x:v>46163.166666666664</x:v>
      </x:c>
      <x:c r="Y659" s="265" t="n">
        <x:v>600</x:v>
      </x:c>
      <x:c r="Z659" s="265" t="n">
        <x:v>630</x:v>
      </x:c>
      <x:c r="AA659" s="253" t="str">
        <x:f>IF(V659="No","Maturing",IF(AND(U659="Yes",Y659&gt;0),"Yes","No"))</x:f>
        <x:v>No</x:v>
      </x:c>
      <x:c r="AB659" s="253" t="str">
        <x:f>IF(W659="No","Maturing",IF(AND(U659="Yes",Z659&gt;0),"Yes","No"))</x:f>
        <x:v>No</x:v>
      </x:c>
      <x:c r="AC659" s="265" t="n">
        <x:v>600.25</x:v>
      </x:c>
      <x:c r="AD659" s="265" t="n">
        <x:v>630.3</x:v>
      </x:c>
      <x:c r="AE659" s="271" t="str"/>
      <x:c r="AF659" s="274" t="str">
        <x:v>Not validated - no control/holdout</x:v>
      </x:c>
      <x:c r="AG659" s="277" t="str">
        <x:v>Recovered execution only; assignment date and unclaimed-offer denominator unavailable</x:v>
      </x:c>
    </x:row>
    <x:row r="660">
      <x:c r="A660" s="252" t="str">
        <x:v>34317567</x:v>
      </x:c>
      <x:c r="B660" s="253" t="str">
        <x:v>WS1</x:v>
      </x:c>
      <x:c r="C660" s="253" t="str">
        <x:v>MB8</x:v>
      </x:c>
      <x:c r="D660" s="262" t="n">
        <x:v>46164.07908564815</x:v>
      </x:c>
      <x:c r="E660" s="259" t="n">
        <x:v>46164.166666666664</x:v>
      </x:c>
      <x:c r="F660" s="253" t="str">
        <x:v>900452</x:v>
      </x:c>
      <x:c r="G660" s="253" t="str">
        <x:v>att6363</x:v>
      </x:c>
      <x:c r="H660" s="253" t="str">
        <x:v>Yes</x:v>
      </x:c>
      <x:c r="I660" s="253" t="str"/>
      <x:c r="J660" s="253" t="str"/>
      <x:c r="K660" s="259"/>
      <x:c r="L660" s="268" t="str">
        <x:f>IFERROR(VLOOKUP(I660,'Handler-Team Map'!$A$7:$C$17,2,FALSE),"")</x:f>
      </x:c>
      <x:c r="M660" s="268" t="str">
        <x:f>IFERROR(VLOOKUP(I660,'Handler-Team Map'!$A$7:$C$17,3,FALSE),"")</x:f>
      </x:c>
      <x:c r="N660" s="274" t="str">
        <x:v>FT_VM_DEP600_GET200_5X</x:v>
      </x:c>
      <x:c r="O660" s="274" t="str">
        <x:v>VIP BONUS - Deposit 600 Get 200 - 5x TO</x:v>
      </x:c>
      <x:c r="P660" s="274" t="str">
        <x:v>DepositBonus</x:v>
      </x:c>
      <x:c r="Q660" s="274" t="str">
        <x:v>Approved</x:v>
      </x:c>
      <x:c r="R660" s="265" t="n">
        <x:v>200</x:v>
      </x:c>
      <x:c r="S660" s="253" t="str">
        <x:v>Yes</x:v>
      </x:c>
      <x:c r="T660" s="265" t="n">
        <x:v>2930</x:v>
      </x:c>
      <x:c r="U660" s="253" t="str">
        <x:f>IF(AND(S660="Yes",T660=0),"Yes","No")</x:f>
        <x:v>No</x:v>
      </x:c>
      <x:c r="V660" s="253" t="str">
        <x:v>Yes</x:v>
      </x:c>
      <x:c r="W660" s="253" t="str">
        <x:v>Yes</x:v>
      </x:c>
      <x:c r="X660" s="259" t="n">
        <x:v>46164.166666666664</x:v>
      </x:c>
      <x:c r="Y660" s="265" t="n">
        <x:v>600</x:v>
      </x:c>
      <x:c r="Z660" s="265" t="n">
        <x:v>1200</x:v>
      </x:c>
      <x:c r="AA660" s="253" t="str">
        <x:f>IF(V660="No","Maturing",IF(AND(U660="Yes",Y660&gt;0),"Yes","No"))</x:f>
        <x:v>No</x:v>
      </x:c>
      <x:c r="AB660" s="253" t="str">
        <x:f>IF(W660="No","Maturing",IF(AND(U660="Yes",Z660&gt;0),"Yes","No"))</x:f>
        <x:v>No</x:v>
      </x:c>
      <x:c r="AC660" s="265" t="n">
        <x:v>-1003.7</x:v>
      </x:c>
      <x:c r="AD660" s="265" t="n">
        <x:v>-399.8</x:v>
      </x:c>
      <x:c r="AE660" s="271" t="str"/>
      <x:c r="AF660" s="274" t="str">
        <x:v>Not validated - no control/holdout</x:v>
      </x:c>
      <x:c r="AG660" s="277" t="str">
        <x:v>Recovered execution only; assignment date and unclaimed-offer denominator unavailable</x:v>
      </x:c>
    </x:row>
    <x:row r="661">
      <x:c r="A661" s="252" t="str">
        <x:v>34320941</x:v>
      </x:c>
      <x:c r="B661" s="253" t="str">
        <x:v>WS1</x:v>
      </x:c>
      <x:c r="C661" s="253" t="str">
        <x:v>MB8</x:v>
      </x:c>
      <x:c r="D661" s="262" t="n">
        <x:v>46164.44876157407</x:v>
      </x:c>
      <x:c r="E661" s="259" t="n">
        <x:v>46164.166666666664</x:v>
      </x:c>
      <x:c r="F661" s="253" t="str">
        <x:v>686764</x:v>
      </x:c>
      <x:c r="G661" s="253" t="str">
        <x:v>Junwen77</x:v>
      </x:c>
      <x:c r="H661" s="253" t="str">
        <x:v>Yes</x:v>
      </x:c>
      <x:c r="I661" s="253" t="str"/>
      <x:c r="J661" s="253" t="str"/>
      <x:c r="K661" s="259"/>
      <x:c r="L661" s="268" t="str">
        <x:f>IFERROR(VLOOKUP(I661,'Handler-Team Map'!$A$7:$C$17,2,FALSE),"")</x:f>
      </x:c>
      <x:c r="M661" s="268" t="str">
        <x:f>IFERROR(VLOOKUP(I661,'Handler-Team Map'!$A$7:$C$17,3,FALSE),"")</x:f>
      </x:c>
      <x:c r="N661" s="274" t="str">
        <x:v>FT_VM_DEP600_GET200_5X</x:v>
      </x:c>
      <x:c r="O661" s="274" t="str">
        <x:v>VIP BONUS - Deposit 600 Get 200 - 5x TO</x:v>
      </x:c>
      <x:c r="P661" s="274" t="str">
        <x:v>DepositBonus</x:v>
      </x:c>
      <x:c r="Q661" s="274" t="str">
        <x:v>Approved</x:v>
      </x:c>
      <x:c r="R661" s="265" t="n">
        <x:v>200</x:v>
      </x:c>
      <x:c r="S661" s="253" t="str">
        <x:v>Yes</x:v>
      </x:c>
      <x:c r="T661" s="265" t="n">
        <x:v>0</x:v>
      </x:c>
      <x:c r="U661" s="253" t="str">
        <x:f>IF(AND(S661="Yes",T661=0),"Yes","No")</x:f>
        <x:v>Yes</x:v>
      </x:c>
      <x:c r="V661" s="253" t="str">
        <x:v>Yes</x:v>
      </x:c>
      <x:c r="W661" s="253" t="str">
        <x:v>Yes</x:v>
      </x:c>
      <x:c r="X661" s="259" t="n">
        <x:v>46164.166666666664</x:v>
      </x:c>
      <x:c r="Y661" s="265" t="n">
        <x:v>600</x:v>
      </x:c>
      <x:c r="Z661" s="265" t="n">
        <x:v>600</x:v>
      </x:c>
      <x:c r="AA661" s="253" t="str">
        <x:f>IF(V661="No","Maturing",IF(AND(U661="Yes",Y661&gt;0),"Yes","No"))</x:f>
        <x:v>Yes</x:v>
      </x:c>
      <x:c r="AB661" s="253" t="str">
        <x:f>IF(W661="No","Maturing",IF(AND(U661="Yes",Z661&gt;0),"Yes","No"))</x:f>
        <x:v>Yes</x:v>
      </x:c>
      <x:c r="AC661" s="265" t="n">
        <x:v>603.74</x:v>
      </x:c>
      <x:c r="AD661" s="265" t="n">
        <x:v>603.74</x:v>
      </x:c>
      <x:c r="AE661" s="271" t="str"/>
      <x:c r="AF661" s="274" t="str">
        <x:v>Not validated - no control/holdout</x:v>
      </x:c>
      <x:c r="AG661" s="277" t="str">
        <x:v>Recovered execution only; assignment date and unclaimed-offer denominator unavailable</x:v>
      </x:c>
    </x:row>
    <x:row r="662">
      <x:c r="A662" s="252" t="str">
        <x:v>34320952</x:v>
      </x:c>
      <x:c r="B662" s="253" t="str">
        <x:v>WS1</x:v>
      </x:c>
      <x:c r="C662" s="253" t="str">
        <x:v>MB8</x:v>
      </x:c>
      <x:c r="D662" s="262" t="n">
        <x:v>46164.449166666665</x:v>
      </x:c>
      <x:c r="E662" s="259" t="n">
        <x:v>46164.166666666664</x:v>
      </x:c>
      <x:c r="F662" s="253" t="str">
        <x:v>104908</x:v>
      </x:c>
      <x:c r="G662" s="253" t="str">
        <x:v>Kenny26</x:v>
      </x:c>
      <x:c r="H662" s="253" t="str">
        <x:v>Yes</x:v>
      </x:c>
      <x:c r="I662" s="253" t="str"/>
      <x:c r="J662" s="253" t="str"/>
      <x:c r="K662" s="259"/>
      <x:c r="L662" s="268" t="str">
        <x:f>IFERROR(VLOOKUP(I662,'Handler-Team Map'!$A$7:$C$17,2,FALSE),"")</x:f>
      </x:c>
      <x:c r="M662" s="268" t="str">
        <x:f>IFERROR(VLOOKUP(I662,'Handler-Team Map'!$A$7:$C$17,3,FALSE),"")</x:f>
      </x:c>
      <x:c r="N662" s="274" t="str">
        <x:v>FT_VM_DEP800_GET400_2X</x:v>
      </x:c>
      <x:c r="O662" s="274" t="str">
        <x:v>VIP BONUS - Deposit 800 Get 400 - 2x TO</x:v>
      </x:c>
      <x:c r="P662" s="274" t="str">
        <x:v>DepositBonus</x:v>
      </x:c>
      <x:c r="Q662" s="274" t="str">
        <x:v>Approved</x:v>
      </x:c>
      <x:c r="R662" s="265" t="n">
        <x:v>400</x:v>
      </x:c>
      <x:c r="S662" s="253" t="str">
        <x:v>Yes</x:v>
      </x:c>
      <x:c r="T662" s="265" t="n">
        <x:v>410</x:v>
      </x:c>
      <x:c r="U662" s="253" t="str">
        <x:f>IF(AND(S662="Yes",T662=0),"Yes","No")</x:f>
        <x:v>No</x:v>
      </x:c>
      <x:c r="V662" s="253" t="str">
        <x:v>Yes</x:v>
      </x:c>
      <x:c r="W662" s="253" t="str">
        <x:v>Yes</x:v>
      </x:c>
      <x:c r="X662" s="259" t="n">
        <x:v>46164.166666666664</x:v>
      </x:c>
      <x:c r="Y662" s="265" t="n">
        <x:v>1000</x:v>
      </x:c>
      <x:c r="Z662" s="265" t="n">
        <x:v>1000</x:v>
      </x:c>
      <x:c r="AA662" s="253" t="str">
        <x:f>IF(V662="No","Maturing",IF(AND(U662="Yes",Y662&gt;0),"Yes","No"))</x:f>
        <x:v>No</x:v>
      </x:c>
      <x:c r="AB662" s="253" t="str">
        <x:f>IF(W662="No","Maturing",IF(AND(U662="Yes",Z662&gt;0),"Yes","No"))</x:f>
        <x:v>No</x:v>
      </x:c>
      <x:c r="AC662" s="265" t="n">
        <x:v>1000.11</x:v>
      </x:c>
      <x:c r="AD662" s="265" t="n">
        <x:v>1000.28</x:v>
      </x:c>
      <x:c r="AE662" s="271" t="str"/>
      <x:c r="AF662" s="274" t="str">
        <x:v>Not validated - no control/holdout</x:v>
      </x:c>
      <x:c r="AG662" s="277" t="str">
        <x:v>Recovered execution only; assignment date and unclaimed-offer denominator unavailable</x:v>
      </x:c>
    </x:row>
    <x:row r="663">
      <x:c r="A663" s="252" t="str">
        <x:v>34322062</x:v>
      </x:c>
      <x:c r="B663" s="253" t="str">
        <x:v>WS1</x:v>
      </x:c>
      <x:c r="C663" s="253" t="str">
        <x:v>MB8</x:v>
      </x:c>
      <x:c r="D663" s="262" t="n">
        <x:v>46164.544224537036</x:v>
      </x:c>
      <x:c r="E663" s="259" t="n">
        <x:v>46164.166666666664</x:v>
      </x:c>
      <x:c r="F663" s="253" t="str">
        <x:v>545709</x:v>
      </x:c>
      <x:c r="G663" s="253" t="str">
        <x:v>Den777</x:v>
      </x:c>
      <x:c r="H663" s="253" t="str">
        <x:v>Yes</x:v>
      </x:c>
      <x:c r="I663" s="253" t="str"/>
      <x:c r="J663" s="253" t="str"/>
      <x:c r="K663" s="259"/>
      <x:c r="L663" s="268" t="str">
        <x:f>IFERROR(VLOOKUP(I663,'Handler-Team Map'!$A$7:$C$17,2,FALSE),"")</x:f>
      </x:c>
      <x:c r="M663" s="268" t="str">
        <x:f>IFERROR(VLOOKUP(I663,'Handler-Team Map'!$A$7:$C$17,3,FALSE),"")</x:f>
      </x:c>
      <x:c r="N663" s="274" t="str">
        <x:v>FT_VM_DEP1000_GET800_1X</x:v>
      </x:c>
      <x:c r="O663" s="274" t="str">
        <x:v>VIP BONUS - Deposit 1000 Get 800 - 1x TO</x:v>
      </x:c>
      <x:c r="P663" s="274" t="str">
        <x:v>DepositBonus</x:v>
      </x:c>
      <x:c r="Q663" s="274" t="str">
        <x:v>Approved</x:v>
      </x:c>
      <x:c r="R663" s="265" t="n">
        <x:v>800</x:v>
      </x:c>
      <x:c r="S663" s="253" t="str">
        <x:v>Yes</x:v>
      </x:c>
      <x:c r="T663" s="265" t="n">
        <x:v>1000</x:v>
      </x:c>
      <x:c r="U663" s="253" t="str">
        <x:f>IF(AND(S663="Yes",T663=0),"Yes","No")</x:f>
        <x:v>No</x:v>
      </x:c>
      <x:c r="V663" s="253" t="str">
        <x:v>Yes</x:v>
      </x:c>
      <x:c r="W663" s="253" t="str">
        <x:v>Yes</x:v>
      </x:c>
      <x:c r="X663" s="259" t="n">
        <x:v>46164.166666666664</x:v>
      </x:c>
      <x:c r="Y663" s="265" t="n">
        <x:v>1000</x:v>
      </x:c>
      <x:c r="Z663" s="265" t="n">
        <x:v>1000</x:v>
      </x:c>
      <x:c r="AA663" s="253" t="str">
        <x:f>IF(V663="No","Maturing",IF(AND(U663="Yes",Y663&gt;0),"Yes","No"))</x:f>
        <x:v>No</x:v>
      </x:c>
      <x:c r="AB663" s="253" t="str">
        <x:f>IF(W663="No","Maturing",IF(AND(U663="Yes",Z663&gt;0),"Yes","No"))</x:f>
        <x:v>No</x:v>
      </x:c>
      <x:c r="AC663" s="265" t="n">
        <x:v>-1528.66</x:v>
      </x:c>
      <x:c r="AD663" s="265" t="n">
        <x:v>-1528.66</x:v>
      </x:c>
      <x:c r="AE663" s="271" t="str"/>
      <x:c r="AF663" s="274" t="str">
        <x:v>Not validated - no control/holdout</x:v>
      </x:c>
      <x:c r="AG663" s="277" t="str">
        <x:v>Recovered execution only; assignment date and unclaimed-offer denominator unavailable</x:v>
      </x:c>
    </x:row>
    <x:row r="664">
      <x:c r="A664" s="252" t="str">
        <x:v>34322103</x:v>
      </x:c>
      <x:c r="B664" s="253" t="str">
        <x:v>WS1</x:v>
      </x:c>
      <x:c r="C664" s="253" t="str">
        <x:v>MB8</x:v>
      </x:c>
      <x:c r="D664" s="262" t="n">
        <x:v>46164.546319444446</x:v>
      </x:c>
      <x:c r="E664" s="259" t="n">
        <x:v>46164.166666666664</x:v>
      </x:c>
      <x:c r="F664" s="253" t="str">
        <x:v>946329</x:v>
      </x:c>
      <x:c r="G664" s="253" t="str">
        <x:v>dv0541</x:v>
      </x:c>
      <x:c r="H664" s="253" t="str">
        <x:v>Yes</x:v>
      </x:c>
      <x:c r="I664" s="253" t="str"/>
      <x:c r="J664" s="253" t="str"/>
      <x:c r="K664" s="259"/>
      <x:c r="L664" s="268" t="str">
        <x:f>IFERROR(VLOOKUP(I664,'Handler-Team Map'!$A$7:$C$17,2,FALSE),"")</x:f>
      </x:c>
      <x:c r="M664" s="268" t="str">
        <x:f>IFERROR(VLOOKUP(I664,'Handler-Team Map'!$A$7:$C$17,3,FALSE),"")</x:f>
      </x:c>
      <x:c r="N664" s="274" t="str">
        <x:v>FT_VM_DEP600_GET200_5X</x:v>
      </x:c>
      <x:c r="O664" s="274" t="str">
        <x:v>VIP BONUS - Deposit 600 Get 200 - 5x TO</x:v>
      </x:c>
      <x:c r="P664" s="274" t="str">
        <x:v>DepositBonus</x:v>
      </x:c>
      <x:c r="Q664" s="274" t="str">
        <x:v>Approved</x:v>
      </x:c>
      <x:c r="R664" s="265" t="n">
        <x:v>200</x:v>
      </x:c>
      <x:c r="S664" s="253" t="str">
        <x:v>Yes</x:v>
      </x:c>
      <x:c r="T664" s="265" t="n">
        <x:v>0</x:v>
      </x:c>
      <x:c r="U664" s="253" t="str">
        <x:f>IF(AND(S664="Yes",T664=0),"Yes","No")</x:f>
        <x:v>Yes</x:v>
      </x:c>
      <x:c r="V664" s="253" t="str">
        <x:v>Yes</x:v>
      </x:c>
      <x:c r="W664" s="253" t="str">
        <x:v>Yes</x:v>
      </x:c>
      <x:c r="X664" s="259" t="n">
        <x:v>46164.166666666664</x:v>
      </x:c>
      <x:c r="Y664" s="265" t="n">
        <x:v>600</x:v>
      </x:c>
      <x:c r="Z664" s="265" t="n">
        <x:v>600</x:v>
      </x:c>
      <x:c r="AA664" s="253" t="str">
        <x:f>IF(V664="No","Maturing",IF(AND(U664="Yes",Y664&gt;0),"Yes","No"))</x:f>
        <x:v>Yes</x:v>
      </x:c>
      <x:c r="AB664" s="253" t="str">
        <x:f>IF(W664="No","Maturing",IF(AND(U664="Yes",Z664&gt;0),"Yes","No"))</x:f>
        <x:v>Yes</x:v>
      </x:c>
      <x:c r="AC664" s="265" t="n">
        <x:v>599.04</x:v>
      </x:c>
      <x:c r="AD664" s="265" t="n">
        <x:v>599.04</x:v>
      </x:c>
      <x:c r="AE664" s="271" t="str"/>
      <x:c r="AF664" s="274" t="str">
        <x:v>Not validated - no control/holdout</x:v>
      </x:c>
      <x:c r="AG664" s="277" t="str">
        <x:v>Recovered execution only; assignment date and unclaimed-offer denominator unavailable</x:v>
      </x:c>
    </x:row>
    <x:row r="665">
      <x:c r="A665" s="252" t="str">
        <x:v>34325140</x:v>
      </x:c>
      <x:c r="B665" s="253" t="str">
        <x:v>WS1</x:v>
      </x:c>
      <x:c r="C665" s="253" t="str">
        <x:v>MB8</x:v>
      </x:c>
      <x:c r="D665" s="262" t="n">
        <x:v>46164.77077546297</x:v>
      </x:c>
      <x:c r="E665" s="259" t="n">
        <x:v>46164.166666666664</x:v>
      </x:c>
      <x:c r="F665" s="253" t="str">
        <x:v>170009</x:v>
      </x:c>
      <x:c r="G665" s="253" t="str">
        <x:v>hafiz6642</x:v>
      </x:c>
      <x:c r="H665" s="253" t="str">
        <x:v>Yes</x:v>
      </x:c>
      <x:c r="I665" s="253" t="str"/>
      <x:c r="J665" s="253" t="str"/>
      <x:c r="K665" s="259"/>
      <x:c r="L665" s="268" t="str">
        <x:f>IFERROR(VLOOKUP(I665,'Handler-Team Map'!$A$7:$C$17,2,FALSE),"")</x:f>
      </x:c>
      <x:c r="M665" s="268" t="str">
        <x:f>IFERROR(VLOOKUP(I665,'Handler-Team Map'!$A$7:$C$17,3,FALSE),"")</x:f>
      </x:c>
      <x:c r="N665" s="274" t="str">
        <x:v>FT_VM_DEP800_GET400_1X</x:v>
      </x:c>
      <x:c r="O665" s="274" t="str">
        <x:v>VIP BONUS - Deposit 800 Get 400 - 1x TO</x:v>
      </x:c>
      <x:c r="P665" s="274" t="str">
        <x:v>DepositBonus</x:v>
      </x:c>
      <x:c r="Q665" s="274" t="str">
        <x:v>Approved</x:v>
      </x:c>
      <x:c r="R665" s="265" t="n">
        <x:v>400</x:v>
      </x:c>
      <x:c r="S665" s="253" t="str">
        <x:v>Yes</x:v>
      </x:c>
      <x:c r="T665" s="265" t="n">
        <x:v>2947</x:v>
      </x:c>
      <x:c r="U665" s="253" t="str">
        <x:f>IF(AND(S665="Yes",T665=0),"Yes","No")</x:f>
        <x:v>No</x:v>
      </x:c>
      <x:c r="V665" s="253" t="str">
        <x:v>Yes</x:v>
      </x:c>
      <x:c r="W665" s="253" t="str">
        <x:v>Yes</x:v>
      </x:c>
      <x:c r="X665" s="259" t="n">
        <x:v>46164.166666666664</x:v>
      </x:c>
      <x:c r="Y665" s="265" t="n">
        <x:v>2690</x:v>
      </x:c>
      <x:c r="Z665" s="265" t="n">
        <x:v>2690</x:v>
      </x:c>
      <x:c r="AA665" s="253" t="str">
        <x:f>IF(V665="No","Maturing",IF(AND(U665="Yes",Y665&gt;0),"Yes","No"))</x:f>
        <x:v>No</x:v>
      </x:c>
      <x:c r="AB665" s="253" t="str">
        <x:f>IF(W665="No","Maturing",IF(AND(U665="Yes",Z665&gt;0),"Yes","No"))</x:f>
        <x:v>No</x:v>
      </x:c>
      <x:c r="AC665" s="265" t="n">
        <x:v>-3410.31</x:v>
      </x:c>
      <x:c r="AD665" s="265" t="n">
        <x:v>-3409.91</x:v>
      </x:c>
      <x:c r="AE665" s="271" t="str"/>
      <x:c r="AF665" s="274" t="str">
        <x:v>Not validated - no control/holdout</x:v>
      </x:c>
      <x:c r="AG665" s="277" t="str">
        <x:v>Recovered execution only; assignment date and unclaimed-offer denominator unavailable</x:v>
      </x:c>
    </x:row>
    <x:row r="666">
      <x:c r="A666" s="252" t="str">
        <x:v>34325135</x:v>
      </x:c>
      <x:c r="B666" s="253" t="str">
        <x:v>WS1</x:v>
      </x:c>
      <x:c r="C666" s="253" t="str">
        <x:v>MB8</x:v>
      </x:c>
      <x:c r="D666" s="262" t="n">
        <x:v>46164.77106481481</x:v>
      </x:c>
      <x:c r="E666" s="259" t="n">
        <x:v>46164.166666666664</x:v>
      </x:c>
      <x:c r="F666" s="253" t="str">
        <x:v>507627</x:v>
      </x:c>
      <x:c r="G666" s="253" t="str">
        <x:v>Kuza00</x:v>
      </x:c>
      <x:c r="H666" s="253" t="str">
        <x:v>Yes</x:v>
      </x:c>
      <x:c r="I666" s="253" t="str"/>
      <x:c r="J666" s="253" t="str"/>
      <x:c r="K666" s="259"/>
      <x:c r="L666" s="268" t="str">
        <x:f>IFERROR(VLOOKUP(I666,'Handler-Team Map'!$A$7:$C$17,2,FALSE),"")</x:f>
      </x:c>
      <x:c r="M666" s="268" t="str">
        <x:f>IFERROR(VLOOKUP(I666,'Handler-Team Map'!$A$7:$C$17,3,FALSE),"")</x:f>
      </x:c>
      <x:c r="N666" s="274" t="str">
        <x:v>FT_VM_DEP600_GET200_5X</x:v>
      </x:c>
      <x:c r="O666" s="274" t="str">
        <x:v>VIP BONUS - Deposit 600 Get 200 - 5x TO</x:v>
      </x:c>
      <x:c r="P666" s="274" t="str">
        <x:v>DepositBonus</x:v>
      </x:c>
      <x:c r="Q666" s="274" t="str">
        <x:v>Approved</x:v>
      </x:c>
      <x:c r="R666" s="265" t="n">
        <x:v>200</x:v>
      </x:c>
      <x:c r="S666" s="253" t="str">
        <x:v>Yes</x:v>
      </x:c>
      <x:c r="T666" s="265" t="n">
        <x:v>850</x:v>
      </x:c>
      <x:c r="U666" s="253" t="str">
        <x:f>IF(AND(S666="Yes",T666=0),"Yes","No")</x:f>
        <x:v>No</x:v>
      </x:c>
      <x:c r="V666" s="253" t="str">
        <x:v>Yes</x:v>
      </x:c>
      <x:c r="W666" s="253" t="str">
        <x:v>Yes</x:v>
      </x:c>
      <x:c r="X666" s="259" t="n">
        <x:v>46164.166666666664</x:v>
      </x:c>
      <x:c r="Y666" s="265" t="n">
        <x:v>930</x:v>
      </x:c>
      <x:c r="Z666" s="265" t="n">
        <x:v>1280</x:v>
      </x:c>
      <x:c r="AA666" s="253" t="str">
        <x:f>IF(V666="No","Maturing",IF(AND(U666="Yes",Y666&gt;0),"Yes","No"))</x:f>
        <x:v>No</x:v>
      </x:c>
      <x:c r="AB666" s="253" t="str">
        <x:f>IF(W666="No","Maturing",IF(AND(U666="Yes",Z666&gt;0),"Yes","No"))</x:f>
        <x:v>No</x:v>
      </x:c>
      <x:c r="AC666" s="265" t="n">
        <x:v>-893.72</x:v>
      </x:c>
      <x:c r="AD666" s="265" t="n">
        <x:v>-567.45</x:v>
      </x:c>
      <x:c r="AE666" s="271" t="str"/>
      <x:c r="AF666" s="274" t="str">
        <x:v>Not validated - no control/holdout</x:v>
      </x:c>
      <x:c r="AG666" s="277" t="str">
        <x:v>Recovered execution only; assignment date and unclaimed-offer denominator unavailable</x:v>
      </x:c>
    </x:row>
    <x:row r="667">
      <x:c r="A667" s="252" t="str">
        <x:v>34325527</x:v>
      </x:c>
      <x:c r="B667" s="253" t="str">
        <x:v>WS1</x:v>
      </x:c>
      <x:c r="C667" s="253" t="str">
        <x:v>MB8</x:v>
      </x:c>
      <x:c r="D667" s="262" t="n">
        <x:v>46164.79349537037</x:v>
      </x:c>
      <x:c r="E667" s="259" t="n">
        <x:v>46164.166666666664</x:v>
      </x:c>
      <x:c r="F667" s="253" t="str">
        <x:v>228125</x:v>
      </x:c>
      <x:c r="G667" s="253" t="str">
        <x:v>Hanapi241165</x:v>
      </x:c>
      <x:c r="H667" s="253" t="str">
        <x:v>Yes</x:v>
      </x:c>
      <x:c r="I667" s="253" t="str">
        <x:v>Elda</x:v>
      </x:c>
      <x:c r="J667" s="253" t="str">
        <x:v>Elda</x:v>
      </x:c>
      <x:c r="K667" s="259" t="n">
        <x:v>45659.166666666664</x:v>
      </x:c>
      <x:c r="L667" s="268" t="str">
        <x:f>IFERROR(VLOOKUP(I667,'Handler-Team Map'!$A$7:$C$17,2,FALSE),"")</x:f>
      </x:c>
      <x:c r="M667" s="268" t="str">
        <x:f>IFERROR(VLOOKUP(I667,'Handler-Team Map'!$A$7:$C$17,3,FALSE),"")</x:f>
      </x:c>
      <x:c r="N667" s="274" t="str">
        <x:v>FT_VM_DEP1000_GET500_5X</x:v>
      </x:c>
      <x:c r="O667" s="274" t="str">
        <x:v>VIP BONUS - Deposit 1000 Get 500 - 5x TO</x:v>
      </x:c>
      <x:c r="P667" s="274" t="str">
        <x:v>DepositBonus</x:v>
      </x:c>
      <x:c r="Q667" s="274" t="str">
        <x:v>Approved</x:v>
      </x:c>
      <x:c r="R667" s="265" t="n">
        <x:v>500</x:v>
      </x:c>
      <x:c r="S667" s="253" t="str">
        <x:v>Yes</x:v>
      </x:c>
      <x:c r="T667" s="265" t="n">
        <x:v>12500</x:v>
      </x:c>
      <x:c r="U667" s="253" t="str">
        <x:f>IF(AND(S667="Yes",T667=0),"Yes","No")</x:f>
        <x:v>No</x:v>
      </x:c>
      <x:c r="V667" s="253" t="str">
        <x:v>Yes</x:v>
      </x:c>
      <x:c r="W667" s="253" t="str">
        <x:v>Yes</x:v>
      </x:c>
      <x:c r="X667" s="259" t="n">
        <x:v>46164.166666666664</x:v>
      </x:c>
      <x:c r="Y667" s="265" t="n">
        <x:v>1000</x:v>
      </x:c>
      <x:c r="Z667" s="265" t="n">
        <x:v>3000</x:v>
      </x:c>
      <x:c r="AA667" s="253" t="str">
        <x:f>IF(V667="No","Maturing",IF(AND(U667="Yes",Y667&gt;0),"Yes","No"))</x:f>
        <x:v>No</x:v>
      </x:c>
      <x:c r="AB667" s="253" t="str">
        <x:f>IF(W667="No","Maturing",IF(AND(U667="Yes",Z667&gt;0),"Yes","No"))</x:f>
        <x:v>No</x:v>
      </x:c>
      <x:c r="AC667" s="265" t="n">
        <x:v>673.29</x:v>
      </x:c>
      <x:c r="AD667" s="265" t="n">
        <x:v>-245.18</x:v>
      </x:c>
      <x:c r="AE667" s="271" t="str"/>
      <x:c r="AF667" s="274" t="str">
        <x:v>Not validated - no control/holdout</x:v>
      </x:c>
      <x:c r="AG667" s="277" t="str">
        <x:v>Recovered execution only; assignment date and unclaimed-offer denominator unavailable</x:v>
      </x:c>
    </x:row>
    <x:row r="668">
      <x:c r="A668" s="252" t="str">
        <x:v>34327237</x:v>
      </x:c>
      <x:c r="B668" s="253" t="str">
        <x:v>WS1</x:v>
      </x:c>
      <x:c r="C668" s="253" t="str">
        <x:v>MB8</x:v>
      </x:c>
      <x:c r="D668" s="262" t="n">
        <x:v>46164.922939814816</x:v>
      </x:c>
      <x:c r="E668" s="259" t="n">
        <x:v>46164.166666666664</x:v>
      </x:c>
      <x:c r="F668" s="253" t="str">
        <x:v>531365</x:v>
      </x:c>
      <x:c r="G668" s="253" t="str">
        <x:v>suba1010</x:v>
      </x:c>
      <x:c r="H668" s="253" t="str">
        <x:v>Yes</x:v>
      </x:c>
      <x:c r="I668" s="253" t="str">
        <x:v>Claire</x:v>
      </x:c>
      <x:c r="J668" s="253" t="str">
        <x:v>Claire</x:v>
      </x:c>
      <x:c r="K668" s="259" t="n">
        <x:v>45659.166666666664</x:v>
      </x:c>
      <x:c r="L668" s="268" t="str">
        <x:f>IFERROR(VLOOKUP(I668,'Handler-Team Map'!$A$7:$C$17,2,FALSE),"")</x:f>
      </x:c>
      <x:c r="M668" s="268" t="str">
        <x:f>IFERROR(VLOOKUP(I668,'Handler-Team Map'!$A$7:$C$17,3,FALSE),"")</x:f>
      </x:c>
      <x:c r="N668" s="274" t="str">
        <x:v>FT_VM_DEP1000_GET500_5X</x:v>
      </x:c>
      <x:c r="O668" s="274" t="str">
        <x:v>VIP BONUS - Deposit 1000 Get 500 - 5x TO</x:v>
      </x:c>
      <x:c r="P668" s="274" t="str">
        <x:v>DepositBonus</x:v>
      </x:c>
      <x:c r="Q668" s="274" t="str">
        <x:v>Approved</x:v>
      </x:c>
      <x:c r="R668" s="265" t="n">
        <x:v>500</x:v>
      </x:c>
      <x:c r="S668" s="253" t="str">
        <x:v>Yes</x:v>
      </x:c>
      <x:c r="T668" s="265" t="n">
        <x:v>14500</x:v>
      </x:c>
      <x:c r="U668" s="253" t="str">
        <x:f>IF(AND(S668="Yes",T668=0),"Yes","No")</x:f>
        <x:v>No</x:v>
      </x:c>
      <x:c r="V668" s="253" t="str">
        <x:v>Yes</x:v>
      </x:c>
      <x:c r="W668" s="253" t="str">
        <x:v>Yes</x:v>
      </x:c>
      <x:c r="X668" s="259" t="n">
        <x:v>46164.166666666664</x:v>
      </x:c>
      <x:c r="Y668" s="265" t="n">
        <x:v>6200</x:v>
      </x:c>
      <x:c r="Z668" s="265" t="n">
        <x:v>7200</x:v>
      </x:c>
      <x:c r="AA668" s="253" t="str">
        <x:f>IF(V668="No","Maturing",IF(AND(U668="Yes",Y668&gt;0),"Yes","No"))</x:f>
        <x:v>No</x:v>
      </x:c>
      <x:c r="AB668" s="253" t="str">
        <x:f>IF(W668="No","Maturing",IF(AND(U668="Yes",Z668&gt;0),"Yes","No"))</x:f>
        <x:v>No</x:v>
      </x:c>
      <x:c r="AC668" s="265" t="n">
        <x:v>408.36</x:v>
      </x:c>
      <x:c r="AD668" s="265" t="n">
        <x:v>1394.08</x:v>
      </x:c>
      <x:c r="AE668" s="271" t="str"/>
      <x:c r="AF668" s="274" t="str">
        <x:v>Not validated - no control/holdout</x:v>
      </x:c>
      <x:c r="AG668" s="277" t="str">
        <x:v>Recovered execution only; assignment date and unclaimed-offer denominator unavailable</x:v>
      </x:c>
    </x:row>
    <x:row r="669">
      <x:c r="A669" s="252" t="str">
        <x:v>34327668</x:v>
      </x:c>
      <x:c r="B669" s="253" t="str">
        <x:v>WS1</x:v>
      </x:c>
      <x:c r="C669" s="253" t="str">
        <x:v>MB8</x:v>
      </x:c>
      <x:c r="D669" s="262" t="n">
        <x:v>46164.94775462963</x:v>
      </x:c>
      <x:c r="E669" s="259" t="n">
        <x:v>46164.166666666664</x:v>
      </x:c>
      <x:c r="F669" s="253" t="str">
        <x:v>858071</x:v>
      </x:c>
      <x:c r="G669" s="253" t="str">
        <x:v>Joey789</x:v>
      </x:c>
      <x:c r="H669" s="253" t="str">
        <x:v>Yes</x:v>
      </x:c>
      <x:c r="I669" s="253" t="str">
        <x:v>zhen</x:v>
      </x:c>
      <x:c r="J669" s="253" t="str">
        <x:v>zhen</x:v>
      </x:c>
      <x:c r="K669" s="259" t="n">
        <x:v>45880.166666666664</x:v>
      </x:c>
      <x:c r="L669" s="268" t="str">
        <x:f>IFERROR(VLOOKUP(I669,'Handler-Team Map'!$A$7:$C$17,2,FALSE),"")</x:f>
      </x:c>
      <x:c r="M669" s="268" t="str">
        <x:f>IFERROR(VLOOKUP(I669,'Handler-Team Map'!$A$7:$C$17,3,FALSE),"")</x:f>
      </x:c>
      <x:c r="N669" s="274" t="str">
        <x:v>FT_VM_DEP800_GET400_2X</x:v>
      </x:c>
      <x:c r="O669" s="274" t="str">
        <x:v>VIP BONUS - Deposit 800 Get 400 - 2x TO</x:v>
      </x:c>
      <x:c r="P669" s="274" t="str">
        <x:v>DepositBonus</x:v>
      </x:c>
      <x:c r="Q669" s="274" t="str">
        <x:v>Approved</x:v>
      </x:c>
      <x:c r="R669" s="265" t="n">
        <x:v>400</x:v>
      </x:c>
      <x:c r="S669" s="253" t="str">
        <x:v>Yes</x:v>
      </x:c>
      <x:c r="T669" s="265" t="n">
        <x:v>1000</x:v>
      </x:c>
      <x:c r="U669" s="253" t="str">
        <x:f>IF(AND(S669="Yes",T669=0),"Yes","No")</x:f>
        <x:v>No</x:v>
      </x:c>
      <x:c r="V669" s="253" t="str">
        <x:v>Yes</x:v>
      </x:c>
      <x:c r="W669" s="253" t="str">
        <x:v>Yes</x:v>
      </x:c>
      <x:c r="X669" s="259" t="n">
        <x:v>46164.166666666664</x:v>
      </x:c>
      <x:c r="Y669" s="265" t="n">
        <x:v>800</x:v>
      </x:c>
      <x:c r="Z669" s="265" t="n">
        <x:v>899</x:v>
      </x:c>
      <x:c r="AA669" s="253" t="str">
        <x:f>IF(V669="No","Maturing",IF(AND(U669="Yes",Y669&gt;0),"Yes","No"))</x:f>
        <x:v>No</x:v>
      </x:c>
      <x:c r="AB669" s="253" t="str">
        <x:f>IF(W669="No","Maturing",IF(AND(U669="Yes",Z669&gt;0),"Yes","No"))</x:f>
        <x:v>No</x:v>
      </x:c>
      <x:c r="AC669" s="265" t="n">
        <x:v>640.44</x:v>
      </x:c>
      <x:c r="AD669" s="265" t="n">
        <x:v>434.7</x:v>
      </x:c>
      <x:c r="AE669" s="271" t="str"/>
      <x:c r="AF669" s="274" t="str">
        <x:v>Not validated - no control/holdout</x:v>
      </x:c>
      <x:c r="AG669" s="277" t="str">
        <x:v>Recovered execution only; assignment date and unclaimed-offer denominator unavailable</x:v>
      </x:c>
    </x:row>
    <x:row r="670">
      <x:c r="A670" s="252" t="str">
        <x:v>34327984</x:v>
      </x:c>
      <x:c r="B670" s="253" t="str">
        <x:v>WS1</x:v>
      </x:c>
      <x:c r="C670" s="253" t="str">
        <x:v>MB8</x:v>
      </x:c>
      <x:c r="D670" s="262" t="n">
        <x:v>46164.96741898148</x:v>
      </x:c>
      <x:c r="E670" s="259" t="n">
        <x:v>46164.166666666664</x:v>
      </x:c>
      <x:c r="F670" s="253" t="str">
        <x:v>512461</x:v>
      </x:c>
      <x:c r="G670" s="253" t="str">
        <x:v>Mklan21</x:v>
      </x:c>
      <x:c r="H670" s="253" t="str">
        <x:v>Yes</x:v>
      </x:c>
      <x:c r="I670" s="253" t="str">
        <x:v>Elda</x:v>
      </x:c>
      <x:c r="J670" s="253" t="str">
        <x:v>Elda</x:v>
      </x:c>
      <x:c r="K670" s="259" t="n">
        <x:v>45790.166666666664</x:v>
      </x:c>
      <x:c r="L670" s="268" t="str">
        <x:f>IFERROR(VLOOKUP(I670,'Handler-Team Map'!$A$7:$C$17,2,FALSE),"")</x:f>
      </x:c>
      <x:c r="M670" s="268" t="str">
        <x:f>IFERROR(VLOOKUP(I670,'Handler-Team Map'!$A$7:$C$17,3,FALSE),"")</x:f>
      </x:c>
      <x:c r="N670" s="274" t="str">
        <x:v>FT_VM_DEP1000_GET700_2X</x:v>
      </x:c>
      <x:c r="O670" s="274" t="str">
        <x:v>VIP BONUS - Deposit 1000 Get 700 - 2x TO</x:v>
      </x:c>
      <x:c r="P670" s="274" t="str">
        <x:v>DepositBonus</x:v>
      </x:c>
      <x:c r="Q670" s="274" t="str">
        <x:v>Approved</x:v>
      </x:c>
      <x:c r="R670" s="265" t="n">
        <x:v>700</x:v>
      </x:c>
      <x:c r="S670" s="253" t="str">
        <x:v>Yes</x:v>
      </x:c>
      <x:c r="T670" s="265" t="n">
        <x:v>570</x:v>
      </x:c>
      <x:c r="U670" s="253" t="str">
        <x:f>IF(AND(S670="Yes",T670=0),"Yes","No")</x:f>
        <x:v>No</x:v>
      </x:c>
      <x:c r="V670" s="253" t="str">
        <x:v>Yes</x:v>
      </x:c>
      <x:c r="W670" s="253" t="str">
        <x:v>Yes</x:v>
      </x:c>
      <x:c r="X670" s="259" t="n">
        <x:v>46164.166666666664</x:v>
      </x:c>
      <x:c r="Y670" s="265" t="n">
        <x:v>1700</x:v>
      </x:c>
      <x:c r="Z670" s="265" t="n">
        <x:v>1900</x:v>
      </x:c>
      <x:c r="AA670" s="253" t="str">
        <x:f>IF(V670="No","Maturing",IF(AND(U670="Yes",Y670&gt;0),"Yes","No"))</x:f>
        <x:v>No</x:v>
      </x:c>
      <x:c r="AB670" s="253" t="str">
        <x:f>IF(W670="No","Maturing",IF(AND(U670="Yes",Z670&gt;0),"Yes","No"))</x:f>
        <x:v>No</x:v>
      </x:c>
      <x:c r="AC670" s="265" t="n">
        <x:v>-5299.98</x:v>
      </x:c>
      <x:c r="AD670" s="265" t="n">
        <x:v>-5100</x:v>
      </x:c>
      <x:c r="AE670" s="271" t="str"/>
      <x:c r="AF670" s="274" t="str">
        <x:v>Not validated - no control/holdout</x:v>
      </x:c>
      <x:c r="AG670" s="277" t="str">
        <x:v>Recovered execution only; assignment date and unclaimed-offer denominator unavailable</x:v>
      </x:c>
    </x:row>
    <x:row r="671">
      <x:c r="A671" s="252" t="str">
        <x:v>34333086</x:v>
      </x:c>
      <x:c r="B671" s="253" t="str">
        <x:v>WS1</x:v>
      </x:c>
      <x:c r="C671" s="253" t="str">
        <x:v>MB8</x:v>
      </x:c>
      <x:c r="D671" s="262" t="n">
        <x:v>46165.36487268518</x:v>
      </x:c>
      <x:c r="E671" s="259" t="n">
        <x:v>46165.166666666664</x:v>
      </x:c>
      <x:c r="F671" s="253" t="str">
        <x:v>592123</x:v>
      </x:c>
      <x:c r="G671" s="253" t="str">
        <x:v>Tiger222</x:v>
      </x:c>
      <x:c r="H671" s="253" t="str">
        <x:v>Yes</x:v>
      </x:c>
      <x:c r="I671" s="253" t="str"/>
      <x:c r="J671" s="253" t="str"/>
      <x:c r="K671" s="259"/>
      <x:c r="L671" s="268" t="str">
        <x:f>IFERROR(VLOOKUP(I671,'Handler-Team Map'!$A$7:$C$17,2,FALSE),"")</x:f>
      </x:c>
      <x:c r="M671" s="268" t="str">
        <x:f>IFERROR(VLOOKUP(I671,'Handler-Team Map'!$A$7:$C$17,3,FALSE),"")</x:f>
      </x:c>
      <x:c r="N671" s="274" t="str">
        <x:v>FT_VM_DEP1000_GET500_5X</x:v>
      </x:c>
      <x:c r="O671" s="274" t="str">
        <x:v>VIP BONUS - Deposit 1000 Get 500 - 5x TO</x:v>
      </x:c>
      <x:c r="P671" s="274" t="str">
        <x:v>DepositBonus</x:v>
      </x:c>
      <x:c r="Q671" s="274" t="str">
        <x:v>Approved</x:v>
      </x:c>
      <x:c r="R671" s="265" t="n">
        <x:v>500</x:v>
      </x:c>
      <x:c r="S671" s="253" t="str">
        <x:v>Yes</x:v>
      </x:c>
      <x:c r="T671" s="265" t="n">
        <x:v>24800</x:v>
      </x:c>
      <x:c r="U671" s="253" t="str">
        <x:f>IF(AND(S671="Yes",T671=0),"Yes","No")</x:f>
        <x:v>No</x:v>
      </x:c>
      <x:c r="V671" s="253" t="str">
        <x:v>Yes</x:v>
      </x:c>
      <x:c r="W671" s="253" t="str">
        <x:v>Yes</x:v>
      </x:c>
      <x:c r="X671" s="259" t="n">
        <x:v>46165.166666666664</x:v>
      </x:c>
      <x:c r="Y671" s="265" t="n">
        <x:v>1000</x:v>
      </x:c>
      <x:c r="Z671" s="265" t="n">
        <x:v>1000</x:v>
      </x:c>
      <x:c r="AA671" s="253" t="str">
        <x:f>IF(V671="No","Maturing",IF(AND(U671="Yes",Y671&gt;0),"Yes","No"))</x:f>
        <x:v>No</x:v>
      </x:c>
      <x:c r="AB671" s="253" t="str">
        <x:f>IF(W671="No","Maturing",IF(AND(U671="Yes",Z671&gt;0),"Yes","No"))</x:f>
        <x:v>No</x:v>
      </x:c>
      <x:c r="AC671" s="265" t="n">
        <x:v>-3741.86</x:v>
      </x:c>
      <x:c r="AD671" s="265" t="n">
        <x:v>-3741.86</x:v>
      </x:c>
      <x:c r="AE671" s="271" t="str"/>
      <x:c r="AF671" s="274" t="str">
        <x:v>Not validated - no control/holdout</x:v>
      </x:c>
      <x:c r="AG671" s="277" t="str">
        <x:v>Recovered execution only; assignment date and unclaimed-offer denominator unavailable</x:v>
      </x:c>
    </x:row>
    <x:row r="672">
      <x:c r="A672" s="252" t="str">
        <x:v>34333397</x:v>
      </x:c>
      <x:c r="B672" s="253" t="str">
        <x:v>WS1</x:v>
      </x:c>
      <x:c r="C672" s="253" t="str">
        <x:v>MB8</x:v>
      </x:c>
      <x:c r="D672" s="262" t="n">
        <x:v>46165.41180555556</x:v>
      </x:c>
      <x:c r="E672" s="259" t="n">
        <x:v>46165.166666666664</x:v>
      </x:c>
      <x:c r="F672" s="253" t="str">
        <x:v>293768</x:v>
      </x:c>
      <x:c r="G672" s="253" t="str">
        <x:v>Alanchai1984</x:v>
      </x:c>
      <x:c r="H672" s="253" t="str">
        <x:v>Yes</x:v>
      </x:c>
      <x:c r="I672" s="253" t="str">
        <x:v>Sheena</x:v>
      </x:c>
      <x:c r="J672" s="253" t="str">
        <x:v>Sheena</x:v>
      </x:c>
      <x:c r="K672" s="259" t="n">
        <x:v>45852.166666666664</x:v>
      </x:c>
      <x:c r="L672" s="268" t="str">
        <x:f>IFERROR(VLOOKUP(I672,'Handler-Team Map'!$A$7:$C$17,2,FALSE),"")</x:f>
      </x:c>
      <x:c r="M672" s="268" t="str">
        <x:f>IFERROR(VLOOKUP(I672,'Handler-Team Map'!$A$7:$C$17,3,FALSE),"")</x:f>
      </x:c>
      <x:c r="N672" s="274" t="str">
        <x:v>FT_VM_DEP1000_GET500_1X</x:v>
      </x:c>
      <x:c r="O672" s="274" t="str">
        <x:v>VIP BONUS - Deposit 1000 Get 500 - 1x TO</x:v>
      </x:c>
      <x:c r="P672" s="274" t="str">
        <x:v>DepositBonus</x:v>
      </x:c>
      <x:c r="Q672" s="274" t="str">
        <x:v>Approved</x:v>
      </x:c>
      <x:c r="R672" s="265" t="n">
        <x:v>500</x:v>
      </x:c>
      <x:c r="S672" s="253" t="str">
        <x:v>Yes</x:v>
      </x:c>
      <x:c r="T672" s="265" t="n">
        <x:v>300</x:v>
      </x:c>
      <x:c r="U672" s="253" t="str">
        <x:f>IF(AND(S672="Yes",T672=0),"Yes","No")</x:f>
        <x:v>No</x:v>
      </x:c>
      <x:c r="V672" s="253" t="str">
        <x:v>Yes</x:v>
      </x:c>
      <x:c r="W672" s="253" t="str">
        <x:v>Yes</x:v>
      </x:c>
      <x:c r="X672" s="259" t="n">
        <x:v>46165.166666666664</x:v>
      </x:c>
      <x:c r="Y672" s="265" t="n">
        <x:v>1000</x:v>
      </x:c>
      <x:c r="Z672" s="265" t="n">
        <x:v>1250</x:v>
      </x:c>
      <x:c r="AA672" s="253" t="str">
        <x:f>IF(V672="No","Maturing",IF(AND(U672="Yes",Y672&gt;0),"Yes","No"))</x:f>
        <x:v>No</x:v>
      </x:c>
      <x:c r="AB672" s="253" t="str">
        <x:f>IF(W672="No","Maturing",IF(AND(U672="Yes",Z672&gt;0),"Yes","No"))</x:f>
        <x:v>No</x:v>
      </x:c>
      <x:c r="AC672" s="265" t="n">
        <x:v>-87.38</x:v>
      </x:c>
      <x:c r="AD672" s="265" t="n">
        <x:v>-37.92</x:v>
      </x:c>
      <x:c r="AE672" s="271" t="str"/>
      <x:c r="AF672" s="274" t="str">
        <x:v>Not validated - no control/holdout</x:v>
      </x:c>
      <x:c r="AG672" s="277" t="str">
        <x:v>Recovered execution only; assignment date and unclaimed-offer denominator unavailable</x:v>
      </x:c>
    </x:row>
    <x:row r="673">
      <x:c r="A673" s="252" t="str">
        <x:v>34333765</x:v>
      </x:c>
      <x:c r="B673" s="253" t="str">
        <x:v>WS1</x:v>
      </x:c>
      <x:c r="C673" s="253" t="str">
        <x:v>MB8</x:v>
      </x:c>
      <x:c r="D673" s="262" t="n">
        <x:v>46165.454733796294</x:v>
      </x:c>
      <x:c r="E673" s="259" t="n">
        <x:v>46165.166666666664</x:v>
      </x:c>
      <x:c r="F673" s="253" t="str">
        <x:v>587328</x:v>
      </x:c>
      <x:c r="G673" s="253" t="str">
        <x:v>momiji123</x:v>
      </x:c>
      <x:c r="H673" s="253" t="str">
        <x:v>Yes</x:v>
      </x:c>
      <x:c r="I673" s="253" t="str">
        <x:v>zhen</x:v>
      </x:c>
      <x:c r="J673" s="253" t="str">
        <x:v>zhen</x:v>
      </x:c>
      <x:c r="K673" s="259" t="n">
        <x:v>45922.166666666664</x:v>
      </x:c>
      <x:c r="L673" s="268" t="str">
        <x:f>IFERROR(VLOOKUP(I673,'Handler-Team Map'!$A$7:$C$17,2,FALSE),"")</x:f>
      </x:c>
      <x:c r="M673" s="268" t="str">
        <x:f>IFERROR(VLOOKUP(I673,'Handler-Team Map'!$A$7:$C$17,3,FALSE),"")</x:f>
      </x:c>
      <x:c r="N673" s="274" t="str">
        <x:v>FT_VM_DEP300_GET100_5X</x:v>
      </x:c>
      <x:c r="O673" s="274" t="str">
        <x:v>VIP BONUS - Deposit 300 Get 100 - 5x TO</x:v>
      </x:c>
      <x:c r="P673" s="274" t="str">
        <x:v>DepositBonus</x:v>
      </x:c>
      <x:c r="Q673" s="274" t="str">
        <x:v>Approved</x:v>
      </x:c>
      <x:c r="R673" s="265" t="n">
        <x:v>100</x:v>
      </x:c>
      <x:c r="S673" s="253" t="str">
        <x:v>Yes</x:v>
      </x:c>
      <x:c r="T673" s="265" t="n">
        <x:v>3050</x:v>
      </x:c>
      <x:c r="U673" s="253" t="str">
        <x:f>IF(AND(S673="Yes",T673=0),"Yes","No")</x:f>
        <x:v>No</x:v>
      </x:c>
      <x:c r="V673" s="253" t="str">
        <x:v>Yes</x:v>
      </x:c>
      <x:c r="W673" s="253" t="str">
        <x:v>Yes</x:v>
      </x:c>
      <x:c r="X673" s="259" t="n">
        <x:v>46165.166666666664</x:v>
      </x:c>
      <x:c r="Y673" s="265" t="n">
        <x:v>550</x:v>
      </x:c>
      <x:c r="Z673" s="265" t="n">
        <x:v>1550</x:v>
      </x:c>
      <x:c r="AA673" s="253" t="str">
        <x:f>IF(V673="No","Maturing",IF(AND(U673="Yes",Y673&gt;0),"Yes","No"))</x:f>
        <x:v>No</x:v>
      </x:c>
      <x:c r="AB673" s="253" t="str">
        <x:f>IF(W673="No","Maturing",IF(AND(U673="Yes",Z673&gt;0),"Yes","No"))</x:f>
        <x:v>No</x:v>
      </x:c>
      <x:c r="AC673" s="265" t="n">
        <x:v>-2236.02</x:v>
      </x:c>
      <x:c r="AD673" s="265" t="n">
        <x:v>-1235.99</x:v>
      </x:c>
      <x:c r="AE673" s="271" t="str"/>
      <x:c r="AF673" s="274" t="str">
        <x:v>Not validated - no control/holdout</x:v>
      </x:c>
      <x:c r="AG673" s="277" t="str">
        <x:v>Recovered execution only; assignment date and unclaimed-offer denominator unavailable</x:v>
      </x:c>
    </x:row>
    <x:row r="674">
      <x:c r="A674" s="252" t="str">
        <x:v>34336293</x:v>
      </x:c>
      <x:c r="B674" s="253" t="str">
        <x:v>WS1</x:v>
      </x:c>
      <x:c r="C674" s="253" t="str">
        <x:v>MB8</x:v>
      </x:c>
      <x:c r="D674" s="262" t="n">
        <x:v>46165.68902777778</x:v>
      </x:c>
      <x:c r="E674" s="259" t="n">
        <x:v>46165.166666666664</x:v>
      </x:c>
      <x:c r="F674" s="253" t="str">
        <x:v>88655</x:v>
      </x:c>
      <x:c r="G674" s="253" t="str">
        <x:v>Jefflicia44</x:v>
      </x:c>
      <x:c r="H674" s="253" t="str">
        <x:v>Yes</x:v>
      </x:c>
      <x:c r="I674" s="253" t="str">
        <x:v>Tammy</x:v>
      </x:c>
      <x:c r="J674" s="253" t="str">
        <x:v>Tammy</x:v>
      </x:c>
      <x:c r="K674" s="259" t="n">
        <x:v>45951.166666666664</x:v>
      </x:c>
      <x:c r="L674" s="268" t="str">
        <x:f>IFERROR(VLOOKUP(I674,'Handler-Team Map'!$A$7:$C$17,2,FALSE),"")</x:f>
      </x:c>
      <x:c r="M674" s="268" t="str">
        <x:f>IFERROR(VLOOKUP(I674,'Handler-Team Map'!$A$7:$C$17,3,FALSE),"")</x:f>
      </x:c>
      <x:c r="N674" s="274" t="str">
        <x:v>FT_VM_DEP600_GET200_2X</x:v>
      </x:c>
      <x:c r="O674" s="274" t="str">
        <x:v>VIP BONUS - Deposit 600 Get 200 - 2x TO</x:v>
      </x:c>
      <x:c r="P674" s="274" t="str">
        <x:v>DepositBonus</x:v>
      </x:c>
      <x:c r="Q674" s="274" t="str">
        <x:v>Approved</x:v>
      </x:c>
      <x:c r="R674" s="265" t="n">
        <x:v>200</x:v>
      </x:c>
      <x:c r="S674" s="253" t="str">
        <x:v>Yes</x:v>
      </x:c>
      <x:c r="T674" s="265" t="n">
        <x:v>16378</x:v>
      </x:c>
      <x:c r="U674" s="253" t="str">
        <x:f>IF(AND(S674="Yes",T674=0),"Yes","No")</x:f>
        <x:v>No</x:v>
      </x:c>
      <x:c r="V674" s="253" t="str">
        <x:v>Yes</x:v>
      </x:c>
      <x:c r="W674" s="253" t="str">
        <x:v>Yes</x:v>
      </x:c>
      <x:c r="X674" s="259" t="n">
        <x:v>46165.166666666664</x:v>
      </x:c>
      <x:c r="Y674" s="265" t="n">
        <x:v>600</x:v>
      </x:c>
      <x:c r="Z674" s="265" t="n">
        <x:v>6639</x:v>
      </x:c>
      <x:c r="AA674" s="253" t="str">
        <x:f>IF(V674="No","Maturing",IF(AND(U674="Yes",Y674&gt;0),"Yes","No"))</x:f>
        <x:v>No</x:v>
      </x:c>
      <x:c r="AB674" s="253" t="str">
        <x:f>IF(W674="No","Maturing",IF(AND(U674="Yes",Z674&gt;0),"Yes","No"))</x:f>
        <x:v>No</x:v>
      </x:c>
      <x:c r="AC674" s="265" t="n">
        <x:v>599.83</x:v>
      </x:c>
      <x:c r="AD674" s="265" t="n">
        <x:v>1506.46</x:v>
      </x:c>
      <x:c r="AE674" s="271" t="str"/>
      <x:c r="AF674" s="274" t="str">
        <x:v>Not validated - no control/holdout</x:v>
      </x:c>
      <x:c r="AG674" s="277" t="str">
        <x:v>Recovered execution only; assignment date and unclaimed-offer denominator unavailable</x:v>
      </x:c>
    </x:row>
    <x:row r="675">
      <x:c r="A675" s="252" t="str">
        <x:v>34338491</x:v>
      </x:c>
      <x:c r="B675" s="253" t="str">
        <x:v>WS1</x:v>
      </x:c>
      <x:c r="C675" s="253" t="str">
        <x:v>MB8</x:v>
      </x:c>
      <x:c r="D675" s="262" t="n">
        <x:v>46165.84030092593</x:v>
      </x:c>
      <x:c r="E675" s="259" t="n">
        <x:v>46165.166666666664</x:v>
      </x:c>
      <x:c r="F675" s="253" t="str">
        <x:v>300292</x:v>
      </x:c>
      <x:c r="G675" s="253" t="str">
        <x:v>Samlim</x:v>
      </x:c>
      <x:c r="H675" s="253" t="str">
        <x:v>Yes</x:v>
      </x:c>
      <x:c r="I675" s="253" t="str">
        <x:v>zhen</x:v>
      </x:c>
      <x:c r="J675" s="253" t="str">
        <x:v>zhen</x:v>
      </x:c>
      <x:c r="K675" s="259" t="n">
        <x:v>45985.166666666664</x:v>
      </x:c>
      <x:c r="L675" s="268" t="str">
        <x:f>IFERROR(VLOOKUP(I675,'Handler-Team Map'!$A$7:$C$17,2,FALSE),"")</x:f>
      </x:c>
      <x:c r="M675" s="268" t="str">
        <x:f>IFERROR(VLOOKUP(I675,'Handler-Team Map'!$A$7:$C$17,3,FALSE),"")</x:f>
      </x:c>
      <x:c r="N675" s="274" t="str">
        <x:v>FT_VM_DEP1000_GET500_5X</x:v>
      </x:c>
      <x:c r="O675" s="274" t="str">
        <x:v>VIP BONUS - Deposit 1000 Get 500 - 5x TO</x:v>
      </x:c>
      <x:c r="P675" s="274" t="str">
        <x:v>DepositBonus</x:v>
      </x:c>
      <x:c r="Q675" s="274" t="str">
        <x:v>Approved</x:v>
      </x:c>
      <x:c r="R675" s="265" t="n">
        <x:v>500</x:v>
      </x:c>
      <x:c r="S675" s="253" t="str">
        <x:v>Yes</x:v>
      </x:c>
      <x:c r="T675" s="265" t="n">
        <x:v>18348</x:v>
      </x:c>
      <x:c r="U675" s="253" t="str">
        <x:f>IF(AND(S675="Yes",T675=0),"Yes","No")</x:f>
        <x:v>No</x:v>
      </x:c>
      <x:c r="V675" s="253" t="str">
        <x:v>Yes</x:v>
      </x:c>
      <x:c r="W675" s="253" t="str">
        <x:v>Yes</x:v>
      </x:c>
      <x:c r="X675" s="259" t="n">
        <x:v>46165.166666666664</x:v>
      </x:c>
      <x:c r="Y675" s="265" t="n">
        <x:v>24250</x:v>
      </x:c>
      <x:c r="Z675" s="265" t="n">
        <x:v>28500</x:v>
      </x:c>
      <x:c r="AA675" s="253" t="str">
        <x:f>IF(V675="No","Maturing",IF(AND(U675="Yes",Y675&gt;0),"Yes","No"))</x:f>
        <x:v>No</x:v>
      </x:c>
      <x:c r="AB675" s="253" t="str">
        <x:f>IF(W675="No","Maturing",IF(AND(U675="Yes",Z675&gt;0),"Yes","No"))</x:f>
        <x:v>No</x:v>
      </x:c>
      <x:c r="AC675" s="265" t="n">
        <x:v>-3411.1</x:v>
      </x:c>
      <x:c r="AD675" s="265" t="n">
        <x:v>-6541.93</x:v>
      </x:c>
      <x:c r="AE675" s="271" t="str"/>
      <x:c r="AF675" s="274" t="str">
        <x:v>Not validated - no control/holdout</x:v>
      </x:c>
      <x:c r="AG675" s="277" t="str">
        <x:v>Recovered execution only; assignment date and unclaimed-offer denominator unavailable</x:v>
      </x:c>
    </x:row>
    <x:row r="676">
      <x:c r="A676" s="252" t="str">
        <x:v>34341837</x:v>
      </x:c>
      <x:c r="B676" s="253" t="str">
        <x:v>WS1</x:v>
      </x:c>
      <x:c r="C676" s="253" t="str">
        <x:v>MB8</x:v>
      </x:c>
      <x:c r="D676" s="262" t="n">
        <x:v>46166.05777777778</x:v>
      </x:c>
      <x:c r="E676" s="259" t="n">
        <x:v>46166.166666666664</x:v>
      </x:c>
      <x:c r="F676" s="253" t="str">
        <x:v>1132448</x:v>
      </x:c>
      <x:c r="G676" s="253" t="str">
        <x:v>Khairi8808</x:v>
      </x:c>
      <x:c r="H676" s="253" t="str">
        <x:v>Yes</x:v>
      </x:c>
      <x:c r="I676" s="253" t="str"/>
      <x:c r="J676" s="253" t="str"/>
      <x:c r="K676" s="259"/>
      <x:c r="L676" s="268" t="str">
        <x:f>IFERROR(VLOOKUP(I676,'Handler-Team Map'!$A$7:$C$17,2,FALSE),"")</x:f>
      </x:c>
      <x:c r="M676" s="268" t="str">
        <x:f>IFERROR(VLOOKUP(I676,'Handler-Team Map'!$A$7:$C$17,3,FALSE),"")</x:f>
      </x:c>
      <x:c r="N676" s="274" t="str">
        <x:v>FT_VM_DEP1000_GET500_1X</x:v>
      </x:c>
      <x:c r="O676" s="274" t="str">
        <x:v>VIP BONUS - Deposit 1000 Get 500 - 1x TO</x:v>
      </x:c>
      <x:c r="P676" s="274" t="str">
        <x:v>DepositBonus</x:v>
      </x:c>
      <x:c r="Q676" s="274" t="str">
        <x:v>Approved</x:v>
      </x:c>
      <x:c r="R676" s="265" t="n">
        <x:v>500</x:v>
      </x:c>
      <x:c r="S676" s="253" t="str">
        <x:v>Yes</x:v>
      </x:c>
      <x:c r="T676" s="265" t="n">
        <x:v>0</x:v>
      </x:c>
      <x:c r="U676" s="253" t="str">
        <x:f>IF(AND(S676="Yes",T676=0),"Yes","No")</x:f>
        <x:v>Yes</x:v>
      </x:c>
      <x:c r="V676" s="253" t="str">
        <x:v>Yes</x:v>
      </x:c>
      <x:c r="W676" s="253" t="str">
        <x:v>Yes</x:v>
      </x:c>
      <x:c r="X676" s="259" t="n">
        <x:v>46166.166666666664</x:v>
      </x:c>
      <x:c r="Y676" s="265" t="n">
        <x:v>5260</x:v>
      </x:c>
      <x:c r="Z676" s="265" t="n">
        <x:v>5260</x:v>
      </x:c>
      <x:c r="AA676" s="253" t="str">
        <x:f>IF(V676="No","Maturing",IF(AND(U676="Yes",Y676&gt;0),"Yes","No"))</x:f>
        <x:v>Yes</x:v>
      </x:c>
      <x:c r="AB676" s="253" t="str">
        <x:f>IF(W676="No","Maturing",IF(AND(U676="Yes",Z676&gt;0),"Yes","No"))</x:f>
        <x:v>Yes</x:v>
      </x:c>
      <x:c r="AC676" s="265" t="n">
        <x:v>5125.92</x:v>
      </x:c>
      <x:c r="AD676" s="265" t="n">
        <x:v>5125.92</x:v>
      </x:c>
      <x:c r="AE676" s="271" t="str"/>
      <x:c r="AF676" s="274" t="str">
        <x:v>Not validated - no control/holdout</x:v>
      </x:c>
      <x:c r="AG676" s="277" t="str">
        <x:v>Recovered execution only; assignment date and unclaimed-offer denominator unavailable</x:v>
      </x:c>
    </x:row>
    <x:row r="677">
      <x:c r="A677" s="252" t="str">
        <x:v>34350292</x:v>
      </x:c>
      <x:c r="B677" s="253" t="str">
        <x:v>WS1</x:v>
      </x:c>
      <x:c r="C677" s="253" t="str">
        <x:v>MB8</x:v>
      </x:c>
      <x:c r="D677" s="262" t="n">
        <x:v>46166.869571759256</x:v>
      </x:c>
      <x:c r="E677" s="259" t="n">
        <x:v>46166.166666666664</x:v>
      </x:c>
      <x:c r="F677" s="253" t="str">
        <x:v>565191</x:v>
      </x:c>
      <x:c r="G677" s="253" t="str">
        <x:v>Sasitaren</x:v>
      </x:c>
      <x:c r="H677" s="253" t="str">
        <x:v>Yes</x:v>
      </x:c>
      <x:c r="I677" s="253" t="str">
        <x:v>Kam</x:v>
      </x:c>
      <x:c r="J677" s="253" t="str">
        <x:v>Kam</x:v>
      </x:c>
      <x:c r="K677" s="259" t="n">
        <x:v>45951.166666666664</x:v>
      </x:c>
      <x:c r="L677" s="268" t="str">
        <x:f>IFERROR(VLOOKUP(I677,'Handler-Team Map'!$A$7:$C$17,2,FALSE),"")</x:f>
      </x:c>
      <x:c r="M677" s="268" t="str">
        <x:f>IFERROR(VLOOKUP(I677,'Handler-Team Map'!$A$7:$C$17,3,FALSE),"")</x:f>
      </x:c>
      <x:c r="N677" s="274" t="str">
        <x:v>FT_VM_DEP1000_GET700_1X</x:v>
      </x:c>
      <x:c r="O677" s="274" t="str">
        <x:v>VIP BONUS - Deposit 1000 Get 700 - 1x TO</x:v>
      </x:c>
      <x:c r="P677" s="274" t="str">
        <x:v>DepositBonus</x:v>
      </x:c>
      <x:c r="Q677" s="274" t="str">
        <x:v>Approved</x:v>
      </x:c>
      <x:c r="R677" s="265" t="n">
        <x:v>700</x:v>
      </x:c>
      <x:c r="S677" s="253" t="str">
        <x:v>Yes</x:v>
      </x:c>
      <x:c r="T677" s="265" t="n">
        <x:v>14977</x:v>
      </x:c>
      <x:c r="U677" s="253" t="str">
        <x:f>IF(AND(S677="Yes",T677=0),"Yes","No")</x:f>
        <x:v>No</x:v>
      </x:c>
      <x:c r="V677" s="253" t="str">
        <x:v>Yes</x:v>
      </x:c>
      <x:c r="W677" s="253" t="str">
        <x:v>Yes</x:v>
      </x:c>
      <x:c r="X677" s="259" t="n">
        <x:v>46166.166666666664</x:v>
      </x:c>
      <x:c r="Y677" s="265" t="n">
        <x:v>1580</x:v>
      </x:c>
      <x:c r="Z677" s="265" t="n">
        <x:v>2438</x:v>
      </x:c>
      <x:c r="AA677" s="253" t="str">
        <x:f>IF(V677="No","Maturing",IF(AND(U677="Yes",Y677&gt;0),"Yes","No"))</x:f>
        <x:v>No</x:v>
      </x:c>
      <x:c r="AB677" s="253" t="str">
        <x:f>IF(W677="No","Maturing",IF(AND(U677="Yes",Z677&gt;0),"Yes","No"))</x:f>
        <x:v>No</x:v>
      </x:c>
      <x:c r="AC677" s="265" t="n">
        <x:v>1579.48</x:v>
      </x:c>
      <x:c r="AD677" s="265" t="n">
        <x:v>1735.49</x:v>
      </x:c>
      <x:c r="AE677" s="271" t="str"/>
      <x:c r="AF677" s="274" t="str">
        <x:v>Not validated - no control/holdout</x:v>
      </x:c>
      <x:c r="AG677" s="277" t="str">
        <x:v>Recovered execution only; assignment date and unclaimed-offer denominator unavailable</x:v>
      </x:c>
    </x:row>
    <x:row r="678">
      <x:c r="A678" s="252" t="str">
        <x:v>34353294</x:v>
      </x:c>
      <x:c r="B678" s="253" t="str">
        <x:v>WS1</x:v>
      </x:c>
      <x:c r="C678" s="253" t="str">
        <x:v>MB8</x:v>
      </x:c>
      <x:c r="D678" s="262" t="n">
        <x:v>46167.06028935185</x:v>
      </x:c>
      <x:c r="E678" s="259" t="n">
        <x:v>46167.166666666664</x:v>
      </x:c>
      <x:c r="F678" s="253" t="str">
        <x:v>696727</x:v>
      </x:c>
      <x:c r="G678" s="253" t="str">
        <x:v>nblfrrs44</x:v>
      </x:c>
      <x:c r="H678" s="253" t="str">
        <x:v>Yes</x:v>
      </x:c>
      <x:c r="I678" s="253" t="str">
        <x:v>Claire</x:v>
      </x:c>
      <x:c r="J678" s="253" t="str">
        <x:v>Claire</x:v>
      </x:c>
      <x:c r="K678" s="259" t="n">
        <x:v>46090.166666666664</x:v>
      </x:c>
      <x:c r="L678" s="268" t="str">
        <x:f>IFERROR(VLOOKUP(I678,'Handler-Team Map'!$A$7:$C$17,2,FALSE),"")</x:f>
      </x:c>
      <x:c r="M678" s="268" t="str">
        <x:f>IFERROR(VLOOKUP(I678,'Handler-Team Map'!$A$7:$C$17,3,FALSE),"")</x:f>
      </x:c>
      <x:c r="N678" s="274" t="str">
        <x:v>FT_VM_DEP700_GET300_2X</x:v>
      </x:c>
      <x:c r="O678" s="274" t="str">
        <x:v>VIP BONUS - Deposit 700 Get 300 - 2x TO</x:v>
      </x:c>
      <x:c r="P678" s="274" t="str">
        <x:v>DepositBonus</x:v>
      </x:c>
      <x:c r="Q678" s="274" t="str">
        <x:v>Approved</x:v>
      </x:c>
      <x:c r="R678" s="265" t="n">
        <x:v>300</x:v>
      </x:c>
      <x:c r="S678" s="253" t="str">
        <x:v>Yes</x:v>
      </x:c>
      <x:c r="T678" s="265" t="n">
        <x:v>5570</x:v>
      </x:c>
      <x:c r="U678" s="253" t="str">
        <x:f>IF(AND(S678="Yes",T678=0),"Yes","No")</x:f>
        <x:v>No</x:v>
      </x:c>
      <x:c r="V678" s="253" t="str">
        <x:v>Yes</x:v>
      </x:c>
      <x:c r="W678" s="253" t="str">
        <x:v>Yes</x:v>
      </x:c>
      <x:c r="X678" s="259" t="n">
        <x:v>46167.166666666664</x:v>
      </x:c>
      <x:c r="Y678" s="265" t="n">
        <x:v>2650</x:v>
      </x:c>
      <x:c r="Z678" s="265" t="n">
        <x:v>4150</x:v>
      </x:c>
      <x:c r="AA678" s="253" t="str">
        <x:f>IF(V678="No","Maturing",IF(AND(U678="Yes",Y678&gt;0),"Yes","No"))</x:f>
        <x:v>No</x:v>
      </x:c>
      <x:c r="AB678" s="253" t="str">
        <x:f>IF(W678="No","Maturing",IF(AND(U678="Yes",Z678&gt;0),"Yes","No"))</x:f>
        <x:v>No</x:v>
      </x:c>
      <x:c r="AC678" s="265" t="n">
        <x:v>2568.21</x:v>
      </x:c>
      <x:c r="AD678" s="265" t="n">
        <x:v>3150.25</x:v>
      </x:c>
      <x:c r="AE678" s="271" t="str"/>
      <x:c r="AF678" s="274" t="str">
        <x:v>Not validated - no control/holdout</x:v>
      </x:c>
      <x:c r="AG678" s="277" t="str">
        <x:v>Recovered execution only; assignment date and unclaimed-offer denominator unavailable</x:v>
      </x:c>
    </x:row>
    <x:row r="679">
      <x:c r="A679" s="252" t="str">
        <x:v>34353499</x:v>
      </x:c>
      <x:c r="B679" s="253" t="str">
        <x:v>WS1</x:v>
      </x:c>
      <x:c r="C679" s="253" t="str">
        <x:v>MB8</x:v>
      </x:c>
      <x:c r="D679" s="262" t="n">
        <x:v>46167.073217592595</x:v>
      </x:c>
      <x:c r="E679" s="259" t="n">
        <x:v>46167.166666666664</x:v>
      </x:c>
      <x:c r="F679" s="253" t="str">
        <x:v>1079990</x:v>
      </x:c>
      <x:c r="G679" s="253" t="str">
        <x:v>Ayidsepang</x:v>
      </x:c>
      <x:c r="H679" s="253" t="str">
        <x:v>Yes</x:v>
      </x:c>
      <x:c r="I679" s="253" t="str"/>
      <x:c r="J679" s="253" t="str"/>
      <x:c r="K679" s="259"/>
      <x:c r="L679" s="268" t="str">
        <x:f>IFERROR(VLOOKUP(I679,'Handler-Team Map'!$A$7:$C$17,2,FALSE),"")</x:f>
      </x:c>
      <x:c r="M679" s="268" t="str">
        <x:f>IFERROR(VLOOKUP(I679,'Handler-Team Map'!$A$7:$C$17,3,FALSE),"")</x:f>
      </x:c>
      <x:c r="N679" s="274" t="str">
        <x:v>FT_VM_DEP1000_GET500_5X</x:v>
      </x:c>
      <x:c r="O679" s="274" t="str">
        <x:v>VIP BONUS - Deposit 1000 Get 500 - 5x TO</x:v>
      </x:c>
      <x:c r="P679" s="274" t="str">
        <x:v>DepositBonus</x:v>
      </x:c>
      <x:c r="Q679" s="274" t="str">
        <x:v>Approved</x:v>
      </x:c>
      <x:c r="R679" s="265" t="n">
        <x:v>500</x:v>
      </x:c>
      <x:c r="S679" s="253" t="str">
        <x:v>Yes</x:v>
      </x:c>
      <x:c r="T679" s="265" t="n">
        <x:v>3050</x:v>
      </x:c>
      <x:c r="U679" s="253" t="str">
        <x:f>IF(AND(S679="Yes",T679=0),"Yes","No")</x:f>
        <x:v>No</x:v>
      </x:c>
      <x:c r="V679" s="253" t="str">
        <x:v>Yes</x:v>
      </x:c>
      <x:c r="W679" s="253" t="str">
        <x:v>Yes</x:v>
      </x:c>
      <x:c r="X679" s="259" t="n">
        <x:v>46167.166666666664</x:v>
      </x:c>
      <x:c r="Y679" s="265" t="n">
        <x:v>3050</x:v>
      </x:c>
      <x:c r="Z679" s="265" t="n">
        <x:v>3230</x:v>
      </x:c>
      <x:c r="AA679" s="253" t="str">
        <x:f>IF(V679="No","Maturing",IF(AND(U679="Yes",Y679&gt;0),"Yes","No"))</x:f>
        <x:v>No</x:v>
      </x:c>
      <x:c r="AB679" s="253" t="str">
        <x:f>IF(W679="No","Maturing",IF(AND(U679="Yes",Z679&gt;0),"Yes","No"))</x:f>
        <x:v>No</x:v>
      </x:c>
      <x:c r="AC679" s="265" t="n">
        <x:v>547.36</x:v>
      </x:c>
      <x:c r="AD679" s="265" t="n">
        <x:v>727.51</x:v>
      </x:c>
      <x:c r="AE679" s="271" t="str"/>
      <x:c r="AF679" s="274" t="str">
        <x:v>Not validated - no control/holdout</x:v>
      </x:c>
      <x:c r="AG679" s="277" t="str">
        <x:v>Recovered execution only; assignment date and unclaimed-offer denominator unavailable</x:v>
      </x:c>
    </x:row>
    <x:row r="680">
      <x:c r="A680" s="252" t="str">
        <x:v>34356337</x:v>
      </x:c>
      <x:c r="B680" s="253" t="str">
        <x:v>WS1</x:v>
      </x:c>
      <x:c r="C680" s="253" t="str">
        <x:v>MB8</x:v>
      </x:c>
      <x:c r="D680" s="262" t="n">
        <x:v>46167.470405092594</x:v>
      </x:c>
      <x:c r="E680" s="259" t="n">
        <x:v>46167.166666666664</x:v>
      </x:c>
      <x:c r="F680" s="253" t="str">
        <x:v>880117</x:v>
      </x:c>
      <x:c r="G680" s="253" t="str">
        <x:v>Rebeccabong24</x:v>
      </x:c>
      <x:c r="H680" s="253" t="str">
        <x:v>Yes</x:v>
      </x:c>
      <x:c r="I680" s="253" t="str"/>
      <x:c r="J680" s="253" t="str"/>
      <x:c r="K680" s="259"/>
      <x:c r="L680" s="268" t="str">
        <x:f>IFERROR(VLOOKUP(I680,'Handler-Team Map'!$A$7:$C$17,2,FALSE),"")</x:f>
      </x:c>
      <x:c r="M680" s="268" t="str">
        <x:f>IFERROR(VLOOKUP(I680,'Handler-Team Map'!$A$7:$C$17,3,FALSE),"")</x:f>
      </x:c>
      <x:c r="N680" s="274" t="str">
        <x:v>FT_VM_DEP600_GET200_5X</x:v>
      </x:c>
      <x:c r="O680" s="274" t="str">
        <x:v>VIP BONUS - Deposit 600 Get 200 - 5x TO</x:v>
      </x:c>
      <x:c r="P680" s="274" t="str">
        <x:v>DepositBonus</x:v>
      </x:c>
      <x:c r="Q680" s="274" t="str">
        <x:v>Approved</x:v>
      </x:c>
      <x:c r="R680" s="265" t="n">
        <x:v>200</x:v>
      </x:c>
      <x:c r="S680" s="253" t="str">
        <x:v>Yes</x:v>
      </x:c>
      <x:c r="T680" s="265" t="n">
        <x:v>0</x:v>
      </x:c>
      <x:c r="U680" s="253" t="str">
        <x:f>IF(AND(S680="Yes",T680=0),"Yes","No")</x:f>
        <x:v>Yes</x:v>
      </x:c>
      <x:c r="V680" s="253" t="str">
        <x:v>Yes</x:v>
      </x:c>
      <x:c r="W680" s="253" t="str">
        <x:v>Yes</x:v>
      </x:c>
      <x:c r="X680" s="259" t="n">
        <x:v>46167.166666666664</x:v>
      </x:c>
      <x:c r="Y680" s="265" t="n">
        <x:v>600</x:v>
      </x:c>
      <x:c r="Z680" s="265" t="n">
        <x:v>600</x:v>
      </x:c>
      <x:c r="AA680" s="253" t="str">
        <x:f>IF(V680="No","Maturing",IF(AND(U680="Yes",Y680&gt;0),"Yes","No"))</x:f>
        <x:v>Yes</x:v>
      </x:c>
      <x:c r="AB680" s="253" t="str">
        <x:f>IF(W680="No","Maturing",IF(AND(U680="Yes",Z680&gt;0),"Yes","No"))</x:f>
        <x:v>Yes</x:v>
      </x:c>
      <x:c r="AC680" s="265" t="n">
        <x:v>592.74</x:v>
      </x:c>
      <x:c r="AD680" s="265" t="n">
        <x:v>592.74</x:v>
      </x:c>
      <x:c r="AE680" s="271" t="str"/>
      <x:c r="AF680" s="274" t="str">
        <x:v>Not validated - no control/holdout</x:v>
      </x:c>
      <x:c r="AG680" s="277" t="str">
        <x:v>Recovered execution only; assignment date and unclaimed-offer denominator unavailable</x:v>
      </x:c>
    </x:row>
    <x:row r="681">
      <x:c r="A681" s="252" t="str">
        <x:v>34357149</x:v>
      </x:c>
      <x:c r="B681" s="253" t="str">
        <x:v>WS1</x:v>
      </x:c>
      <x:c r="C681" s="253" t="str">
        <x:v>MB8</x:v>
      </x:c>
      <x:c r="D681" s="262" t="n">
        <x:v>46167.553391203706</x:v>
      </x:c>
      <x:c r="E681" s="259" t="n">
        <x:v>46167.166666666664</x:v>
      </x:c>
      <x:c r="F681" s="253" t="str">
        <x:v>274783</x:v>
      </x:c>
      <x:c r="G681" s="253" t="str">
        <x:v>Shamrock</x:v>
      </x:c>
      <x:c r="H681" s="253" t="str">
        <x:v>Yes</x:v>
      </x:c>
      <x:c r="I681" s="253" t="str">
        <x:v>Claire</x:v>
      </x:c>
      <x:c r="J681" s="253" t="str">
        <x:v>Claire</x:v>
      </x:c>
      <x:c r="K681" s="259" t="n">
        <x:v>45659.166666666664</x:v>
      </x:c>
      <x:c r="L681" s="268" t="str">
        <x:f>IFERROR(VLOOKUP(I681,'Handler-Team Map'!$A$7:$C$17,2,FALSE),"")</x:f>
      </x:c>
      <x:c r="M681" s="268" t="str">
        <x:f>IFERROR(VLOOKUP(I681,'Handler-Team Map'!$A$7:$C$17,3,FALSE),"")</x:f>
      </x:c>
      <x:c r="N681" s="274" t="str">
        <x:v>FT_VM_DEP150_GET50_5X</x:v>
      </x:c>
      <x:c r="O681" s="274" t="str">
        <x:v>VIP BONUS - Deposit 150 Get 50 - 5x TO</x:v>
      </x:c>
      <x:c r="P681" s="274" t="str">
        <x:v>DepositBonus</x:v>
      </x:c>
      <x:c r="Q681" s="274" t="str">
        <x:v>Approved</x:v>
      </x:c>
      <x:c r="R681" s="265" t="n">
        <x:v>50</x:v>
      </x:c>
      <x:c r="S681" s="253" t="str">
        <x:v>Yes</x:v>
      </x:c>
      <x:c r="T681" s="265" t="n">
        <x:v>44663</x:v>
      </x:c>
      <x:c r="U681" s="253" t="str">
        <x:f>IF(AND(S681="Yes",T681=0),"Yes","No")</x:f>
        <x:v>No</x:v>
      </x:c>
      <x:c r="V681" s="253" t="str">
        <x:v>Yes</x:v>
      </x:c>
      <x:c r="W681" s="253" t="str">
        <x:v>Yes</x:v>
      </x:c>
      <x:c r="X681" s="259" t="n">
        <x:v>46167.166666666664</x:v>
      </x:c>
      <x:c r="Y681" s="265" t="n">
        <x:v>22543</x:v>
      </x:c>
      <x:c r="Z681" s="265" t="n">
        <x:v>34286</x:v>
      </x:c>
      <x:c r="AA681" s="253" t="str">
        <x:f>IF(V681="No","Maturing",IF(AND(U681="Yes",Y681&gt;0),"Yes","No"))</x:f>
        <x:v>No</x:v>
      </x:c>
      <x:c r="AB681" s="253" t="str">
        <x:f>IF(W681="No","Maturing",IF(AND(U681="Yes",Z681&gt;0),"Yes","No"))</x:f>
        <x:v>No</x:v>
      </x:c>
      <x:c r="AC681" s="265" t="n">
        <x:v>11594.11</x:v>
      </x:c>
      <x:c r="AD681" s="265" t="n">
        <x:v>22903.12</x:v>
      </x:c>
      <x:c r="AE681" s="271" t="str"/>
      <x:c r="AF681" s="274" t="str">
        <x:v>Not validated - no control/holdout</x:v>
      </x:c>
      <x:c r="AG681" s="277" t="str">
        <x:v>Recovered execution only; assignment date and unclaimed-offer denominator unavailable</x:v>
      </x:c>
    </x:row>
    <x:row r="682">
      <x:c r="A682" s="252" t="str">
        <x:v>34357162</x:v>
      </x:c>
      <x:c r="B682" s="253" t="str">
        <x:v>WS1</x:v>
      </x:c>
      <x:c r="C682" s="253" t="str">
        <x:v>MB8</x:v>
      </x:c>
      <x:c r="D682" s="262" t="n">
        <x:v>46167.554918981485</x:v>
      </x:c>
      <x:c r="E682" s="259" t="n">
        <x:v>46167.166666666664</x:v>
      </x:c>
      <x:c r="F682" s="253" t="str">
        <x:v>990611</x:v>
      </x:c>
      <x:c r="G682" s="253" t="str">
        <x:v>Joseph1976</x:v>
      </x:c>
      <x:c r="H682" s="253" t="str">
        <x:v>Yes</x:v>
      </x:c>
      <x:c r="I682" s="253" t="str">
        <x:v>Jiahui</x:v>
      </x:c>
      <x:c r="J682" s="253" t="str">
        <x:v>Jiahui</x:v>
      </x:c>
      <x:c r="K682" s="259" t="n">
        <x:v>46090.166666666664</x:v>
      </x:c>
      <x:c r="L682" s="268" t="str">
        <x:f>IFERROR(VLOOKUP(I682,'Handler-Team Map'!$A$7:$C$17,2,FALSE),"")</x:f>
      </x:c>
      <x:c r="M682" s="268" t="str">
        <x:f>IFERROR(VLOOKUP(I682,'Handler-Team Map'!$A$7:$C$17,3,FALSE),"")</x:f>
      </x:c>
      <x:c r="N682" s="274" t="str">
        <x:v>FT_VM_DEP150_GET50_5X</x:v>
      </x:c>
      <x:c r="O682" s="274" t="str">
        <x:v>VIP BONUS - Deposit 150 Get 50 - 5x TO</x:v>
      </x:c>
      <x:c r="P682" s="274" t="str">
        <x:v>DepositBonus</x:v>
      </x:c>
      <x:c r="Q682" s="274" t="str">
        <x:v>Approved</x:v>
      </x:c>
      <x:c r="R682" s="265" t="n">
        <x:v>50</x:v>
      </x:c>
      <x:c r="S682" s="253" t="str">
        <x:v>Yes</x:v>
      </x:c>
      <x:c r="T682" s="265" t="n">
        <x:v>99120</x:v>
      </x:c>
      <x:c r="U682" s="253" t="str">
        <x:f>IF(AND(S682="Yes",T682=0),"Yes","No")</x:f>
        <x:v>No</x:v>
      </x:c>
      <x:c r="V682" s="253" t="str">
        <x:v>Yes</x:v>
      </x:c>
      <x:c r="W682" s="253" t="str">
        <x:v>Yes</x:v>
      </x:c>
      <x:c r="X682" s="259" t="n">
        <x:v>46167.166666666664</x:v>
      </x:c>
      <x:c r="Y682" s="265" t="n">
        <x:v>24720</x:v>
      </x:c>
      <x:c r="Z682" s="265" t="n">
        <x:v>37340</x:v>
      </x:c>
      <x:c r="AA682" s="253" t="str">
        <x:f>IF(V682="No","Maturing",IF(AND(U682="Yes",Y682&gt;0),"Yes","No"))</x:f>
        <x:v>No</x:v>
      </x:c>
      <x:c r="AB682" s="253" t="str">
        <x:f>IF(W682="No","Maturing",IF(AND(U682="Yes",Z682&gt;0),"Yes","No"))</x:f>
        <x:v>No</x:v>
      </x:c>
      <x:c r="AC682" s="265" t="n">
        <x:v>23528.76</x:v>
      </x:c>
      <x:c r="AD682" s="265" t="n">
        <x:v>36471.97</x:v>
      </x:c>
      <x:c r="AE682" s="271" t="str"/>
      <x:c r="AF682" s="274" t="str">
        <x:v>Not validated - no control/holdout</x:v>
      </x:c>
      <x:c r="AG682" s="277" t="str">
        <x:v>Recovered execution only; assignment date and unclaimed-offer denominator unavailable</x:v>
      </x:c>
    </x:row>
    <x:row r="683">
      <x:c r="A683" s="252" t="str">
        <x:v>34357727</x:v>
      </x:c>
      <x:c r="B683" s="253" t="str">
        <x:v>WS1</x:v>
      </x:c>
      <x:c r="C683" s="253" t="str">
        <x:v>MB8</x:v>
      </x:c>
      <x:c r="D683" s="262" t="n">
        <x:v>46167.600856481484</x:v>
      </x:c>
      <x:c r="E683" s="259" t="n">
        <x:v>46167.166666666664</x:v>
      </x:c>
      <x:c r="F683" s="253" t="str">
        <x:v>521114</x:v>
      </x:c>
      <x:c r="G683" s="253" t="str">
        <x:v>Nzboss8181</x:v>
      </x:c>
      <x:c r="H683" s="253" t="str">
        <x:v>Yes</x:v>
      </x:c>
      <x:c r="I683" s="253" t="str">
        <x:v>Claire</x:v>
      </x:c>
      <x:c r="J683" s="253" t="str">
        <x:v>Claire</x:v>
      </x:c>
      <x:c r="K683" s="259" t="n">
        <x:v>45659.166666666664</x:v>
      </x:c>
      <x:c r="L683" s="268" t="str">
        <x:f>IFERROR(VLOOKUP(I683,'Handler-Team Map'!$A$7:$C$17,2,FALSE),"")</x:f>
      </x:c>
      <x:c r="M683" s="268" t="str">
        <x:f>IFERROR(VLOOKUP(I683,'Handler-Team Map'!$A$7:$C$17,3,FALSE),"")</x:f>
      </x:c>
      <x:c r="N683" s="274" t="str">
        <x:v>FT_VM_DEP800_GET400_2X</x:v>
      </x:c>
      <x:c r="O683" s="274" t="str">
        <x:v>VIP BONUS - Deposit 800 Get 400 - 2x TO</x:v>
      </x:c>
      <x:c r="P683" s="274" t="str">
        <x:v>DepositBonus</x:v>
      </x:c>
      <x:c r="Q683" s="274" t="str">
        <x:v>Approved</x:v>
      </x:c>
      <x:c r="R683" s="265" t="n">
        <x:v>400</x:v>
      </x:c>
      <x:c r="S683" s="253" t="str">
        <x:v>Yes</x:v>
      </x:c>
      <x:c r="T683" s="265" t="n">
        <x:v>270200</x:v>
      </x:c>
      <x:c r="U683" s="253" t="str">
        <x:f>IF(AND(S683="Yes",T683=0),"Yes","No")</x:f>
        <x:v>No</x:v>
      </x:c>
      <x:c r="V683" s="253" t="str">
        <x:v>Yes</x:v>
      </x:c>
      <x:c r="W683" s="253" t="str">
        <x:v>Yes</x:v>
      </x:c>
      <x:c r="X683" s="259" t="n">
        <x:v>46167.166666666664</x:v>
      </x:c>
      <x:c r="Y683" s="265" t="n">
        <x:v>63200</x:v>
      </x:c>
      <x:c r="Z683" s="265" t="n">
        <x:v>119100</x:v>
      </x:c>
      <x:c r="AA683" s="253" t="str">
        <x:f>IF(V683="No","Maturing",IF(AND(U683="Yes",Y683&gt;0),"Yes","No"))</x:f>
        <x:v>No</x:v>
      </x:c>
      <x:c r="AB683" s="253" t="str">
        <x:f>IF(W683="No","Maturing",IF(AND(U683="Yes",Z683&gt;0),"Yes","No"))</x:f>
        <x:v>No</x:v>
      </x:c>
      <x:c r="AC683" s="265" t="n">
        <x:v>-12799.96</x:v>
      </x:c>
      <x:c r="AD683" s="265" t="n">
        <x:v>33400.11</x:v>
      </x:c>
      <x:c r="AE683" s="271" t="str"/>
      <x:c r="AF683" s="274" t="str">
        <x:v>Not validated - no control/holdout</x:v>
      </x:c>
      <x:c r="AG683" s="277" t="str">
        <x:v>Recovered execution only; assignment date and unclaimed-offer denominator unavailable</x:v>
      </x:c>
    </x:row>
    <x:row r="684">
      <x:c r="A684" s="252" t="str">
        <x:v>34357809</x:v>
      </x:c>
      <x:c r="B684" s="253" t="str">
        <x:v>WS1</x:v>
      </x:c>
      <x:c r="C684" s="253" t="str">
        <x:v>MB8</x:v>
      </x:c>
      <x:c r="D684" s="262" t="n">
        <x:v>46167.607511574075</x:v>
      </x:c>
      <x:c r="E684" s="259" t="n">
        <x:v>46167.166666666664</x:v>
      </x:c>
      <x:c r="F684" s="253" t="str">
        <x:v>291306</x:v>
      </x:c>
      <x:c r="G684" s="253" t="str">
        <x:v>Jochang88</x:v>
      </x:c>
      <x:c r="H684" s="253" t="str">
        <x:v>Yes</x:v>
      </x:c>
      <x:c r="I684" s="253" t="str">
        <x:v>zhen</x:v>
      </x:c>
      <x:c r="J684" s="253" t="str">
        <x:v>zhen</x:v>
      </x:c>
      <x:c r="K684" s="259" t="n">
        <x:v>45880.166666666664</x:v>
      </x:c>
      <x:c r="L684" s="268" t="str">
        <x:f>IFERROR(VLOOKUP(I684,'Handler-Team Map'!$A$7:$C$17,2,FALSE),"")</x:f>
      </x:c>
      <x:c r="M684" s="268" t="str">
        <x:f>IFERROR(VLOOKUP(I684,'Handler-Team Map'!$A$7:$C$17,3,FALSE),"")</x:f>
      </x:c>
      <x:c r="N684" s="274" t="str">
        <x:v>FT_VM_DEP1000_GET500_5X</x:v>
      </x:c>
      <x:c r="O684" s="274" t="str">
        <x:v>VIP BONUS - Deposit 1000 Get 500 - 5x TO</x:v>
      </x:c>
      <x:c r="P684" s="274" t="str">
        <x:v>DepositBonus</x:v>
      </x:c>
      <x:c r="Q684" s="274" t="str">
        <x:v>Approved</x:v>
      </x:c>
      <x:c r="R684" s="265" t="n">
        <x:v>500</x:v>
      </x:c>
      <x:c r="S684" s="253" t="str">
        <x:v>Yes</x:v>
      </x:c>
      <x:c r="T684" s="265" t="n">
        <x:v>1400</x:v>
      </x:c>
      <x:c r="U684" s="253" t="str">
        <x:f>IF(AND(S684="Yes",T684=0),"Yes","No")</x:f>
        <x:v>No</x:v>
      </x:c>
      <x:c r="V684" s="253" t="str">
        <x:v>Yes</x:v>
      </x:c>
      <x:c r="W684" s="253" t="str">
        <x:v>Yes</x:v>
      </x:c>
      <x:c r="X684" s="259" t="n">
        <x:v>46167.166666666664</x:v>
      </x:c>
      <x:c r="Y684" s="265" t="n">
        <x:v>1000</x:v>
      </x:c>
      <x:c r="Z684" s="265" t="n">
        <x:v>5000</x:v>
      </x:c>
      <x:c r="AA684" s="253" t="str">
        <x:f>IF(V684="No","Maturing",IF(AND(U684="Yes",Y684&gt;0),"Yes","No"))</x:f>
        <x:v>No</x:v>
      </x:c>
      <x:c r="AB684" s="253" t="str">
        <x:f>IF(W684="No","Maturing",IF(AND(U684="Yes",Z684&gt;0),"Yes","No"))</x:f>
        <x:v>No</x:v>
      </x:c>
      <x:c r="AC684" s="265" t="n">
        <x:v>1000</x:v>
      </x:c>
      <x:c r="AD684" s="265" t="n">
        <x:v>3238.96</x:v>
      </x:c>
      <x:c r="AE684" s="271" t="str"/>
      <x:c r="AF684" s="274" t="str">
        <x:v>Not validated - no control/holdout</x:v>
      </x:c>
      <x:c r="AG684" s="277" t="str">
        <x:v>Recovered execution only; assignment date and unclaimed-offer denominator unavailable</x:v>
      </x:c>
    </x:row>
    <x:row r="685">
      <x:c r="A685" s="252" t="str">
        <x:v>34357926</x:v>
      </x:c>
      <x:c r="B685" s="253" t="str">
        <x:v>WS1</x:v>
      </x:c>
      <x:c r="C685" s="253" t="str">
        <x:v>MB8</x:v>
      </x:c>
      <x:c r="D685" s="262" t="n">
        <x:v>46167.61570601852</x:v>
      </x:c>
      <x:c r="E685" s="259" t="n">
        <x:v>46167.166666666664</x:v>
      </x:c>
      <x:c r="F685" s="253" t="str">
        <x:v>268246</x:v>
      </x:c>
      <x:c r="G685" s="253" t="str">
        <x:v>Win124</x:v>
      </x:c>
      <x:c r="H685" s="253" t="str">
        <x:v>Yes</x:v>
      </x:c>
      <x:c r="I685" s="253" t="str">
        <x:v>Claire</x:v>
      </x:c>
      <x:c r="J685" s="253" t="str">
        <x:v>Claire</x:v>
      </x:c>
      <x:c r="K685" s="259" t="n">
        <x:v>45659.166666666664</x:v>
      </x:c>
      <x:c r="L685" s="268" t="str">
        <x:f>IFERROR(VLOOKUP(I685,'Handler-Team Map'!$A$7:$C$17,2,FALSE),"")</x:f>
      </x:c>
      <x:c r="M685" s="268" t="str">
        <x:f>IFERROR(VLOOKUP(I685,'Handler-Team Map'!$A$7:$C$17,3,FALSE),"")</x:f>
      </x:c>
      <x:c r="N685" s="274" t="str">
        <x:v>FT_VM_DEP1000_GET1000_1X</x:v>
      </x:c>
      <x:c r="O685" s="274" t="str">
        <x:v>VIP BONUS - Deposit 1000 Get 1000 - 1x TO</x:v>
      </x:c>
      <x:c r="P685" s="274" t="str">
        <x:v>DepositBonus</x:v>
      </x:c>
      <x:c r="Q685" s="274" t="str">
        <x:v>Approved</x:v>
      </x:c>
      <x:c r="R685" s="265" t="n">
        <x:v>1000</x:v>
      </x:c>
      <x:c r="S685" s="253" t="str">
        <x:v>Yes</x:v>
      </x:c>
      <x:c r="T685" s="265" t="n">
        <x:v>1268660</x:v>
      </x:c>
      <x:c r="U685" s="253" t="str">
        <x:f>IF(AND(S685="Yes",T685=0),"Yes","No")</x:f>
        <x:v>No</x:v>
      </x:c>
      <x:c r="V685" s="253" t="str">
        <x:v>Yes</x:v>
      </x:c>
      <x:c r="W685" s="253" t="str">
        <x:v>Yes</x:v>
      </x:c>
      <x:c r="X685" s="259" t="n">
        <x:v>46167.166666666664</x:v>
      </x:c>
      <x:c r="Y685" s="265" t="n">
        <x:v>163500</x:v>
      </x:c>
      <x:c r="Z685" s="265" t="n">
        <x:v>532450</x:v>
      </x:c>
      <x:c r="AA685" s="253" t="str">
        <x:f>IF(V685="No","Maturing",IF(AND(U685="Yes",Y685&gt;0),"Yes","No"))</x:f>
        <x:v>No</x:v>
      </x:c>
      <x:c r="AB685" s="253" t="str">
        <x:f>IF(W685="No","Maturing",IF(AND(U685="Yes",Z685&gt;0),"Yes","No"))</x:f>
        <x:v>No</x:v>
      </x:c>
      <x:c r="AC685" s="265" t="n">
        <x:v>-45659.98</x:v>
      </x:c>
      <x:c r="AD685" s="265" t="n">
        <x:v>77874.79</x:v>
      </x:c>
      <x:c r="AE685" s="271" t="str"/>
      <x:c r="AF685" s="274" t="str">
        <x:v>Not validated - no control/holdout</x:v>
      </x:c>
      <x:c r="AG685" s="277" t="str">
        <x:v>Recovered execution only; assignment date and unclaimed-offer denominator unavailable</x:v>
      </x:c>
    </x:row>
    <x:row r="686">
      <x:c r="A686" s="252" t="str">
        <x:v>34358255</x:v>
      </x:c>
      <x:c r="B686" s="253" t="str">
        <x:v>WS1</x:v>
      </x:c>
      <x:c r="C686" s="253" t="str">
        <x:v>MB8</x:v>
      </x:c>
      <x:c r="D686" s="262" t="n">
        <x:v>46167.643738425926</x:v>
      </x:c>
      <x:c r="E686" s="259" t="n">
        <x:v>46167.166666666664</x:v>
      </x:c>
      <x:c r="F686" s="253" t="str">
        <x:v>1179743</x:v>
      </x:c>
      <x:c r="G686" s="253" t="str">
        <x:v>xlcff11</x:v>
      </x:c>
      <x:c r="H686" s="253" t="str">
        <x:v>Yes</x:v>
      </x:c>
      <x:c r="I686" s="253" t="str">
        <x:v>zhen</x:v>
      </x:c>
      <x:c r="J686" s="253" t="str">
        <x:v>zhen</x:v>
      </x:c>
      <x:c r="K686" s="259" t="n">
        <x:v>45880.166666666664</x:v>
      </x:c>
      <x:c r="L686" s="268" t="str">
        <x:f>IFERROR(VLOOKUP(I686,'Handler-Team Map'!$A$7:$C$17,2,FALSE),"")</x:f>
      </x:c>
      <x:c r="M686" s="268" t="str">
        <x:f>IFERROR(VLOOKUP(I686,'Handler-Team Map'!$A$7:$C$17,3,FALSE),"")</x:f>
      </x:c>
      <x:c r="N686" s="274" t="str">
        <x:v>FT_VM_DEP150_GET50_5X</x:v>
      </x:c>
      <x:c r="O686" s="274" t="str">
        <x:v>VIP BONUS - Deposit 150 Get 50 - 5x TO</x:v>
      </x:c>
      <x:c r="P686" s="274" t="str">
        <x:v>DepositBonus</x:v>
      </x:c>
      <x:c r="Q686" s="274" t="str">
        <x:v>Approved</x:v>
      </x:c>
      <x:c r="R686" s="265" t="n">
        <x:v>50</x:v>
      </x:c>
      <x:c r="S686" s="253" t="str">
        <x:v>Yes</x:v>
      </x:c>
      <x:c r="T686" s="265" t="n">
        <x:v>50494</x:v>
      </x:c>
      <x:c r="U686" s="253" t="str">
        <x:f>IF(AND(S686="Yes",T686=0),"Yes","No")</x:f>
        <x:v>No</x:v>
      </x:c>
      <x:c r="V686" s="253" t="str">
        <x:v>Yes</x:v>
      </x:c>
      <x:c r="W686" s="253" t="str">
        <x:v>Yes</x:v>
      </x:c>
      <x:c r="X686" s="259" t="n">
        <x:v>46167.166666666664</x:v>
      </x:c>
      <x:c r="Y686" s="265" t="n">
        <x:v>24955</x:v>
      </x:c>
      <x:c r="Z686" s="265" t="n">
        <x:v>29575</x:v>
      </x:c>
      <x:c r="AA686" s="253" t="str">
        <x:f>IF(V686="No","Maturing",IF(AND(U686="Yes",Y686&gt;0),"Yes","No"))</x:f>
        <x:v>No</x:v>
      </x:c>
      <x:c r="AB686" s="253" t="str">
        <x:f>IF(W686="No","Maturing",IF(AND(U686="Yes",Z686&gt;0),"Yes","No"))</x:f>
        <x:v>No</x:v>
      </x:c>
      <x:c r="AC686" s="265" t="n">
        <x:v>-1696.5</x:v>
      </x:c>
      <x:c r="AD686" s="265" t="n">
        <x:v>2017.39</x:v>
      </x:c>
      <x:c r="AE686" s="271" t="str"/>
      <x:c r="AF686" s="274" t="str">
        <x:v>Not validated - no control/holdout</x:v>
      </x:c>
      <x:c r="AG686" s="277" t="str">
        <x:v>Recovered execution only; assignment date and unclaimed-offer denominator unavailable</x:v>
      </x:c>
    </x:row>
    <x:row r="687">
      <x:c r="A687" s="252" t="str">
        <x:v>34358331</x:v>
      </x:c>
      <x:c r="B687" s="253" t="str">
        <x:v>WS1</x:v>
      </x:c>
      <x:c r="C687" s="253" t="str">
        <x:v>MB8</x:v>
      </x:c>
      <x:c r="D687" s="262" t="n">
        <x:v>46167.64976851852</x:v>
      </x:c>
      <x:c r="E687" s="259" t="n">
        <x:v>46167.166666666664</x:v>
      </x:c>
      <x:c r="F687" s="253" t="str">
        <x:v>650335</x:v>
      </x:c>
      <x:c r="G687" s="253" t="str">
        <x:v>Azrulshah</x:v>
      </x:c>
      <x:c r="H687" s="253" t="str">
        <x:v>Yes</x:v>
      </x:c>
      <x:c r="I687" s="253" t="str">
        <x:v>Elda</x:v>
      </x:c>
      <x:c r="J687" s="253" t="str">
        <x:v>Elda</x:v>
      </x:c>
      <x:c r="K687" s="259" t="n">
        <x:v>45659.166666666664</x:v>
      </x:c>
      <x:c r="L687" s="268" t="str">
        <x:f>IFERROR(VLOOKUP(I687,'Handler-Team Map'!$A$7:$C$17,2,FALSE),"")</x:f>
      </x:c>
      <x:c r="M687" s="268" t="str">
        <x:f>IFERROR(VLOOKUP(I687,'Handler-Team Map'!$A$7:$C$17,3,FALSE),"")</x:f>
      </x:c>
      <x:c r="N687" s="274" t="str">
        <x:v>FT_VM_DEP300_GET100_5X</x:v>
      </x:c>
      <x:c r="O687" s="274" t="str">
        <x:v>VIP BONUS - Deposit 300 Get 100 - 5x TO</x:v>
      </x:c>
      <x:c r="P687" s="274" t="str">
        <x:v>DepositBonus</x:v>
      </x:c>
      <x:c r="Q687" s="274" t="str">
        <x:v>Approved</x:v>
      </x:c>
      <x:c r="R687" s="265" t="n">
        <x:v>100</x:v>
      </x:c>
      <x:c r="S687" s="253" t="str">
        <x:v>Yes</x:v>
      </x:c>
      <x:c r="T687" s="265" t="n">
        <x:v>15583</x:v>
      </x:c>
      <x:c r="U687" s="253" t="str">
        <x:f>IF(AND(S687="Yes",T687=0),"Yes","No")</x:f>
        <x:v>No</x:v>
      </x:c>
      <x:c r="V687" s="253" t="str">
        <x:v>Yes</x:v>
      </x:c>
      <x:c r="W687" s="253" t="str">
        <x:v>Yes</x:v>
      </x:c>
      <x:c r="X687" s="259" t="n">
        <x:v>46167.166666666664</x:v>
      </x:c>
      <x:c r="Y687" s="265" t="n">
        <x:v>1590</x:v>
      </x:c>
      <x:c r="Z687" s="265" t="n">
        <x:v>1800</x:v>
      </x:c>
      <x:c r="AA687" s="253" t="str">
        <x:f>IF(V687="No","Maturing",IF(AND(U687="Yes",Y687&gt;0),"Yes","No"))</x:f>
        <x:v>No</x:v>
      </x:c>
      <x:c r="AB687" s="253" t="str">
        <x:f>IF(W687="No","Maturing",IF(AND(U687="Yes",Z687&gt;0),"Yes","No"))</x:f>
        <x:v>No</x:v>
      </x:c>
      <x:c r="AC687" s="265" t="n">
        <x:v>-710.86</x:v>
      </x:c>
      <x:c r="AD687" s="265" t="n">
        <x:v>-500.57</x:v>
      </x:c>
      <x:c r="AE687" s="271" t="str"/>
      <x:c r="AF687" s="274" t="str">
        <x:v>Not validated - no control/holdout</x:v>
      </x:c>
      <x:c r="AG687" s="277" t="str">
        <x:v>Recovered execution only; assignment date and unclaimed-offer denominator unavailable</x:v>
      </x:c>
    </x:row>
    <x:row r="688">
      <x:c r="A688" s="252" t="str">
        <x:v>34358510</x:v>
      </x:c>
      <x:c r="B688" s="253" t="str">
        <x:v>WS1</x:v>
      </x:c>
      <x:c r="C688" s="253" t="str">
        <x:v>MB8</x:v>
      </x:c>
      <x:c r="D688" s="262" t="n">
        <x:v>46167.6628587963</x:v>
      </x:c>
      <x:c r="E688" s="259" t="n">
        <x:v>46167.166666666664</x:v>
      </x:c>
      <x:c r="F688" s="253" t="str">
        <x:v>433845</x:v>
      </x:c>
      <x:c r="G688" s="253" t="str">
        <x:v>aderson124</x:v>
      </x:c>
      <x:c r="H688" s="253" t="str">
        <x:v>Yes</x:v>
      </x:c>
      <x:c r="I688" s="253" t="str">
        <x:v>Sheena</x:v>
      </x:c>
      <x:c r="J688" s="253" t="str">
        <x:v>Sheena</x:v>
      </x:c>
      <x:c r="K688" s="259" t="n">
        <x:v>45852.166666666664</x:v>
      </x:c>
      <x:c r="L688" s="268" t="str">
        <x:f>IFERROR(VLOOKUP(I688,'Handler-Team Map'!$A$7:$C$17,2,FALSE),"")</x:f>
      </x:c>
      <x:c r="M688" s="268" t="str">
        <x:f>IFERROR(VLOOKUP(I688,'Handler-Team Map'!$A$7:$C$17,3,FALSE),"")</x:f>
      </x:c>
      <x:c r="N688" s="274" t="str">
        <x:v>FT_VM_DEP700_GET300_1X</x:v>
      </x:c>
      <x:c r="O688" s="274" t="str">
        <x:v>VIP BONUS - Deposit 700 Get 300 - 1x TO</x:v>
      </x:c>
      <x:c r="P688" s="274" t="str">
        <x:v>DepositBonus</x:v>
      </x:c>
      <x:c r="Q688" s="274" t="str">
        <x:v>Approved</x:v>
      </x:c>
      <x:c r="R688" s="265" t="n">
        <x:v>300</x:v>
      </x:c>
      <x:c r="S688" s="253" t="str">
        <x:v>Yes</x:v>
      </x:c>
      <x:c r="T688" s="265" t="n">
        <x:v>29720</x:v>
      </x:c>
      <x:c r="U688" s="253" t="str">
        <x:f>IF(AND(S688="Yes",T688=0),"Yes","No")</x:f>
        <x:v>No</x:v>
      </x:c>
      <x:c r="V688" s="253" t="str">
        <x:v>Yes</x:v>
      </x:c>
      <x:c r="W688" s="253" t="str">
        <x:v>Yes</x:v>
      </x:c>
      <x:c r="X688" s="259" t="n">
        <x:v>46167.166666666664</x:v>
      </x:c>
      <x:c r="Y688" s="265" t="n">
        <x:v>5200</x:v>
      </x:c>
      <x:c r="Z688" s="265" t="n">
        <x:v>8700</x:v>
      </x:c>
      <x:c r="AA688" s="253" t="str">
        <x:f>IF(V688="No","Maturing",IF(AND(U688="Yes",Y688&gt;0),"Yes","No"))</x:f>
        <x:v>No</x:v>
      </x:c>
      <x:c r="AB688" s="253" t="str">
        <x:f>IF(W688="No","Maturing",IF(AND(U688="Yes",Z688&gt;0),"Yes","No"))</x:f>
        <x:v>No</x:v>
      </x:c>
      <x:c r="AC688" s="265" t="n">
        <x:v>-10146.08</x:v>
      </x:c>
      <x:c r="AD688" s="265" t="n">
        <x:v>-6745.61</x:v>
      </x:c>
      <x:c r="AE688" s="271" t="str"/>
      <x:c r="AF688" s="274" t="str">
        <x:v>Not validated - no control/holdout</x:v>
      </x:c>
      <x:c r="AG688" s="277" t="str">
        <x:v>Recovered execution only; assignment date and unclaimed-offer denominator unavailable</x:v>
      </x:c>
    </x:row>
    <x:row r="689">
      <x:c r="A689" s="252" t="str">
        <x:v>34358808</x:v>
      </x:c>
      <x:c r="B689" s="253" t="str">
        <x:v>WS1</x:v>
      </x:c>
      <x:c r="C689" s="253" t="str">
        <x:v>MB8</x:v>
      </x:c>
      <x:c r="D689" s="262" t="n">
        <x:v>46167.68653935185</x:v>
      </x:c>
      <x:c r="E689" s="259" t="n">
        <x:v>46167.166666666664</x:v>
      </x:c>
      <x:c r="F689" s="253" t="str">
        <x:v>539</x:v>
      </x:c>
      <x:c r="G689" s="253" t="str">
        <x:v>sslssl</x:v>
      </x:c>
      <x:c r="H689" s="253" t="str">
        <x:v>Yes</x:v>
      </x:c>
      <x:c r="I689" s="253" t="str">
        <x:v>Elda</x:v>
      </x:c>
      <x:c r="J689" s="253" t="str">
        <x:v>Elda</x:v>
      </x:c>
      <x:c r="K689" s="259" t="n">
        <x:v>45659.166666666664</x:v>
      </x:c>
      <x:c r="L689" s="268" t="str">
        <x:f>IFERROR(VLOOKUP(I689,'Handler-Team Map'!$A$7:$C$17,2,FALSE),"")</x:f>
      </x:c>
      <x:c r="M689" s="268" t="str">
        <x:f>IFERROR(VLOOKUP(I689,'Handler-Team Map'!$A$7:$C$17,3,FALSE),"")</x:f>
      </x:c>
      <x:c r="N689" s="274" t="str">
        <x:v>FT_VM_DEP1000_GET800_2X</x:v>
      </x:c>
      <x:c r="O689" s="274" t="str">
        <x:v>VIP BONUS - Deposit 1000 Get 800 - 2x TO</x:v>
      </x:c>
      <x:c r="P689" s="274" t="str">
        <x:v>DepositBonus</x:v>
      </x:c>
      <x:c r="Q689" s="274" t="str">
        <x:v>Approved</x:v>
      </x:c>
      <x:c r="R689" s="265" t="n">
        <x:v>800</x:v>
      </x:c>
      <x:c r="S689" s="253" t="str">
        <x:v>Yes</x:v>
      </x:c>
      <x:c r="T689" s="265" t="n">
        <x:v>445822</x:v>
      </x:c>
      <x:c r="U689" s="253" t="str">
        <x:f>IF(AND(S689="Yes",T689=0),"Yes","No")</x:f>
        <x:v>No</x:v>
      </x:c>
      <x:c r="V689" s="253" t="str">
        <x:v>Yes</x:v>
      </x:c>
      <x:c r="W689" s="253" t="str">
        <x:v>Yes</x:v>
      </x:c>
      <x:c r="X689" s="259" t="n">
        <x:v>46167.166666666664</x:v>
      </x:c>
      <x:c r="Y689" s="265" t="n">
        <x:v>151578</x:v>
      </x:c>
      <x:c r="Z689" s="265" t="n">
        <x:v>277519</x:v>
      </x:c>
      <x:c r="AA689" s="253" t="str">
        <x:f>IF(V689="No","Maturing",IF(AND(U689="Yes",Y689&gt;0),"Yes","No"))</x:f>
        <x:v>No</x:v>
      </x:c>
      <x:c r="AB689" s="253" t="str">
        <x:f>IF(W689="No","Maturing",IF(AND(U689="Yes",Z689&gt;0),"Yes","No"))</x:f>
        <x:v>No</x:v>
      </x:c>
      <x:c r="AC689" s="265" t="n">
        <x:v>81478.05</x:v>
      </x:c>
      <x:c r="AD689" s="265" t="n">
        <x:v>123198.3</x:v>
      </x:c>
      <x:c r="AE689" s="271" t="str"/>
      <x:c r="AF689" s="274" t="str">
        <x:v>Not validated - no control/holdout</x:v>
      </x:c>
      <x:c r="AG689" s="277" t="str">
        <x:v>Recovered execution only; assignment date and unclaimed-offer denominator unavailable</x:v>
      </x:c>
    </x:row>
    <x:row r="690">
      <x:c r="A690" s="252" t="str">
        <x:v>34358882</x:v>
      </x:c>
      <x:c r="B690" s="253" t="str">
        <x:v>WS1</x:v>
      </x:c>
      <x:c r="C690" s="253" t="str">
        <x:v>MB8</x:v>
      </x:c>
      <x:c r="D690" s="262" t="n">
        <x:v>46167.69116898148</x:v>
      </x:c>
      <x:c r="E690" s="259" t="n">
        <x:v>46167.166666666664</x:v>
      </x:c>
      <x:c r="F690" s="253" t="str">
        <x:v>405339</x:v>
      </x:c>
      <x:c r="G690" s="253" t="str">
        <x:v>Azuarniss96</x:v>
      </x:c>
      <x:c r="H690" s="253" t="str">
        <x:v>Yes</x:v>
      </x:c>
      <x:c r="I690" s="253" t="str">
        <x:v>Elda</x:v>
      </x:c>
      <x:c r="J690" s="253" t="str">
        <x:v>Elda</x:v>
      </x:c>
      <x:c r="K690" s="259" t="n">
        <x:v>45659.166666666664</x:v>
      </x:c>
      <x:c r="L690" s="268" t="str">
        <x:f>IFERROR(VLOOKUP(I690,'Handler-Team Map'!$A$7:$C$17,2,FALSE),"")</x:f>
      </x:c>
      <x:c r="M690" s="268" t="str">
        <x:f>IFERROR(VLOOKUP(I690,'Handler-Team Map'!$A$7:$C$17,3,FALSE),"")</x:f>
      </x:c>
      <x:c r="N690" s="274" t="str">
        <x:v>FT_VM_DEP300_GET100_5X</x:v>
      </x:c>
      <x:c r="O690" s="274" t="str">
        <x:v>VIP BONUS - Deposit 300 Get 100 - 5x TO</x:v>
      </x:c>
      <x:c r="P690" s="274" t="str">
        <x:v>DepositBonus</x:v>
      </x:c>
      <x:c r="Q690" s="274" t="str">
        <x:v>Approved</x:v>
      </x:c>
      <x:c r="R690" s="265" t="n">
        <x:v>100</x:v>
      </x:c>
      <x:c r="S690" s="253" t="str">
        <x:v>Yes</x:v>
      </x:c>
      <x:c r="T690" s="265" t="n">
        <x:v>48841</x:v>
      </x:c>
      <x:c r="U690" s="253" t="str">
        <x:f>IF(AND(S690="Yes",T690=0),"Yes","No")</x:f>
        <x:v>No</x:v>
      </x:c>
      <x:c r="V690" s="253" t="str">
        <x:v>Yes</x:v>
      </x:c>
      <x:c r="W690" s="253" t="str">
        <x:v>Yes</x:v>
      </x:c>
      <x:c r="X690" s="259" t="n">
        <x:v>46167.166666666664</x:v>
      </x:c>
      <x:c r="Y690" s="265" t="n">
        <x:v>4130</x:v>
      </x:c>
      <x:c r="Z690" s="265" t="n">
        <x:v>4574</x:v>
      </x:c>
      <x:c r="AA690" s="253" t="str">
        <x:f>IF(V690="No","Maturing",IF(AND(U690="Yes",Y690&gt;0),"Yes","No"))</x:f>
        <x:v>No</x:v>
      </x:c>
      <x:c r="AB690" s="253" t="str">
        <x:f>IF(W690="No","Maturing",IF(AND(U690="Yes",Z690&gt;0),"Yes","No"))</x:f>
        <x:v>No</x:v>
      </x:c>
      <x:c r="AC690" s="265" t="n">
        <x:v>2982.23</x:v>
      </x:c>
      <x:c r="AD690" s="265" t="n">
        <x:v>3427.51</x:v>
      </x:c>
      <x:c r="AE690" s="271" t="str"/>
      <x:c r="AF690" s="274" t="str">
        <x:v>Not validated - no control/holdout</x:v>
      </x:c>
      <x:c r="AG690" s="277" t="str">
        <x:v>Recovered execution only; assignment date and unclaimed-offer denominator unavailable</x:v>
      </x:c>
    </x:row>
    <x:row r="691">
      <x:c r="A691" s="252" t="str">
        <x:v>34360803</x:v>
      </x:c>
      <x:c r="B691" s="253" t="str">
        <x:v>WS1</x:v>
      </x:c>
      <x:c r="C691" s="253" t="str">
        <x:v>MB8</x:v>
      </x:c>
      <x:c r="D691" s="262" t="n">
        <x:v>46167.83702546296</x:v>
      </x:c>
      <x:c r="E691" s="259" t="n">
        <x:v>46167.166666666664</x:v>
      </x:c>
      <x:c r="F691" s="253" t="str">
        <x:v>827371</x:v>
      </x:c>
      <x:c r="G691" s="253" t="str">
        <x:v>marc187</x:v>
      </x:c>
      <x:c r="H691" s="253" t="str">
        <x:v>Yes</x:v>
      </x:c>
      <x:c r="I691" s="253" t="str">
        <x:v>Claire</x:v>
      </x:c>
      <x:c r="J691" s="253" t="str">
        <x:v>Claire</x:v>
      </x:c>
      <x:c r="K691" s="259" t="n">
        <x:v>45755.166666666664</x:v>
      </x:c>
      <x:c r="L691" s="268" t="str">
        <x:f>IFERROR(VLOOKUP(I691,'Handler-Team Map'!$A$7:$C$17,2,FALSE),"")</x:f>
      </x:c>
      <x:c r="M691" s="268" t="str">
        <x:f>IFERROR(VLOOKUP(I691,'Handler-Team Map'!$A$7:$C$17,3,FALSE),"")</x:f>
      </x:c>
      <x:c r="N691" s="274" t="str">
        <x:v>FT_VM_DEP1000_GET1000_2X</x:v>
      </x:c>
      <x:c r="O691" s="274" t="str">
        <x:v>VIP BONUS - Deposit 1000 Get 1000 - 2x TO</x:v>
      </x:c>
      <x:c r="P691" s="274" t="str">
        <x:v>DepositBonus</x:v>
      </x:c>
      <x:c r="Q691" s="274" t="str">
        <x:v>Approved</x:v>
      </x:c>
      <x:c r="R691" s="265" t="n">
        <x:v>1000</x:v>
      </x:c>
      <x:c r="S691" s="253" t="str">
        <x:v>Yes</x:v>
      </x:c>
      <x:c r="T691" s="265" t="n">
        <x:v>1787338.07</x:v>
      </x:c>
      <x:c r="U691" s="253" t="str">
        <x:f>IF(AND(S691="Yes",T691=0),"Yes","No")</x:f>
        <x:v>No</x:v>
      </x:c>
      <x:c r="V691" s="253" t="str">
        <x:v>Yes</x:v>
      </x:c>
      <x:c r="W691" s="253" t="str">
        <x:v>Yes</x:v>
      </x:c>
      <x:c r="X691" s="259" t="n">
        <x:v>46167.166666666664</x:v>
      </x:c>
      <x:c r="Y691" s="265" t="n">
        <x:v>353514.08</x:v>
      </x:c>
      <x:c r="Z691" s="265" t="n">
        <x:v>691414.08</x:v>
      </x:c>
      <x:c r="AA691" s="253" t="str">
        <x:f>IF(V691="No","Maturing",IF(AND(U691="Yes",Y691&gt;0),"Yes","No"))</x:f>
        <x:v>No</x:v>
      </x:c>
      <x:c r="AB691" s="253" t="str">
        <x:f>IF(W691="No","Maturing",IF(AND(U691="Yes",Z691&gt;0),"Yes","No"))</x:f>
        <x:v>No</x:v>
      </x:c>
      <x:c r="AC691" s="265" t="n">
        <x:v>-21671.23</x:v>
      </x:c>
      <x:c r="AD691" s="265" t="n">
        <x:v>120737.57</x:v>
      </x:c>
      <x:c r="AE691" s="271" t="str"/>
      <x:c r="AF691" s="274" t="str">
        <x:v>Not validated - no control/holdout</x:v>
      </x:c>
      <x:c r="AG691" s="277" t="str">
        <x:v>Recovered execution only; assignment date and unclaimed-offer denominator unavailable</x:v>
      </x:c>
    </x:row>
    <x:row r="692">
      <x:c r="A692" s="252" t="str">
        <x:v>34361083</x:v>
      </x:c>
      <x:c r="B692" s="253" t="str">
        <x:v>WS1</x:v>
      </x:c>
      <x:c r="C692" s="253" t="str">
        <x:v>MB8</x:v>
      </x:c>
      <x:c r="D692" s="262" t="n">
        <x:v>46167.85601851852</x:v>
      </x:c>
      <x:c r="E692" s="259" t="n">
        <x:v>46167.166666666664</x:v>
      </x:c>
      <x:c r="F692" s="253" t="str">
        <x:v>1590</x:v>
      </x:c>
      <x:c r="G692" s="253" t="str">
        <x:v>Mainjiwa69</x:v>
      </x:c>
      <x:c r="H692" s="253" t="str">
        <x:v>Yes</x:v>
      </x:c>
      <x:c r="I692" s="253" t="str">
        <x:v>Mikki</x:v>
      </x:c>
      <x:c r="J692" s="253" t="str">
        <x:v>Mikki</x:v>
      </x:c>
      <x:c r="K692" s="259" t="n">
        <x:v>45993.166666666664</x:v>
      </x:c>
      <x:c r="L692" s="268" t="str">
        <x:f>IFERROR(VLOOKUP(I692,'Handler-Team Map'!$A$7:$C$17,2,FALSE),"")</x:f>
      </x:c>
      <x:c r="M692" s="268" t="str">
        <x:f>IFERROR(VLOOKUP(I692,'Handler-Team Map'!$A$7:$C$17,3,FALSE),"")</x:f>
      </x:c>
      <x:c r="N692" s="274" t="str">
        <x:v>FT_VM_DEP1000_GET500_1X</x:v>
      </x:c>
      <x:c r="O692" s="274" t="str">
        <x:v>VIP BONUS - Deposit 1000 Get 500 - 1x TO</x:v>
      </x:c>
      <x:c r="P692" s="274" t="str">
        <x:v>DepositBonus</x:v>
      </x:c>
      <x:c r="Q692" s="274" t="str">
        <x:v>Approved</x:v>
      </x:c>
      <x:c r="R692" s="265" t="n">
        <x:v>500</x:v>
      </x:c>
      <x:c r="S692" s="253" t="str">
        <x:v>Yes</x:v>
      </x:c>
      <x:c r="T692" s="265" t="n">
        <x:v>210</x:v>
      </x:c>
      <x:c r="U692" s="253" t="str">
        <x:f>IF(AND(S692="Yes",T692=0),"Yes","No")</x:f>
        <x:v>No</x:v>
      </x:c>
      <x:c r="V692" s="253" t="str">
        <x:v>Yes</x:v>
      </x:c>
      <x:c r="W692" s="253" t="str">
        <x:v>Yes</x:v>
      </x:c>
      <x:c r="X692" s="259" t="n">
        <x:v>46167.166666666664</x:v>
      </x:c>
      <x:c r="Y692" s="265" t="n">
        <x:v>1000</x:v>
      </x:c>
      <x:c r="Z692" s="265" t="n">
        <x:v>1088</x:v>
      </x:c>
      <x:c r="AA692" s="253" t="str">
        <x:f>IF(V692="No","Maturing",IF(AND(U692="Yes",Y692&gt;0),"Yes","No"))</x:f>
        <x:v>No</x:v>
      </x:c>
      <x:c r="AB692" s="253" t="str">
        <x:f>IF(W692="No","Maturing",IF(AND(U692="Yes",Z692&gt;0),"Yes","No"))</x:f>
        <x:v>No</x:v>
      </x:c>
      <x:c r="AC692" s="265" t="n">
        <x:v>-499.95</x:v>
      </x:c>
      <x:c r="AD692" s="265" t="n">
        <x:v>-411.98</x:v>
      </x:c>
      <x:c r="AE692" s="271" t="str"/>
      <x:c r="AF692" s="274" t="str">
        <x:v>Not validated - no control/holdout</x:v>
      </x:c>
      <x:c r="AG692" s="277" t="str">
        <x:v>Recovered execution only; assignment date and unclaimed-offer denominator unavailable</x:v>
      </x:c>
    </x:row>
    <x:row r="693">
      <x:c r="A693" s="252" t="str">
        <x:v>34361379</x:v>
      </x:c>
      <x:c r="B693" s="253" t="str">
        <x:v>WS1</x:v>
      </x:c>
      <x:c r="C693" s="253" t="str">
        <x:v>MB8</x:v>
      </x:c>
      <x:c r="D693" s="262" t="n">
        <x:v>46167.87559027778</x:v>
      </x:c>
      <x:c r="E693" s="259" t="n">
        <x:v>46167.166666666664</x:v>
      </x:c>
      <x:c r="F693" s="253" t="str">
        <x:v>1184278</x:v>
      </x:c>
      <x:c r="G693" s="253" t="str">
        <x:v>maisonlailai</x:v>
      </x:c>
      <x:c r="H693" s="253" t="str">
        <x:v>Yes</x:v>
      </x:c>
      <x:c r="I693" s="253" t="str"/>
      <x:c r="J693" s="253" t="str"/>
      <x:c r="K693" s="259"/>
      <x:c r="L693" s="268" t="str">
        <x:f>IFERROR(VLOOKUP(I693,'Handler-Team Map'!$A$7:$C$17,2,FALSE),"")</x:f>
      </x:c>
      <x:c r="M693" s="268" t="str">
        <x:f>IFERROR(VLOOKUP(I693,'Handler-Team Map'!$A$7:$C$17,3,FALSE),"")</x:f>
      </x:c>
      <x:c r="N693" s="274" t="str">
        <x:v>FT_VM_DEP700_GET300_2X</x:v>
      </x:c>
      <x:c r="O693" s="274" t="str">
        <x:v>VIP BONUS - Deposit 700 Get 300 - 2x TO</x:v>
      </x:c>
      <x:c r="P693" s="274" t="str">
        <x:v>DepositBonus</x:v>
      </x:c>
      <x:c r="Q693" s="274" t="str">
        <x:v>Approved</x:v>
      </x:c>
      <x:c r="R693" s="265" t="n">
        <x:v>300</x:v>
      </x:c>
      <x:c r="S693" s="253" t="str">
        <x:v>Yes</x:v>
      </x:c>
      <x:c r="T693" s="265" t="n">
        <x:v>200</x:v>
      </x:c>
      <x:c r="U693" s="253" t="str">
        <x:f>IF(AND(S693="Yes",T693=0),"Yes","No")</x:f>
        <x:v>No</x:v>
      </x:c>
      <x:c r="V693" s="253" t="str">
        <x:v>Yes</x:v>
      </x:c>
      <x:c r="W693" s="253" t="str">
        <x:v>Yes</x:v>
      </x:c>
      <x:c r="X693" s="259" t="n">
        <x:v>46167.166666666664</x:v>
      </x:c>
      <x:c r="Y693" s="265" t="n">
        <x:v>2151</x:v>
      </x:c>
      <x:c r="Z693" s="265" t="n">
        <x:v>4257</x:v>
      </x:c>
      <x:c r="AA693" s="253" t="str">
        <x:f>IF(V693="No","Maturing",IF(AND(U693="Yes",Y693&gt;0),"Yes","No"))</x:f>
        <x:v>No</x:v>
      </x:c>
      <x:c r="AB693" s="253" t="str">
        <x:f>IF(W693="No","Maturing",IF(AND(U693="Yes",Z693&gt;0),"Yes","No"))</x:f>
        <x:v>No</x:v>
      </x:c>
      <x:c r="AC693" s="265" t="n">
        <x:v>2151.04</x:v>
      </x:c>
      <x:c r="AD693" s="265" t="n">
        <x:v>2257.26</x:v>
      </x:c>
      <x:c r="AE693" s="271" t="str"/>
      <x:c r="AF693" s="274" t="str">
        <x:v>Not validated - no control/holdout</x:v>
      </x:c>
      <x:c r="AG693" s="277" t="str">
        <x:v>Recovered execution only; assignment date and unclaimed-offer denominator unavailable</x:v>
      </x:c>
    </x:row>
    <x:row r="694">
      <x:c r="A694" s="252" t="str">
        <x:v>34362091</x:v>
      </x:c>
      <x:c r="B694" s="253" t="str">
        <x:v>WS1</x:v>
      </x:c>
      <x:c r="C694" s="253" t="str">
        <x:v>MB8</x:v>
      </x:c>
      <x:c r="D694" s="262" t="n">
        <x:v>46167.922939814816</x:v>
      </x:c>
      <x:c r="E694" s="259" t="n">
        <x:v>46167.166666666664</x:v>
      </x:c>
      <x:c r="F694" s="253" t="str">
        <x:v>238790</x:v>
      </x:c>
      <x:c r="G694" s="253" t="str">
        <x:v>Maxtech888</x:v>
      </x:c>
      <x:c r="H694" s="253" t="str">
        <x:v>Yes</x:v>
      </x:c>
      <x:c r="I694" s="253" t="str">
        <x:v>Tammy</x:v>
      </x:c>
      <x:c r="J694" s="253" t="str">
        <x:v>Tammy</x:v>
      </x:c>
      <x:c r="K694" s="259" t="n">
        <x:v>45951.166666666664</x:v>
      </x:c>
      <x:c r="L694" s="268" t="str">
        <x:f>IFERROR(VLOOKUP(I694,'Handler-Team Map'!$A$7:$C$17,2,FALSE),"")</x:f>
      </x:c>
      <x:c r="M694" s="268" t="str">
        <x:f>IFERROR(VLOOKUP(I694,'Handler-Team Map'!$A$7:$C$17,3,FALSE),"")</x:f>
      </x:c>
      <x:c r="N694" s="274" t="str">
        <x:v>FT_VM_DEP1000_GET500_5X</x:v>
      </x:c>
      <x:c r="O694" s="274" t="str">
        <x:v>VIP BONUS - Deposit 1000 Get 500 - 5x TO</x:v>
      </x:c>
      <x:c r="P694" s="274" t="str">
        <x:v>DepositBonus</x:v>
      </x:c>
      <x:c r="Q694" s="274" t="str">
        <x:v>Approved</x:v>
      </x:c>
      <x:c r="R694" s="265" t="n">
        <x:v>500</x:v>
      </x:c>
      <x:c r="S694" s="253" t="str">
        <x:v>Yes</x:v>
      </x:c>
      <x:c r="T694" s="265" t="n">
        <x:v>55940</x:v>
      </x:c>
      <x:c r="U694" s="253" t="str">
        <x:f>IF(AND(S694="Yes",T694=0),"Yes","No")</x:f>
        <x:v>No</x:v>
      </x:c>
      <x:c r="V694" s="253" t="str">
        <x:v>Yes</x:v>
      </x:c>
      <x:c r="W694" s="253" t="str">
        <x:v>Yes</x:v>
      </x:c>
      <x:c r="X694" s="259" t="n">
        <x:v>46167.166666666664</x:v>
      </x:c>
      <x:c r="Y694" s="265" t="n">
        <x:v>24740</x:v>
      </x:c>
      <x:c r="Z694" s="265" t="n">
        <x:v>50020</x:v>
      </x:c>
      <x:c r="AA694" s="253" t="str">
        <x:f>IF(V694="No","Maturing",IF(AND(U694="Yes",Y694&gt;0),"Yes","No"))</x:f>
        <x:v>No</x:v>
      </x:c>
      <x:c r="AB694" s="253" t="str">
        <x:f>IF(W694="No","Maturing",IF(AND(U694="Yes",Z694&gt;0),"Yes","No"))</x:f>
        <x:v>No</x:v>
      </x:c>
      <x:c r="AC694" s="265" t="n">
        <x:v>6149.11</x:v>
      </x:c>
      <x:c r="AD694" s="265" t="n">
        <x:v>18838.2</x:v>
      </x:c>
      <x:c r="AE694" s="271" t="str"/>
      <x:c r="AF694" s="274" t="str">
        <x:v>Not validated - no control/holdout</x:v>
      </x:c>
      <x:c r="AG694" s="277" t="str">
        <x:v>Recovered execution only; assignment date and unclaimed-offer denominator unavailable</x:v>
      </x:c>
    </x:row>
    <x:row r="695">
      <x:c r="A695" s="252" t="str">
        <x:v>34362925</x:v>
      </x:c>
      <x:c r="B695" s="253" t="str">
        <x:v>WS1</x:v>
      </x:c>
      <x:c r="C695" s="253" t="str">
        <x:v>MB8</x:v>
      </x:c>
      <x:c r="D695" s="262" t="n">
        <x:v>46167.967685185184</x:v>
      </x:c>
      <x:c r="E695" s="259" t="n">
        <x:v>46167.166666666664</x:v>
      </x:c>
      <x:c r="F695" s="253" t="str">
        <x:v>688879</x:v>
      </x:c>
      <x:c r="G695" s="253" t="str">
        <x:v>Bulla123</x:v>
      </x:c>
      <x:c r="H695" s="253" t="str">
        <x:v>Yes</x:v>
      </x:c>
      <x:c r="I695" s="253" t="str">
        <x:v>Jiahui</x:v>
      </x:c>
      <x:c r="J695" s="253" t="str">
        <x:v>Jiahui</x:v>
      </x:c>
      <x:c r="K695" s="259" t="n">
        <x:v>45831.166666666664</x:v>
      </x:c>
      <x:c r="L695" s="268" t="str">
        <x:f>IFERROR(VLOOKUP(I695,'Handler-Team Map'!$A$7:$C$17,2,FALSE),"")</x:f>
      </x:c>
      <x:c r="M695" s="268" t="str">
        <x:f>IFERROR(VLOOKUP(I695,'Handler-Team Map'!$A$7:$C$17,3,FALSE),"")</x:f>
      </x:c>
      <x:c r="N695" s="274" t="str">
        <x:v>FT_VM_DEP1000_GET500_2X</x:v>
      </x:c>
      <x:c r="O695" s="274" t="str">
        <x:v>VIP BONUS - Deposit 1000 Get 500 - 2x TO</x:v>
      </x:c>
      <x:c r="P695" s="274" t="str">
        <x:v>DepositBonus</x:v>
      </x:c>
      <x:c r="Q695" s="274" t="str">
        <x:v>Approved</x:v>
      </x:c>
      <x:c r="R695" s="265" t="n">
        <x:v>500</x:v>
      </x:c>
      <x:c r="S695" s="253" t="str">
        <x:v>Yes</x:v>
      </x:c>
      <x:c r="T695" s="265" t="n">
        <x:v>0</x:v>
      </x:c>
      <x:c r="U695" s="253" t="str">
        <x:f>IF(AND(S695="Yes",T695=0),"Yes","No")</x:f>
        <x:v>Yes</x:v>
      </x:c>
      <x:c r="V695" s="253" t="str">
        <x:v>Yes</x:v>
      </x:c>
      <x:c r="W695" s="253" t="str">
        <x:v>Yes</x:v>
      </x:c>
      <x:c r="X695" s="259" t="n">
        <x:v>46167.166666666664</x:v>
      </x:c>
      <x:c r="Y695" s="265" t="n">
        <x:v>2000</x:v>
      </x:c>
      <x:c r="Z695" s="265" t="n">
        <x:v>2000</x:v>
      </x:c>
      <x:c r="AA695" s="253" t="str">
        <x:f>IF(V695="No","Maturing",IF(AND(U695="Yes",Y695&gt;0),"Yes","No"))</x:f>
        <x:v>Yes</x:v>
      </x:c>
      <x:c r="AB695" s="253" t="str">
        <x:f>IF(W695="No","Maturing",IF(AND(U695="Yes",Z695&gt;0),"Yes","No"))</x:f>
        <x:v>Yes</x:v>
      </x:c>
      <x:c r="AC695" s="265" t="n">
        <x:v>-2827.15</x:v>
      </x:c>
      <x:c r="AD695" s="265" t="n">
        <x:v>-2827.09</x:v>
      </x:c>
      <x:c r="AE695" s="271" t="str"/>
      <x:c r="AF695" s="274" t="str">
        <x:v>Not validated - no control/holdout</x:v>
      </x:c>
      <x:c r="AG695" s="277" t="str">
        <x:v>Recovered execution only; assignment date and unclaimed-offer denominator unavailable</x:v>
      </x:c>
    </x:row>
    <x:row r="696">
      <x:c r="A696" s="252" t="str">
        <x:v>34362958</x:v>
      </x:c>
      <x:c r="B696" s="253" t="str">
        <x:v>WS1</x:v>
      </x:c>
      <x:c r="C696" s="253" t="str">
        <x:v>MB8</x:v>
      </x:c>
      <x:c r="D696" s="262" t="n">
        <x:v>46167.96803240741</x:v>
      </x:c>
      <x:c r="E696" s="259" t="n">
        <x:v>46167.166666666664</x:v>
      </x:c>
      <x:c r="F696" s="253" t="str">
        <x:v>288472</x:v>
      </x:c>
      <x:c r="G696" s="253" t="str">
        <x:v>ANGIENG5</x:v>
      </x:c>
      <x:c r="H696" s="253" t="str">
        <x:v>Yes</x:v>
      </x:c>
      <x:c r="I696" s="253" t="str">
        <x:v>Claire</x:v>
      </x:c>
      <x:c r="J696" s="253" t="str">
        <x:v>Claire</x:v>
      </x:c>
      <x:c r="K696" s="259" t="n">
        <x:v>45659.166666666664</x:v>
      </x:c>
      <x:c r="L696" s="268" t="str">
        <x:f>IFERROR(VLOOKUP(I696,'Handler-Team Map'!$A$7:$C$17,2,FALSE),"")</x:f>
      </x:c>
      <x:c r="M696" s="268" t="str">
        <x:f>IFERROR(VLOOKUP(I696,'Handler-Team Map'!$A$7:$C$17,3,FALSE),"")</x:f>
      </x:c>
      <x:c r="N696" s="274" t="str">
        <x:v>FT_VM_DEP300_GET100_2X</x:v>
      </x:c>
      <x:c r="O696" s="274" t="str">
        <x:v>VIP BONUS - Deposit 300 Get 100 - 2x TO</x:v>
      </x:c>
      <x:c r="P696" s="274" t="str">
        <x:v>DepositBonus</x:v>
      </x:c>
      <x:c r="Q696" s="274" t="str">
        <x:v>Approved</x:v>
      </x:c>
      <x:c r="R696" s="265" t="n">
        <x:v>100</x:v>
      </x:c>
      <x:c r="S696" s="253" t="str">
        <x:v>Yes</x:v>
      </x:c>
      <x:c r="T696" s="265" t="n">
        <x:v>11181</x:v>
      </x:c>
      <x:c r="U696" s="253" t="str">
        <x:f>IF(AND(S696="Yes",T696=0),"Yes","No")</x:f>
        <x:v>No</x:v>
      </x:c>
      <x:c r="V696" s="253" t="str">
        <x:v>Yes</x:v>
      </x:c>
      <x:c r="W696" s="253" t="str">
        <x:v>Yes</x:v>
      </x:c>
      <x:c r="X696" s="259" t="n">
        <x:v>46167.166666666664</x:v>
      </x:c>
      <x:c r="Y696" s="265" t="n">
        <x:v>1040</x:v>
      </x:c>
      <x:c r="Z696" s="265" t="n">
        <x:v>1240</x:v>
      </x:c>
      <x:c r="AA696" s="253" t="str">
        <x:f>IF(V696="No","Maturing",IF(AND(U696="Yes",Y696&gt;0),"Yes","No"))</x:f>
        <x:v>No</x:v>
      </x:c>
      <x:c r="AB696" s="253" t="str">
        <x:f>IF(W696="No","Maturing",IF(AND(U696="Yes",Z696&gt;0),"Yes","No"))</x:f>
        <x:v>No</x:v>
      </x:c>
      <x:c r="AC696" s="265" t="n">
        <x:v>-45.41</x:v>
      </x:c>
      <x:c r="AD696" s="265" t="n">
        <x:v>-130.46</x:v>
      </x:c>
      <x:c r="AE696" s="271" t="str"/>
      <x:c r="AF696" s="274" t="str">
        <x:v>Not validated - no control/holdout</x:v>
      </x:c>
      <x:c r="AG696" s="277" t="str">
        <x:v>Recovered execution only; assignment date and unclaimed-offer denominator unavailable</x:v>
      </x:c>
    </x:row>
    <x:row r="697">
      <x:c r="A697" s="252" t="str">
        <x:v>34363215</x:v>
      </x:c>
      <x:c r="B697" s="253" t="str">
        <x:v>WS1</x:v>
      </x:c>
      <x:c r="C697" s="253" t="str">
        <x:v>MB8</x:v>
      </x:c>
      <x:c r="D697" s="262" t="n">
        <x:v>46167.98086805556</x:v>
      </x:c>
      <x:c r="E697" s="259" t="n">
        <x:v>46167.166666666664</x:v>
      </x:c>
      <x:c r="F697" s="253" t="str">
        <x:v>326953</x:v>
      </x:c>
      <x:c r="G697" s="253" t="str">
        <x:v>Azmeer00</x:v>
      </x:c>
      <x:c r="H697" s="253" t="str">
        <x:v>Yes</x:v>
      </x:c>
      <x:c r="I697" s="253" t="str">
        <x:v>Elda</x:v>
      </x:c>
      <x:c r="J697" s="253" t="str">
        <x:v>Elda</x:v>
      </x:c>
      <x:c r="K697" s="259" t="n">
        <x:v>45659.166666666664</x:v>
      </x:c>
      <x:c r="L697" s="268" t="str">
        <x:f>IFERROR(VLOOKUP(I697,'Handler-Team Map'!$A$7:$C$17,2,FALSE),"")</x:f>
      </x:c>
      <x:c r="M697" s="268" t="str">
        <x:f>IFERROR(VLOOKUP(I697,'Handler-Team Map'!$A$7:$C$17,3,FALSE),"")</x:f>
      </x:c>
      <x:c r="N697" s="274" t="str">
        <x:v>FT_VM_DEP1000_GET500_5X</x:v>
      </x:c>
      <x:c r="O697" s="274" t="str">
        <x:v>VIP BONUS - Deposit 1000 Get 500 - 5x TO</x:v>
      </x:c>
      <x:c r="P697" s="274" t="str">
        <x:v>DepositBonus</x:v>
      </x:c>
      <x:c r="Q697" s="274" t="str">
        <x:v>Approved</x:v>
      </x:c>
      <x:c r="R697" s="265" t="n">
        <x:v>500</x:v>
      </x:c>
      <x:c r="S697" s="253" t="str">
        <x:v>Yes</x:v>
      </x:c>
      <x:c r="T697" s="265" t="n">
        <x:v>15290</x:v>
      </x:c>
      <x:c r="U697" s="253" t="str">
        <x:f>IF(AND(S697="Yes",T697=0),"Yes","No")</x:f>
        <x:v>No</x:v>
      </x:c>
      <x:c r="V697" s="253" t="str">
        <x:v>Yes</x:v>
      </x:c>
      <x:c r="W697" s="253" t="str">
        <x:v>Yes</x:v>
      </x:c>
      <x:c r="X697" s="259" t="n">
        <x:v>46167.166666666664</x:v>
      </x:c>
      <x:c r="Y697" s="265" t="n">
        <x:v>19182</x:v>
      </x:c>
      <x:c r="Z697" s="265" t="n">
        <x:v>25950</x:v>
      </x:c>
      <x:c r="AA697" s="253" t="str">
        <x:f>IF(V697="No","Maturing",IF(AND(U697="Yes",Y697&gt;0),"Yes","No"))</x:f>
        <x:v>No</x:v>
      </x:c>
      <x:c r="AB697" s="253" t="str">
        <x:f>IF(W697="No","Maturing",IF(AND(U697="Yes",Z697&gt;0),"Yes","No"))</x:f>
        <x:v>No</x:v>
      </x:c>
      <x:c r="AC697" s="265" t="n">
        <x:v>8779.64</x:v>
      </x:c>
      <x:c r="AD697" s="265" t="n">
        <x:v>9407.86</x:v>
      </x:c>
      <x:c r="AE697" s="271" t="str"/>
      <x:c r="AF697" s="274" t="str">
        <x:v>Not validated - no control/holdout</x:v>
      </x:c>
      <x:c r="AG697" s="277" t="str">
        <x:v>Recovered execution only; assignment date and unclaimed-offer denominator unavailable</x:v>
      </x:c>
    </x:row>
    <x:row r="698">
      <x:c r="A698" s="252" t="str">
        <x:v>34364942</x:v>
      </x:c>
      <x:c r="B698" s="253" t="str">
        <x:v>WS1</x:v>
      </x:c>
      <x:c r="C698" s="253" t="str">
        <x:v>MB8</x:v>
      </x:c>
      <x:c r="D698" s="262" t="n">
        <x:v>46168.087789351855</x:v>
      </x:c>
      <x:c r="E698" s="259" t="n">
        <x:v>46168.166666666664</x:v>
      </x:c>
      <x:c r="F698" s="253" t="str">
        <x:v>422328</x:v>
      </x:c>
      <x:c r="G698" s="253" t="str">
        <x:v>yap5643</x:v>
      </x:c>
      <x:c r="H698" s="253" t="str">
        <x:v>Yes</x:v>
      </x:c>
      <x:c r="I698" s="253" t="str">
        <x:v>Claire</x:v>
      </x:c>
      <x:c r="J698" s="253" t="str">
        <x:v>Claire</x:v>
      </x:c>
      <x:c r="K698" s="259" t="n">
        <x:v>45659.166666666664</x:v>
      </x:c>
      <x:c r="L698" s="268" t="str">
        <x:f>IFERROR(VLOOKUP(I698,'Handler-Team Map'!$A$7:$C$17,2,FALSE),"")</x:f>
      </x:c>
      <x:c r="M698" s="268" t="str">
        <x:f>IFERROR(VLOOKUP(I698,'Handler-Team Map'!$A$7:$C$17,3,FALSE),"")</x:f>
      </x:c>
      <x:c r="N698" s="274" t="str">
        <x:v>FT_VM_DEP1000_GET1000_1X</x:v>
      </x:c>
      <x:c r="O698" s="274" t="str">
        <x:v>VIP BONUS - Deposit 1000 Get 1000 - 1x TO</x:v>
      </x:c>
      <x:c r="P698" s="274" t="str">
        <x:v>DepositBonus</x:v>
      </x:c>
      <x:c r="Q698" s="274" t="str">
        <x:v>Approved</x:v>
      </x:c>
      <x:c r="R698" s="265" t="n">
        <x:v>1000</x:v>
      </x:c>
      <x:c r="S698" s="253" t="str">
        <x:v>Yes</x:v>
      </x:c>
      <x:c r="T698" s="265" t="n">
        <x:v>257100</x:v>
      </x:c>
      <x:c r="U698" s="253" t="str">
        <x:f>IF(AND(S698="Yes",T698=0),"Yes","No")</x:f>
        <x:v>No</x:v>
      </x:c>
      <x:c r="V698" s="253" t="str">
        <x:v>Yes</x:v>
      </x:c>
      <x:c r="W698" s="253" t="str">
        <x:v>Yes</x:v>
      </x:c>
      <x:c r="X698" s="259" t="n">
        <x:v>46168.166666666664</x:v>
      </x:c>
      <x:c r="Y698" s="265" t="n">
        <x:v>50500</x:v>
      </x:c>
      <x:c r="Z698" s="265" t="n">
        <x:v>147800</x:v>
      </x:c>
      <x:c r="AA698" s="253" t="str">
        <x:f>IF(V698="No","Maturing",IF(AND(U698="Yes",Y698&gt;0),"Yes","No"))</x:f>
        <x:v>No</x:v>
      </x:c>
      <x:c r="AB698" s="253" t="str">
        <x:f>IF(W698="No","Maturing",IF(AND(U698="Yes",Z698&gt;0),"Yes","No"))</x:f>
        <x:v>No</x:v>
      </x:c>
      <x:c r="AC698" s="265" t="n">
        <x:v>48624.67</x:v>
      </x:c>
      <x:c r="AD698" s="265" t="n">
        <x:v>94816.14</x:v>
      </x:c>
      <x:c r="AE698" s="271" t="str"/>
      <x:c r="AF698" s="274" t="str">
        <x:v>Not validated - no control/holdout</x:v>
      </x:c>
      <x:c r="AG698" s="277" t="str">
        <x:v>Recovered execution only; assignment date and unclaimed-offer denominator unavailable</x:v>
      </x:c>
    </x:row>
    <x:row r="699">
      <x:c r="A699" s="252" t="str">
        <x:v>34365121</x:v>
      </x:c>
      <x:c r="B699" s="253" t="str">
        <x:v>WS1</x:v>
      </x:c>
      <x:c r="C699" s="253" t="str">
        <x:v>MB8</x:v>
      </x:c>
      <x:c r="D699" s="262" t="n">
        <x:v>46168.10189814815</x:v>
      </x:c>
      <x:c r="E699" s="259" t="n">
        <x:v>46168.166666666664</x:v>
      </x:c>
      <x:c r="F699" s="253" t="str">
        <x:v>113180</x:v>
      </x:c>
      <x:c r="G699" s="253" t="str">
        <x:v>Hazel</x:v>
      </x:c>
      <x:c r="H699" s="253" t="str">
        <x:v>Yes</x:v>
      </x:c>
      <x:c r="I699" s="253" t="str">
        <x:v>Serene</x:v>
      </x:c>
      <x:c r="J699" s="253" t="str">
        <x:v>Serene</x:v>
      </x:c>
      <x:c r="K699" s="259" t="n">
        <x:v>45831.166666666664</x:v>
      </x:c>
      <x:c r="L699" s="268" t="str">
        <x:f>IFERROR(VLOOKUP(I699,'Handler-Team Map'!$A$7:$C$17,2,FALSE),"")</x:f>
      </x:c>
      <x:c r="M699" s="268" t="str">
        <x:f>IFERROR(VLOOKUP(I699,'Handler-Team Map'!$A$7:$C$17,3,FALSE),"")</x:f>
      </x:c>
      <x:c r="N699" s="274" t="str">
        <x:v>FT_VM_DEP1000_GET500_5X</x:v>
      </x:c>
      <x:c r="O699" s="274" t="str">
        <x:v>VIP BONUS - Deposit 1000 Get 500 - 5x TO</x:v>
      </x:c>
      <x:c r="P699" s="274" t="str">
        <x:v>DepositBonus</x:v>
      </x:c>
      <x:c r="Q699" s="274" t="str">
        <x:v>Approved</x:v>
      </x:c>
      <x:c r="R699" s="265" t="n">
        <x:v>500</x:v>
      </x:c>
      <x:c r="S699" s="253" t="str">
        <x:v>Yes</x:v>
      </x:c>
      <x:c r="T699" s="265" t="n">
        <x:v>4320</x:v>
      </x:c>
      <x:c r="U699" s="253" t="str">
        <x:f>IF(AND(S699="Yes",T699=0),"Yes","No")</x:f>
        <x:v>No</x:v>
      </x:c>
      <x:c r="V699" s="253" t="str">
        <x:v>Yes</x:v>
      </x:c>
      <x:c r="W699" s="253" t="str">
        <x:v>Yes</x:v>
      </x:c>
      <x:c r="X699" s="259" t="n">
        <x:v>46168.166666666664</x:v>
      </x:c>
      <x:c r="Y699" s="265" t="n">
        <x:v>2250</x:v>
      </x:c>
      <x:c r="Z699" s="265" t="n">
        <x:v>3685</x:v>
      </x:c>
      <x:c r="AA699" s="253" t="str">
        <x:f>IF(V699="No","Maturing",IF(AND(U699="Yes",Y699&gt;0),"Yes","No"))</x:f>
        <x:v>No</x:v>
      </x:c>
      <x:c r="AB699" s="253" t="str">
        <x:f>IF(W699="No","Maturing",IF(AND(U699="Yes",Z699&gt;0),"Yes","No"))</x:f>
        <x:v>No</x:v>
      </x:c>
      <x:c r="AC699" s="265" t="n">
        <x:v>750.99</x:v>
      </x:c>
      <x:c r="AD699" s="265" t="n">
        <x:v>2131.45</x:v>
      </x:c>
      <x:c r="AE699" s="271" t="str"/>
      <x:c r="AF699" s="274" t="str">
        <x:v>Not validated - no control/holdout</x:v>
      </x:c>
      <x:c r="AG699" s="277" t="str">
        <x:v>Recovered execution only; assignment date and unclaimed-offer denominator unavailable</x:v>
      </x:c>
    </x:row>
    <x:row r="700">
      <x:c r="A700" s="252" t="str">
        <x:v>34365635</x:v>
      </x:c>
      <x:c r="B700" s="253" t="str">
        <x:v>WS1</x:v>
      </x:c>
      <x:c r="C700" s="253" t="str">
        <x:v>MB8</x:v>
      </x:c>
      <x:c r="D700" s="262" t="n">
        <x:v>46168.15883101852</x:v>
      </x:c>
      <x:c r="E700" s="259" t="n">
        <x:v>46168.166666666664</x:v>
      </x:c>
      <x:c r="F700" s="253" t="str">
        <x:v>38910</x:v>
      </x:c>
      <x:c r="G700" s="253" t="str">
        <x:v>Snowy2kaki</x:v>
      </x:c>
      <x:c r="H700" s="253" t="str">
        <x:v>Yes</x:v>
      </x:c>
      <x:c r="I700" s="253" t="str">
        <x:v>Claire</x:v>
      </x:c>
      <x:c r="J700" s="253" t="str">
        <x:v>Claire</x:v>
      </x:c>
      <x:c r="K700" s="259" t="n">
        <x:v>45659.166666666664</x:v>
      </x:c>
      <x:c r="L700" s="268" t="str">
        <x:f>IFERROR(VLOOKUP(I700,'Handler-Team Map'!$A$7:$C$17,2,FALSE),"")</x:f>
      </x:c>
      <x:c r="M700" s="268" t="str">
        <x:f>IFERROR(VLOOKUP(I700,'Handler-Team Map'!$A$7:$C$17,3,FALSE),"")</x:f>
      </x:c>
      <x:c r="N700" s="274" t="str">
        <x:v>FT_VM_DEP700_GET300_1X</x:v>
      </x:c>
      <x:c r="O700" s="274" t="str">
        <x:v>VIP BONUS - Deposit 700 Get 300 - 1x TO</x:v>
      </x:c>
      <x:c r="P700" s="274" t="str">
        <x:v>DepositBonus</x:v>
      </x:c>
      <x:c r="Q700" s="274" t="str">
        <x:v>Approved</x:v>
      </x:c>
      <x:c r="R700" s="265" t="n">
        <x:v>300</x:v>
      </x:c>
      <x:c r="S700" s="253" t="str">
        <x:v>Yes</x:v>
      </x:c>
      <x:c r="T700" s="265" t="n">
        <x:v>186400</x:v>
      </x:c>
      <x:c r="U700" s="253" t="str">
        <x:f>IF(AND(S700="Yes",T700=0),"Yes","No")</x:f>
        <x:v>No</x:v>
      </x:c>
      <x:c r="V700" s="253" t="str">
        <x:v>Yes</x:v>
      </x:c>
      <x:c r="W700" s="253" t="str">
        <x:v>Yes</x:v>
      </x:c>
      <x:c r="X700" s="259" t="n">
        <x:v>46168.166666666664</x:v>
      </x:c>
      <x:c r="Y700" s="265" t="n">
        <x:v>19000</x:v>
      </x:c>
      <x:c r="Z700" s="265" t="n">
        <x:v>19800</x:v>
      </x:c>
      <x:c r="AA700" s="253" t="str">
        <x:f>IF(V700="No","Maturing",IF(AND(U700="Yes",Y700&gt;0),"Yes","No"))</x:f>
        <x:v>No</x:v>
      </x:c>
      <x:c r="AB700" s="253" t="str">
        <x:f>IF(W700="No","Maturing",IF(AND(U700="Yes",Z700&gt;0),"Yes","No"))</x:f>
        <x:v>No</x:v>
      </x:c>
      <x:c r="AC700" s="265" t="n">
        <x:v>19051.23</x:v>
      </x:c>
      <x:c r="AD700" s="265" t="n">
        <x:v>20637.26</x:v>
      </x:c>
      <x:c r="AE700" s="271" t="str"/>
      <x:c r="AF700" s="274" t="str">
        <x:v>Not validated - no control/holdout</x:v>
      </x:c>
      <x:c r="AG700" s="277" t="str">
        <x:v>Recovered execution only; assignment date and unclaimed-offer denominator unavailable</x:v>
      </x:c>
    </x:row>
    <x:row r="701">
      <x:c r="A701" s="252" t="str">
        <x:v>34366449</x:v>
      </x:c>
      <x:c r="B701" s="253" t="str">
        <x:v>WS1</x:v>
      </x:c>
      <x:c r="C701" s="253" t="str">
        <x:v>MB8</x:v>
      </x:c>
      <x:c r="D701" s="262" t="n">
        <x:v>46168.323067129626</x:v>
      </x:c>
      <x:c r="E701" s="259" t="n">
        <x:v>46168.166666666664</x:v>
      </x:c>
      <x:c r="F701" s="253" t="str">
        <x:v>567203</x:v>
      </x:c>
      <x:c r="G701" s="253" t="str">
        <x:v>Booboo</x:v>
      </x:c>
      <x:c r="H701" s="253" t="str">
        <x:v>Yes</x:v>
      </x:c>
      <x:c r="I701" s="253" t="str">
        <x:v>Elda</x:v>
      </x:c>
      <x:c r="J701" s="253" t="str">
        <x:v>Elda</x:v>
      </x:c>
      <x:c r="K701" s="259" t="n">
        <x:v>45659.166666666664</x:v>
      </x:c>
      <x:c r="L701" s="268" t="str">
        <x:f>IFERROR(VLOOKUP(I701,'Handler-Team Map'!$A$7:$C$17,2,FALSE),"")</x:f>
      </x:c>
      <x:c r="M701" s="268" t="str">
        <x:f>IFERROR(VLOOKUP(I701,'Handler-Team Map'!$A$7:$C$17,3,FALSE),"")</x:f>
      </x:c>
      <x:c r="N701" s="274" t="str">
        <x:v>FT_VM_DEP1000_GET500_5X</x:v>
      </x:c>
      <x:c r="O701" s="274" t="str">
        <x:v>VIP BONUS - Deposit 1000 Get 500 - 5x TO</x:v>
      </x:c>
      <x:c r="P701" s="274" t="str">
        <x:v>DepositBonus</x:v>
      </x:c>
      <x:c r="Q701" s="274" t="str">
        <x:v>Approved</x:v>
      </x:c>
      <x:c r="R701" s="265" t="n">
        <x:v>500</x:v>
      </x:c>
      <x:c r="S701" s="253" t="str">
        <x:v>Yes</x:v>
      </x:c>
      <x:c r="T701" s="265" t="n">
        <x:v>70761.65</x:v>
      </x:c>
      <x:c r="U701" s="253" t="str">
        <x:f>IF(AND(S701="Yes",T701=0),"Yes","No")</x:f>
        <x:v>No</x:v>
      </x:c>
      <x:c r="V701" s="253" t="str">
        <x:v>Yes</x:v>
      </x:c>
      <x:c r="W701" s="253" t="str">
        <x:v>Yes</x:v>
      </x:c>
      <x:c r="X701" s="259" t="n">
        <x:v>46168.166666666664</x:v>
      </x:c>
      <x:c r="Y701" s="265" t="n">
        <x:v>16686.85</x:v>
      </x:c>
      <x:c r="Z701" s="265" t="n">
        <x:v>31950.85</x:v>
      </x:c>
      <x:c r="AA701" s="253" t="str">
        <x:f>IF(V701="No","Maturing",IF(AND(U701="Yes",Y701&gt;0),"Yes","No"))</x:f>
        <x:v>No</x:v>
      </x:c>
      <x:c r="AB701" s="253" t="str">
        <x:f>IF(W701="No","Maturing",IF(AND(U701="Yes",Z701&gt;0),"Yes","No"))</x:f>
        <x:v>No</x:v>
      </x:c>
      <x:c r="AC701" s="265" t="n">
        <x:v>-641.34</x:v>
      </x:c>
      <x:c r="AD701" s="265" t="n">
        <x:v>-78.28</x:v>
      </x:c>
      <x:c r="AE701" s="271" t="str"/>
      <x:c r="AF701" s="274" t="str">
        <x:v>Not validated - no control/holdout</x:v>
      </x:c>
      <x:c r="AG701" s="277" t="str">
        <x:v>Recovered execution only; assignment date and unclaimed-offer denominator unavailable</x:v>
      </x:c>
    </x:row>
    <x:row r="702">
      <x:c r="A702" s="252" t="str">
        <x:v>34367382</x:v>
      </x:c>
      <x:c r="B702" s="253" t="str">
        <x:v>WS1</x:v>
      </x:c>
      <x:c r="C702" s="253" t="str">
        <x:v>MB8</x:v>
      </x:c>
      <x:c r="D702" s="262" t="n">
        <x:v>46168.43466435185</x:v>
      </x:c>
      <x:c r="E702" s="259" t="n">
        <x:v>46168.166666666664</x:v>
      </x:c>
      <x:c r="F702" s="253" t="str">
        <x:v>366220</x:v>
      </x:c>
      <x:c r="G702" s="253" t="str">
        <x:v>Bluebird84</x:v>
      </x:c>
      <x:c r="H702" s="253" t="str">
        <x:v>Yes</x:v>
      </x:c>
      <x:c r="I702" s="253" t="str">
        <x:v>Tammy</x:v>
      </x:c>
      <x:c r="J702" s="253" t="str">
        <x:v>Tammy</x:v>
      </x:c>
      <x:c r="K702" s="259" t="n">
        <x:v>45951.166666666664</x:v>
      </x:c>
      <x:c r="L702" s="268" t="str">
        <x:f>IFERROR(VLOOKUP(I702,'Handler-Team Map'!$A$7:$C$17,2,FALSE),"")</x:f>
      </x:c>
      <x:c r="M702" s="268" t="str">
        <x:f>IFERROR(VLOOKUP(I702,'Handler-Team Map'!$A$7:$C$17,3,FALSE),"")</x:f>
      </x:c>
      <x:c r="N702" s="274" t="str">
        <x:v>FT_VM_DEP1000_GET500_5X</x:v>
      </x:c>
      <x:c r="O702" s="274" t="str">
        <x:v>VIP BONUS - Deposit 1000 Get 500 - 5x TO</x:v>
      </x:c>
      <x:c r="P702" s="274" t="str">
        <x:v>DepositBonus</x:v>
      </x:c>
      <x:c r="Q702" s="274" t="str">
        <x:v>Approved</x:v>
      </x:c>
      <x:c r="R702" s="265" t="n">
        <x:v>500</x:v>
      </x:c>
      <x:c r="S702" s="253" t="str">
        <x:v>Yes</x:v>
      </x:c>
      <x:c r="T702" s="265" t="n">
        <x:v>3150</x:v>
      </x:c>
      <x:c r="U702" s="253" t="str">
        <x:f>IF(AND(S702="Yes",T702=0),"Yes","No")</x:f>
        <x:v>No</x:v>
      </x:c>
      <x:c r="V702" s="253" t="str">
        <x:v>Yes</x:v>
      </x:c>
      <x:c r="W702" s="253" t="str">
        <x:v>Yes</x:v>
      </x:c>
      <x:c r="X702" s="259" t="n">
        <x:v>46168.166666666664</x:v>
      </x:c>
      <x:c r="Y702" s="265" t="n">
        <x:v>2115</x:v>
      </x:c>
      <x:c r="Z702" s="265" t="n">
        <x:v>2115</x:v>
      </x:c>
      <x:c r="AA702" s="253" t="str">
        <x:f>IF(V702="No","Maturing",IF(AND(U702="Yes",Y702&gt;0),"Yes","No"))</x:f>
        <x:v>No</x:v>
      </x:c>
      <x:c r="AB702" s="253" t="str">
        <x:f>IF(W702="No","Maturing",IF(AND(U702="Yes",Z702&gt;0),"Yes","No"))</x:f>
        <x:v>No</x:v>
      </x:c>
      <x:c r="AC702" s="265" t="n">
        <x:v>2115.01</x:v>
      </x:c>
      <x:c r="AD702" s="265" t="n">
        <x:v>2114.9</x:v>
      </x:c>
      <x:c r="AE702" s="271" t="str"/>
      <x:c r="AF702" s="274" t="str">
        <x:v>Not validated - no control/holdout</x:v>
      </x:c>
      <x:c r="AG702" s="277" t="str">
        <x:v>Recovered execution only; assignment date and unclaimed-offer denominator unavailable</x:v>
      </x:c>
    </x:row>
    <x:row r="703">
      <x:c r="A703" s="252" t="str">
        <x:v>34367469</x:v>
      </x:c>
      <x:c r="B703" s="253" t="str">
        <x:v>WS1</x:v>
      </x:c>
      <x:c r="C703" s="253" t="str">
        <x:v>MB8</x:v>
      </x:c>
      <x:c r="D703" s="262" t="n">
        <x:v>46168.443344907406</x:v>
      </x:c>
      <x:c r="E703" s="259" t="n">
        <x:v>46168.166666666664</x:v>
      </x:c>
      <x:c r="F703" s="253" t="str">
        <x:v>839514</x:v>
      </x:c>
      <x:c r="G703" s="253" t="str">
        <x:v>csn123</x:v>
      </x:c>
      <x:c r="H703" s="253" t="str">
        <x:v>Yes</x:v>
      </x:c>
      <x:c r="I703" s="253" t="str">
        <x:v>Jiahui</x:v>
      </x:c>
      <x:c r="J703" s="253" t="str">
        <x:v>Jiahui</x:v>
      </x:c>
      <x:c r="K703" s="259" t="n">
        <x:v>46105.166666666664</x:v>
      </x:c>
      <x:c r="L703" s="268" t="str">
        <x:f>IFERROR(VLOOKUP(I703,'Handler-Team Map'!$A$7:$C$17,2,FALSE),"")</x:f>
      </x:c>
      <x:c r="M703" s="268" t="str">
        <x:f>IFERROR(VLOOKUP(I703,'Handler-Team Map'!$A$7:$C$17,3,FALSE),"")</x:f>
      </x:c>
      <x:c r="N703" s="274" t="str">
        <x:v>FT_VM_DEP300_GET100_5X</x:v>
      </x:c>
      <x:c r="O703" s="274" t="str">
        <x:v>VIP BONUS - Deposit 300 Get 100 - 5x TO</x:v>
      </x:c>
      <x:c r="P703" s="274" t="str">
        <x:v>DepositBonus</x:v>
      </x:c>
      <x:c r="Q703" s="274" t="str">
        <x:v>Approved</x:v>
      </x:c>
      <x:c r="R703" s="265" t="n">
        <x:v>100</x:v>
      </x:c>
      <x:c r="S703" s="253" t="str">
        <x:v>Yes</x:v>
      </x:c>
      <x:c r="T703" s="265" t="n">
        <x:v>16710</x:v>
      </x:c>
      <x:c r="U703" s="253" t="str">
        <x:f>IF(AND(S703="Yes",T703=0),"Yes","No")</x:f>
        <x:v>No</x:v>
      </x:c>
      <x:c r="V703" s="253" t="str">
        <x:v>Yes</x:v>
      </x:c>
      <x:c r="W703" s="253" t="str">
        <x:v>Yes</x:v>
      </x:c>
      <x:c r="X703" s="259" t="n">
        <x:v>46168.166666666664</x:v>
      </x:c>
      <x:c r="Y703" s="265" t="n">
        <x:v>3598</x:v>
      </x:c>
      <x:c r="Z703" s="265" t="n">
        <x:v>4148</x:v>
      </x:c>
      <x:c r="AA703" s="253" t="str">
        <x:f>IF(V703="No","Maturing",IF(AND(U703="Yes",Y703&gt;0),"Yes","No"))</x:f>
        <x:v>No</x:v>
      </x:c>
      <x:c r="AB703" s="253" t="str">
        <x:f>IF(W703="No","Maturing",IF(AND(U703="Yes",Z703&gt;0),"Yes","No"))</x:f>
        <x:v>No</x:v>
      </x:c>
      <x:c r="AC703" s="265" t="n">
        <x:v>1490.43</x:v>
      </x:c>
      <x:c r="AD703" s="265" t="n">
        <x:v>2038.45</x:v>
      </x:c>
      <x:c r="AE703" s="271" t="str"/>
      <x:c r="AF703" s="274" t="str">
        <x:v>Not validated - no control/holdout</x:v>
      </x:c>
      <x:c r="AG703" s="277" t="str">
        <x:v>Recovered execution only; assignment date and unclaimed-offer denominator unavailable</x:v>
      </x:c>
    </x:row>
    <x:row r="704">
      <x:c r="A704" s="252" t="str">
        <x:v>34367968</x:v>
      </x:c>
      <x:c r="B704" s="253" t="str">
        <x:v>WS1</x:v>
      </x:c>
      <x:c r="C704" s="253" t="str">
        <x:v>MB8</x:v>
      </x:c>
      <x:c r="D704" s="262" t="n">
        <x:v>46168.493310185186</x:v>
      </x:c>
      <x:c r="E704" s="259" t="n">
        <x:v>46168.166666666664</x:v>
      </x:c>
      <x:c r="F704" s="253" t="str">
        <x:v>710888</x:v>
      </x:c>
      <x:c r="G704" s="253" t="str">
        <x:v>Tasnim17</x:v>
      </x:c>
      <x:c r="H704" s="253" t="str">
        <x:v>Yes</x:v>
      </x:c>
      <x:c r="I704" s="253" t="str">
        <x:v>Kam</x:v>
      </x:c>
      <x:c r="J704" s="253" t="str">
        <x:v>Kam</x:v>
      </x:c>
      <x:c r="K704" s="259" t="n">
        <x:v>45817.166666666664</x:v>
      </x:c>
      <x:c r="L704" s="268" t="str">
        <x:f>IFERROR(VLOOKUP(I704,'Handler-Team Map'!$A$7:$C$17,2,FALSE),"")</x:f>
      </x:c>
      <x:c r="M704" s="268" t="str">
        <x:f>IFERROR(VLOOKUP(I704,'Handler-Team Map'!$A$7:$C$17,3,FALSE),"")</x:f>
      </x:c>
      <x:c r="N704" s="274" t="str">
        <x:v>FT_VM_DEP700_GET300_2X</x:v>
      </x:c>
      <x:c r="O704" s="274" t="str">
        <x:v>VIP BONUS - Deposit 700 Get 300 - 2x TO</x:v>
      </x:c>
      <x:c r="P704" s="274" t="str">
        <x:v>DepositBonus</x:v>
      </x:c>
      <x:c r="Q704" s="274" t="str">
        <x:v>Approved</x:v>
      </x:c>
      <x:c r="R704" s="265" t="n">
        <x:v>300</x:v>
      </x:c>
      <x:c r="S704" s="253" t="str">
        <x:v>Yes</x:v>
      </x:c>
      <x:c r="T704" s="265" t="n">
        <x:v>850</x:v>
      </x:c>
      <x:c r="U704" s="253" t="str">
        <x:f>IF(AND(S704="Yes",T704=0),"Yes","No")</x:f>
        <x:v>No</x:v>
      </x:c>
      <x:c r="V704" s="253" t="str">
        <x:v>Yes</x:v>
      </x:c>
      <x:c r="W704" s="253" t="str">
        <x:v>Yes</x:v>
      </x:c>
      <x:c r="X704" s="259" t="n">
        <x:v>46168.166666666664</x:v>
      </x:c>
      <x:c r="Y704" s="265" t="n">
        <x:v>3050</x:v>
      </x:c>
      <x:c r="Z704" s="265" t="n">
        <x:v>6500</x:v>
      </x:c>
      <x:c r="AA704" s="253" t="str">
        <x:f>IF(V704="No","Maturing",IF(AND(U704="Yes",Y704&gt;0),"Yes","No"))</x:f>
        <x:v>No</x:v>
      </x:c>
      <x:c r="AB704" s="253" t="str">
        <x:f>IF(W704="No","Maturing",IF(AND(U704="Yes",Z704&gt;0),"Yes","No"))</x:f>
        <x:v>No</x:v>
      </x:c>
      <x:c r="AC704" s="265" t="n">
        <x:v>-1450.03</x:v>
      </x:c>
      <x:c r="AD704" s="265" t="n">
        <x:v>-2441.74</x:v>
      </x:c>
      <x:c r="AE704" s="271" t="str"/>
      <x:c r="AF704" s="274" t="str">
        <x:v>Not validated - no control/holdout</x:v>
      </x:c>
      <x:c r="AG704" s="277" t="str">
        <x:v>Recovered execution only; assignment date and unclaimed-offer denominator unavailable</x:v>
      </x:c>
    </x:row>
    <x:row r="705">
      <x:c r="A705" s="252" t="str">
        <x:v>34368479</x:v>
      </x:c>
      <x:c r="B705" s="253" t="str">
        <x:v>WS1</x:v>
      </x:c>
      <x:c r="C705" s="253" t="str">
        <x:v>MB8</x:v>
      </x:c>
      <x:c r="D705" s="262" t="n">
        <x:v>46168.54119212963</x:v>
      </x:c>
      <x:c r="E705" s="259" t="n">
        <x:v>46168.166666666664</x:v>
      </x:c>
      <x:c r="F705" s="253" t="str">
        <x:v>593622</x:v>
      </x:c>
      <x:c r="G705" s="253" t="str">
        <x:v>Kimelisha</x:v>
      </x:c>
      <x:c r="H705" s="253" t="str">
        <x:v>Yes</x:v>
      </x:c>
      <x:c r="I705" s="253" t="str">
        <x:v>zhen</x:v>
      </x:c>
      <x:c r="J705" s="253" t="str">
        <x:v>zhen</x:v>
      </x:c>
      <x:c r="K705" s="259" t="n">
        <x:v>45880.166666666664</x:v>
      </x:c>
      <x:c r="L705" s="268" t="str">
        <x:f>IFERROR(VLOOKUP(I705,'Handler-Team Map'!$A$7:$C$17,2,FALSE),"")</x:f>
      </x:c>
      <x:c r="M705" s="268" t="str">
        <x:f>IFERROR(VLOOKUP(I705,'Handler-Team Map'!$A$7:$C$17,3,FALSE),"")</x:f>
      </x:c>
      <x:c r="N705" s="274" t="str">
        <x:v>FT_VM_DEP1000_GET800_1X</x:v>
      </x:c>
      <x:c r="O705" s="274" t="str">
        <x:v>VIP BONUS - Deposit 1000 Get 800 - 1x TO</x:v>
      </x:c>
      <x:c r="P705" s="274" t="str">
        <x:v>DepositBonus</x:v>
      </x:c>
      <x:c r="Q705" s="274" t="str">
        <x:v>Approved</x:v>
      </x:c>
      <x:c r="R705" s="265" t="n">
        <x:v>800</x:v>
      </x:c>
      <x:c r="S705" s="253" t="str">
        <x:v>Yes</x:v>
      </x:c>
      <x:c r="T705" s="265" t="n">
        <x:v>186</x:v>
      </x:c>
      <x:c r="U705" s="253" t="str">
        <x:f>IF(AND(S705="Yes",T705=0),"Yes","No")</x:f>
        <x:v>No</x:v>
      </x:c>
      <x:c r="V705" s="253" t="str">
        <x:v>Yes</x:v>
      </x:c>
      <x:c r="W705" s="253" t="str">
        <x:v>Yes</x:v>
      </x:c>
      <x:c r="X705" s="259" t="n">
        <x:v>46168.166666666664</x:v>
      </x:c>
      <x:c r="Y705" s="265" t="n">
        <x:v>2000</x:v>
      </x:c>
      <x:c r="Z705" s="265" t="n">
        <x:v>3276</x:v>
      </x:c>
      <x:c r="AA705" s="253" t="str">
        <x:f>IF(V705="No","Maturing",IF(AND(U705="Yes",Y705&gt;0),"Yes","No"))</x:f>
        <x:v>No</x:v>
      </x:c>
      <x:c r="AB705" s="253" t="str">
        <x:f>IF(W705="No","Maturing",IF(AND(U705="Yes",Z705&gt;0),"Yes","No"))</x:f>
        <x:v>No</x:v>
      </x:c>
      <x:c r="AC705" s="265" t="n">
        <x:v>-18021.29</x:v>
      </x:c>
      <x:c r="AD705" s="265" t="n">
        <x:v>-16724.43</x:v>
      </x:c>
      <x:c r="AE705" s="271" t="str"/>
      <x:c r="AF705" s="274" t="str">
        <x:v>Not validated - no control/holdout</x:v>
      </x:c>
      <x:c r="AG705" s="277" t="str">
        <x:v>Recovered execution only; assignment date and unclaimed-offer denominator unavailable</x:v>
      </x:c>
    </x:row>
    <x:row r="706">
      <x:c r="A706" s="252" t="str">
        <x:v>34369601</x:v>
      </x:c>
      <x:c r="B706" s="253" t="str">
        <x:v>WS1</x:v>
      </x:c>
      <x:c r="C706" s="253" t="str">
        <x:v>MB8</x:v>
      </x:c>
      <x:c r="D706" s="262" t="n">
        <x:v>46168.63506944444</x:v>
      </x:c>
      <x:c r="E706" s="259" t="n">
        <x:v>46168.166666666664</x:v>
      </x:c>
      <x:c r="F706" s="253" t="str">
        <x:v>269956</x:v>
      </x:c>
      <x:c r="G706" s="253" t="str">
        <x:v>Rashid2021</x:v>
      </x:c>
      <x:c r="H706" s="253" t="str">
        <x:v>Yes</x:v>
      </x:c>
      <x:c r="I706" s="253" t="str"/>
      <x:c r="J706" s="253" t="str"/>
      <x:c r="K706" s="259"/>
      <x:c r="L706" s="268" t="str">
        <x:f>IFERROR(VLOOKUP(I706,'Handler-Team Map'!$A$7:$C$17,2,FALSE),"")</x:f>
      </x:c>
      <x:c r="M706" s="268" t="str">
        <x:f>IFERROR(VLOOKUP(I706,'Handler-Team Map'!$A$7:$C$17,3,FALSE),"")</x:f>
      </x:c>
      <x:c r="N706" s="274" t="str">
        <x:v>FT_VM_DEP1000_GET500_1X</x:v>
      </x:c>
      <x:c r="O706" s="274" t="str">
        <x:v>VIP BONUS - Deposit 1000 Get 500 - 1x TO</x:v>
      </x:c>
      <x:c r="P706" s="274" t="str">
        <x:v>DepositBonus</x:v>
      </x:c>
      <x:c r="Q706" s="274" t="str">
        <x:v>Approved</x:v>
      </x:c>
      <x:c r="R706" s="265" t="n">
        <x:v>500</x:v>
      </x:c>
      <x:c r="S706" s="253" t="str">
        <x:v>Yes</x:v>
      </x:c>
      <x:c r="T706" s="265" t="n">
        <x:v>0</x:v>
      </x:c>
      <x:c r="U706" s="253" t="str">
        <x:f>IF(AND(S706="Yes",T706=0),"Yes","No")</x:f>
        <x:v>Yes</x:v>
      </x:c>
      <x:c r="V706" s="253" t="str">
        <x:v>Yes</x:v>
      </x:c>
      <x:c r="W706" s="253" t="str">
        <x:v>Yes</x:v>
      </x:c>
      <x:c r="X706" s="259" t="n">
        <x:v>46168.166666666664</x:v>
      </x:c>
      <x:c r="Y706" s="265" t="n">
        <x:v>1000</x:v>
      </x:c>
      <x:c r="Z706" s="265" t="n">
        <x:v>1000</x:v>
      </x:c>
      <x:c r="AA706" s="253" t="str">
        <x:f>IF(V706="No","Maturing",IF(AND(U706="Yes",Y706&gt;0),"Yes","No"))</x:f>
        <x:v>Yes</x:v>
      </x:c>
      <x:c r="AB706" s="253" t="str">
        <x:f>IF(W706="No","Maturing",IF(AND(U706="Yes",Z706&gt;0),"Yes","No"))</x:f>
        <x:v>Yes</x:v>
      </x:c>
      <x:c r="AC706" s="265" t="n">
        <x:v>500.16</x:v>
      </x:c>
      <x:c r="AD706" s="265" t="n">
        <x:v>500.16</x:v>
      </x:c>
      <x:c r="AE706" s="271" t="str"/>
      <x:c r="AF706" s="274" t="str">
        <x:v>Not validated - no control/holdout</x:v>
      </x:c>
      <x:c r="AG706" s="277" t="str">
        <x:v>Recovered execution only; assignment date and unclaimed-offer denominator unavailable</x:v>
      </x:c>
    </x:row>
    <x:row r="707">
      <x:c r="A707" s="252" t="str">
        <x:v>34369634</x:v>
      </x:c>
      <x:c r="B707" s="253" t="str">
        <x:v>WS1</x:v>
      </x:c>
      <x:c r="C707" s="253" t="str">
        <x:v>MB8</x:v>
      </x:c>
      <x:c r="D707" s="262" t="n">
        <x:v>46168.636770833335</x:v>
      </x:c>
      <x:c r="E707" s="259" t="n">
        <x:v>46168.166666666664</x:v>
      </x:c>
      <x:c r="F707" s="253" t="str">
        <x:v>207669</x:v>
      </x:c>
      <x:c r="G707" s="253" t="str">
        <x:v>Masked</x:v>
      </x:c>
      <x:c r="H707" s="253" t="str">
        <x:v>Yes</x:v>
      </x:c>
      <x:c r="I707" s="253" t="str">
        <x:v>Sheena</x:v>
      </x:c>
      <x:c r="J707" s="253" t="str">
        <x:v>Sheena</x:v>
      </x:c>
      <x:c r="K707" s="259" t="n">
        <x:v>46090.166666666664</x:v>
      </x:c>
      <x:c r="L707" s="268" t="str">
        <x:f>IFERROR(VLOOKUP(I707,'Handler-Team Map'!$A$7:$C$17,2,FALSE),"")</x:f>
      </x:c>
      <x:c r="M707" s="268" t="str">
        <x:f>IFERROR(VLOOKUP(I707,'Handler-Team Map'!$A$7:$C$17,3,FALSE),"")</x:f>
      </x:c>
      <x:c r="N707" s="274" t="str">
        <x:v>FT_VM_DEP1000_GET500_5X</x:v>
      </x:c>
      <x:c r="O707" s="274" t="str">
        <x:v>VIP BONUS - Deposit 1000 Get 500 - 5x TO</x:v>
      </x:c>
      <x:c r="P707" s="274" t="str">
        <x:v>DepositBonus</x:v>
      </x:c>
      <x:c r="Q707" s="274" t="str">
        <x:v>Approved</x:v>
      </x:c>
      <x:c r="R707" s="265" t="n">
        <x:v>500</x:v>
      </x:c>
      <x:c r="S707" s="253" t="str">
        <x:v>Yes</x:v>
      </x:c>
      <x:c r="T707" s="265" t="n">
        <x:v>73550</x:v>
      </x:c>
      <x:c r="U707" s="253" t="str">
        <x:f>IF(AND(S707="Yes",T707=0),"Yes","No")</x:f>
        <x:v>No</x:v>
      </x:c>
      <x:c r="V707" s="253" t="str">
        <x:v>Yes</x:v>
      </x:c>
      <x:c r="W707" s="253" t="str">
        <x:v>Yes</x:v>
      </x:c>
      <x:c r="X707" s="259" t="n">
        <x:v>46168.166666666664</x:v>
      </x:c>
      <x:c r="Y707" s="265" t="n">
        <x:v>3500</x:v>
      </x:c>
      <x:c r="Z707" s="265" t="n">
        <x:v>3500</x:v>
      </x:c>
      <x:c r="AA707" s="253" t="str">
        <x:f>IF(V707="No","Maturing",IF(AND(U707="Yes",Y707&gt;0),"Yes","No"))</x:f>
        <x:v>No</x:v>
      </x:c>
      <x:c r="AB707" s="253" t="str">
        <x:f>IF(W707="No","Maturing",IF(AND(U707="Yes",Z707&gt;0),"Yes","No"))</x:f>
        <x:v>No</x:v>
      </x:c>
      <x:c r="AC707" s="265" t="n">
        <x:v>413.73</x:v>
      </x:c>
      <x:c r="AD707" s="265" t="n">
        <x:v>499.39</x:v>
      </x:c>
      <x:c r="AE707" s="271" t="str"/>
      <x:c r="AF707" s="274" t="str">
        <x:v>Not validated - no control/holdout</x:v>
      </x:c>
      <x:c r="AG707" s="277" t="str">
        <x:v>Recovered execution only; assignment date and unclaimed-offer denominator unavailable</x:v>
      </x:c>
    </x:row>
    <x:row r="708">
      <x:c r="A708" s="252" t="str">
        <x:v>34369660</x:v>
      </x:c>
      <x:c r="B708" s="253" t="str">
        <x:v>WS1</x:v>
      </x:c>
      <x:c r="C708" s="253" t="str">
        <x:v>MB8</x:v>
      </x:c>
      <x:c r="D708" s="262" t="n">
        <x:v>46168.642118055555</x:v>
      </x:c>
      <x:c r="E708" s="259" t="n">
        <x:v>46168.166666666664</x:v>
      </x:c>
      <x:c r="F708" s="253" t="str">
        <x:v>990296</x:v>
      </x:c>
      <x:c r="G708" s="253" t="str">
        <x:v>asadlangah317</x:v>
      </x:c>
      <x:c r="H708" s="253" t="str">
        <x:v>Yes</x:v>
      </x:c>
      <x:c r="I708" s="253" t="str">
        <x:v>Serene</x:v>
      </x:c>
      <x:c r="J708" s="253" t="str">
        <x:v>Serene</x:v>
      </x:c>
      <x:c r="K708" s="259" t="n">
        <x:v>46077.166666666664</x:v>
      </x:c>
      <x:c r="L708" s="268" t="str">
        <x:f>IFERROR(VLOOKUP(I708,'Handler-Team Map'!$A$7:$C$17,2,FALSE),"")</x:f>
      </x:c>
      <x:c r="M708" s="268" t="str">
        <x:f>IFERROR(VLOOKUP(I708,'Handler-Team Map'!$A$7:$C$17,3,FALSE),"")</x:f>
      </x:c>
      <x:c r="N708" s="274" t="str">
        <x:v>FT_VM_DEP800_GET400_1X</x:v>
      </x:c>
      <x:c r="O708" s="274" t="str">
        <x:v>VIP BONUS - Deposit 800 Get 400 - 1x TO</x:v>
      </x:c>
      <x:c r="P708" s="274" t="str">
        <x:v>DepositBonus</x:v>
      </x:c>
      <x:c r="Q708" s="274" t="str">
        <x:v>Approved</x:v>
      </x:c>
      <x:c r="R708" s="265" t="n">
        <x:v>400</x:v>
      </x:c>
      <x:c r="S708" s="253" t="str">
        <x:v>Yes</x:v>
      </x:c>
      <x:c r="T708" s="265" t="n">
        <x:v>0</x:v>
      </x:c>
      <x:c r="U708" s="253" t="str">
        <x:f>IF(AND(S708="Yes",T708=0),"Yes","No")</x:f>
        <x:v>Yes</x:v>
      </x:c>
      <x:c r="V708" s="253" t="str">
        <x:v>Yes</x:v>
      </x:c>
      <x:c r="W708" s="253" t="str">
        <x:v>Yes</x:v>
      </x:c>
      <x:c r="X708" s="259" t="n">
        <x:v>46168.166666666664</x:v>
      </x:c>
      <x:c r="Y708" s="265" t="n">
        <x:v>800</x:v>
      </x:c>
      <x:c r="Z708" s="265" t="n">
        <x:v>800</x:v>
      </x:c>
      <x:c r="AA708" s="253" t="str">
        <x:f>IF(V708="No","Maturing",IF(AND(U708="Yes",Y708&gt;0),"Yes","No"))</x:f>
        <x:v>Yes</x:v>
      </x:c>
      <x:c r="AB708" s="253" t="str">
        <x:f>IF(W708="No","Maturing",IF(AND(U708="Yes",Z708&gt;0),"Yes","No"))</x:f>
        <x:v>Yes</x:v>
      </x:c>
      <x:c r="AC708" s="265" t="n">
        <x:v>0.55</x:v>
      </x:c>
      <x:c r="AD708" s="265" t="n">
        <x:v>0.4</x:v>
      </x:c>
      <x:c r="AE708" s="271" t="str"/>
      <x:c r="AF708" s="274" t="str">
        <x:v>Not validated - no control/holdout</x:v>
      </x:c>
      <x:c r="AG708" s="277" t="str">
        <x:v>Recovered execution only; assignment date and unclaimed-offer denominator unavailable</x:v>
      </x:c>
    </x:row>
    <x:row r="709">
      <x:c r="A709" s="252" t="str">
        <x:v>34370157</x:v>
      </x:c>
      <x:c r="B709" s="253" t="str">
        <x:v>WS1</x:v>
      </x:c>
      <x:c r="C709" s="253" t="str">
        <x:v>MB8</x:v>
      </x:c>
      <x:c r="D709" s="262" t="n">
        <x:v>46168.674525462964</x:v>
      </x:c>
      <x:c r="E709" s="259" t="n">
        <x:v>46168.166666666664</x:v>
      </x:c>
      <x:c r="F709" s="253" t="str">
        <x:v>306733</x:v>
      </x:c>
      <x:c r="G709" s="253" t="str">
        <x:v>HC5140</x:v>
      </x:c>
      <x:c r="H709" s="253" t="str">
        <x:v>Yes</x:v>
      </x:c>
      <x:c r="I709" s="253" t="str">
        <x:v>Claire</x:v>
      </x:c>
      <x:c r="J709" s="253" t="str">
        <x:v>Claire</x:v>
      </x:c>
      <x:c r="K709" s="259" t="n">
        <x:v>45659.166666666664</x:v>
      </x:c>
      <x:c r="L709" s="268" t="str">
        <x:f>IFERROR(VLOOKUP(I709,'Handler-Team Map'!$A$7:$C$17,2,FALSE),"")</x:f>
      </x:c>
      <x:c r="M709" s="268" t="str">
        <x:f>IFERROR(VLOOKUP(I709,'Handler-Team Map'!$A$7:$C$17,3,FALSE),"")</x:f>
      </x:c>
      <x:c r="N709" s="274" t="str">
        <x:v>FT_VM_DEP1000_GET500_5X</x:v>
      </x:c>
      <x:c r="O709" s="274" t="str">
        <x:v>VIP BONUS - Deposit 1000 Get 500 - 5x TO</x:v>
      </x:c>
      <x:c r="P709" s="274" t="str">
        <x:v>DepositBonus</x:v>
      </x:c>
      <x:c r="Q709" s="274" t="str">
        <x:v>Approved</x:v>
      </x:c>
      <x:c r="R709" s="265" t="n">
        <x:v>500</x:v>
      </x:c>
      <x:c r="S709" s="253" t="str">
        <x:v>Yes</x:v>
      </x:c>
      <x:c r="T709" s="265" t="n">
        <x:v>320062</x:v>
      </x:c>
      <x:c r="U709" s="253" t="str">
        <x:f>IF(AND(S709="Yes",T709=0),"Yes","No")</x:f>
        <x:v>No</x:v>
      </x:c>
      <x:c r="V709" s="253" t="str">
        <x:v>Yes</x:v>
      </x:c>
      <x:c r="W709" s="253" t="str">
        <x:v>Yes</x:v>
      </x:c>
      <x:c r="X709" s="259" t="n">
        <x:v>46168.166666666664</x:v>
      </x:c>
      <x:c r="Y709" s="265" t="n">
        <x:v>54200</x:v>
      </x:c>
      <x:c r="Z709" s="265" t="n">
        <x:v>70900</x:v>
      </x:c>
      <x:c r="AA709" s="253" t="str">
        <x:f>IF(V709="No","Maturing",IF(AND(U709="Yes",Y709&gt;0),"Yes","No"))</x:f>
        <x:v>No</x:v>
      </x:c>
      <x:c r="AB709" s="253" t="str">
        <x:f>IF(W709="No","Maturing",IF(AND(U709="Yes",Z709&gt;0),"Yes","No"))</x:f>
        <x:v>No</x:v>
      </x:c>
      <x:c r="AC709" s="265" t="n">
        <x:v>24150.06</x:v>
      </x:c>
      <x:c r="AD709" s="265" t="n">
        <x:v>11207.92</x:v>
      </x:c>
      <x:c r="AE709" s="271" t="str"/>
      <x:c r="AF709" s="274" t="str">
        <x:v>Not validated - no control/holdout</x:v>
      </x:c>
      <x:c r="AG709" s="277" t="str">
        <x:v>Recovered execution only; assignment date and unclaimed-offer denominator unavailable</x:v>
      </x:c>
    </x:row>
    <x:row r="710">
      <x:c r="A710" s="252" t="str">
        <x:v>34370398</x:v>
      </x:c>
      <x:c r="B710" s="253" t="str">
        <x:v>WS1</x:v>
      </x:c>
      <x:c r="C710" s="253" t="str">
        <x:v>MB8</x:v>
      </x:c>
      <x:c r="D710" s="262" t="n">
        <x:v>46168.68890046296</x:v>
      </x:c>
      <x:c r="E710" s="259" t="n">
        <x:v>46168.166666666664</x:v>
      </x:c>
      <x:c r="F710" s="253" t="str">
        <x:v>809424</x:v>
      </x:c>
      <x:c r="G710" s="253" t="str">
        <x:v>yeamwc</x:v>
      </x:c>
      <x:c r="H710" s="253" t="str">
        <x:v>Yes</x:v>
      </x:c>
      <x:c r="I710" s="253" t="str">
        <x:v>Elda</x:v>
      </x:c>
      <x:c r="J710" s="253" t="str">
        <x:v>Elda</x:v>
      </x:c>
      <x:c r="K710" s="259" t="n">
        <x:v>45659.166666666664</x:v>
      </x:c>
      <x:c r="L710" s="268" t="str">
        <x:f>IFERROR(VLOOKUP(I710,'Handler-Team Map'!$A$7:$C$17,2,FALSE),"")</x:f>
      </x:c>
      <x:c r="M710" s="268" t="str">
        <x:f>IFERROR(VLOOKUP(I710,'Handler-Team Map'!$A$7:$C$17,3,FALSE),"")</x:f>
      </x:c>
      <x:c r="N710" s="274" t="str">
        <x:v>FT_VM_DEP800_GET400_2X</x:v>
      </x:c>
      <x:c r="O710" s="274" t="str">
        <x:v>VIP BONUS - Deposit 800 Get 400 - 2x TO</x:v>
      </x:c>
      <x:c r="P710" s="274" t="str">
        <x:v>DepositBonus</x:v>
      </x:c>
      <x:c r="Q710" s="274" t="str">
        <x:v>Approved</x:v>
      </x:c>
      <x:c r="R710" s="265" t="n">
        <x:v>400</x:v>
      </x:c>
      <x:c r="S710" s="253" t="str">
        <x:v>Yes</x:v>
      </x:c>
      <x:c r="T710" s="265" t="n">
        <x:v>85100</x:v>
      </x:c>
      <x:c r="U710" s="253" t="str">
        <x:f>IF(AND(S710="Yes",T710=0),"Yes","No")</x:f>
        <x:v>No</x:v>
      </x:c>
      <x:c r="V710" s="253" t="str">
        <x:v>Yes</x:v>
      </x:c>
      <x:c r="W710" s="253" t="str">
        <x:v>Yes</x:v>
      </x:c>
      <x:c r="X710" s="259" t="n">
        <x:v>46168.166666666664</x:v>
      </x:c>
      <x:c r="Y710" s="265" t="n">
        <x:v>28550</x:v>
      </x:c>
      <x:c r="Z710" s="265" t="n">
        <x:v>30300</x:v>
      </x:c>
      <x:c r="AA710" s="253" t="str">
        <x:f>IF(V710="No","Maturing",IF(AND(U710="Yes",Y710&gt;0),"Yes","No"))</x:f>
        <x:v>No</x:v>
      </x:c>
      <x:c r="AB710" s="253" t="str">
        <x:f>IF(W710="No","Maturing",IF(AND(U710="Yes",Z710&gt;0),"Yes","No"))</x:f>
        <x:v>No</x:v>
      </x:c>
      <x:c r="AC710" s="265" t="n">
        <x:v>13436.9</x:v>
      </x:c>
      <x:c r="AD710" s="265" t="n">
        <x:v>14924.23</x:v>
      </x:c>
      <x:c r="AE710" s="271" t="str"/>
      <x:c r="AF710" s="274" t="str">
        <x:v>Not validated - no control/holdout</x:v>
      </x:c>
      <x:c r="AG710" s="277" t="str">
        <x:v>Recovered execution only; assignment date and unclaimed-offer denominator unavailable</x:v>
      </x:c>
    </x:row>
    <x:row r="711">
      <x:c r="A711" s="252" t="str">
        <x:v>34370952</x:v>
      </x:c>
      <x:c r="B711" s="253" t="str">
        <x:v>WS1</x:v>
      </x:c>
      <x:c r="C711" s="253" t="str">
        <x:v>MB8</x:v>
      </x:c>
      <x:c r="D711" s="262" t="n">
        <x:v>46168.72175925926</x:v>
      </x:c>
      <x:c r="E711" s="259" t="n">
        <x:v>46168.166666666664</x:v>
      </x:c>
      <x:c r="F711" s="253" t="str">
        <x:v>1181391</x:v>
      </x:c>
      <x:c r="G711" s="253" t="str">
        <x:v>Kook27</x:v>
      </x:c>
      <x:c r="H711" s="253" t="str">
        <x:v>Yes</x:v>
      </x:c>
      <x:c r="I711" s="253" t="str">
        <x:v>Jiahui</x:v>
      </x:c>
      <x:c r="J711" s="253" t="str">
        <x:v>Jiahui</x:v>
      </x:c>
      <x:c r="K711" s="259" t="n">
        <x:v>45811.166666666664</x:v>
      </x:c>
      <x:c r="L711" s="268" t="str">
        <x:f>IFERROR(VLOOKUP(I711,'Handler-Team Map'!$A$7:$C$17,2,FALSE),"")</x:f>
      </x:c>
      <x:c r="M711" s="268" t="str">
        <x:f>IFERROR(VLOOKUP(I711,'Handler-Team Map'!$A$7:$C$17,3,FALSE),"")</x:f>
      </x:c>
      <x:c r="N711" s="274" t="str">
        <x:v>FT_VM_DEP1000_GET500_5X</x:v>
      </x:c>
      <x:c r="O711" s="274" t="str">
        <x:v>VIP BONUS - Deposit 1000 Get 500 - 5x TO</x:v>
      </x:c>
      <x:c r="P711" s="274" t="str">
        <x:v>DepositBonus</x:v>
      </x:c>
      <x:c r="Q711" s="274" t="str">
        <x:v>Approved</x:v>
      </x:c>
      <x:c r="R711" s="265" t="n">
        <x:v>500</x:v>
      </x:c>
      <x:c r="S711" s="253" t="str">
        <x:v>Yes</x:v>
      </x:c>
      <x:c r="T711" s="265" t="n">
        <x:v>7100</x:v>
      </x:c>
      <x:c r="U711" s="253" t="str">
        <x:f>IF(AND(S711="Yes",T711=0),"Yes","No")</x:f>
        <x:v>No</x:v>
      </x:c>
      <x:c r="V711" s="253" t="str">
        <x:v>Yes</x:v>
      </x:c>
      <x:c r="W711" s="253" t="str">
        <x:v>Yes</x:v>
      </x:c>
      <x:c r="X711" s="259" t="n">
        <x:v>46168.166666666664</x:v>
      </x:c>
      <x:c r="Y711" s="265" t="n">
        <x:v>1000</x:v>
      </x:c>
      <x:c r="Z711" s="265" t="n">
        <x:v>2000</x:v>
      </x:c>
      <x:c r="AA711" s="253" t="str">
        <x:f>IF(V711="No","Maturing",IF(AND(U711="Yes",Y711&gt;0),"Yes","No"))</x:f>
        <x:v>No</x:v>
      </x:c>
      <x:c r="AB711" s="253" t="str">
        <x:f>IF(W711="No","Maturing",IF(AND(U711="Yes",Z711&gt;0),"Yes","No"))</x:f>
        <x:v>No</x:v>
      </x:c>
      <x:c r="AC711" s="265" t="n">
        <x:v>1000.19</x:v>
      </x:c>
      <x:c r="AD711" s="265" t="n">
        <x:v>1999.68</x:v>
      </x:c>
      <x:c r="AE711" s="271" t="str"/>
      <x:c r="AF711" s="274" t="str">
        <x:v>Not validated - no control/holdout</x:v>
      </x:c>
      <x:c r="AG711" s="277" t="str">
        <x:v>Recovered execution only; assignment date and unclaimed-offer denominator unavailable</x:v>
      </x:c>
    </x:row>
    <x:row r="712">
      <x:c r="A712" s="252" t="str">
        <x:v>34371094</x:v>
      </x:c>
      <x:c r="B712" s="253" t="str">
        <x:v>WS1</x:v>
      </x:c>
      <x:c r="C712" s="253" t="str">
        <x:v>MB8</x:v>
      </x:c>
      <x:c r="D712" s="262" t="n">
        <x:v>46168.731574074074</x:v>
      </x:c>
      <x:c r="E712" s="259" t="n">
        <x:v>46168.166666666664</x:v>
      </x:c>
      <x:c r="F712" s="253" t="str">
        <x:v>666090</x:v>
      </x:c>
      <x:c r="G712" s="253" t="str">
        <x:v>Anthony1</x:v>
      </x:c>
      <x:c r="H712" s="253" t="str">
        <x:v>Yes</x:v>
      </x:c>
      <x:c r="I712" s="253" t="str">
        <x:v>Mikki</x:v>
      </x:c>
      <x:c r="J712" s="253" t="str">
        <x:v>Mikki</x:v>
      </x:c>
      <x:c r="K712" s="259" t="n">
        <x:v>45993.166666666664</x:v>
      </x:c>
      <x:c r="L712" s="268" t="str">
        <x:f>IFERROR(VLOOKUP(I712,'Handler-Team Map'!$A$7:$C$17,2,FALSE),"")</x:f>
      </x:c>
      <x:c r="M712" s="268" t="str">
        <x:f>IFERROR(VLOOKUP(I712,'Handler-Team Map'!$A$7:$C$17,3,FALSE),"")</x:f>
      </x:c>
      <x:c r="N712" s="274" t="str">
        <x:v>FT_VM_DEP700_GET300_2X</x:v>
      </x:c>
      <x:c r="O712" s="274" t="str">
        <x:v>VIP BONUS - Deposit 700 Get 300 - 2x TO</x:v>
      </x:c>
      <x:c r="P712" s="274" t="str">
        <x:v>DepositBonus</x:v>
      </x:c>
      <x:c r="Q712" s="274" t="str">
        <x:v>Approved</x:v>
      </x:c>
      <x:c r="R712" s="265" t="n">
        <x:v>300</x:v>
      </x:c>
      <x:c r="S712" s="253" t="str">
        <x:v>Yes</x:v>
      </x:c>
      <x:c r="T712" s="265" t="n">
        <x:v>1810</x:v>
      </x:c>
      <x:c r="U712" s="253" t="str">
        <x:f>IF(AND(S712="Yes",T712=0),"Yes","No")</x:f>
        <x:v>No</x:v>
      </x:c>
      <x:c r="V712" s="253" t="str">
        <x:v>Yes</x:v>
      </x:c>
      <x:c r="W712" s="253" t="str">
        <x:v>Yes</x:v>
      </x:c>
      <x:c r="X712" s="259" t="n">
        <x:v>46168.166666666664</x:v>
      </x:c>
      <x:c r="Y712" s="265" t="n">
        <x:v>700</x:v>
      </x:c>
      <x:c r="Z712" s="265" t="n">
        <x:v>1300</x:v>
      </x:c>
      <x:c r="AA712" s="253" t="str">
        <x:f>IF(V712="No","Maturing",IF(AND(U712="Yes",Y712&gt;0),"Yes","No"))</x:f>
        <x:v>No</x:v>
      </x:c>
      <x:c r="AB712" s="253" t="str">
        <x:f>IF(W712="No","Maturing",IF(AND(U712="Yes",Z712&gt;0),"Yes","No"))</x:f>
        <x:v>No</x:v>
      </x:c>
      <x:c r="AC712" s="265" t="n">
        <x:v>700.23</x:v>
      </x:c>
      <x:c r="AD712" s="265" t="n">
        <x:v>996.98</x:v>
      </x:c>
      <x:c r="AE712" s="271" t="str"/>
      <x:c r="AF712" s="274" t="str">
        <x:v>Not validated - no control/holdout</x:v>
      </x:c>
      <x:c r="AG712" s="277" t="str">
        <x:v>Recovered execution only; assignment date and unclaimed-offer denominator unavailable</x:v>
      </x:c>
    </x:row>
    <x:row r="713">
      <x:c r="A713" s="252" t="str">
        <x:v>34371533</x:v>
      </x:c>
      <x:c r="B713" s="253" t="str">
        <x:v>WS1</x:v>
      </x:c>
      <x:c r="C713" s="253" t="str">
        <x:v>MB8</x:v>
      </x:c>
      <x:c r="D713" s="262" t="n">
        <x:v>46168.76541666667</x:v>
      </x:c>
      <x:c r="E713" s="259" t="n">
        <x:v>46168.166666666664</x:v>
      </x:c>
      <x:c r="F713" s="253" t="str">
        <x:v>629259</x:v>
      </x:c>
      <x:c r="G713" s="253" t="str">
        <x:v>rayyanchua1991</x:v>
      </x:c>
      <x:c r="H713" s="253" t="str">
        <x:v>Yes</x:v>
      </x:c>
      <x:c r="I713" s="253" t="str">
        <x:v>zhen</x:v>
      </x:c>
      <x:c r="J713" s="253" t="str">
        <x:v>zhen</x:v>
      </x:c>
      <x:c r="K713" s="259" t="n">
        <x:v>45880.166666666664</x:v>
      </x:c>
      <x:c r="L713" s="268" t="str">
        <x:f>IFERROR(VLOOKUP(I713,'Handler-Team Map'!$A$7:$C$17,2,FALSE),"")</x:f>
      </x:c>
      <x:c r="M713" s="268" t="str">
        <x:f>IFERROR(VLOOKUP(I713,'Handler-Team Map'!$A$7:$C$17,3,FALSE),"")</x:f>
      </x:c>
      <x:c r="N713" s="274" t="str">
        <x:v>FT_VM_DEP1000_GET500_5X</x:v>
      </x:c>
      <x:c r="O713" s="274" t="str">
        <x:v>VIP BONUS - Deposit 1000 Get 500 - 5x TO</x:v>
      </x:c>
      <x:c r="P713" s="274" t="str">
        <x:v>DepositBonus</x:v>
      </x:c>
      <x:c r="Q713" s="274" t="str">
        <x:v>Approved</x:v>
      </x:c>
      <x:c r="R713" s="265" t="n">
        <x:v>500</x:v>
      </x:c>
      <x:c r="S713" s="253" t="str">
        <x:v>Yes</x:v>
      </x:c>
      <x:c r="T713" s="265" t="n">
        <x:v>8335</x:v>
      </x:c>
      <x:c r="U713" s="253" t="str">
        <x:f>IF(AND(S713="Yes",T713=0),"Yes","No")</x:f>
        <x:v>No</x:v>
      </x:c>
      <x:c r="V713" s="253" t="str">
        <x:v>Yes</x:v>
      </x:c>
      <x:c r="W713" s="253" t="str">
        <x:v>Yes</x:v>
      </x:c>
      <x:c r="X713" s="259" t="n">
        <x:v>46168.166666666664</x:v>
      </x:c>
      <x:c r="Y713" s="265" t="n">
        <x:v>4355</x:v>
      </x:c>
      <x:c r="Z713" s="265" t="n">
        <x:v>4355</x:v>
      </x:c>
      <x:c r="AA713" s="253" t="str">
        <x:f>IF(V713="No","Maturing",IF(AND(U713="Yes",Y713&gt;0),"Yes","No"))</x:f>
        <x:v>No</x:v>
      </x:c>
      <x:c r="AB713" s="253" t="str">
        <x:f>IF(W713="No","Maturing",IF(AND(U713="Yes",Z713&gt;0),"Yes","No"))</x:f>
        <x:v>No</x:v>
      </x:c>
      <x:c r="AC713" s="265" t="n">
        <x:v>1755.24</x:v>
      </x:c>
      <x:c r="AD713" s="265" t="n">
        <x:v>1755.24</x:v>
      </x:c>
      <x:c r="AE713" s="271" t="str"/>
      <x:c r="AF713" s="274" t="str">
        <x:v>Not validated - no control/holdout</x:v>
      </x:c>
      <x:c r="AG713" s="277" t="str">
        <x:v>Recovered execution only; assignment date and unclaimed-offer denominator unavailable</x:v>
      </x:c>
    </x:row>
    <x:row r="714">
      <x:c r="A714" s="252" t="str">
        <x:v>34371947</x:v>
      </x:c>
      <x:c r="B714" s="253" t="str">
        <x:v>WS1</x:v>
      </x:c>
      <x:c r="C714" s="253" t="str">
        <x:v>MB8</x:v>
      </x:c>
      <x:c r="D714" s="262" t="n">
        <x:v>46168.79604166667</x:v>
      </x:c>
      <x:c r="E714" s="259" t="n">
        <x:v>46168.166666666664</x:v>
      </x:c>
      <x:c r="F714" s="253" t="str">
        <x:v>489812</x:v>
      </x:c>
      <x:c r="G714" s="253" t="str">
        <x:v>C0132475770</x:v>
      </x:c>
      <x:c r="H714" s="253" t="str">
        <x:v>Yes</x:v>
      </x:c>
      <x:c r="I714" s="253" t="str">
        <x:v>Elda</x:v>
      </x:c>
      <x:c r="J714" s="253" t="str">
        <x:v>Elda</x:v>
      </x:c>
      <x:c r="K714" s="259" t="n">
        <x:v>45659.166666666664</x:v>
      </x:c>
      <x:c r="L714" s="268" t="str">
        <x:f>IFERROR(VLOOKUP(I714,'Handler-Team Map'!$A$7:$C$17,2,FALSE),"")</x:f>
      </x:c>
      <x:c r="M714" s="268" t="str">
        <x:f>IFERROR(VLOOKUP(I714,'Handler-Team Map'!$A$7:$C$17,3,FALSE),"")</x:f>
      </x:c>
      <x:c r="N714" s="274" t="str">
        <x:v>FT_VM_DEP1000_GET800_2X</x:v>
      </x:c>
      <x:c r="O714" s="274" t="str">
        <x:v>VIP BONUS - Deposit 1000 Get 800 - 2x TO</x:v>
      </x:c>
      <x:c r="P714" s="274" t="str">
        <x:v>DepositBonus</x:v>
      </x:c>
      <x:c r="Q714" s="274" t="str">
        <x:v>Approved</x:v>
      </x:c>
      <x:c r="R714" s="265" t="n">
        <x:v>800</x:v>
      </x:c>
      <x:c r="S714" s="253" t="str">
        <x:v>Yes</x:v>
      </x:c>
      <x:c r="T714" s="265" t="n">
        <x:v>8000</x:v>
      </x:c>
      <x:c r="U714" s="253" t="str">
        <x:f>IF(AND(S714="Yes",T714=0),"Yes","No")</x:f>
        <x:v>No</x:v>
      </x:c>
      <x:c r="V714" s="253" t="str">
        <x:v>Yes</x:v>
      </x:c>
      <x:c r="W714" s="253" t="str">
        <x:v>Yes</x:v>
      </x:c>
      <x:c r="X714" s="259" t="n">
        <x:v>46168.166666666664</x:v>
      </x:c>
      <x:c r="Y714" s="265" t="n">
        <x:v>6300</x:v>
      </x:c>
      <x:c r="Z714" s="265" t="n">
        <x:v>7800</x:v>
      </x:c>
      <x:c r="AA714" s="253" t="str">
        <x:f>IF(V714="No","Maturing",IF(AND(U714="Yes",Y714&gt;0),"Yes","No"))</x:f>
        <x:v>No</x:v>
      </x:c>
      <x:c r="AB714" s="253" t="str">
        <x:f>IF(W714="No","Maturing",IF(AND(U714="Yes",Z714&gt;0),"Yes","No"))</x:f>
        <x:v>No</x:v>
      </x:c>
      <x:c r="AC714" s="265" t="n">
        <x:v>481.01</x:v>
      </x:c>
      <x:c r="AD714" s="265" t="n">
        <x:v>1790.32</x:v>
      </x:c>
      <x:c r="AE714" s="271" t="str"/>
      <x:c r="AF714" s="274" t="str">
        <x:v>Not validated - no control/holdout</x:v>
      </x:c>
      <x:c r="AG714" s="277" t="str">
        <x:v>Recovered execution only; assignment date and unclaimed-offer denominator unavailable</x:v>
      </x:c>
    </x:row>
    <x:row r="715">
      <x:c r="A715" s="252" t="str">
        <x:v>34372264</x:v>
      </x:c>
      <x:c r="B715" s="253" t="str">
        <x:v>WS1</x:v>
      </x:c>
      <x:c r="C715" s="253" t="str">
        <x:v>MB8</x:v>
      </x:c>
      <x:c r="D715" s="262" t="n">
        <x:v>46168.82001157408</x:v>
      </x:c>
      <x:c r="E715" s="259" t="n">
        <x:v>46168.166666666664</x:v>
      </x:c>
      <x:c r="F715" s="253" t="str">
        <x:v>499979</x:v>
      </x:c>
      <x:c r="G715" s="253" t="str">
        <x:v>edmund6070</x:v>
      </x:c>
      <x:c r="H715" s="253" t="str">
        <x:v>Yes</x:v>
      </x:c>
      <x:c r="I715" s="253" t="str">
        <x:v>Elda</x:v>
      </x:c>
      <x:c r="J715" s="253" t="str">
        <x:v>Elda</x:v>
      </x:c>
      <x:c r="K715" s="259" t="n">
        <x:v>45659.166666666664</x:v>
      </x:c>
      <x:c r="L715" s="268" t="str">
        <x:f>IFERROR(VLOOKUP(I715,'Handler-Team Map'!$A$7:$C$17,2,FALSE),"")</x:f>
      </x:c>
      <x:c r="M715" s="268" t="str">
        <x:f>IFERROR(VLOOKUP(I715,'Handler-Team Map'!$A$7:$C$17,3,FALSE),"")</x:f>
      </x:c>
      <x:c r="N715" s="274" t="str">
        <x:v>FT_VM_DEP300_GET100_5X</x:v>
      </x:c>
      <x:c r="O715" s="274" t="str">
        <x:v>VIP BONUS - Deposit 300 Get 100 - 5x TO</x:v>
      </x:c>
      <x:c r="P715" s="274" t="str">
        <x:v>DepositBonus</x:v>
      </x:c>
      <x:c r="Q715" s="274" t="str">
        <x:v>Approved</x:v>
      </x:c>
      <x:c r="R715" s="265" t="n">
        <x:v>100</x:v>
      </x:c>
      <x:c r="S715" s="253" t="str">
        <x:v>Yes</x:v>
      </x:c>
      <x:c r="T715" s="265" t="n">
        <x:v>40005.27</x:v>
      </x:c>
      <x:c r="U715" s="253" t="str">
        <x:f>IF(AND(S715="Yes",T715=0),"Yes","No")</x:f>
        <x:v>No</x:v>
      </x:c>
      <x:c r="V715" s="253" t="str">
        <x:v>Yes</x:v>
      </x:c>
      <x:c r="W715" s="253" t="str">
        <x:v>Yes</x:v>
      </x:c>
      <x:c r="X715" s="259" t="n">
        <x:v>46168.166666666664</x:v>
      </x:c>
      <x:c r="Y715" s="265" t="n">
        <x:v>7382.72</x:v>
      </x:c>
      <x:c r="Z715" s="265" t="n">
        <x:v>17496.99</x:v>
      </x:c>
      <x:c r="AA715" s="253" t="str">
        <x:f>IF(V715="No","Maturing",IF(AND(U715="Yes",Y715&gt;0),"Yes","No"))</x:f>
        <x:v>No</x:v>
      </x:c>
      <x:c r="AB715" s="253" t="str">
        <x:f>IF(W715="No","Maturing",IF(AND(U715="Yes",Z715&gt;0),"Yes","No"))</x:f>
        <x:v>No</x:v>
      </x:c>
      <x:c r="AC715" s="265" t="n">
        <x:v>241.6</x:v>
      </x:c>
      <x:c r="AD715" s="265" t="n">
        <x:v>3252.16</x:v>
      </x:c>
      <x:c r="AE715" s="271" t="str"/>
      <x:c r="AF715" s="274" t="str">
        <x:v>Not validated - no control/holdout</x:v>
      </x:c>
      <x:c r="AG715" s="277" t="str">
        <x:v>Recovered execution only; assignment date and unclaimed-offer denominator unavailable</x:v>
      </x:c>
    </x:row>
    <x:row r="716">
      <x:c r="A716" s="252" t="str">
        <x:v>34373165</x:v>
      </x:c>
      <x:c r="B716" s="253" t="str">
        <x:v>WS1</x:v>
      </x:c>
      <x:c r="C716" s="253" t="str">
        <x:v>MB8</x:v>
      </x:c>
      <x:c r="D716" s="262" t="n">
        <x:v>46168.880590277775</x:v>
      </x:c>
      <x:c r="E716" s="259" t="n">
        <x:v>46168.166666666664</x:v>
      </x:c>
      <x:c r="F716" s="253" t="str">
        <x:v>1184278</x:v>
      </x:c>
      <x:c r="G716" s="253" t="str">
        <x:v>maisonlailai</x:v>
      </x:c>
      <x:c r="H716" s="253" t="str">
        <x:v>Yes</x:v>
      </x:c>
      <x:c r="I716" s="253" t="str"/>
      <x:c r="J716" s="253" t="str"/>
      <x:c r="K716" s="259"/>
      <x:c r="L716" s="268" t="str">
        <x:f>IFERROR(VLOOKUP(I716,'Handler-Team Map'!$A$7:$C$17,2,FALSE),"")</x:f>
      </x:c>
      <x:c r="M716" s="268" t="str">
        <x:f>IFERROR(VLOOKUP(I716,'Handler-Team Map'!$A$7:$C$17,3,FALSE),"")</x:f>
      </x:c>
      <x:c r="N716" s="274" t="str">
        <x:v>FT_VM_DEP800_GET400_1X</x:v>
      </x:c>
      <x:c r="O716" s="274" t="str">
        <x:v>VIP BONUS - Deposit 800 Get 400 - 1x TO</x:v>
      </x:c>
      <x:c r="P716" s="274" t="str">
        <x:v>DepositBonus</x:v>
      </x:c>
      <x:c r="Q716" s="274" t="str">
        <x:v>Approved</x:v>
      </x:c>
      <x:c r="R716" s="265" t="n">
        <x:v>400</x:v>
      </x:c>
      <x:c r="S716" s="253" t="str">
        <x:v>Yes</x:v>
      </x:c>
      <x:c r="T716" s="265" t="n">
        <x:v>1290</x:v>
      </x:c>
      <x:c r="U716" s="253" t="str">
        <x:f>IF(AND(S716="Yes",T716=0),"Yes","No")</x:f>
        <x:v>No</x:v>
      </x:c>
      <x:c r="V716" s="253" t="str">
        <x:v>Yes</x:v>
      </x:c>
      <x:c r="W716" s="253" t="str">
        <x:v>Yes</x:v>
      </x:c>
      <x:c r="X716" s="259" t="n">
        <x:v>46168.166666666664</x:v>
      </x:c>
      <x:c r="Y716" s="265" t="n">
        <x:v>2846</x:v>
      </x:c>
      <x:c r="Z716" s="265" t="n">
        <x:v>3167</x:v>
      </x:c>
      <x:c r="AA716" s="253" t="str">
        <x:f>IF(V716="No","Maturing",IF(AND(U716="Yes",Y716&gt;0),"Yes","No"))</x:f>
        <x:v>No</x:v>
      </x:c>
      <x:c r="AB716" s="253" t="str">
        <x:f>IF(W716="No","Maturing",IF(AND(U716="Yes",Z716&gt;0),"Yes","No"))</x:f>
        <x:v>No</x:v>
      </x:c>
      <x:c r="AC716" s="265" t="n">
        <x:v>-392.12</x:v>
      </x:c>
      <x:c r="AD716" s="265" t="n">
        <x:v>1167.26</x:v>
      </x:c>
      <x:c r="AE716" s="271" t="str"/>
      <x:c r="AF716" s="274" t="str">
        <x:v>Not validated - no control/holdout</x:v>
      </x:c>
      <x:c r="AG716" s="277" t="str">
        <x:v>Recovered execution only; assignment date and unclaimed-offer denominator unavailable</x:v>
      </x:c>
    </x:row>
    <x:row r="717">
      <x:c r="A717" s="252" t="str">
        <x:v>34373246</x:v>
      </x:c>
      <x:c r="B717" s="253" t="str">
        <x:v>WS1</x:v>
      </x:c>
      <x:c r="C717" s="253" t="str">
        <x:v>MB8</x:v>
      </x:c>
      <x:c r="D717" s="262" t="n">
        <x:v>46168.88642361111</x:v>
      </x:c>
      <x:c r="E717" s="259" t="n">
        <x:v>46168.166666666664</x:v>
      </x:c>
      <x:c r="F717" s="253" t="str">
        <x:v>639364</x:v>
      </x:c>
      <x:c r="G717" s="253" t="str">
        <x:v>Muskachad</x:v>
      </x:c>
      <x:c r="H717" s="253" t="str">
        <x:v>Yes</x:v>
      </x:c>
      <x:c r="I717" s="253" t="str">
        <x:v>Claire</x:v>
      </x:c>
      <x:c r="J717" s="253" t="str">
        <x:v>Claire</x:v>
      </x:c>
      <x:c r="K717" s="259" t="n">
        <x:v>45790.166666666664</x:v>
      </x:c>
      <x:c r="L717" s="268" t="str">
        <x:f>IFERROR(VLOOKUP(I717,'Handler-Team Map'!$A$7:$C$17,2,FALSE),"")</x:f>
      </x:c>
      <x:c r="M717" s="268" t="str">
        <x:f>IFERROR(VLOOKUP(I717,'Handler-Team Map'!$A$7:$C$17,3,FALSE),"")</x:f>
      </x:c>
      <x:c r="N717" s="274" t="str">
        <x:v>FT_VM_DEP1000_GET500_1X</x:v>
      </x:c>
      <x:c r="O717" s="274" t="str">
        <x:v>VIP BONUS - Deposit 1000 Get 500 - 1x TO</x:v>
      </x:c>
      <x:c r="P717" s="274" t="str">
        <x:v>DepositBonus</x:v>
      </x:c>
      <x:c r="Q717" s="274" t="str">
        <x:v>Approved</x:v>
      </x:c>
      <x:c r="R717" s="265" t="n">
        <x:v>500</x:v>
      </x:c>
      <x:c r="S717" s="253" t="str">
        <x:v>Yes</x:v>
      </x:c>
      <x:c r="T717" s="265" t="n">
        <x:v>1560</x:v>
      </x:c>
      <x:c r="U717" s="253" t="str">
        <x:f>IF(AND(S717="Yes",T717=0),"Yes","No")</x:f>
        <x:v>No</x:v>
      </x:c>
      <x:c r="V717" s="253" t="str">
        <x:v>Yes</x:v>
      </x:c>
      <x:c r="W717" s="253" t="str">
        <x:v>Yes</x:v>
      </x:c>
      <x:c r="X717" s="259" t="n">
        <x:v>46168.166666666664</x:v>
      </x:c>
      <x:c r="Y717" s="265" t="n">
        <x:v>1950</x:v>
      </x:c>
      <x:c r="Z717" s="265" t="n">
        <x:v>2050</x:v>
      </x:c>
      <x:c r="AA717" s="253" t="str">
        <x:f>IF(V717="No","Maturing",IF(AND(U717="Yes",Y717&gt;0),"Yes","No"))</x:f>
        <x:v>No</x:v>
      </x:c>
      <x:c r="AB717" s="253" t="str">
        <x:f>IF(W717="No","Maturing",IF(AND(U717="Yes",Z717&gt;0),"Yes","No"))</x:f>
        <x:v>No</x:v>
      </x:c>
      <x:c r="AC717" s="265" t="n">
        <x:v>1950.05</x:v>
      </x:c>
      <x:c r="AD717" s="265" t="n">
        <x:v>2049.82</x:v>
      </x:c>
      <x:c r="AE717" s="271" t="str"/>
      <x:c r="AF717" s="274" t="str">
        <x:v>Not validated - no control/holdout</x:v>
      </x:c>
      <x:c r="AG717" s="277" t="str">
        <x:v>Recovered execution only; assignment date and unclaimed-offer denominator unavailable</x:v>
      </x:c>
    </x:row>
    <x:row r="718">
      <x:c r="A718" s="252" t="str">
        <x:v>34373560</x:v>
      </x:c>
      <x:c r="B718" s="253" t="str">
        <x:v>WS1</x:v>
      </x:c>
      <x:c r="C718" s="253" t="str">
        <x:v>MB8</x:v>
      </x:c>
      <x:c r="D718" s="262" t="n">
        <x:v>46168.90623842592</x:v>
      </x:c>
      <x:c r="E718" s="259" t="n">
        <x:v>46168.166666666664</x:v>
      </x:c>
      <x:c r="F718" s="253" t="str">
        <x:v>419229</x:v>
      </x:c>
      <x:c r="G718" s="253" t="str">
        <x:v>ZERO99</x:v>
      </x:c>
      <x:c r="H718" s="253" t="str">
        <x:v>Yes</x:v>
      </x:c>
      <x:c r="I718" s="253" t="str">
        <x:v>Elda</x:v>
      </x:c>
      <x:c r="J718" s="253" t="str">
        <x:v>Elda</x:v>
      </x:c>
      <x:c r="K718" s="259" t="n">
        <x:v>45659.166666666664</x:v>
      </x:c>
      <x:c r="L718" s="268" t="str">
        <x:f>IFERROR(VLOOKUP(I718,'Handler-Team Map'!$A$7:$C$17,2,FALSE),"")</x:f>
      </x:c>
      <x:c r="M718" s="268" t="str">
        <x:f>IFERROR(VLOOKUP(I718,'Handler-Team Map'!$A$7:$C$17,3,FALSE),"")</x:f>
      </x:c>
      <x:c r="N718" s="274" t="str">
        <x:v>FT_VM_DEP800_GET400_1X</x:v>
      </x:c>
      <x:c r="O718" s="274" t="str">
        <x:v>VIP BONUS - Deposit 800 Get 400 - 1x TO</x:v>
      </x:c>
      <x:c r="P718" s="274" t="str">
        <x:v>DepositBonus</x:v>
      </x:c>
      <x:c r="Q718" s="274" t="str">
        <x:v>Approved</x:v>
      </x:c>
      <x:c r="R718" s="265" t="n">
        <x:v>400</x:v>
      </x:c>
      <x:c r="S718" s="253" t="str">
        <x:v>Yes</x:v>
      </x:c>
      <x:c r="T718" s="265" t="n">
        <x:v>29250</x:v>
      </x:c>
      <x:c r="U718" s="253" t="str">
        <x:f>IF(AND(S718="Yes",T718=0),"Yes","No")</x:f>
        <x:v>No</x:v>
      </x:c>
      <x:c r="V718" s="253" t="str">
        <x:v>Yes</x:v>
      </x:c>
      <x:c r="W718" s="253" t="str">
        <x:v>Yes</x:v>
      </x:c>
      <x:c r="X718" s="259" t="n">
        <x:v>46168.166666666664</x:v>
      </x:c>
      <x:c r="Y718" s="265" t="n">
        <x:v>3050</x:v>
      </x:c>
      <x:c r="Z718" s="265" t="n">
        <x:v>3150</x:v>
      </x:c>
      <x:c r="AA718" s="253" t="str">
        <x:f>IF(V718="No","Maturing",IF(AND(U718="Yes",Y718&gt;0),"Yes","No"))</x:f>
        <x:v>No</x:v>
      </x:c>
      <x:c r="AB718" s="253" t="str">
        <x:f>IF(W718="No","Maturing",IF(AND(U718="Yes",Z718&gt;0),"Yes","No"))</x:f>
        <x:v>No</x:v>
      </x:c>
      <x:c r="AC718" s="265" t="n">
        <x:v>993.85</x:v>
      </x:c>
      <x:c r="AD718" s="265" t="n">
        <x:v>1099.99</x:v>
      </x:c>
      <x:c r="AE718" s="271" t="str"/>
      <x:c r="AF718" s="274" t="str">
        <x:v>Not validated - no control/holdout</x:v>
      </x:c>
      <x:c r="AG718" s="277" t="str">
        <x:v>Recovered execution only; assignment date and unclaimed-offer denominator unavailable</x:v>
      </x:c>
    </x:row>
    <x:row r="719">
      <x:c r="A719" s="252" t="str">
        <x:v>34373578</x:v>
      </x:c>
      <x:c r="B719" s="253" t="str">
        <x:v>WS1</x:v>
      </x:c>
      <x:c r="C719" s="253" t="str">
        <x:v>MB8</x:v>
      </x:c>
      <x:c r="D719" s="262" t="n">
        <x:v>46168.90699074074</x:v>
      </x:c>
      <x:c r="E719" s="259" t="n">
        <x:v>46168.166666666664</x:v>
      </x:c>
      <x:c r="F719" s="253" t="str">
        <x:v>354942</x:v>
      </x:c>
      <x:c r="G719" s="253" t="str">
        <x:v>koitchinwei</x:v>
      </x:c>
      <x:c r="H719" s="253" t="str">
        <x:v>Yes</x:v>
      </x:c>
      <x:c r="I719" s="253" t="str">
        <x:v>Sheena</x:v>
      </x:c>
      <x:c r="J719" s="253" t="str">
        <x:v>Sheena</x:v>
      </x:c>
      <x:c r="K719" s="259" t="n">
        <x:v>45912.166666666664</x:v>
      </x:c>
      <x:c r="L719" s="268" t="str">
        <x:f>IFERROR(VLOOKUP(I719,'Handler-Team Map'!$A$7:$C$17,2,FALSE),"")</x:f>
      </x:c>
      <x:c r="M719" s="268" t="str">
        <x:f>IFERROR(VLOOKUP(I719,'Handler-Team Map'!$A$7:$C$17,3,FALSE),"")</x:f>
      </x:c>
      <x:c r="N719" s="274" t="str">
        <x:v>FT_VM_DEP1000_GET800_1X</x:v>
      </x:c>
      <x:c r="O719" s="274" t="str">
        <x:v>VIP BONUS - Deposit 1000 Get 800 - 1x TO</x:v>
      </x:c>
      <x:c r="P719" s="274" t="str">
        <x:v>DepositBonus</x:v>
      </x:c>
      <x:c r="Q719" s="274" t="str">
        <x:v>Approved</x:v>
      </x:c>
      <x:c r="R719" s="265" t="n">
        <x:v>800</x:v>
      </x:c>
      <x:c r="S719" s="253" t="str">
        <x:v>Yes</x:v>
      </x:c>
      <x:c r="T719" s="265" t="n">
        <x:v>80</x:v>
      </x:c>
      <x:c r="U719" s="253" t="str">
        <x:f>IF(AND(S719="Yes",T719=0),"Yes","No")</x:f>
        <x:v>No</x:v>
      </x:c>
      <x:c r="V719" s="253" t="str">
        <x:v>Yes</x:v>
      </x:c>
      <x:c r="W719" s="253" t="str">
        <x:v>Yes</x:v>
      </x:c>
      <x:c r="X719" s="259" t="n">
        <x:v>46168.166666666664</x:v>
      </x:c>
      <x:c r="Y719" s="265" t="n">
        <x:v>1000</x:v>
      </x:c>
      <x:c r="Z719" s="265" t="n">
        <x:v>1000</x:v>
      </x:c>
      <x:c r="AA719" s="253" t="str">
        <x:f>IF(V719="No","Maturing",IF(AND(U719="Yes",Y719&gt;0),"Yes","No"))</x:f>
        <x:v>No</x:v>
      </x:c>
      <x:c r="AB719" s="253" t="str">
        <x:f>IF(W719="No","Maturing",IF(AND(U719="Yes",Z719&gt;0),"Yes","No"))</x:f>
        <x:v>No</x:v>
      </x:c>
      <x:c r="AC719" s="265" t="n">
        <x:v>999.81</x:v>
      </x:c>
      <x:c r="AD719" s="265" t="n">
        <x:v>999.47</x:v>
      </x:c>
      <x:c r="AE719" s="271" t="str"/>
      <x:c r="AF719" s="274" t="str">
        <x:v>Not validated - no control/holdout</x:v>
      </x:c>
      <x:c r="AG719" s="277" t="str">
        <x:v>Recovered execution only; assignment date and unclaimed-offer denominator unavailable</x:v>
      </x:c>
    </x:row>
    <x:row r="720">
      <x:c r="A720" s="252" t="str">
        <x:v>34374960</x:v>
      </x:c>
      <x:c r="B720" s="253" t="str">
        <x:v>WS1</x:v>
      </x:c>
      <x:c r="C720" s="253" t="str">
        <x:v>MB8</x:v>
      </x:c>
      <x:c r="D720" s="262" t="n">
        <x:v>46168.98138888889</x:v>
      </x:c>
      <x:c r="E720" s="259" t="n">
        <x:v>46168.166666666664</x:v>
      </x:c>
      <x:c r="F720" s="253" t="str">
        <x:v>558683</x:v>
      </x:c>
      <x:c r="G720" s="253" t="str">
        <x:v>Bravo88</x:v>
      </x:c>
      <x:c r="H720" s="253" t="str">
        <x:v>Yes</x:v>
      </x:c>
      <x:c r="I720" s="253" t="str"/>
      <x:c r="J720" s="253" t="str"/>
      <x:c r="K720" s="259"/>
      <x:c r="L720" s="268" t="str">
        <x:f>IFERROR(VLOOKUP(I720,'Handler-Team Map'!$A$7:$C$17,2,FALSE),"")</x:f>
      </x:c>
      <x:c r="M720" s="268" t="str">
        <x:f>IFERROR(VLOOKUP(I720,'Handler-Team Map'!$A$7:$C$17,3,FALSE),"")</x:f>
      </x:c>
      <x:c r="N720" s="274" t="str">
        <x:v>FT_VM_DEP1000_GET800_2X</x:v>
      </x:c>
      <x:c r="O720" s="274" t="str">
        <x:v>VIP BONUS - Deposit 1000 Get 800 - 2x TO</x:v>
      </x:c>
      <x:c r="P720" s="274" t="str">
        <x:v>DepositBonus</x:v>
      </x:c>
      <x:c r="Q720" s="274" t="str">
        <x:v>Approved</x:v>
      </x:c>
      <x:c r="R720" s="265" t="n">
        <x:v>800</x:v>
      </x:c>
      <x:c r="S720" s="253" t="str">
        <x:v>Yes</x:v>
      </x:c>
      <x:c r="T720" s="265" t="n">
        <x:v>0</x:v>
      </x:c>
      <x:c r="U720" s="253" t="str">
        <x:f>IF(AND(S720="Yes",T720=0),"Yes","No")</x:f>
        <x:v>Yes</x:v>
      </x:c>
      <x:c r="V720" s="253" t="str">
        <x:v>Yes</x:v>
      </x:c>
      <x:c r="W720" s="253" t="str">
        <x:v>Yes</x:v>
      </x:c>
      <x:c r="X720" s="259" t="n">
        <x:v>46168.166666666664</x:v>
      </x:c>
      <x:c r="Y720" s="265" t="n">
        <x:v>1000</x:v>
      </x:c>
      <x:c r="Z720" s="265" t="n">
        <x:v>1000</x:v>
      </x:c>
      <x:c r="AA720" s="253" t="str">
        <x:f>IF(V720="No","Maturing",IF(AND(U720="Yes",Y720&gt;0),"Yes","No"))</x:f>
        <x:v>Yes</x:v>
      </x:c>
      <x:c r="AB720" s="253" t="str">
        <x:f>IF(W720="No","Maturing",IF(AND(U720="Yes",Z720&gt;0),"Yes","No"))</x:f>
        <x:v>Yes</x:v>
      </x:c>
      <x:c r="AC720" s="265" t="n">
        <x:v>996.46</x:v>
      </x:c>
      <x:c r="AD720" s="265" t="n">
        <x:v>996.46</x:v>
      </x:c>
      <x:c r="AE720" s="271" t="str"/>
      <x:c r="AF720" s="274" t="str">
        <x:v>Not validated - no control/holdout</x:v>
      </x:c>
      <x:c r="AG720" s="277" t="str">
        <x:v>Recovered execution only; assignment date and unclaimed-offer denominator unavailable</x:v>
      </x:c>
    </x:row>
    <x:row r="721">
      <x:c r="A721" s="252" t="str">
        <x:v>34375742</x:v>
      </x:c>
      <x:c r="B721" s="253" t="str">
        <x:v>WS1</x:v>
      </x:c>
      <x:c r="C721" s="253" t="str">
        <x:v>MB8</x:v>
      </x:c>
      <x:c r="D721" s="262" t="n">
        <x:v>46169.01782407407</x:v>
      </x:c>
      <x:c r="E721" s="259" t="n">
        <x:v>46169.166666666664</x:v>
      </x:c>
      <x:c r="F721" s="253" t="str">
        <x:v>664933</x:v>
      </x:c>
      <x:c r="G721" s="253" t="str">
        <x:v>MaxCheah36</x:v>
      </x:c>
      <x:c r="H721" s="253" t="str">
        <x:v>Yes</x:v>
      </x:c>
      <x:c r="I721" s="253" t="str"/>
      <x:c r="J721" s="253" t="str"/>
      <x:c r="K721" s="259"/>
      <x:c r="L721" s="268" t="str">
        <x:f>IFERROR(VLOOKUP(I721,'Handler-Team Map'!$A$7:$C$17,2,FALSE),"")</x:f>
      </x:c>
      <x:c r="M721" s="268" t="str">
        <x:f>IFERROR(VLOOKUP(I721,'Handler-Team Map'!$A$7:$C$17,3,FALSE),"")</x:f>
      </x:c>
      <x:c r="N721" s="274" t="str">
        <x:v>FT_VM_DEP700_GET300_2X</x:v>
      </x:c>
      <x:c r="O721" s="274" t="str">
        <x:v>VIP BONUS - Deposit 700 Get 300 - 2x TO</x:v>
      </x:c>
      <x:c r="P721" s="274" t="str">
        <x:v>DepositBonus</x:v>
      </x:c>
      <x:c r="Q721" s="274" t="str">
        <x:v>Approved</x:v>
      </x:c>
      <x:c r="R721" s="265" t="n">
        <x:v>300</x:v>
      </x:c>
      <x:c r="S721" s="253" t="str">
        <x:v>Yes</x:v>
      </x:c>
      <x:c r="T721" s="265" t="n">
        <x:v>0</x:v>
      </x:c>
      <x:c r="U721" s="253" t="str">
        <x:f>IF(AND(S721="Yes",T721=0),"Yes","No")</x:f>
        <x:v>Yes</x:v>
      </x:c>
      <x:c r="V721" s="253" t="str">
        <x:v>Yes</x:v>
      </x:c>
      <x:c r="W721" s="253" t="str">
        <x:v>Yes</x:v>
      </x:c>
      <x:c r="X721" s="259" t="n">
        <x:v>46169.166666666664</x:v>
      </x:c>
      <x:c r="Y721" s="265" t="n">
        <x:v>700</x:v>
      </x:c>
      <x:c r="Z721" s="265" t="n">
        <x:v>700</x:v>
      </x:c>
      <x:c r="AA721" s="253" t="str">
        <x:f>IF(V721="No","Maturing",IF(AND(U721="Yes",Y721&gt;0),"Yes","No"))</x:f>
        <x:v>Yes</x:v>
      </x:c>
      <x:c r="AB721" s="253" t="str">
        <x:f>IF(W721="No","Maturing",IF(AND(U721="Yes",Z721&gt;0),"Yes","No"))</x:f>
        <x:v>Yes</x:v>
      </x:c>
      <x:c r="AC721" s="265" t="n">
        <x:v>641.96</x:v>
      </x:c>
      <x:c r="AD721" s="265" t="n">
        <x:v>641.96</x:v>
      </x:c>
      <x:c r="AE721" s="271" t="str"/>
      <x:c r="AF721" s="274" t="str">
        <x:v>Not validated - no control/holdout</x:v>
      </x:c>
      <x:c r="AG721" s="277" t="str">
        <x:v>Recovered execution only; assignment date and unclaimed-offer denominator unavailable</x:v>
      </x:c>
    </x:row>
    <x:row r="722">
      <x:c r="A722" s="252" t="str">
        <x:v>34375930</x:v>
      </x:c>
      <x:c r="B722" s="253" t="str">
        <x:v>WS1</x:v>
      </x:c>
      <x:c r="C722" s="253" t="str">
        <x:v>MB8</x:v>
      </x:c>
      <x:c r="D722" s="262" t="n">
        <x:v>46169.02805555556</x:v>
      </x:c>
      <x:c r="E722" s="259" t="n">
        <x:v>46169.166666666664</x:v>
      </x:c>
      <x:c r="F722" s="253" t="str">
        <x:v>348567</x:v>
      </x:c>
      <x:c r="G722" s="253" t="str">
        <x:v>Firzor</x:v>
      </x:c>
      <x:c r="H722" s="253" t="str">
        <x:v>Yes</x:v>
      </x:c>
      <x:c r="I722" s="253" t="str"/>
      <x:c r="J722" s="253" t="str"/>
      <x:c r="K722" s="259"/>
      <x:c r="L722" s="268" t="str">
        <x:f>IFERROR(VLOOKUP(I722,'Handler-Team Map'!$A$7:$C$17,2,FALSE),"")</x:f>
      </x:c>
      <x:c r="M722" s="268" t="str">
        <x:f>IFERROR(VLOOKUP(I722,'Handler-Team Map'!$A$7:$C$17,3,FALSE),"")</x:f>
      </x:c>
      <x:c r="N722" s="274" t="str">
        <x:v>FT_VM_DEP1000_GET500_2X</x:v>
      </x:c>
      <x:c r="O722" s="274" t="str">
        <x:v>VIP BONUS - Deposit 1000 Get 500 - 2x TO</x:v>
      </x:c>
      <x:c r="P722" s="274" t="str">
        <x:v>DepositBonus</x:v>
      </x:c>
      <x:c r="Q722" s="274" t="str">
        <x:v>Approved</x:v>
      </x:c>
      <x:c r="R722" s="265" t="n">
        <x:v>500</x:v>
      </x:c>
      <x:c r="S722" s="253" t="str">
        <x:v>Yes</x:v>
      </x:c>
      <x:c r="T722" s="265" t="n">
        <x:v>1000</x:v>
      </x:c>
      <x:c r="U722" s="253" t="str">
        <x:f>IF(AND(S722="Yes",T722=0),"Yes","No")</x:f>
        <x:v>No</x:v>
      </x:c>
      <x:c r="V722" s="253" t="str">
        <x:v>Yes</x:v>
      </x:c>
      <x:c r="W722" s="253" t="str">
        <x:v>Yes</x:v>
      </x:c>
      <x:c r="X722" s="259" t="n">
        <x:v>46169.166666666664</x:v>
      </x:c>
      <x:c r="Y722" s="265" t="n">
        <x:v>1000</x:v>
      </x:c>
      <x:c r="Z722" s="265" t="n">
        <x:v>2000</x:v>
      </x:c>
      <x:c r="AA722" s="253" t="str">
        <x:f>IF(V722="No","Maturing",IF(AND(U722="Yes",Y722&gt;0),"Yes","No"))</x:f>
        <x:v>No</x:v>
      </x:c>
      <x:c r="AB722" s="253" t="str">
        <x:f>IF(W722="No","Maturing",IF(AND(U722="Yes",Z722&gt;0),"Yes","No"))</x:f>
        <x:v>No</x:v>
      </x:c>
      <x:c r="AC722" s="265" t="n">
        <x:v>-588.25</x:v>
      </x:c>
      <x:c r="AD722" s="265" t="n">
        <x:v>-191.89</x:v>
      </x:c>
      <x:c r="AE722" s="271" t="str"/>
      <x:c r="AF722" s="274" t="str">
        <x:v>Not validated - no control/holdout</x:v>
      </x:c>
      <x:c r="AG722" s="277" t="str">
        <x:v>Recovered execution only; assignment date and unclaimed-offer denominator unavailable</x:v>
      </x:c>
    </x:row>
    <x:row r="723">
      <x:c r="A723" s="252" t="str">
        <x:v>34379033</x:v>
      </x:c>
      <x:c r="B723" s="253" t="str">
        <x:v>WS1</x:v>
      </x:c>
      <x:c r="C723" s="253" t="str">
        <x:v>MB8</x:v>
      </x:c>
      <x:c r="D723" s="262" t="n">
        <x:v>46169.30517361111</x:v>
      </x:c>
      <x:c r="E723" s="259" t="n">
        <x:v>46169.166666666664</x:v>
      </x:c>
      <x:c r="F723" s="253" t="str">
        <x:v>1205781</x:v>
      </x:c>
      <x:c r="G723" s="253" t="str">
        <x:v>Charlie8888</x:v>
      </x:c>
      <x:c r="H723" s="253" t="str">
        <x:v>Yes</x:v>
      </x:c>
      <x:c r="I723" s="253" t="str"/>
      <x:c r="J723" s="253" t="str"/>
      <x:c r="K723" s="259"/>
      <x:c r="L723" s="268" t="str">
        <x:f>IFERROR(VLOOKUP(I723,'Handler-Team Map'!$A$7:$C$17,2,FALSE),"")</x:f>
      </x:c>
      <x:c r="M723" s="268" t="str">
        <x:f>IFERROR(VLOOKUP(I723,'Handler-Team Map'!$A$7:$C$17,3,FALSE),"")</x:f>
      </x:c>
      <x:c r="N723" s="274" t="str">
        <x:v>FT_VM_DEP700_GET300_2X</x:v>
      </x:c>
      <x:c r="O723" s="274" t="str">
        <x:v>VIP BONUS - Deposit 700 Get 300 - 2x TO</x:v>
      </x:c>
      <x:c r="P723" s="274" t="str">
        <x:v>DepositBonus</x:v>
      </x:c>
      <x:c r="Q723" s="274" t="str">
        <x:v>Approved</x:v>
      </x:c>
      <x:c r="R723" s="265" t="n">
        <x:v>300</x:v>
      </x:c>
      <x:c r="S723" s="253" t="str">
        <x:v>Yes</x:v>
      </x:c>
      <x:c r="T723" s="265" t="n">
        <x:v>3430</x:v>
      </x:c>
      <x:c r="U723" s="253" t="str">
        <x:f>IF(AND(S723="Yes",T723=0),"Yes","No")</x:f>
        <x:v>No</x:v>
      </x:c>
      <x:c r="V723" s="253" t="str">
        <x:v>Yes</x:v>
      </x:c>
      <x:c r="W723" s="253" t="str">
        <x:v>Yes</x:v>
      </x:c>
      <x:c r="X723" s="259" t="n">
        <x:v>46169.166666666664</x:v>
      </x:c>
      <x:c r="Y723" s="265" t="n">
        <x:v>1230</x:v>
      </x:c>
      <x:c r="Z723" s="265" t="n">
        <x:v>1230</x:v>
      </x:c>
      <x:c r="AA723" s="253" t="str">
        <x:f>IF(V723="No","Maturing",IF(AND(U723="Yes",Y723&gt;0),"Yes","No"))</x:f>
        <x:v>No</x:v>
      </x:c>
      <x:c r="AB723" s="253" t="str">
        <x:f>IF(W723="No","Maturing",IF(AND(U723="Yes",Z723&gt;0),"Yes","No"))</x:f>
        <x:v>No</x:v>
      </x:c>
      <x:c r="AC723" s="265" t="n">
        <x:v>1230.01</x:v>
      </x:c>
      <x:c r="AD723" s="265" t="n">
        <x:v>1230.01</x:v>
      </x:c>
      <x:c r="AE723" s="271" t="str"/>
      <x:c r="AF723" s="274" t="str">
        <x:v>Not validated - no control/holdout</x:v>
      </x:c>
      <x:c r="AG723" s="277" t="str">
        <x:v>Recovered execution only; assignment date and unclaimed-offer denominator unavailable</x:v>
      </x:c>
    </x:row>
    <x:row r="724">
      <x:c r="A724" s="252" t="str">
        <x:v>34380041</x:v>
      </x:c>
      <x:c r="B724" s="253" t="str">
        <x:v>WS1</x:v>
      </x:c>
      <x:c r="C724" s="253" t="str">
        <x:v>MB8</x:v>
      </x:c>
      <x:c r="D724" s="262" t="n">
        <x:v>46169.4525462963</x:v>
      </x:c>
      <x:c r="E724" s="259" t="n">
        <x:v>46169.166666666664</x:v>
      </x:c>
      <x:c r="F724" s="253" t="str">
        <x:v>568935</x:v>
      </x:c>
      <x:c r="G724" s="253" t="str">
        <x:v>Tom97</x:v>
      </x:c>
      <x:c r="H724" s="253" t="str">
        <x:v>Yes</x:v>
      </x:c>
      <x:c r="I724" s="253" t="str"/>
      <x:c r="J724" s="253" t="str"/>
      <x:c r="K724" s="259"/>
      <x:c r="L724" s="268" t="str">
        <x:f>IFERROR(VLOOKUP(I724,'Handler-Team Map'!$A$7:$C$17,2,FALSE),"")</x:f>
      </x:c>
      <x:c r="M724" s="268" t="str">
        <x:f>IFERROR(VLOOKUP(I724,'Handler-Team Map'!$A$7:$C$17,3,FALSE),"")</x:f>
      </x:c>
      <x:c r="N724" s="274" t="str">
        <x:v>FT_VM_DEP700_GET300_2X</x:v>
      </x:c>
      <x:c r="O724" s="274" t="str">
        <x:v>VIP BONUS - Deposit 700 Get 300 - 2x TO</x:v>
      </x:c>
      <x:c r="P724" s="274" t="str">
        <x:v>DepositBonus</x:v>
      </x:c>
      <x:c r="Q724" s="274" t="str">
        <x:v>Approved</x:v>
      </x:c>
      <x:c r="R724" s="265" t="n">
        <x:v>300</x:v>
      </x:c>
      <x:c r="S724" s="253" t="str">
        <x:v>Yes</x:v>
      </x:c>
      <x:c r="T724" s="265" t="n">
        <x:v>0</x:v>
      </x:c>
      <x:c r="U724" s="253" t="str">
        <x:f>IF(AND(S724="Yes",T724=0),"Yes","No")</x:f>
        <x:v>Yes</x:v>
      </x:c>
      <x:c r="V724" s="253" t="str">
        <x:v>Yes</x:v>
      </x:c>
      <x:c r="W724" s="253" t="str">
        <x:v>Yes</x:v>
      </x:c>
      <x:c r="X724" s="259" t="n">
        <x:v>46169.166666666664</x:v>
      </x:c>
      <x:c r="Y724" s="265" t="n">
        <x:v>700</x:v>
      </x:c>
      <x:c r="Z724" s="265" t="n">
        <x:v>700</x:v>
      </x:c>
      <x:c r="AA724" s="253" t="str">
        <x:f>IF(V724="No","Maturing",IF(AND(U724="Yes",Y724&gt;0),"Yes","No"))</x:f>
        <x:v>Yes</x:v>
      </x:c>
      <x:c r="AB724" s="253" t="str">
        <x:f>IF(W724="No","Maturing",IF(AND(U724="Yes",Z724&gt;0),"Yes","No"))</x:f>
        <x:v>Yes</x:v>
      </x:c>
      <x:c r="AC724" s="265" t="n">
        <x:v>-333.64</x:v>
      </x:c>
      <x:c r="AD724" s="265" t="n">
        <x:v>-310.84</x:v>
      </x:c>
      <x:c r="AE724" s="271" t="str"/>
      <x:c r="AF724" s="274" t="str">
        <x:v>Not validated - no control/holdout</x:v>
      </x:c>
      <x:c r="AG724" s="277" t="str">
        <x:v>Recovered execution only; assignment date and unclaimed-offer denominator unavailable</x:v>
      </x:c>
    </x:row>
    <x:row r="725">
      <x:c r="A725" s="252" t="str">
        <x:v>34381445</x:v>
      </x:c>
      <x:c r="B725" s="253" t="str">
        <x:v>WS1</x:v>
      </x:c>
      <x:c r="C725" s="253" t="str">
        <x:v>MB8</x:v>
      </x:c>
      <x:c r="D725" s="262" t="n">
        <x:v>46169.57672453704</x:v>
      </x:c>
      <x:c r="E725" s="259" t="n">
        <x:v>46169.166666666664</x:v>
      </x:c>
      <x:c r="F725" s="253" t="str">
        <x:v>708014</x:v>
      </x:c>
      <x:c r="G725" s="253" t="str">
        <x:v>azrimarky</x:v>
      </x:c>
      <x:c r="H725" s="253" t="str">
        <x:v>Yes</x:v>
      </x:c>
      <x:c r="I725" s="253" t="str"/>
      <x:c r="J725" s="253" t="str"/>
      <x:c r="K725" s="259"/>
      <x:c r="L725" s="268" t="str">
        <x:f>IFERROR(VLOOKUP(I725,'Handler-Team Map'!$A$7:$C$17,2,FALSE),"")</x:f>
      </x:c>
      <x:c r="M725" s="268" t="str">
        <x:f>IFERROR(VLOOKUP(I725,'Handler-Team Map'!$A$7:$C$17,3,FALSE),"")</x:f>
      </x:c>
      <x:c r="N725" s="274" t="str">
        <x:v>FT_VM_DEP700_GET300_2X</x:v>
      </x:c>
      <x:c r="O725" s="274" t="str">
        <x:v>VIP BONUS - Deposit 700 Get 300 - 2x TO</x:v>
      </x:c>
      <x:c r="P725" s="274" t="str">
        <x:v>DepositBonus</x:v>
      </x:c>
      <x:c r="Q725" s="274" t="str">
        <x:v>Approved</x:v>
      </x:c>
      <x:c r="R725" s="265" t="n">
        <x:v>300</x:v>
      </x:c>
      <x:c r="S725" s="253" t="str">
        <x:v>Yes</x:v>
      </x:c>
      <x:c r="T725" s="265" t="n">
        <x:v>0</x:v>
      </x:c>
      <x:c r="U725" s="253" t="str">
        <x:f>IF(AND(S725="Yes",T725=0),"Yes","No")</x:f>
        <x:v>Yes</x:v>
      </x:c>
      <x:c r="V725" s="253" t="str">
        <x:v>Yes</x:v>
      </x:c>
      <x:c r="W725" s="253" t="str">
        <x:v>Yes</x:v>
      </x:c>
      <x:c r="X725" s="259" t="n">
        <x:v>46169.166666666664</x:v>
      </x:c>
      <x:c r="Y725" s="265" t="n">
        <x:v>4350</x:v>
      </x:c>
      <x:c r="Z725" s="265" t="n">
        <x:v>4650</x:v>
      </x:c>
      <x:c r="AA725" s="253" t="str">
        <x:f>IF(V725="No","Maturing",IF(AND(U725="Yes",Y725&gt;0),"Yes","No"))</x:f>
        <x:v>Yes</x:v>
      </x:c>
      <x:c r="AB725" s="253" t="str">
        <x:f>IF(W725="No","Maturing",IF(AND(U725="Yes",Z725&gt;0),"Yes","No"))</x:f>
        <x:v>Yes</x:v>
      </x:c>
      <x:c r="AC725" s="265" t="n">
        <x:v>4355.93</x:v>
      </x:c>
      <x:c r="AD725" s="265" t="n">
        <x:v>4651.89</x:v>
      </x:c>
      <x:c r="AE725" s="271" t="str"/>
      <x:c r="AF725" s="274" t="str">
        <x:v>Not validated - no control/holdout</x:v>
      </x:c>
      <x:c r="AG725" s="277" t="str">
        <x:v>Recovered execution only; assignment date and unclaimed-offer denominator unavailable</x:v>
      </x:c>
    </x:row>
    <x:row r="726">
      <x:c r="A726" s="252" t="str">
        <x:v>34382272</x:v>
      </x:c>
      <x:c r="B726" s="253" t="str">
        <x:v>WS1</x:v>
      </x:c>
      <x:c r="C726" s="253" t="str">
        <x:v>MB8</x:v>
      </x:c>
      <x:c r="D726" s="262" t="n">
        <x:v>46169.6484837963</x:v>
      </x:c>
      <x:c r="E726" s="259" t="n">
        <x:v>46169.166666666664</x:v>
      </x:c>
      <x:c r="F726" s="253" t="str">
        <x:v>401057</x:v>
      </x:c>
      <x:c r="G726" s="253" t="str">
        <x:v>discus71</x:v>
      </x:c>
      <x:c r="H726" s="253" t="str">
        <x:v>Yes</x:v>
      </x:c>
      <x:c r="I726" s="253" t="str">
        <x:v>zhen</x:v>
      </x:c>
      <x:c r="J726" s="253" t="str">
        <x:v>zhen</x:v>
      </x:c>
      <x:c r="K726" s="259" t="n">
        <x:v>45922.166666666664</x:v>
      </x:c>
      <x:c r="L726" s="268" t="str">
        <x:f>IFERROR(VLOOKUP(I726,'Handler-Team Map'!$A$7:$C$17,2,FALSE),"")</x:f>
      </x:c>
      <x:c r="M726" s="268" t="str">
        <x:f>IFERROR(VLOOKUP(I726,'Handler-Team Map'!$A$7:$C$17,3,FALSE),"")</x:f>
      </x:c>
      <x:c r="N726" s="274" t="str">
        <x:v>FT_VM_DEP1000_GET500_5X</x:v>
      </x:c>
      <x:c r="O726" s="274" t="str">
        <x:v>VIP BONUS - Deposit 1000 Get 500 - 5x TO</x:v>
      </x:c>
      <x:c r="P726" s="274" t="str">
        <x:v>DepositBonus</x:v>
      </x:c>
      <x:c r="Q726" s="274" t="str">
        <x:v>Approved</x:v>
      </x:c>
      <x:c r="R726" s="265" t="n">
        <x:v>500</x:v>
      </x:c>
      <x:c r="S726" s="253" t="str">
        <x:v>Yes</x:v>
      </x:c>
      <x:c r="T726" s="265" t="n">
        <x:v>1000</x:v>
      </x:c>
      <x:c r="U726" s="253" t="str">
        <x:f>IF(AND(S726="Yes",T726=0),"Yes","No")</x:f>
        <x:v>No</x:v>
      </x:c>
      <x:c r="V726" s="253" t="str">
        <x:v>Yes</x:v>
      </x:c>
      <x:c r="W726" s="253" t="str">
        <x:v>Yes</x:v>
      </x:c>
      <x:c r="X726" s="259" t="n">
        <x:v>46169.166666666664</x:v>
      </x:c>
      <x:c r="Y726" s="265" t="n">
        <x:v>1000</x:v>
      </x:c>
      <x:c r="Z726" s="265" t="n">
        <x:v>2000</x:v>
      </x:c>
      <x:c r="AA726" s="253" t="str">
        <x:f>IF(V726="No","Maturing",IF(AND(U726="Yes",Y726&gt;0),"Yes","No"))</x:f>
        <x:v>No</x:v>
      </x:c>
      <x:c r="AB726" s="253" t="str">
        <x:f>IF(W726="No","Maturing",IF(AND(U726="Yes",Z726&gt;0),"Yes","No"))</x:f>
        <x:v>No</x:v>
      </x:c>
      <x:c r="AC726" s="265" t="n">
        <x:v>998.47</x:v>
      </x:c>
      <x:c r="AD726" s="265" t="n">
        <x:v>889.8</x:v>
      </x:c>
      <x:c r="AE726" s="271" t="str"/>
      <x:c r="AF726" s="274" t="str">
        <x:v>Not validated - no control/holdout</x:v>
      </x:c>
      <x:c r="AG726" s="277" t="str">
        <x:v>Recovered execution only; assignment date and unclaimed-offer denominator unavailable</x:v>
      </x:c>
    </x:row>
    <x:row r="727">
      <x:c r="A727" s="252" t="str">
        <x:v>34389154</x:v>
      </x:c>
      <x:c r="B727" s="253" t="str">
        <x:v>WS1</x:v>
      </x:c>
      <x:c r="C727" s="253" t="str">
        <x:v>MB8</x:v>
      </x:c>
      <x:c r="D727" s="262" t="n">
        <x:v>46170.099965277775</x:v>
      </x:c>
      <x:c r="E727" s="259" t="n">
        <x:v>46170.166666666664</x:v>
      </x:c>
      <x:c r="F727" s="253" t="str">
        <x:v>564867</x:v>
      </x:c>
      <x:c r="G727" s="253" t="str">
        <x:v>Nageen</x:v>
      </x:c>
      <x:c r="H727" s="253" t="str">
        <x:v>Yes</x:v>
      </x:c>
      <x:c r="I727" s="253" t="str">
        <x:v>Claire</x:v>
      </x:c>
      <x:c r="J727" s="253" t="str">
        <x:v>Claire</x:v>
      </x:c>
      <x:c r="K727" s="259" t="n">
        <x:v>45659.166666666664</x:v>
      </x:c>
      <x:c r="L727" s="268" t="str">
        <x:f>IFERROR(VLOOKUP(I727,'Handler-Team Map'!$A$7:$C$17,2,FALSE),"")</x:f>
      </x:c>
      <x:c r="M727" s="268" t="str">
        <x:f>IFERROR(VLOOKUP(I727,'Handler-Team Map'!$A$7:$C$17,3,FALSE),"")</x:f>
      </x:c>
      <x:c r="N727" s="274" t="str">
        <x:v>FT_VM_DEP1000_GET500_5X</x:v>
      </x:c>
      <x:c r="O727" s="274" t="str">
        <x:v>VIP BONUS - Deposit 1000 Get 500 - 5x TO</x:v>
      </x:c>
      <x:c r="P727" s="274" t="str">
        <x:v>DepositBonus</x:v>
      </x:c>
      <x:c r="Q727" s="274" t="str">
        <x:v>Approved</x:v>
      </x:c>
      <x:c r="R727" s="265" t="n">
        <x:v>500</x:v>
      </x:c>
      <x:c r="S727" s="253" t="str">
        <x:v>Yes</x:v>
      </x:c>
      <x:c r="T727" s="265" t="n">
        <x:v>60041.29</x:v>
      </x:c>
      <x:c r="U727" s="253" t="str">
        <x:f>IF(AND(S727="Yes",T727=0),"Yes","No")</x:f>
        <x:v>No</x:v>
      </x:c>
      <x:c r="V727" s="253" t="str">
        <x:v>Yes</x:v>
      </x:c>
      <x:c r="W727" s="253" t="str">
        <x:v>Yes</x:v>
      </x:c>
      <x:c r="X727" s="259" t="n">
        <x:v>46170.166666666664</x:v>
      </x:c>
      <x:c r="Y727" s="265" t="n">
        <x:v>10200</x:v>
      </x:c>
      <x:c r="Z727" s="265" t="n">
        <x:v>37137.93</x:v>
      </x:c>
      <x:c r="AA727" s="253" t="str">
        <x:f>IF(V727="No","Maturing",IF(AND(U727="Yes",Y727&gt;0),"Yes","No"))</x:f>
        <x:v>No</x:v>
      </x:c>
      <x:c r="AB727" s="253" t="str">
        <x:f>IF(W727="No","Maturing",IF(AND(U727="Yes",Z727&gt;0),"Yes","No"))</x:f>
        <x:v>No</x:v>
      </x:c>
      <x:c r="AC727" s="265" t="n">
        <x:v>10199.71</x:v>
      </x:c>
      <x:c r="AD727" s="265" t="n">
        <x:v>25108.34</x:v>
      </x:c>
      <x:c r="AE727" s="271" t="str"/>
      <x:c r="AF727" s="274" t="str">
        <x:v>Not validated - no control/holdout</x:v>
      </x:c>
      <x:c r="AG727" s="277" t="str">
        <x:v>Recovered execution only; assignment date and unclaimed-offer denominator unavailable</x:v>
      </x:c>
    </x:row>
    <x:row r="728">
      <x:c r="A728" s="252" t="str">
        <x:v>34390449</x:v>
      </x:c>
      <x:c r="B728" s="253" t="str">
        <x:v>WS1</x:v>
      </x:c>
      <x:c r="C728" s="253" t="str">
        <x:v>MB8</x:v>
      </x:c>
      <x:c r="D728" s="262" t="n">
        <x:v>46170.26667824074</x:v>
      </x:c>
      <x:c r="E728" s="259" t="n">
        <x:v>46170.166666666664</x:v>
      </x:c>
      <x:c r="F728" s="253" t="str">
        <x:v>774523</x:v>
      </x:c>
      <x:c r="G728" s="253" t="str">
        <x:v>currythegod1818</x:v>
      </x:c>
      <x:c r="H728" s="253" t="str">
        <x:v>Yes</x:v>
      </x:c>
      <x:c r="I728" s="253" t="str"/>
      <x:c r="J728" s="253" t="str"/>
      <x:c r="K728" s="259"/>
      <x:c r="L728" s="268" t="str">
        <x:f>IFERROR(VLOOKUP(I728,'Handler-Team Map'!$A$7:$C$17,2,FALSE),"")</x:f>
      </x:c>
      <x:c r="M728" s="268" t="str">
        <x:f>IFERROR(VLOOKUP(I728,'Handler-Team Map'!$A$7:$C$17,3,FALSE),"")</x:f>
      </x:c>
      <x:c r="N728" s="274" t="str">
        <x:v>FT_VM_DEP800_GET400_2X</x:v>
      </x:c>
      <x:c r="O728" s="274" t="str">
        <x:v>VIP BONUS - Deposit 800 Get 400 - 2x TO</x:v>
      </x:c>
      <x:c r="P728" s="274" t="str">
        <x:v>DepositBonus</x:v>
      </x:c>
      <x:c r="Q728" s="274" t="str">
        <x:v>Approved</x:v>
      </x:c>
      <x:c r="R728" s="265" t="n">
        <x:v>400</x:v>
      </x:c>
      <x:c r="S728" s="253" t="str">
        <x:v>Yes</x:v>
      </x:c>
      <x:c r="T728" s="265" t="n">
        <x:v>0</x:v>
      </x:c>
      <x:c r="U728" s="253" t="str">
        <x:f>IF(AND(S728="Yes",T728=0),"Yes","No")</x:f>
        <x:v>Yes</x:v>
      </x:c>
      <x:c r="V728" s="253" t="str">
        <x:v>Yes</x:v>
      </x:c>
      <x:c r="W728" s="253" t="str">
        <x:v>Yes</x:v>
      </x:c>
      <x:c r="X728" s="259" t="n">
        <x:v>46170.166666666664</x:v>
      </x:c>
      <x:c r="Y728" s="265" t="n">
        <x:v>1800</x:v>
      </x:c>
      <x:c r="Z728" s="265" t="n">
        <x:v>1850</x:v>
      </x:c>
      <x:c r="AA728" s="253" t="str">
        <x:f>IF(V728="No","Maturing",IF(AND(U728="Yes",Y728&gt;0),"Yes","No"))</x:f>
        <x:v>Yes</x:v>
      </x:c>
      <x:c r="AB728" s="253" t="str">
        <x:f>IF(W728="No","Maturing",IF(AND(U728="Yes",Z728&gt;0),"Yes","No"))</x:f>
        <x:v>Yes</x:v>
      </x:c>
      <x:c r="AC728" s="265" t="n">
        <x:v>-168.37</x:v>
      </x:c>
      <x:c r="AD728" s="265" t="n">
        <x:v>-118.88</x:v>
      </x:c>
      <x:c r="AE728" s="271" t="str"/>
      <x:c r="AF728" s="274" t="str">
        <x:v>Not validated - no control/holdout</x:v>
      </x:c>
      <x:c r="AG728" s="277" t="str">
        <x:v>Recovered execution only; assignment date and unclaimed-offer denominator unavailable</x:v>
      </x:c>
    </x:row>
    <x:row r="729">
      <x:c r="A729" s="252" t="str">
        <x:v>34390472</x:v>
      </x:c>
      <x:c r="B729" s="253" t="str">
        <x:v>WS1</x:v>
      </x:c>
      <x:c r="C729" s="253" t="str"/>
      <x:c r="D729" s="262" t="n">
        <x:v>46170.27271990741</x:v>
      </x:c>
      <x:c r="E729" s="259" t="n">
        <x:v>46170.166666666664</x:v>
      </x:c>
      <x:c r="F729" s="253" t="str">
        <x:v>668386</x:v>
      </x:c>
      <x:c r="G729" s="253" t="str"/>
      <x:c r="H729" s="253" t="str">
        <x:v>Yes</x:v>
      </x:c>
      <x:c r="I729" s="253" t="str"/>
      <x:c r="J729" s="253" t="str"/>
      <x:c r="K729" s="259"/>
      <x:c r="L729" s="268" t="str">
        <x:f>IFERROR(VLOOKUP(I729,'Handler-Team Map'!$A$7:$C$17,2,FALSE),"")</x:f>
      </x:c>
      <x:c r="M729" s="268" t="str">
        <x:f>IFERROR(VLOOKUP(I729,'Handler-Team Map'!$A$7:$C$17,3,FALSE),"")</x:f>
      </x:c>
      <x:c r="N729" s="274" t="str">
        <x:v>FT_VM_DEP1000_GET500_2X</x:v>
      </x:c>
      <x:c r="O729" s="274" t="str">
        <x:v>VIP BONUS - Deposit 1000 Get 500 - 2x TO</x:v>
      </x:c>
      <x:c r="P729" s="274" t="str">
        <x:v>DepositBonus</x:v>
      </x:c>
      <x:c r="Q729" s="274" t="str">
        <x:v>Approved</x:v>
      </x:c>
      <x:c r="R729" s="265" t="n">
        <x:v>500</x:v>
      </x:c>
      <x:c r="S729" s="253" t="str">
        <x:v>No</x:v>
      </x:c>
      <x:c r="T729" s="265" t="n">
        <x:v>550</x:v>
      </x:c>
      <x:c r="U729" s="253" t="str">
        <x:f>IF(AND(S729="Yes",T729=0),"Yes","No")</x:f>
        <x:v>No</x:v>
      </x:c>
      <x:c r="V729" s="253" t="str">
        <x:v>Yes</x:v>
      </x:c>
      <x:c r="W729" s="253" t="str">
        <x:v>Yes</x:v>
      </x:c>
      <x:c r="X729" s="259" t="n">
        <x:v>46170.166666666664</x:v>
      </x:c>
      <x:c r="Y729" s="265" t="n">
        <x:v>1200</x:v>
      </x:c>
      <x:c r="Z729" s="265" t="n">
        <x:v>1500</x:v>
      </x:c>
      <x:c r="AA729" s="253" t="str">
        <x:f>IF(V729="No","Maturing",IF(AND(U729="Yes",Y729&gt;0),"Yes","No"))</x:f>
        <x:v>No</x:v>
      </x:c>
      <x:c r="AB729" s="253" t="str">
        <x:f>IF(W729="No","Maturing",IF(AND(U729="Yes",Z729&gt;0),"Yes","No"))</x:f>
        <x:v>No</x:v>
      </x:c>
      <x:c r="AC729" s="265" t="n">
        <x:v>-502.09</x:v>
      </x:c>
      <x:c r="AD729" s="265" t="n">
        <x:v>-201.33</x:v>
      </x:c>
      <x:c r="AE729" s="271" t="str"/>
      <x:c r="AF729" s="274" t="str">
        <x:v>Not validated - no control/holdout</x:v>
      </x:c>
      <x:c r="AG729" s="277" t="str">
        <x:v>Recovered execution only; assignment date and unclaimed-offer denominator unavailable</x:v>
      </x:c>
    </x:row>
    <x:row r="730">
      <x:c r="A730" s="252" t="str">
        <x:v>34392853</x:v>
      </x:c>
      <x:c r="B730" s="253" t="str">
        <x:v>WS1</x:v>
      </x:c>
      <x:c r="C730" s="253" t="str">
        <x:v>MB8</x:v>
      </x:c>
      <x:c r="D730" s="262" t="n">
        <x:v>46170.55684027778</x:v>
      </x:c>
      <x:c r="E730" s="259" t="n">
        <x:v>46170.166666666664</x:v>
      </x:c>
      <x:c r="F730" s="253" t="str">
        <x:v>218256</x:v>
      </x:c>
      <x:c r="G730" s="253" t="str">
        <x:v>Bobby2626</x:v>
      </x:c>
      <x:c r="H730" s="253" t="str">
        <x:v>Yes</x:v>
      </x:c>
      <x:c r="I730" s="253" t="str">
        <x:v>Elda</x:v>
      </x:c>
      <x:c r="J730" s="253" t="str">
        <x:v>Elda</x:v>
      </x:c>
      <x:c r="K730" s="259" t="n">
        <x:v>45659.166666666664</x:v>
      </x:c>
      <x:c r="L730" s="268" t="str">
        <x:f>IFERROR(VLOOKUP(I730,'Handler-Team Map'!$A$7:$C$17,2,FALSE),"")</x:f>
      </x:c>
      <x:c r="M730" s="268" t="str">
        <x:f>IFERROR(VLOOKUP(I730,'Handler-Team Map'!$A$7:$C$17,3,FALSE),"")</x:f>
      </x:c>
      <x:c r="N730" s="274" t="str">
        <x:v>FT_VM_DEP600_GET200_5X</x:v>
      </x:c>
      <x:c r="O730" s="274" t="str">
        <x:v>VIP BONUS - Deposit 600 Get 200 - 5x TO</x:v>
      </x:c>
      <x:c r="P730" s="274" t="str">
        <x:v>DepositBonus</x:v>
      </x:c>
      <x:c r="Q730" s="274" t="str">
        <x:v>Approved</x:v>
      </x:c>
      <x:c r="R730" s="265" t="n">
        <x:v>200</x:v>
      </x:c>
      <x:c r="S730" s="253" t="str">
        <x:v>Yes</x:v>
      </x:c>
      <x:c r="T730" s="265" t="n">
        <x:v>78500</x:v>
      </x:c>
      <x:c r="U730" s="253" t="str">
        <x:f>IF(AND(S730="Yes",T730=0),"Yes","No")</x:f>
        <x:v>No</x:v>
      </x:c>
      <x:c r="V730" s="253" t="str">
        <x:v>Yes</x:v>
      </x:c>
      <x:c r="W730" s="253" t="str">
        <x:v>Yes</x:v>
      </x:c>
      <x:c r="X730" s="259" t="n">
        <x:v>46170.166666666664</x:v>
      </x:c>
      <x:c r="Y730" s="265" t="n">
        <x:v>2600</x:v>
      </x:c>
      <x:c r="Z730" s="265" t="n">
        <x:v>21700</x:v>
      </x:c>
      <x:c r="AA730" s="253" t="str">
        <x:f>IF(V730="No","Maturing",IF(AND(U730="Yes",Y730&gt;0),"Yes","No"))</x:f>
        <x:v>No</x:v>
      </x:c>
      <x:c r="AB730" s="253" t="str">
        <x:f>IF(W730="No","Maturing",IF(AND(U730="Yes",Z730&gt;0),"Yes","No"))</x:f>
        <x:v>No</x:v>
      </x:c>
      <x:c r="AC730" s="265" t="n">
        <x:v>-42122.28</x:v>
      </x:c>
      <x:c r="AD730" s="265" t="n">
        <x:v>-99768.8</x:v>
      </x:c>
      <x:c r="AE730" s="271" t="str"/>
      <x:c r="AF730" s="274" t="str">
        <x:v>Not validated - no control/holdout</x:v>
      </x:c>
      <x:c r="AG730" s="277" t="str">
        <x:v>Recovered execution only; assignment date and unclaimed-offer denominator unavailable</x:v>
      </x:c>
    </x:row>
    <x:row r="731">
      <x:c r="A731" s="252" t="str">
        <x:v>34393163</x:v>
      </x:c>
      <x:c r="B731" s="253" t="str">
        <x:v>WS1</x:v>
      </x:c>
      <x:c r="C731" s="253" t="str">
        <x:v>MB8</x:v>
      </x:c>
      <x:c r="D731" s="262" t="n">
        <x:v>46170.585231481484</x:v>
      </x:c>
      <x:c r="E731" s="259" t="n">
        <x:v>46170.166666666664</x:v>
      </x:c>
      <x:c r="F731" s="253" t="str">
        <x:v>333109</x:v>
      </x:c>
      <x:c r="G731" s="253" t="str">
        <x:v>majet</x:v>
      </x:c>
      <x:c r="H731" s="253" t="str">
        <x:v>Yes</x:v>
      </x:c>
      <x:c r="I731" s="253" t="str">
        <x:v>Mikki</x:v>
      </x:c>
      <x:c r="J731" s="253" t="str">
        <x:v>Mikki</x:v>
      </x:c>
      <x:c r="K731" s="259" t="n">
        <x:v>45993.166666666664</x:v>
      </x:c>
      <x:c r="L731" s="268" t="str">
        <x:f>IFERROR(VLOOKUP(I731,'Handler-Team Map'!$A$7:$C$17,2,FALSE),"")</x:f>
      </x:c>
      <x:c r="M731" s="268" t="str">
        <x:f>IFERROR(VLOOKUP(I731,'Handler-Team Map'!$A$7:$C$17,3,FALSE),"")</x:f>
      </x:c>
      <x:c r="N731" s="274" t="str">
        <x:v>FT_VM_DEP1000_GET800_1X</x:v>
      </x:c>
      <x:c r="O731" s="274" t="str">
        <x:v>VIP BONUS - Deposit 1000 Get 800 - 1x TO</x:v>
      </x:c>
      <x:c r="P731" s="274" t="str">
        <x:v>DepositBonus</x:v>
      </x:c>
      <x:c r="Q731" s="274" t="str">
        <x:v>Approved</x:v>
      </x:c>
      <x:c r="R731" s="265" t="n">
        <x:v>800</x:v>
      </x:c>
      <x:c r="S731" s="253" t="str">
        <x:v>Yes</x:v>
      </x:c>
      <x:c r="T731" s="265" t="n">
        <x:v>10378</x:v>
      </x:c>
      <x:c r="U731" s="253" t="str">
        <x:f>IF(AND(S731="Yes",T731=0),"Yes","No")</x:f>
        <x:v>No</x:v>
      </x:c>
      <x:c r="V731" s="253" t="str">
        <x:v>Yes</x:v>
      </x:c>
      <x:c r="W731" s="253" t="str">
        <x:v>Yes</x:v>
      </x:c>
      <x:c r="X731" s="259" t="n">
        <x:v>46170.166666666664</x:v>
      </x:c>
      <x:c r="Y731" s="265" t="n">
        <x:v>8648</x:v>
      </x:c>
      <x:c r="Z731" s="265" t="n">
        <x:v>8648</x:v>
      </x:c>
      <x:c r="AA731" s="253" t="str">
        <x:f>IF(V731="No","Maturing",IF(AND(U731="Yes",Y731&gt;0),"Yes","No"))</x:f>
        <x:v>No</x:v>
      </x:c>
      <x:c r="AB731" s="253" t="str">
        <x:f>IF(W731="No","Maturing",IF(AND(U731="Yes",Z731&gt;0),"Yes","No"))</x:f>
        <x:v>No</x:v>
      </x:c>
      <x:c r="AC731" s="265" t="n">
        <x:v>-2252.03</x:v>
      </x:c>
      <x:c r="AD731" s="265" t="n">
        <x:v>-2252.03</x:v>
      </x:c>
      <x:c r="AE731" s="271" t="str"/>
      <x:c r="AF731" s="274" t="str">
        <x:v>Not validated - no control/holdout</x:v>
      </x:c>
      <x:c r="AG731" s="277" t="str">
        <x:v>Recovered execution only; assignment date and unclaimed-offer denominator unavailable</x:v>
      </x:c>
    </x:row>
    <x:row r="732">
      <x:c r="A732" s="252" t="str">
        <x:v>34393749</x:v>
      </x:c>
      <x:c r="B732" s="253" t="str">
        <x:v>WS1</x:v>
      </x:c>
      <x:c r="C732" s="253" t="str">
        <x:v>MB8</x:v>
      </x:c>
      <x:c r="D732" s="262" t="n">
        <x:v>46170.638553240744</x:v>
      </x:c>
      <x:c r="E732" s="259" t="n">
        <x:v>46170.166666666664</x:v>
      </x:c>
      <x:c r="F732" s="253" t="str">
        <x:v>567383</x:v>
      </x:c>
      <x:c r="G732" s="253" t="str">
        <x:v>benho9988</x:v>
      </x:c>
      <x:c r="H732" s="253" t="str">
        <x:v>Yes</x:v>
      </x:c>
      <x:c r="I732" s="253" t="str">
        <x:v>Elda</x:v>
      </x:c>
      <x:c r="J732" s="253" t="str">
        <x:v>Elda</x:v>
      </x:c>
      <x:c r="K732" s="259" t="n">
        <x:v>45659.166666666664</x:v>
      </x:c>
      <x:c r="L732" s="268" t="str">
        <x:f>IFERROR(VLOOKUP(I732,'Handler-Team Map'!$A$7:$C$17,2,FALSE),"")</x:f>
      </x:c>
      <x:c r="M732" s="268" t="str">
        <x:f>IFERROR(VLOOKUP(I732,'Handler-Team Map'!$A$7:$C$17,3,FALSE),"")</x:f>
      </x:c>
      <x:c r="N732" s="274" t="str">
        <x:v>FT_VM_DEP1000_GET800_2X</x:v>
      </x:c>
      <x:c r="O732" s="274" t="str">
        <x:v>VIP BONUS - Deposit 1000 Get 800 - 2x TO</x:v>
      </x:c>
      <x:c r="P732" s="274" t="str">
        <x:v>DepositBonus</x:v>
      </x:c>
      <x:c r="Q732" s="274" t="str">
        <x:v>Approved</x:v>
      </x:c>
      <x:c r="R732" s="265" t="n">
        <x:v>800</x:v>
      </x:c>
      <x:c r="S732" s="253" t="str">
        <x:v>Yes</x:v>
      </x:c>
      <x:c r="T732" s="265" t="n">
        <x:v>3000</x:v>
      </x:c>
      <x:c r="U732" s="253" t="str">
        <x:f>IF(AND(S732="Yes",T732=0),"Yes","No")</x:f>
        <x:v>No</x:v>
      </x:c>
      <x:c r="V732" s="253" t="str">
        <x:v>Yes</x:v>
      </x:c>
      <x:c r="W732" s="253" t="str">
        <x:v>Yes</x:v>
      </x:c>
      <x:c r="X732" s="259" t="n">
        <x:v>46170.166666666664</x:v>
      </x:c>
      <x:c r="Y732" s="265" t="n">
        <x:v>1000</x:v>
      </x:c>
      <x:c r="Z732" s="265" t="n">
        <x:v>2000</x:v>
      </x:c>
      <x:c r="AA732" s="253" t="str">
        <x:f>IF(V732="No","Maturing",IF(AND(U732="Yes",Y732&gt;0),"Yes","No"))</x:f>
        <x:v>No</x:v>
      </x:c>
      <x:c r="AB732" s="253" t="str">
        <x:f>IF(W732="No","Maturing",IF(AND(U732="Yes",Z732&gt;0),"Yes","No"))</x:f>
        <x:v>No</x:v>
      </x:c>
      <x:c r="AC732" s="265" t="n">
        <x:v>-2000.72</x:v>
      </x:c>
      <x:c r="AD732" s="265" t="n">
        <x:v>-1016.38</x:v>
      </x:c>
      <x:c r="AE732" s="271" t="str"/>
      <x:c r="AF732" s="274" t="str">
        <x:v>Not validated - no control/holdout</x:v>
      </x:c>
      <x:c r="AG732" s="277" t="str">
        <x:v>Recovered execution only; assignment date and unclaimed-offer denominator unavailable</x:v>
      </x:c>
    </x:row>
    <x:row r="733">
      <x:c r="A733" s="252" t="str">
        <x:v>34394422</x:v>
      </x:c>
      <x:c r="B733" s="253" t="str">
        <x:v>WS1</x:v>
      </x:c>
      <x:c r="C733" s="253" t="str">
        <x:v>MB8</x:v>
      </x:c>
      <x:c r="D733" s="262" t="n">
        <x:v>46170.692881944444</x:v>
      </x:c>
      <x:c r="E733" s="259" t="n">
        <x:v>46170.166666666664</x:v>
      </x:c>
      <x:c r="F733" s="253" t="str">
        <x:v>603307</x:v>
      </x:c>
      <x:c r="G733" s="253" t="str">
        <x:v>Jamesong</x:v>
      </x:c>
      <x:c r="H733" s="253" t="str">
        <x:v>Yes</x:v>
      </x:c>
      <x:c r="I733" s="253" t="str">
        <x:v>Serene</x:v>
      </x:c>
      <x:c r="J733" s="253" t="str">
        <x:v>Serene</x:v>
      </x:c>
      <x:c r="K733" s="259" t="n">
        <x:v>45859.166666666664</x:v>
      </x:c>
      <x:c r="L733" s="268" t="str">
        <x:f>IFERROR(VLOOKUP(I733,'Handler-Team Map'!$A$7:$C$17,2,FALSE),"")</x:f>
      </x:c>
      <x:c r="M733" s="268" t="str">
        <x:f>IFERROR(VLOOKUP(I733,'Handler-Team Map'!$A$7:$C$17,3,FALSE),"")</x:f>
      </x:c>
      <x:c r="N733" s="274" t="str">
        <x:v>FT_VM_DEP300_GET100_5X</x:v>
      </x:c>
      <x:c r="O733" s="274" t="str">
        <x:v>VIP BONUS - Deposit 300 Get 100 - 5x TO</x:v>
      </x:c>
      <x:c r="P733" s="274" t="str">
        <x:v>DepositBonus</x:v>
      </x:c>
      <x:c r="Q733" s="274" t="str">
        <x:v>Approved</x:v>
      </x:c>
      <x:c r="R733" s="265" t="n">
        <x:v>100</x:v>
      </x:c>
      <x:c r="S733" s="253" t="str">
        <x:v>Yes</x:v>
      </x:c>
      <x:c r="T733" s="265" t="n">
        <x:v>16782</x:v>
      </x:c>
      <x:c r="U733" s="253" t="str">
        <x:f>IF(AND(S733="Yes",T733=0),"Yes","No")</x:f>
        <x:v>No</x:v>
      </x:c>
      <x:c r="V733" s="253" t="str">
        <x:v>Yes</x:v>
      </x:c>
      <x:c r="W733" s="253" t="str">
        <x:v>Yes</x:v>
      </x:c>
      <x:c r="X733" s="259" t="n">
        <x:v>46170.166666666664</x:v>
      </x:c>
      <x:c r="Y733" s="265" t="n">
        <x:v>360</x:v>
      </x:c>
      <x:c r="Z733" s="265" t="n">
        <x:v>640</x:v>
      </x:c>
      <x:c r="AA733" s="253" t="str">
        <x:f>IF(V733="No","Maturing",IF(AND(U733="Yes",Y733&gt;0),"Yes","No"))</x:f>
        <x:v>No</x:v>
      </x:c>
      <x:c r="AB733" s="253" t="str">
        <x:f>IF(W733="No","Maturing",IF(AND(U733="Yes",Z733&gt;0),"Yes","No"))</x:f>
        <x:v>No</x:v>
      </x:c>
      <x:c r="AC733" s="265" t="n">
        <x:v>456.88</x:v>
      </x:c>
      <x:c r="AD733" s="265" t="n">
        <x:v>-86.61</x:v>
      </x:c>
      <x:c r="AE733" s="271" t="str"/>
      <x:c r="AF733" s="274" t="str">
        <x:v>Not validated - no control/holdout</x:v>
      </x:c>
      <x:c r="AG733" s="277" t="str">
        <x:v>Recovered execution only; assignment date and unclaimed-offer denominator unavailable</x:v>
      </x:c>
    </x:row>
    <x:row r="734">
      <x:c r="A734" s="252" t="str">
        <x:v>34394612</x:v>
      </x:c>
      <x:c r="B734" s="253" t="str">
        <x:v>WS1</x:v>
      </x:c>
      <x:c r="C734" s="253" t="str">
        <x:v>MB8</x:v>
      </x:c>
      <x:c r="D734" s="262" t="n">
        <x:v>46170.707291666666</x:v>
      </x:c>
      <x:c r="E734" s="259" t="n">
        <x:v>46170.166666666664</x:v>
      </x:c>
      <x:c r="F734" s="253" t="str">
        <x:v>47658</x:v>
      </x:c>
      <x:c r="G734" s="253" t="str">
        <x:v>Eddy155</x:v>
      </x:c>
      <x:c r="H734" s="253" t="str">
        <x:v>Yes</x:v>
      </x:c>
      <x:c r="I734" s="253" t="str">
        <x:v>Sheena</x:v>
      </x:c>
      <x:c r="J734" s="253" t="str">
        <x:v>Sheena</x:v>
      </x:c>
      <x:c r="K734" s="259" t="n">
        <x:v>45852.166666666664</x:v>
      </x:c>
      <x:c r="L734" s="268" t="str">
        <x:f>IFERROR(VLOOKUP(I734,'Handler-Team Map'!$A$7:$C$17,2,FALSE),"")</x:f>
      </x:c>
      <x:c r="M734" s="268" t="str">
        <x:f>IFERROR(VLOOKUP(I734,'Handler-Team Map'!$A$7:$C$17,3,FALSE),"")</x:f>
      </x:c>
      <x:c r="N734" s="274" t="str">
        <x:v>FT_VM_DEP800_GET400_1X</x:v>
      </x:c>
      <x:c r="O734" s="274" t="str">
        <x:v>VIP BONUS - Deposit 800 Get 400 - 1x TO</x:v>
      </x:c>
      <x:c r="P734" s="274" t="str">
        <x:v>DepositBonus</x:v>
      </x:c>
      <x:c r="Q734" s="274" t="str">
        <x:v>Approved</x:v>
      </x:c>
      <x:c r="R734" s="265" t="n">
        <x:v>400</x:v>
      </x:c>
      <x:c r="S734" s="253" t="str">
        <x:v>Yes</x:v>
      </x:c>
      <x:c r="T734" s="265" t="n">
        <x:v>0</x:v>
      </x:c>
      <x:c r="U734" s="253" t="str">
        <x:f>IF(AND(S734="Yes",T734=0),"Yes","No")</x:f>
        <x:v>Yes</x:v>
      </x:c>
      <x:c r="V734" s="253" t="str">
        <x:v>Yes</x:v>
      </x:c>
      <x:c r="W734" s="253" t="str">
        <x:v>Yes</x:v>
      </x:c>
      <x:c r="X734" s="259" t="n">
        <x:v>46170.166666666664</x:v>
      </x:c>
      <x:c r="Y734" s="265" t="n">
        <x:v>850</x:v>
      </x:c>
      <x:c r="Z734" s="265" t="n">
        <x:v>1200</x:v>
      </x:c>
      <x:c r="AA734" s="253" t="str">
        <x:f>IF(V734="No","Maturing",IF(AND(U734="Yes",Y734&gt;0),"Yes","No"))</x:f>
        <x:v>Yes</x:v>
      </x:c>
      <x:c r="AB734" s="253" t="str">
        <x:f>IF(W734="No","Maturing",IF(AND(U734="Yes",Z734&gt;0),"Yes","No"))</x:f>
        <x:v>Yes</x:v>
      </x:c>
      <x:c r="AC734" s="265" t="n">
        <x:v>-181.39</x:v>
      </x:c>
      <x:c r="AD734" s="265" t="n">
        <x:v>-351.46</x:v>
      </x:c>
      <x:c r="AE734" s="271" t="str"/>
      <x:c r="AF734" s="274" t="str">
        <x:v>Not validated - no control/holdout</x:v>
      </x:c>
      <x:c r="AG734" s="277" t="str">
        <x:v>Recovered execution only; assignment date and unclaimed-offer denominator unavailable</x:v>
      </x:c>
    </x:row>
    <x:row r="735">
      <x:c r="A735" s="252" t="str">
        <x:v>34394828</x:v>
      </x:c>
      <x:c r="B735" s="253" t="str">
        <x:v>WS1</x:v>
      </x:c>
      <x:c r="C735" s="253" t="str">
        <x:v>MB8</x:v>
      </x:c>
      <x:c r="D735" s="262" t="n">
        <x:v>46170.72421296296</x:v>
      </x:c>
      <x:c r="E735" s="259" t="n">
        <x:v>46170.166666666664</x:v>
      </x:c>
      <x:c r="F735" s="253" t="str">
        <x:v>605081</x:v>
      </x:c>
      <x:c r="G735" s="253" t="str">
        <x:v>xxdra</x:v>
      </x:c>
      <x:c r="H735" s="253" t="str">
        <x:v>Yes</x:v>
      </x:c>
      <x:c r="I735" s="253" t="str">
        <x:v>Mikki</x:v>
      </x:c>
      <x:c r="J735" s="253" t="str">
        <x:v>Mikki</x:v>
      </x:c>
      <x:c r="K735" s="259" t="n">
        <x:v>45993.166666666664</x:v>
      </x:c>
      <x:c r="L735" s="268" t="str">
        <x:f>IFERROR(VLOOKUP(I735,'Handler-Team Map'!$A$7:$C$17,2,FALSE),"")</x:f>
      </x:c>
      <x:c r="M735" s="268" t="str">
        <x:f>IFERROR(VLOOKUP(I735,'Handler-Team Map'!$A$7:$C$17,3,FALSE),"")</x:f>
      </x:c>
      <x:c r="N735" s="274" t="str">
        <x:v>FT_VM_DEP1000_GET500_5X</x:v>
      </x:c>
      <x:c r="O735" s="274" t="str">
        <x:v>VIP BONUS - Deposit 1000 Get 500 - 5x TO</x:v>
      </x:c>
      <x:c r="P735" s="274" t="str">
        <x:v>DepositBonus</x:v>
      </x:c>
      <x:c r="Q735" s="274" t="str">
        <x:v>Approved</x:v>
      </x:c>
      <x:c r="R735" s="265" t="n">
        <x:v>500</x:v>
      </x:c>
      <x:c r="S735" s="253" t="str">
        <x:v>Yes</x:v>
      </x:c>
      <x:c r="T735" s="265" t="n">
        <x:v>17320</x:v>
      </x:c>
      <x:c r="U735" s="253" t="str">
        <x:f>IF(AND(S735="Yes",T735=0),"Yes","No")</x:f>
        <x:v>No</x:v>
      </x:c>
      <x:c r="V735" s="253" t="str">
        <x:v>Yes</x:v>
      </x:c>
      <x:c r="W735" s="253" t="str">
        <x:v>Yes</x:v>
      </x:c>
      <x:c r="X735" s="259" t="n">
        <x:v>46170.166666666664</x:v>
      </x:c>
      <x:c r="Y735" s="265" t="n">
        <x:v>1290</x:v>
      </x:c>
      <x:c r="Z735" s="265" t="n">
        <x:v>14790</x:v>
      </x:c>
      <x:c r="AA735" s="253" t="str">
        <x:f>IF(V735="No","Maturing",IF(AND(U735="Yes",Y735&gt;0),"Yes","No"))</x:f>
        <x:v>No</x:v>
      </x:c>
      <x:c r="AB735" s="253" t="str">
        <x:f>IF(W735="No","Maturing",IF(AND(U735="Yes",Z735&gt;0),"Yes","No"))</x:f>
        <x:v>No</x:v>
      </x:c>
      <x:c r="AC735" s="265" t="n">
        <x:v>566.47</x:v>
      </x:c>
      <x:c r="AD735" s="265" t="n">
        <x:v>-3452.77</x:v>
      </x:c>
      <x:c r="AE735" s="271" t="str"/>
      <x:c r="AF735" s="274" t="str">
        <x:v>Not validated - no control/holdout</x:v>
      </x:c>
      <x:c r="AG735" s="277" t="str">
        <x:v>Recovered execution only; assignment date and unclaimed-offer denominator unavailable</x:v>
      </x:c>
    </x:row>
    <x:row r="736">
      <x:c r="A736" s="252" t="str">
        <x:v>34395131</x:v>
      </x:c>
      <x:c r="B736" s="253" t="str">
        <x:v>WS1</x:v>
      </x:c>
      <x:c r="C736" s="253" t="str">
        <x:v>MB8</x:v>
      </x:c>
      <x:c r="D736" s="262" t="n">
        <x:v>46170.75145833333</x:v>
      </x:c>
      <x:c r="E736" s="259" t="n">
        <x:v>46170.166666666664</x:v>
      </x:c>
      <x:c r="F736" s="253" t="str">
        <x:v>302345</x:v>
      </x:c>
      <x:c r="G736" s="253" t="str">
        <x:v>bujiangfatt</x:v>
      </x:c>
      <x:c r="H736" s="253" t="str">
        <x:v>Yes</x:v>
      </x:c>
      <x:c r="I736" s="253" t="str">
        <x:v>Elda</x:v>
      </x:c>
      <x:c r="J736" s="253" t="str">
        <x:v>Elda</x:v>
      </x:c>
      <x:c r="K736" s="259" t="n">
        <x:v>45659.166666666664</x:v>
      </x:c>
      <x:c r="L736" s="268" t="str">
        <x:f>IFERROR(VLOOKUP(I736,'Handler-Team Map'!$A$7:$C$17,2,FALSE),"")</x:f>
      </x:c>
      <x:c r="M736" s="268" t="str">
        <x:f>IFERROR(VLOOKUP(I736,'Handler-Team Map'!$A$7:$C$17,3,FALSE),"")</x:f>
      </x:c>
      <x:c r="N736" s="274" t="str">
        <x:v>FT_VM_DEP1000_GET500_5X</x:v>
      </x:c>
      <x:c r="O736" s="274" t="str">
        <x:v>VIP BONUS - Deposit 1000 Get 500 - 5x TO</x:v>
      </x:c>
      <x:c r="P736" s="274" t="str">
        <x:v>DepositBonus</x:v>
      </x:c>
      <x:c r="Q736" s="274" t="str">
        <x:v>Approved</x:v>
      </x:c>
      <x:c r="R736" s="265" t="n">
        <x:v>500</x:v>
      </x:c>
      <x:c r="S736" s="253" t="str">
        <x:v>Yes</x:v>
      </x:c>
      <x:c r="T736" s="265" t="n">
        <x:v>14460</x:v>
      </x:c>
      <x:c r="U736" s="253" t="str">
        <x:f>IF(AND(S736="Yes",T736=0),"Yes","No")</x:f>
        <x:v>No</x:v>
      </x:c>
      <x:c r="V736" s="253" t="str">
        <x:v>Yes</x:v>
      </x:c>
      <x:c r="W736" s="253" t="str">
        <x:v>Yes</x:v>
      </x:c>
      <x:c r="X736" s="259" t="n">
        <x:v>46170.166666666664</x:v>
      </x:c>
      <x:c r="Y736" s="265" t="n">
        <x:v>7150</x:v>
      </x:c>
      <x:c r="Z736" s="265" t="n">
        <x:v>38250</x:v>
      </x:c>
      <x:c r="AA736" s="253" t="str">
        <x:f>IF(V736="No","Maturing",IF(AND(U736="Yes",Y736&gt;0),"Yes","No"))</x:f>
        <x:v>No</x:v>
      </x:c>
      <x:c r="AB736" s="253" t="str">
        <x:f>IF(W736="No","Maturing",IF(AND(U736="Yes",Z736&gt;0),"Yes","No"))</x:f>
        <x:v>No</x:v>
      </x:c>
      <x:c r="AC736" s="265" t="n">
        <x:v>-2019.29</x:v>
      </x:c>
      <x:c r="AD736" s="265" t="n">
        <x:v>10094.59</x:v>
      </x:c>
      <x:c r="AE736" s="271" t="str"/>
      <x:c r="AF736" s="274" t="str">
        <x:v>Not validated - no control/holdout</x:v>
      </x:c>
      <x:c r="AG736" s="277" t="str">
        <x:v>Recovered execution only; assignment date and unclaimed-offer denominator unavailable</x:v>
      </x:c>
    </x:row>
    <x:row r="737">
      <x:c r="A737" s="252" t="str">
        <x:v>34395269</x:v>
      </x:c>
      <x:c r="B737" s="253" t="str">
        <x:v>WS1</x:v>
      </x:c>
      <x:c r="C737" s="253" t="str">
        <x:v>MB8</x:v>
      </x:c>
      <x:c r="D737" s="262" t="n">
        <x:v>46170.75695601852</x:v>
      </x:c>
      <x:c r="E737" s="259" t="n">
        <x:v>46170.166666666664</x:v>
      </x:c>
      <x:c r="F737" s="253" t="str">
        <x:v>419229</x:v>
      </x:c>
      <x:c r="G737" s="253" t="str">
        <x:v>ZERO99</x:v>
      </x:c>
      <x:c r="H737" s="253" t="str">
        <x:v>Yes</x:v>
      </x:c>
      <x:c r="I737" s="253" t="str">
        <x:v>Elda</x:v>
      </x:c>
      <x:c r="J737" s="253" t="str">
        <x:v>Elda</x:v>
      </x:c>
      <x:c r="K737" s="259" t="n">
        <x:v>45659.166666666664</x:v>
      </x:c>
      <x:c r="L737" s="268" t="str">
        <x:f>IFERROR(VLOOKUP(I737,'Handler-Team Map'!$A$7:$C$17,2,FALSE),"")</x:f>
      </x:c>
      <x:c r="M737" s="268" t="str">
        <x:f>IFERROR(VLOOKUP(I737,'Handler-Team Map'!$A$7:$C$17,3,FALSE),"")</x:f>
      </x:c>
      <x:c r="N737" s="274" t="str">
        <x:v>FT_VM_DEP1000_GET500_5X</x:v>
      </x:c>
      <x:c r="O737" s="274" t="str">
        <x:v>VIP BONUS - Deposit 1000 Get 500 - 5x TO</x:v>
      </x:c>
      <x:c r="P737" s="274" t="str">
        <x:v>DepositBonus</x:v>
      </x:c>
      <x:c r="Q737" s="274" t="str">
        <x:v>Approved</x:v>
      </x:c>
      <x:c r="R737" s="265" t="n">
        <x:v>500</x:v>
      </x:c>
      <x:c r="S737" s="253" t="str">
        <x:v>Yes</x:v>
      </x:c>
      <x:c r="T737" s="265" t="n">
        <x:v>27050</x:v>
      </x:c>
      <x:c r="U737" s="253" t="str">
        <x:f>IF(AND(S737="Yes",T737=0),"Yes","No")</x:f>
        <x:v>No</x:v>
      </x:c>
      <x:c r="V737" s="253" t="str">
        <x:v>Yes</x:v>
      </x:c>
      <x:c r="W737" s="253" t="str">
        <x:v>Yes</x:v>
      </x:c>
      <x:c r="X737" s="259" t="n">
        <x:v>46170.166666666664</x:v>
      </x:c>
      <x:c r="Y737" s="265" t="n">
        <x:v>2350</x:v>
      </x:c>
      <x:c r="Z737" s="265" t="n">
        <x:v>2350</x:v>
      </x:c>
      <x:c r="AA737" s="253" t="str">
        <x:f>IF(V737="No","Maturing",IF(AND(U737="Yes",Y737&gt;0),"Yes","No"))</x:f>
        <x:v>No</x:v>
      </x:c>
      <x:c r="AB737" s="253" t="str">
        <x:f>IF(W737="No","Maturing",IF(AND(U737="Yes",Z737&gt;0),"Yes","No"))</x:f>
        <x:v>No</x:v>
      </x:c>
      <x:c r="AC737" s="265" t="n">
        <x:v>2354.7</x:v>
      </x:c>
      <x:c r="AD737" s="265" t="n">
        <x:v>2354.98</x:v>
      </x:c>
      <x:c r="AE737" s="271" t="str"/>
      <x:c r="AF737" s="274" t="str">
        <x:v>Not validated - no control/holdout</x:v>
      </x:c>
      <x:c r="AG737" s="277" t="str">
        <x:v>Recovered execution only; assignment date and unclaimed-offer denominator unavailable</x:v>
      </x:c>
    </x:row>
    <x:row r="738">
      <x:c r="A738" s="252" t="str">
        <x:v>34396908</x:v>
      </x:c>
      <x:c r="B738" s="253" t="str">
        <x:v>WS1</x:v>
      </x:c>
      <x:c r="C738" s="253" t="str">
        <x:v>MB8</x:v>
      </x:c>
      <x:c r="D738" s="262" t="n">
        <x:v>46170.86953703704</x:v>
      </x:c>
      <x:c r="E738" s="259" t="n">
        <x:v>46170.166666666664</x:v>
      </x:c>
      <x:c r="F738" s="253" t="str">
        <x:v>625089</x:v>
      </x:c>
      <x:c r="G738" s="253" t="str">
        <x:v>hash1026</x:v>
      </x:c>
      <x:c r="H738" s="253" t="str">
        <x:v>Yes</x:v>
      </x:c>
      <x:c r="I738" s="253" t="str">
        <x:v>zhen</x:v>
      </x:c>
      <x:c r="J738" s="253" t="str">
        <x:v>zhen</x:v>
      </x:c>
      <x:c r="K738" s="259" t="n">
        <x:v>45922.166666666664</x:v>
      </x:c>
      <x:c r="L738" s="268" t="str">
        <x:f>IFERROR(VLOOKUP(I738,'Handler-Team Map'!$A$7:$C$17,2,FALSE),"")</x:f>
      </x:c>
      <x:c r="M738" s="268" t="str">
        <x:f>IFERROR(VLOOKUP(I738,'Handler-Team Map'!$A$7:$C$17,3,FALSE),"")</x:f>
      </x:c>
      <x:c r="N738" s="274" t="str">
        <x:v>FT_VM_DEP150_GET50_5X</x:v>
      </x:c>
      <x:c r="O738" s="274" t="str">
        <x:v>VIP BONUS - Deposit 150 Get 50 - 5x TO</x:v>
      </x:c>
      <x:c r="P738" s="274" t="str">
        <x:v>DepositBonus</x:v>
      </x:c>
      <x:c r="Q738" s="274" t="str">
        <x:v>Approved</x:v>
      </x:c>
      <x:c r="R738" s="265" t="n">
        <x:v>50</x:v>
      </x:c>
      <x:c r="S738" s="253" t="str">
        <x:v>Yes</x:v>
      </x:c>
      <x:c r="T738" s="265" t="n">
        <x:v>2632.02</x:v>
      </x:c>
      <x:c r="U738" s="253" t="str">
        <x:f>IF(AND(S738="Yes",T738=0),"Yes","No")</x:f>
        <x:v>No</x:v>
      </x:c>
      <x:c r="V738" s="253" t="str">
        <x:v>Yes</x:v>
      </x:c>
      <x:c r="W738" s="253" t="str">
        <x:v>Yes</x:v>
      </x:c>
      <x:c r="X738" s="259" t="n">
        <x:v>46170.166666666664</x:v>
      </x:c>
      <x:c r="Y738" s="265" t="n">
        <x:v>1336.62</x:v>
      </x:c>
      <x:c r="Z738" s="265" t="n">
        <x:v>1486.62</x:v>
      </x:c>
      <x:c r="AA738" s="253" t="str">
        <x:f>IF(V738="No","Maturing",IF(AND(U738="Yes",Y738&gt;0),"Yes","No"))</x:f>
        <x:v>No</x:v>
      </x:c>
      <x:c r="AB738" s="253" t="str">
        <x:f>IF(W738="No","Maturing",IF(AND(U738="Yes",Z738&gt;0),"Yes","No"))</x:f>
        <x:v>No</x:v>
      </x:c>
      <x:c r="AC738" s="265" t="n">
        <x:v>1336.68</x:v>
      </x:c>
      <x:c r="AD738" s="265" t="n">
        <x:v>1486.31</x:v>
      </x:c>
      <x:c r="AE738" s="271" t="str"/>
      <x:c r="AF738" s="274" t="str">
        <x:v>Not validated - no control/holdout</x:v>
      </x:c>
      <x:c r="AG738" s="277" t="str">
        <x:v>Recovered execution only; assignment date and unclaimed-offer denominator unavailable</x:v>
      </x:c>
    </x:row>
    <x:row r="739">
      <x:c r="A739" s="252" t="str">
        <x:v>34396946</x:v>
      </x:c>
      <x:c r="B739" s="253" t="str">
        <x:v>WS1</x:v>
      </x:c>
      <x:c r="C739" s="253" t="str">
        <x:v>MB8</x:v>
      </x:c>
      <x:c r="D739" s="262" t="n">
        <x:v>46170.872199074074</x:v>
      </x:c>
      <x:c r="E739" s="259" t="n">
        <x:v>46170.166666666664</x:v>
      </x:c>
      <x:c r="F739" s="253" t="str">
        <x:v>773588</x:v>
      </x:c>
      <x:c r="G739" s="253" t="str">
        <x:v>sengxinzhuang</x:v>
      </x:c>
      <x:c r="H739" s="253" t="str">
        <x:v>Yes</x:v>
      </x:c>
      <x:c r="I739" s="253" t="str">
        <x:v>zhen</x:v>
      </x:c>
      <x:c r="J739" s="253" t="str">
        <x:v>zhen</x:v>
      </x:c>
      <x:c r="K739" s="259" t="n">
        <x:v>45922.166666666664</x:v>
      </x:c>
      <x:c r="L739" s="268" t="str">
        <x:f>IFERROR(VLOOKUP(I739,'Handler-Team Map'!$A$7:$C$17,2,FALSE),"")</x:f>
      </x:c>
      <x:c r="M739" s="268" t="str">
        <x:f>IFERROR(VLOOKUP(I739,'Handler-Team Map'!$A$7:$C$17,3,FALSE),"")</x:f>
      </x:c>
      <x:c r="N739" s="274" t="str">
        <x:v>FT_VM_DEP1000_GET500_5X</x:v>
      </x:c>
      <x:c r="O739" s="274" t="str">
        <x:v>VIP BONUS - Deposit 1000 Get 500 - 5x TO</x:v>
      </x:c>
      <x:c r="P739" s="274" t="str">
        <x:v>DepositBonus</x:v>
      </x:c>
      <x:c r="Q739" s="274" t="str">
        <x:v>Approved</x:v>
      </x:c>
      <x:c r="R739" s="265" t="n">
        <x:v>500</x:v>
      </x:c>
      <x:c r="S739" s="253" t="str">
        <x:v>Yes</x:v>
      </x:c>
      <x:c r="T739" s="265" t="n">
        <x:v>3000</x:v>
      </x:c>
      <x:c r="U739" s="253" t="str">
        <x:f>IF(AND(S739="Yes",T739=0),"Yes","No")</x:f>
        <x:v>No</x:v>
      </x:c>
      <x:c r="V739" s="253" t="str">
        <x:v>Yes</x:v>
      </x:c>
      <x:c r="W739" s="253" t="str">
        <x:v>Yes</x:v>
      </x:c>
      <x:c r="X739" s="259" t="n">
        <x:v>46170.166666666664</x:v>
      </x:c>
      <x:c r="Y739" s="265" t="n">
        <x:v>1000</x:v>
      </x:c>
      <x:c r="Z739" s="265" t="n">
        <x:v>1000</x:v>
      </x:c>
      <x:c r="AA739" s="253" t="str">
        <x:f>IF(V739="No","Maturing",IF(AND(U739="Yes",Y739&gt;0),"Yes","No"))</x:f>
        <x:v>No</x:v>
      </x:c>
      <x:c r="AB739" s="253" t="str">
        <x:f>IF(W739="No","Maturing",IF(AND(U739="Yes",Z739&gt;0),"Yes","No"))</x:f>
        <x:v>No</x:v>
      </x:c>
      <x:c r="AC739" s="265" t="n">
        <x:v>997.72</x:v>
      </x:c>
      <x:c r="AD739" s="265" t="n">
        <x:v>997.72</x:v>
      </x:c>
      <x:c r="AE739" s="271" t="str"/>
      <x:c r="AF739" s="274" t="str">
        <x:v>Not validated - no control/holdout</x:v>
      </x:c>
      <x:c r="AG739" s="277" t="str">
        <x:v>Recovered execution only; assignment date and unclaimed-offer denominator unavailable</x:v>
      </x:c>
    </x:row>
    <x:row r="740">
      <x:c r="A740" s="252" t="str">
        <x:v>34397685</x:v>
      </x:c>
      <x:c r="B740" s="253" t="str">
        <x:v>WS1</x:v>
      </x:c>
      <x:c r="C740" s="253" t="str">
        <x:v>MB8</x:v>
      </x:c>
      <x:c r="D740" s="262" t="n">
        <x:v>46170.91782407407</x:v>
      </x:c>
      <x:c r="E740" s="259" t="n">
        <x:v>46170.166666666664</x:v>
      </x:c>
      <x:c r="F740" s="253" t="str">
        <x:v>767523</x:v>
      </x:c>
      <x:c r="G740" s="253" t="str">
        <x:v>Norliza76</x:v>
      </x:c>
      <x:c r="H740" s="253" t="str">
        <x:v>Yes</x:v>
      </x:c>
      <x:c r="I740" s="253" t="str">
        <x:v>Jiahui</x:v>
      </x:c>
      <x:c r="J740" s="253" t="str">
        <x:v>Jiahui</x:v>
      </x:c>
      <x:c r="K740" s="259" t="n">
        <x:v>45797.166666666664</x:v>
      </x:c>
      <x:c r="L740" s="268" t="str">
        <x:f>IFERROR(VLOOKUP(I740,'Handler-Team Map'!$A$7:$C$17,2,FALSE),"")</x:f>
      </x:c>
      <x:c r="M740" s="268" t="str">
        <x:f>IFERROR(VLOOKUP(I740,'Handler-Team Map'!$A$7:$C$17,3,FALSE),"")</x:f>
      </x:c>
      <x:c r="N740" s="274" t="str">
        <x:v>FT_VM_DEP300_GET100_5X</x:v>
      </x:c>
      <x:c r="O740" s="274" t="str">
        <x:v>VIP BONUS - Deposit 300 Get 100 - 5x TO</x:v>
      </x:c>
      <x:c r="P740" s="274" t="str">
        <x:v>DepositBonus</x:v>
      </x:c>
      <x:c r="Q740" s="274" t="str">
        <x:v>Approved</x:v>
      </x:c>
      <x:c r="R740" s="265" t="n">
        <x:v>100</x:v>
      </x:c>
      <x:c r="S740" s="253" t="str">
        <x:v>Yes</x:v>
      </x:c>
      <x:c r="T740" s="265" t="n">
        <x:v>13070</x:v>
      </x:c>
      <x:c r="U740" s="253" t="str">
        <x:f>IF(AND(S740="Yes",T740=0),"Yes","No")</x:f>
        <x:v>No</x:v>
      </x:c>
      <x:c r="V740" s="253" t="str">
        <x:v>Yes</x:v>
      </x:c>
      <x:c r="W740" s="253" t="str">
        <x:v>Yes</x:v>
      </x:c>
      <x:c r="X740" s="259" t="n">
        <x:v>46170.166666666664</x:v>
      </x:c>
      <x:c r="Y740" s="265" t="n">
        <x:v>11110</x:v>
      </x:c>
      <x:c r="Z740" s="265" t="n">
        <x:v>20390</x:v>
      </x:c>
      <x:c r="AA740" s="253" t="str">
        <x:f>IF(V740="No","Maturing",IF(AND(U740="Yes",Y740&gt;0),"Yes","No"))</x:f>
        <x:v>No</x:v>
      </x:c>
      <x:c r="AB740" s="253" t="str">
        <x:f>IF(W740="No","Maturing",IF(AND(U740="Yes",Z740&gt;0),"Yes","No"))</x:f>
        <x:v>No</x:v>
      </x:c>
      <x:c r="AC740" s="265" t="n">
        <x:v>-19253.9</x:v>
      </x:c>
      <x:c r="AD740" s="265" t="n">
        <x:v>-18258.47</x:v>
      </x:c>
      <x:c r="AE740" s="271" t="str"/>
      <x:c r="AF740" s="274" t="str">
        <x:v>Not validated - no control/holdout</x:v>
      </x:c>
      <x:c r="AG740" s="277" t="str">
        <x:v>Recovered execution only; assignment date and unclaimed-offer denominator unavailable</x:v>
      </x:c>
    </x:row>
    <x:row r="741">
      <x:c r="A741" s="252" t="str">
        <x:v>34399850</x:v>
      </x:c>
      <x:c r="B741" s="253" t="str">
        <x:v>WS1</x:v>
      </x:c>
      <x:c r="C741" s="253" t="str">
        <x:v>MB8</x:v>
      </x:c>
      <x:c r="D741" s="262" t="n">
        <x:v>46171.03728009259</x:v>
      </x:c>
      <x:c r="E741" s="259" t="n">
        <x:v>46171.166666666664</x:v>
      </x:c>
      <x:c r="F741" s="253" t="str">
        <x:v>335410</x:v>
      </x:c>
      <x:c r="G741" s="253" t="str">
        <x:v>Joe6866</x:v>
      </x:c>
      <x:c r="H741" s="253" t="str">
        <x:v>Yes</x:v>
      </x:c>
      <x:c r="I741" s="253" t="str">
        <x:v>Elda</x:v>
      </x:c>
      <x:c r="J741" s="253" t="str">
        <x:v>Elda</x:v>
      </x:c>
      <x:c r="K741" s="259" t="n">
        <x:v>45659.166666666664</x:v>
      </x:c>
      <x:c r="L741" s="268" t="str">
        <x:f>IFERROR(VLOOKUP(I741,'Handler-Team Map'!$A$7:$C$17,2,FALSE),"")</x:f>
      </x:c>
      <x:c r="M741" s="268" t="str">
        <x:f>IFERROR(VLOOKUP(I741,'Handler-Team Map'!$A$7:$C$17,3,FALSE),"")</x:f>
      </x:c>
      <x:c r="N741" s="274" t="str">
        <x:v>FT_VM_DEP1000_GET900_1X</x:v>
      </x:c>
      <x:c r="O741" s="274" t="str">
        <x:v>VIP BONUS - Deposit 1000 Get 900 - 1x TO</x:v>
      </x:c>
      <x:c r="P741" s="274" t="str">
        <x:v>DepositBonus</x:v>
      </x:c>
      <x:c r="Q741" s="274" t="str">
        <x:v>Approved</x:v>
      </x:c>
      <x:c r="R741" s="265" t="n">
        <x:v>900</x:v>
      </x:c>
      <x:c r="S741" s="253" t="str">
        <x:v>Yes</x:v>
      </x:c>
      <x:c r="T741" s="265" t="n">
        <x:v>300</x:v>
      </x:c>
      <x:c r="U741" s="253" t="str">
        <x:f>IF(AND(S741="Yes",T741=0),"Yes","No")</x:f>
        <x:v>No</x:v>
      </x:c>
      <x:c r="V741" s="253" t="str">
        <x:v>Yes</x:v>
      </x:c>
      <x:c r="W741" s="253" t="str">
        <x:v>Yes</x:v>
      </x:c>
      <x:c r="X741" s="259" t="n">
        <x:v>46171.166666666664</x:v>
      </x:c>
      <x:c r="Y741" s="265" t="n">
        <x:v>1000</x:v>
      </x:c>
      <x:c r="Z741" s="265" t="n">
        <x:v>1000</x:v>
      </x:c>
      <x:c r="AA741" s="253" t="str">
        <x:f>IF(V741="No","Maturing",IF(AND(U741="Yes",Y741&gt;0),"Yes","No"))</x:f>
        <x:v>No</x:v>
      </x:c>
      <x:c r="AB741" s="253" t="str">
        <x:f>IF(W741="No","Maturing",IF(AND(U741="Yes",Z741&gt;0),"Yes","No"))</x:f>
        <x:v>No</x:v>
      </x:c>
      <x:c r="AC741" s="265" t="n">
        <x:v>1002.04</x:v>
      </x:c>
      <x:c r="AD741" s="265" t="n">
        <x:v>1001.95</x:v>
      </x:c>
      <x:c r="AE741" s="271" t="str"/>
      <x:c r="AF741" s="274" t="str">
        <x:v>Not validated - no control/holdout</x:v>
      </x:c>
      <x:c r="AG741" s="277" t="str">
        <x:v>Recovered execution only; assignment date and unclaimed-offer denominator unavailable</x:v>
      </x:c>
    </x:row>
    <x:row r="742">
      <x:c r="A742" s="252" t="str">
        <x:v>34400634</x:v>
      </x:c>
      <x:c r="B742" s="253" t="str">
        <x:v>WS1</x:v>
      </x:c>
      <x:c r="C742" s="253" t="str">
        <x:v>MB8</x:v>
      </x:c>
      <x:c r="D742" s="262" t="n">
        <x:v>46171.08326388889</x:v>
      </x:c>
      <x:c r="E742" s="259" t="n">
        <x:v>46171.166666666664</x:v>
      </x:c>
      <x:c r="F742" s="253" t="str">
        <x:v>474721</x:v>
      </x:c>
      <x:c r="G742" s="253" t="str">
        <x:v>Karti08</x:v>
      </x:c>
      <x:c r="H742" s="253" t="str">
        <x:v>Yes</x:v>
      </x:c>
      <x:c r="I742" s="253" t="str">
        <x:v>Elda</x:v>
      </x:c>
      <x:c r="J742" s="253" t="str">
        <x:v>Elda</x:v>
      </x:c>
      <x:c r="K742" s="259" t="n">
        <x:v>45790.166666666664</x:v>
      </x:c>
      <x:c r="L742" s="268" t="str">
        <x:f>IFERROR(VLOOKUP(I742,'Handler-Team Map'!$A$7:$C$17,2,FALSE),"")</x:f>
      </x:c>
      <x:c r="M742" s="268" t="str">
        <x:f>IFERROR(VLOOKUP(I742,'Handler-Team Map'!$A$7:$C$17,3,FALSE),"")</x:f>
      </x:c>
      <x:c r="N742" s="274" t="str">
        <x:v>FT_VM_DEP600_GET200_5X</x:v>
      </x:c>
      <x:c r="O742" s="274" t="str">
        <x:v>VIP BONUS - Deposit 600 Get 200 - 5x TO</x:v>
      </x:c>
      <x:c r="P742" s="274" t="str">
        <x:v>DepositBonus</x:v>
      </x:c>
      <x:c r="Q742" s="274" t="str">
        <x:v>Approved</x:v>
      </x:c>
      <x:c r="R742" s="265" t="n">
        <x:v>200</x:v>
      </x:c>
      <x:c r="S742" s="253" t="str">
        <x:v>Yes</x:v>
      </x:c>
      <x:c r="T742" s="265" t="n">
        <x:v>6580.24</x:v>
      </x:c>
      <x:c r="U742" s="253" t="str">
        <x:f>IF(AND(S742="Yes",T742=0),"Yes","No")</x:f>
        <x:v>No</x:v>
      </x:c>
      <x:c r="V742" s="253" t="str">
        <x:v>Yes</x:v>
      </x:c>
      <x:c r="W742" s="253" t="str">
        <x:v>Yes</x:v>
      </x:c>
      <x:c r="X742" s="259" t="n">
        <x:v>46171.166666666664</x:v>
      </x:c>
      <x:c r="Y742" s="265" t="n">
        <x:v>4205.88</x:v>
      </x:c>
      <x:c r="Z742" s="265" t="n">
        <x:v>4627.99</x:v>
      </x:c>
      <x:c r="AA742" s="253" t="str">
        <x:f>IF(V742="No","Maturing",IF(AND(U742="Yes",Y742&gt;0),"Yes","No"))</x:f>
        <x:v>No</x:v>
      </x:c>
      <x:c r="AB742" s="253" t="str">
        <x:f>IF(W742="No","Maturing",IF(AND(U742="Yes",Z742&gt;0),"Yes","No"))</x:f>
        <x:v>No</x:v>
      </x:c>
      <x:c r="AC742" s="265" t="n">
        <x:v>-3950.64</x:v>
      </x:c>
      <x:c r="AD742" s="265" t="n">
        <x:v>-3528.78</x:v>
      </x:c>
      <x:c r="AE742" s="271" t="str"/>
      <x:c r="AF742" s="274" t="str">
        <x:v>Not validated - no control/holdout</x:v>
      </x:c>
      <x:c r="AG742" s="277" t="str">
        <x:v>Recovered execution only; assignment date and unclaimed-offer denominator unavailable</x:v>
      </x:c>
    </x:row>
    <x:row r="743">
      <x:c r="A743" s="252" t="str">
        <x:v>34402797</x:v>
      </x:c>
      <x:c r="B743" s="253" t="str">
        <x:v>WS1</x:v>
      </x:c>
      <x:c r="C743" s="253" t="str">
        <x:v>MB8</x:v>
      </x:c>
      <x:c r="D743" s="262" t="n">
        <x:v>46171.35753472222</x:v>
      </x:c>
      <x:c r="E743" s="259" t="n">
        <x:v>46171.166666666664</x:v>
      </x:c>
      <x:c r="F743" s="253" t="str">
        <x:v>794407</x:v>
      </x:c>
      <x:c r="G743" s="253" t="str">
        <x:v>Tiew2567</x:v>
      </x:c>
      <x:c r="H743" s="253" t="str">
        <x:v>Yes</x:v>
      </x:c>
      <x:c r="I743" s="253" t="str">
        <x:v>zhen</x:v>
      </x:c>
      <x:c r="J743" s="253" t="str">
        <x:v>zhen</x:v>
      </x:c>
      <x:c r="K743" s="259" t="n">
        <x:v>45922.166666666664</x:v>
      </x:c>
      <x:c r="L743" s="268" t="str">
        <x:f>IFERROR(VLOOKUP(I743,'Handler-Team Map'!$A$7:$C$17,2,FALSE),"")</x:f>
      </x:c>
      <x:c r="M743" s="268" t="str">
        <x:f>IFERROR(VLOOKUP(I743,'Handler-Team Map'!$A$7:$C$17,3,FALSE),"")</x:f>
      </x:c>
      <x:c r="N743" s="274" t="str">
        <x:v>FT_VM_DEP1000_GET500_5X</x:v>
      </x:c>
      <x:c r="O743" s="274" t="str">
        <x:v>VIP BONUS - Deposit 1000 Get 500 - 5x TO</x:v>
      </x:c>
      <x:c r="P743" s="274" t="str">
        <x:v>DepositBonus</x:v>
      </x:c>
      <x:c r="Q743" s="274" t="str">
        <x:v>Approved</x:v>
      </x:c>
      <x:c r="R743" s="265" t="n">
        <x:v>500</x:v>
      </x:c>
      <x:c r="S743" s="253" t="str">
        <x:v>Yes</x:v>
      </x:c>
      <x:c r="T743" s="265" t="n">
        <x:v>10900</x:v>
      </x:c>
      <x:c r="U743" s="253" t="str">
        <x:f>IF(AND(S743="Yes",T743=0),"Yes","No")</x:f>
        <x:v>No</x:v>
      </x:c>
      <x:c r="V743" s="253" t="str">
        <x:v>Yes</x:v>
      </x:c>
      <x:c r="W743" s="253" t="str">
        <x:v>Yes</x:v>
      </x:c>
      <x:c r="X743" s="259" t="n">
        <x:v>46171.166666666664</x:v>
      </x:c>
      <x:c r="Y743" s="265" t="n">
        <x:v>3150</x:v>
      </x:c>
      <x:c r="Z743" s="265" t="n">
        <x:v>7150</x:v>
      </x:c>
      <x:c r="AA743" s="253" t="str">
        <x:f>IF(V743="No","Maturing",IF(AND(U743="Yes",Y743&gt;0),"Yes","No"))</x:f>
        <x:v>No</x:v>
      </x:c>
      <x:c r="AB743" s="253" t="str">
        <x:f>IF(W743="No","Maturing",IF(AND(U743="Yes",Z743&gt;0),"Yes","No"))</x:f>
        <x:v>No</x:v>
      </x:c>
      <x:c r="AC743" s="265" t="n">
        <x:v>-1038.55</x:v>
      </x:c>
      <x:c r="AD743" s="265" t="n">
        <x:v>-921</x:v>
      </x:c>
      <x:c r="AE743" s="271" t="str"/>
      <x:c r="AF743" s="274" t="str">
        <x:v>Not validated - no control/holdout</x:v>
      </x:c>
      <x:c r="AG743" s="277" t="str">
        <x:v>Recovered execution only; assignment date and unclaimed-offer denominator unavailable</x:v>
      </x:c>
    </x:row>
    <x:row r="744">
      <x:c r="A744" s="252" t="str">
        <x:v>34403181</x:v>
      </x:c>
      <x:c r="B744" s="253" t="str">
        <x:v>WS1</x:v>
      </x:c>
      <x:c r="C744" s="253" t="str">
        <x:v>MB8</x:v>
      </x:c>
      <x:c r="D744" s="262" t="n">
        <x:v>46171.40667824074</x:v>
      </x:c>
      <x:c r="E744" s="259" t="n">
        <x:v>46171.166666666664</x:v>
      </x:c>
      <x:c r="F744" s="253" t="str">
        <x:v>310009</x:v>
      </x:c>
      <x:c r="G744" s="253" t="str">
        <x:v>Cikopat87</x:v>
      </x:c>
      <x:c r="H744" s="253" t="str">
        <x:v>Yes</x:v>
      </x:c>
      <x:c r="I744" s="253" t="str">
        <x:v>Elda</x:v>
      </x:c>
      <x:c r="J744" s="253" t="str">
        <x:v>Elda</x:v>
      </x:c>
      <x:c r="K744" s="259" t="n">
        <x:v>45659.166666666664</x:v>
      </x:c>
      <x:c r="L744" s="268" t="str">
        <x:f>IFERROR(VLOOKUP(I744,'Handler-Team Map'!$A$7:$C$17,2,FALSE),"")</x:f>
      </x:c>
      <x:c r="M744" s="268" t="str">
        <x:f>IFERROR(VLOOKUP(I744,'Handler-Team Map'!$A$7:$C$17,3,FALSE),"")</x:f>
      </x:c>
      <x:c r="N744" s="274" t="str">
        <x:v>FT_VM_DEP1000_GET800_2X</x:v>
      </x:c>
      <x:c r="O744" s="274" t="str">
        <x:v>VIP BONUS - Deposit 1000 Get 800 - 2x TO</x:v>
      </x:c>
      <x:c r="P744" s="274" t="str">
        <x:v>DepositBonus</x:v>
      </x:c>
      <x:c r="Q744" s="274" t="str">
        <x:v>Approved</x:v>
      </x:c>
      <x:c r="R744" s="265" t="n">
        <x:v>800</x:v>
      </x:c>
      <x:c r="S744" s="253" t="str">
        <x:v>Yes</x:v>
      </x:c>
      <x:c r="T744" s="265" t="n">
        <x:v>1000</x:v>
      </x:c>
      <x:c r="U744" s="253" t="str">
        <x:f>IF(AND(S744="Yes",T744=0),"Yes","No")</x:f>
        <x:v>No</x:v>
      </x:c>
      <x:c r="V744" s="253" t="str">
        <x:v>Yes</x:v>
      </x:c>
      <x:c r="W744" s="253" t="str">
        <x:v>Yes</x:v>
      </x:c>
      <x:c r="X744" s="259" t="n">
        <x:v>46171.166666666664</x:v>
      </x:c>
      <x:c r="Y744" s="265" t="n">
        <x:v>1000</x:v>
      </x:c>
      <x:c r="Z744" s="265" t="n">
        <x:v>1000</x:v>
      </x:c>
      <x:c r="AA744" s="253" t="str">
        <x:f>IF(V744="No","Maturing",IF(AND(U744="Yes",Y744&gt;0),"Yes","No"))</x:f>
        <x:v>No</x:v>
      </x:c>
      <x:c r="AB744" s="253" t="str">
        <x:f>IF(W744="No","Maturing",IF(AND(U744="Yes",Z744&gt;0),"Yes","No"))</x:f>
        <x:v>No</x:v>
      </x:c>
      <x:c r="AC744" s="265" t="n">
        <x:v>1000.33</x:v>
      </x:c>
      <x:c r="AD744" s="265" t="n">
        <x:v>1000.17</x:v>
      </x:c>
      <x:c r="AE744" s="271" t="str"/>
      <x:c r="AF744" s="274" t="str">
        <x:v>Not validated - no control/holdout</x:v>
      </x:c>
      <x:c r="AG744" s="277" t="str">
        <x:v>Recovered execution only; assignment date and unclaimed-offer denominator unavailable</x:v>
      </x:c>
    </x:row>
    <x:row r="745">
      <x:c r="A745" s="252" t="str">
        <x:v>34403338</x:v>
      </x:c>
      <x:c r="B745" s="253" t="str">
        <x:v>WS1</x:v>
      </x:c>
      <x:c r="C745" s="253" t="str">
        <x:v>MB8</x:v>
      </x:c>
      <x:c r="D745" s="262" t="n">
        <x:v>46171.42335648148</x:v>
      </x:c>
      <x:c r="E745" s="259" t="n">
        <x:v>46171.166666666664</x:v>
      </x:c>
      <x:c r="F745" s="253" t="str">
        <x:v>425039</x:v>
      </x:c>
      <x:c r="G745" s="253" t="str">
        <x:v>fiezeen83</x:v>
      </x:c>
      <x:c r="H745" s="253" t="str">
        <x:v>Yes</x:v>
      </x:c>
      <x:c r="I745" s="253" t="str">
        <x:v>Serene</x:v>
      </x:c>
      <x:c r="J745" s="253" t="str">
        <x:v>Serene</x:v>
      </x:c>
      <x:c r="K745" s="259" t="n">
        <x:v>46090.166666666664</x:v>
      </x:c>
      <x:c r="L745" s="268" t="str">
        <x:f>IFERROR(VLOOKUP(I745,'Handler-Team Map'!$A$7:$C$17,2,FALSE),"")</x:f>
      </x:c>
      <x:c r="M745" s="268" t="str">
        <x:f>IFERROR(VLOOKUP(I745,'Handler-Team Map'!$A$7:$C$17,3,FALSE),"")</x:f>
      </x:c>
      <x:c r="N745" s="274" t="str">
        <x:v>FT_VM_DEP1000_GET900_1X</x:v>
      </x:c>
      <x:c r="O745" s="274" t="str">
        <x:v>VIP BONUS - Deposit 1000 Get 900 - 1x TO</x:v>
      </x:c>
      <x:c r="P745" s="274" t="str">
        <x:v>DepositBonus</x:v>
      </x:c>
      <x:c r="Q745" s="274" t="str">
        <x:v>Approved</x:v>
      </x:c>
      <x:c r="R745" s="265" t="n">
        <x:v>900</x:v>
      </x:c>
      <x:c r="S745" s="253" t="str">
        <x:v>Yes</x:v>
      </x:c>
      <x:c r="T745" s="265" t="n">
        <x:v>79</x:v>
      </x:c>
      <x:c r="U745" s="253" t="str">
        <x:f>IF(AND(S745="Yes",T745=0),"Yes","No")</x:f>
        <x:v>No</x:v>
      </x:c>
      <x:c r="V745" s="253" t="str">
        <x:v>Yes</x:v>
      </x:c>
      <x:c r="W745" s="253" t="str">
        <x:v>Yes</x:v>
      </x:c>
      <x:c r="X745" s="259" t="n">
        <x:v>46171.166666666664</x:v>
      </x:c>
      <x:c r="Y745" s="265" t="n">
        <x:v>2340</x:v>
      </x:c>
      <x:c r="Z745" s="265" t="n">
        <x:v>3600</x:v>
      </x:c>
      <x:c r="AA745" s="253" t="str">
        <x:f>IF(V745="No","Maturing",IF(AND(U745="Yes",Y745&gt;0),"Yes","No"))</x:f>
        <x:v>No</x:v>
      </x:c>
      <x:c r="AB745" s="253" t="str">
        <x:f>IF(W745="No","Maturing",IF(AND(U745="Yes",Z745&gt;0),"Yes","No"))</x:f>
        <x:v>No</x:v>
      </x:c>
      <x:c r="AC745" s="265" t="n">
        <x:v>-369.73</x:v>
      </x:c>
      <x:c r="AD745" s="265" t="n">
        <x:v>-1109.7</x:v>
      </x:c>
      <x:c r="AE745" s="271" t="str"/>
      <x:c r="AF745" s="274" t="str">
        <x:v>Not validated - no control/holdout</x:v>
      </x:c>
      <x:c r="AG745" s="277" t="str">
        <x:v>Recovered execution only; assignment date and unclaimed-offer denominator unavailable</x:v>
      </x:c>
    </x:row>
    <x:row r="746">
      <x:c r="A746" s="252" t="str">
        <x:v>34403383</x:v>
      </x:c>
      <x:c r="B746" s="253" t="str">
        <x:v>WS1</x:v>
      </x:c>
      <x:c r="C746" s="253" t="str">
        <x:v>MB8</x:v>
      </x:c>
      <x:c r="D746" s="262" t="n">
        <x:v>46171.427152777775</x:v>
      </x:c>
      <x:c r="E746" s="259" t="n">
        <x:v>46171.166666666664</x:v>
      </x:c>
      <x:c r="F746" s="253" t="str">
        <x:v>723585</x:v>
      </x:c>
      <x:c r="G746" s="253" t="str">
        <x:v>sss126</x:v>
      </x:c>
      <x:c r="H746" s="253" t="str">
        <x:v>Yes</x:v>
      </x:c>
      <x:c r="I746" s="253" t="str">
        <x:v>Kam</x:v>
      </x:c>
      <x:c r="J746" s="253" t="str">
        <x:v>Kam</x:v>
      </x:c>
      <x:c r="K746" s="259" t="n">
        <x:v>45817.166666666664</x:v>
      </x:c>
      <x:c r="L746" s="268" t="str">
        <x:f>IFERROR(VLOOKUP(I746,'Handler-Team Map'!$A$7:$C$17,2,FALSE),"")</x:f>
      </x:c>
      <x:c r="M746" s="268" t="str">
        <x:f>IFERROR(VLOOKUP(I746,'Handler-Team Map'!$A$7:$C$17,3,FALSE),"")</x:f>
      </x:c>
      <x:c r="N746" s="274" t="str">
        <x:v>FT_VM_DEP800_GET400_2X</x:v>
      </x:c>
      <x:c r="O746" s="274" t="str">
        <x:v>VIP BONUS - Deposit 800 Get 400 - 2x TO</x:v>
      </x:c>
      <x:c r="P746" s="274" t="str">
        <x:v>DepositBonus</x:v>
      </x:c>
      <x:c r="Q746" s="274" t="str">
        <x:v>Approved</x:v>
      </x:c>
      <x:c r="R746" s="265" t="n">
        <x:v>400</x:v>
      </x:c>
      <x:c r="S746" s="253" t="str">
        <x:v>Yes</x:v>
      </x:c>
      <x:c r="T746" s="265" t="n">
        <x:v>678</x:v>
      </x:c>
      <x:c r="U746" s="253" t="str">
        <x:f>IF(AND(S746="Yes",T746=0),"Yes","No")</x:f>
        <x:v>No</x:v>
      </x:c>
      <x:c r="V746" s="253" t="str">
        <x:v>Yes</x:v>
      </x:c>
      <x:c r="W746" s="253" t="str">
        <x:v>Yes</x:v>
      </x:c>
      <x:c r="X746" s="259" t="n">
        <x:v>46171.166666666664</x:v>
      </x:c>
      <x:c r="Y746" s="265" t="n">
        <x:v>800</x:v>
      </x:c>
      <x:c r="Z746" s="265" t="n">
        <x:v>1200</x:v>
      </x:c>
      <x:c r="AA746" s="253" t="str">
        <x:f>IF(V746="No","Maturing",IF(AND(U746="Yes",Y746&gt;0),"Yes","No"))</x:f>
        <x:v>No</x:v>
      </x:c>
      <x:c r="AB746" s="253" t="str">
        <x:f>IF(W746="No","Maturing",IF(AND(U746="Yes",Z746&gt;0),"Yes","No"))</x:f>
        <x:v>No</x:v>
      </x:c>
      <x:c r="AC746" s="265" t="n">
        <x:v>566.03</x:v>
      </x:c>
      <x:c r="AD746" s="265" t="n">
        <x:v>-545.4</x:v>
      </x:c>
      <x:c r="AE746" s="271" t="str"/>
      <x:c r="AF746" s="274" t="str">
        <x:v>Not validated - no control/holdout</x:v>
      </x:c>
      <x:c r="AG746" s="277" t="str">
        <x:v>Recovered execution only; assignment date and unclaimed-offer denominator unavailable</x:v>
      </x:c>
    </x:row>
    <x:row r="747">
      <x:c r="A747" s="252" t="str">
        <x:v>34404511</x:v>
      </x:c>
      <x:c r="B747" s="253" t="str">
        <x:v>WS1</x:v>
      </x:c>
      <x:c r="C747" s="253" t="str">
        <x:v>MB8</x:v>
      </x:c>
      <x:c r="D747" s="262" t="n">
        <x:v>46171.5340162037</x:v>
      </x:c>
      <x:c r="E747" s="259" t="n">
        <x:v>46171.166666666664</x:v>
      </x:c>
      <x:c r="F747" s="253" t="str">
        <x:v>431617</x:v>
      </x:c>
      <x:c r="G747" s="253" t="str">
        <x:v>Sase8827</x:v>
      </x:c>
      <x:c r="H747" s="253" t="str">
        <x:v>Yes</x:v>
      </x:c>
      <x:c r="I747" s="253" t="str"/>
      <x:c r="J747" s="253" t="str"/>
      <x:c r="K747" s="259"/>
      <x:c r="L747" s="268" t="str">
        <x:f>IFERROR(VLOOKUP(I747,'Handler-Team Map'!$A$7:$C$17,2,FALSE),"")</x:f>
      </x:c>
      <x:c r="M747" s="268" t="str">
        <x:f>IFERROR(VLOOKUP(I747,'Handler-Team Map'!$A$7:$C$17,3,FALSE),"")</x:f>
      </x:c>
      <x:c r="N747" s="274" t="str">
        <x:v>FT_VM_DEP1000_GET700_1X</x:v>
      </x:c>
      <x:c r="O747" s="274" t="str">
        <x:v>VIP BONUS - Deposit 1000 Get 700 - 1x TO</x:v>
      </x:c>
      <x:c r="P747" s="274" t="str">
        <x:v>DepositBonus</x:v>
      </x:c>
      <x:c r="Q747" s="274" t="str">
        <x:v>Approved</x:v>
      </x:c>
      <x:c r="R747" s="265" t="n">
        <x:v>700</x:v>
      </x:c>
      <x:c r="S747" s="253" t="str">
        <x:v>Yes</x:v>
      </x:c>
      <x:c r="T747" s="265" t="n">
        <x:v>500</x:v>
      </x:c>
      <x:c r="U747" s="253" t="str">
        <x:f>IF(AND(S747="Yes",T747=0),"Yes","No")</x:f>
        <x:v>No</x:v>
      </x:c>
      <x:c r="V747" s="253" t="str">
        <x:v>Yes</x:v>
      </x:c>
      <x:c r="W747" s="253" t="str">
        <x:v>Yes</x:v>
      </x:c>
      <x:c r="X747" s="259" t="n">
        <x:v>46171.166666666664</x:v>
      </x:c>
      <x:c r="Y747" s="265" t="n">
        <x:v>2000</x:v>
      </x:c>
      <x:c r="Z747" s="265" t="n">
        <x:v>2450</x:v>
      </x:c>
      <x:c r="AA747" s="253" t="str">
        <x:f>IF(V747="No","Maturing",IF(AND(U747="Yes",Y747&gt;0),"Yes","No"))</x:f>
        <x:v>No</x:v>
      </x:c>
      <x:c r="AB747" s="253" t="str">
        <x:f>IF(W747="No","Maturing",IF(AND(U747="Yes",Z747&gt;0),"Yes","No"))</x:f>
        <x:v>No</x:v>
      </x:c>
      <x:c r="AC747" s="265" t="n">
        <x:v>1302.43</x:v>
      </x:c>
      <x:c r="AD747" s="265" t="n">
        <x:v>1950.22</x:v>
      </x:c>
      <x:c r="AE747" s="271" t="str"/>
      <x:c r="AF747" s="274" t="str">
        <x:v>Not validated - no control/holdout</x:v>
      </x:c>
      <x:c r="AG747" s="277" t="str">
        <x:v>Recovered execution only; assignment date and unclaimed-offer denominator unavailable</x:v>
      </x:c>
    </x:row>
    <x:row r="748">
      <x:c r="A748" s="252" t="str">
        <x:v>34406230</x:v>
      </x:c>
      <x:c r="B748" s="253" t="str">
        <x:v>WS1</x:v>
      </x:c>
      <x:c r="C748" s="253" t="str">
        <x:v>MB8</x:v>
      </x:c>
      <x:c r="D748" s="262" t="n">
        <x:v>46171.67193287037</x:v>
      </x:c>
      <x:c r="E748" s="259" t="n">
        <x:v>46171.166666666664</x:v>
      </x:c>
      <x:c r="F748" s="253" t="str">
        <x:v>203662</x:v>
      </x:c>
      <x:c r="G748" s="253" t="str">
        <x:v>Muinfaizal</x:v>
      </x:c>
      <x:c r="H748" s="253" t="str">
        <x:v>Yes</x:v>
      </x:c>
      <x:c r="I748" s="253" t="str">
        <x:v>Elda</x:v>
      </x:c>
      <x:c r="J748" s="253" t="str">
        <x:v>Elda</x:v>
      </x:c>
      <x:c r="K748" s="259" t="n">
        <x:v>45790.166666666664</x:v>
      </x:c>
      <x:c r="L748" s="268" t="str">
        <x:f>IFERROR(VLOOKUP(I748,'Handler-Team Map'!$A$7:$C$17,2,FALSE),"")</x:f>
      </x:c>
      <x:c r="M748" s="268" t="str">
        <x:f>IFERROR(VLOOKUP(I748,'Handler-Team Map'!$A$7:$C$17,3,FALSE),"")</x:f>
      </x:c>
      <x:c r="N748" s="274" t="str">
        <x:v>FT_VM_DEP1000_GET500_5X</x:v>
      </x:c>
      <x:c r="O748" s="274" t="str">
        <x:v>VIP BONUS - Deposit 1000 Get 500 - 5x TO</x:v>
      </x:c>
      <x:c r="P748" s="274" t="str">
        <x:v>DepositBonus</x:v>
      </x:c>
      <x:c r="Q748" s="274" t="str">
        <x:v>Approved</x:v>
      </x:c>
      <x:c r="R748" s="265" t="n">
        <x:v>500</x:v>
      </x:c>
      <x:c r="S748" s="253" t="str">
        <x:v>Yes</x:v>
      </x:c>
      <x:c r="T748" s="265" t="n">
        <x:v>22911.84</x:v>
      </x:c>
      <x:c r="U748" s="253" t="str">
        <x:f>IF(AND(S748="Yes",T748=0),"Yes","No")</x:f>
        <x:v>No</x:v>
      </x:c>
      <x:c r="V748" s="253" t="str">
        <x:v>Yes</x:v>
      </x:c>
      <x:c r="W748" s="253" t="str">
        <x:v>Yes</x:v>
      </x:c>
      <x:c r="X748" s="259" t="n">
        <x:v>46171.166666666664</x:v>
      </x:c>
      <x:c r="Y748" s="265" t="n">
        <x:v>13980</x:v>
      </x:c>
      <x:c r="Z748" s="265" t="n">
        <x:v>16391.93</x:v>
      </x:c>
      <x:c r="AA748" s="253" t="str">
        <x:f>IF(V748="No","Maturing",IF(AND(U748="Yes",Y748&gt;0),"Yes","No"))</x:f>
        <x:v>No</x:v>
      </x:c>
      <x:c r="AB748" s="253" t="str">
        <x:f>IF(W748="No","Maturing",IF(AND(U748="Yes",Z748&gt;0),"Yes","No"))</x:f>
        <x:v>No</x:v>
      </x:c>
      <x:c r="AC748" s="265" t="n">
        <x:v>-1735.62</x:v>
      </x:c>
      <x:c r="AD748" s="265" t="n">
        <x:v>-1375.64</x:v>
      </x:c>
      <x:c r="AE748" s="271" t="str"/>
      <x:c r="AF748" s="274" t="str">
        <x:v>Not validated - no control/holdout</x:v>
      </x:c>
      <x:c r="AG748" s="277" t="str">
        <x:v>Recovered execution only; assignment date and unclaimed-offer denominator unavailable</x:v>
      </x:c>
    </x:row>
    <x:row r="749">
      <x:c r="A749" s="252" t="str">
        <x:v>34406761</x:v>
      </x:c>
      <x:c r="B749" s="253" t="str">
        <x:v>WS1</x:v>
      </x:c>
      <x:c r="C749" s="253" t="str">
        <x:v>MB8</x:v>
      </x:c>
      <x:c r="D749" s="262" t="n">
        <x:v>46171.707974537036</x:v>
      </x:c>
      <x:c r="E749" s="259" t="n">
        <x:v>46171.166666666664</x:v>
      </x:c>
      <x:c r="F749" s="253" t="str">
        <x:v>139342</x:v>
      </x:c>
      <x:c r="G749" s="253" t="str">
        <x:v>Leevin10</x:v>
      </x:c>
      <x:c r="H749" s="253" t="str">
        <x:v>Yes</x:v>
      </x:c>
      <x:c r="I749" s="253" t="str">
        <x:v>zhen</x:v>
      </x:c>
      <x:c r="J749" s="253" t="str">
        <x:v>zhen</x:v>
      </x:c>
      <x:c r="K749" s="259" t="n">
        <x:v>46090.166666666664</x:v>
      </x:c>
      <x:c r="L749" s="268" t="str">
        <x:f>IFERROR(VLOOKUP(I749,'Handler-Team Map'!$A$7:$C$17,2,FALSE),"")</x:f>
      </x:c>
      <x:c r="M749" s="268" t="str">
        <x:f>IFERROR(VLOOKUP(I749,'Handler-Team Map'!$A$7:$C$17,3,FALSE),"")</x:f>
      </x:c>
      <x:c r="N749" s="274" t="str">
        <x:v>FT_VM_DEP600_GET200_5X</x:v>
      </x:c>
      <x:c r="O749" s="274" t="str">
        <x:v>VIP BONUS - Deposit 600 Get 200 - 5x TO</x:v>
      </x:c>
      <x:c r="P749" s="274" t="str">
        <x:v>DepositBonus</x:v>
      </x:c>
      <x:c r="Q749" s="274" t="str">
        <x:v>Approved</x:v>
      </x:c>
      <x:c r="R749" s="265" t="n">
        <x:v>200</x:v>
      </x:c>
      <x:c r="S749" s="253" t="str">
        <x:v>Yes</x:v>
      </x:c>
      <x:c r="T749" s="265" t="n">
        <x:v>12920</x:v>
      </x:c>
      <x:c r="U749" s="253" t="str">
        <x:f>IF(AND(S749="Yes",T749=0),"Yes","No")</x:f>
        <x:v>No</x:v>
      </x:c>
      <x:c r="V749" s="253" t="str">
        <x:v>Yes</x:v>
      </x:c>
      <x:c r="W749" s="253" t="str">
        <x:v>Yes</x:v>
      </x:c>
      <x:c r="X749" s="259" t="n">
        <x:v>46171.166666666664</x:v>
      </x:c>
      <x:c r="Y749" s="265" t="n">
        <x:v>14400</x:v>
      </x:c>
      <x:c r="Z749" s="265" t="n">
        <x:v>14500</x:v>
      </x:c>
      <x:c r="AA749" s="253" t="str">
        <x:f>IF(V749="No","Maturing",IF(AND(U749="Yes",Y749&gt;0),"Yes","No"))</x:f>
        <x:v>No</x:v>
      </x:c>
      <x:c r="AB749" s="253" t="str">
        <x:f>IF(W749="No","Maturing",IF(AND(U749="Yes",Z749&gt;0),"Yes","No"))</x:f>
        <x:v>No</x:v>
      </x:c>
      <x:c r="AC749" s="265" t="n">
        <x:v>-16658.89</x:v>
      </x:c>
      <x:c r="AD749" s="265" t="n">
        <x:v>-16774.25</x:v>
      </x:c>
      <x:c r="AE749" s="271" t="str"/>
      <x:c r="AF749" s="274" t="str">
        <x:v>Not validated - no control/holdout</x:v>
      </x:c>
      <x:c r="AG749" s="277" t="str">
        <x:v>Recovered execution only; assignment date and unclaimed-offer denominator unavailable</x:v>
      </x:c>
    </x:row>
    <x:row r="750">
      <x:c r="A750" s="252" t="str">
        <x:v>34406782</x:v>
      </x:c>
      <x:c r="B750" s="253" t="str">
        <x:v>WS1</x:v>
      </x:c>
      <x:c r="C750" s="253" t="str">
        <x:v>MB8</x:v>
      </x:c>
      <x:c r="D750" s="262" t="n">
        <x:v>46171.70949074074</x:v>
      </x:c>
      <x:c r="E750" s="259" t="n">
        <x:v>46171.166666666664</x:v>
      </x:c>
      <x:c r="F750" s="253" t="str">
        <x:v>434707</x:v>
      </x:c>
      <x:c r="G750" s="253" t="str">
        <x:v>Bee8295</x:v>
      </x:c>
      <x:c r="H750" s="253" t="str">
        <x:v>Yes</x:v>
      </x:c>
      <x:c r="I750" s="253" t="str"/>
      <x:c r="J750" s="253" t="str"/>
      <x:c r="K750" s="259"/>
      <x:c r="L750" s="268" t="str">
        <x:f>IFERROR(VLOOKUP(I750,'Handler-Team Map'!$A$7:$C$17,2,FALSE),"")</x:f>
      </x:c>
      <x:c r="M750" s="268" t="str">
        <x:f>IFERROR(VLOOKUP(I750,'Handler-Team Map'!$A$7:$C$17,3,FALSE),"")</x:f>
      </x:c>
      <x:c r="N750" s="274" t="str">
        <x:v>FT_VM_DEP1000_GET500_2X</x:v>
      </x:c>
      <x:c r="O750" s="274" t="str">
        <x:v>VIP BONUS - Deposit 1000 Get 500 - 2x TO</x:v>
      </x:c>
      <x:c r="P750" s="274" t="str">
        <x:v>DepositBonus</x:v>
      </x:c>
      <x:c r="Q750" s="274" t="str">
        <x:v>Approved</x:v>
      </x:c>
      <x:c r="R750" s="265" t="n">
        <x:v>500</x:v>
      </x:c>
      <x:c r="S750" s="253" t="str">
        <x:v>Yes</x:v>
      </x:c>
      <x:c r="T750" s="265" t="n">
        <x:v>1030</x:v>
      </x:c>
      <x:c r="U750" s="253" t="str">
        <x:f>IF(AND(S750="Yes",T750=0),"Yes","No")</x:f>
        <x:v>No</x:v>
      </x:c>
      <x:c r="V750" s="253" t="str">
        <x:v>Yes</x:v>
      </x:c>
      <x:c r="W750" s="253" t="str">
        <x:v>Yes</x:v>
      </x:c>
      <x:c r="X750" s="259" t="n">
        <x:v>46171.166666666664</x:v>
      </x:c>
      <x:c r="Y750" s="265" t="n">
        <x:v>1000</x:v>
      </x:c>
      <x:c r="Z750" s="265" t="n">
        <x:v>1000</x:v>
      </x:c>
      <x:c r="AA750" s="253" t="str">
        <x:f>IF(V750="No","Maturing",IF(AND(U750="Yes",Y750&gt;0),"Yes","No"))</x:f>
        <x:v>No</x:v>
      </x:c>
      <x:c r="AB750" s="253" t="str">
        <x:f>IF(W750="No","Maturing",IF(AND(U750="Yes",Z750&gt;0),"Yes","No"))</x:f>
        <x:v>No</x:v>
      </x:c>
      <x:c r="AC750" s="265" t="n">
        <x:v>-748.21</x:v>
      </x:c>
      <x:c r="AD750" s="265" t="n">
        <x:v>-746.2</x:v>
      </x:c>
      <x:c r="AE750" s="271" t="str"/>
      <x:c r="AF750" s="274" t="str">
        <x:v>Not validated - no control/holdout</x:v>
      </x:c>
      <x:c r="AG750" s="277" t="str">
        <x:v>Recovered execution only; assignment date and unclaimed-offer denominator unavailable</x:v>
      </x:c>
    </x:row>
    <x:row r="751">
      <x:c r="A751" s="252" t="str">
        <x:v>34407072</x:v>
      </x:c>
      <x:c r="B751" s="253" t="str">
        <x:v>WS1</x:v>
      </x:c>
      <x:c r="C751" s="253" t="str">
        <x:v>MB8</x:v>
      </x:c>
      <x:c r="D751" s="262" t="n">
        <x:v>46171.72908564815</x:v>
      </x:c>
      <x:c r="E751" s="259" t="n">
        <x:v>46171.166666666664</x:v>
      </x:c>
      <x:c r="F751" s="253" t="str">
        <x:v>144118</x:v>
      </x:c>
      <x:c r="G751" s="253" t="str">
        <x:v>Mark777</x:v>
      </x:c>
      <x:c r="H751" s="253" t="str">
        <x:v>Yes</x:v>
      </x:c>
      <x:c r="I751" s="253" t="str"/>
      <x:c r="J751" s="253" t="str"/>
      <x:c r="K751" s="259"/>
      <x:c r="L751" s="268" t="str">
        <x:f>IFERROR(VLOOKUP(I751,'Handler-Team Map'!$A$7:$C$17,2,FALSE),"")</x:f>
      </x:c>
      <x:c r="M751" s="268" t="str">
        <x:f>IFERROR(VLOOKUP(I751,'Handler-Team Map'!$A$7:$C$17,3,FALSE),"")</x:f>
      </x:c>
      <x:c r="N751" s="274" t="str">
        <x:v>FT_VM_DEP800_GET400_1X</x:v>
      </x:c>
      <x:c r="O751" s="274" t="str">
        <x:v>VIP BONUS - Deposit 800 Get 400 - 1x TO</x:v>
      </x:c>
      <x:c r="P751" s="274" t="str">
        <x:v>DepositBonus</x:v>
      </x:c>
      <x:c r="Q751" s="274" t="str">
        <x:v>Approved</x:v>
      </x:c>
      <x:c r="R751" s="265" t="n">
        <x:v>400</x:v>
      </x:c>
      <x:c r="S751" s="253" t="str">
        <x:v>Yes</x:v>
      </x:c>
      <x:c r="T751" s="265" t="n">
        <x:v>800</x:v>
      </x:c>
      <x:c r="U751" s="253" t="str">
        <x:f>IF(AND(S751="Yes",T751=0),"Yes","No")</x:f>
        <x:v>No</x:v>
      </x:c>
      <x:c r="V751" s="253" t="str">
        <x:v>Yes</x:v>
      </x:c>
      <x:c r="W751" s="253" t="str">
        <x:v>Yes</x:v>
      </x:c>
      <x:c r="X751" s="259" t="n">
        <x:v>46171.166666666664</x:v>
      </x:c>
      <x:c r="Y751" s="265" t="n">
        <x:v>800</x:v>
      </x:c>
      <x:c r="Z751" s="265" t="n">
        <x:v>800</x:v>
      </x:c>
      <x:c r="AA751" s="253" t="str">
        <x:f>IF(V751="No","Maturing",IF(AND(U751="Yes",Y751&gt;0),"Yes","No"))</x:f>
        <x:v>No</x:v>
      </x:c>
      <x:c r="AB751" s="253" t="str">
        <x:f>IF(W751="No","Maturing",IF(AND(U751="Yes",Z751&gt;0),"Yes","No"))</x:f>
        <x:v>No</x:v>
      </x:c>
      <x:c r="AC751" s="265" t="n">
        <x:v>800.17</x:v>
      </x:c>
      <x:c r="AD751" s="265" t="n">
        <x:v>697.95</x:v>
      </x:c>
      <x:c r="AE751" s="271" t="str"/>
      <x:c r="AF751" s="274" t="str">
        <x:v>Not validated - no control/holdout</x:v>
      </x:c>
      <x:c r="AG751" s="277" t="str">
        <x:v>Recovered execution only; assignment date and unclaimed-offer denominator unavailable</x:v>
      </x:c>
    </x:row>
    <x:row r="752">
      <x:c r="A752" s="252" t="str">
        <x:v>34408552</x:v>
      </x:c>
      <x:c r="B752" s="253" t="str">
        <x:v>WS1</x:v>
      </x:c>
      <x:c r="C752" s="253" t="str">
        <x:v>MB8</x:v>
      </x:c>
      <x:c r="D752" s="262" t="n">
        <x:v>46171.83136574074</x:v>
      </x:c>
      <x:c r="E752" s="259" t="n">
        <x:v>46171.166666666664</x:v>
      </x:c>
      <x:c r="F752" s="253" t="str">
        <x:v>708763</x:v>
      </x:c>
      <x:c r="G752" s="253" t="str">
        <x:v>Matthewshen03</x:v>
      </x:c>
      <x:c r="H752" s="253" t="str">
        <x:v>Yes</x:v>
      </x:c>
      <x:c r="I752" s="253" t="str"/>
      <x:c r="J752" s="253" t="str"/>
      <x:c r="K752" s="259"/>
      <x:c r="L752" s="268" t="str">
        <x:f>IFERROR(VLOOKUP(I752,'Handler-Team Map'!$A$7:$C$17,2,FALSE),"")</x:f>
      </x:c>
      <x:c r="M752" s="268" t="str">
        <x:f>IFERROR(VLOOKUP(I752,'Handler-Team Map'!$A$7:$C$17,3,FALSE),"")</x:f>
      </x:c>
      <x:c r="N752" s="274" t="str">
        <x:v>FT_VM_DEP600_GET200_5X</x:v>
      </x:c>
      <x:c r="O752" s="274" t="str">
        <x:v>VIP BONUS - Deposit 600 Get 200 - 5x TO</x:v>
      </x:c>
      <x:c r="P752" s="274" t="str">
        <x:v>DepositBonus</x:v>
      </x:c>
      <x:c r="Q752" s="274" t="str">
        <x:v>Approved</x:v>
      </x:c>
      <x:c r="R752" s="265" t="n">
        <x:v>200</x:v>
      </x:c>
      <x:c r="S752" s="253" t="str">
        <x:v>Yes</x:v>
      </x:c>
      <x:c r="T752" s="265" t="n">
        <x:v>4800</x:v>
      </x:c>
      <x:c r="U752" s="253" t="str">
        <x:f>IF(AND(S752="Yes",T752=0),"Yes","No")</x:f>
        <x:v>No</x:v>
      </x:c>
      <x:c r="V752" s="253" t="str">
        <x:v>Yes</x:v>
      </x:c>
      <x:c r="W752" s="253" t="str">
        <x:v>Yes</x:v>
      </x:c>
      <x:c r="X752" s="259" t="n">
        <x:v>46171.166666666664</x:v>
      </x:c>
      <x:c r="Y752" s="265" t="n">
        <x:v>600</x:v>
      </x:c>
      <x:c r="Z752" s="265" t="n">
        <x:v>700</x:v>
      </x:c>
      <x:c r="AA752" s="253" t="str">
        <x:f>IF(V752="No","Maturing",IF(AND(U752="Yes",Y752&gt;0),"Yes","No"))</x:f>
        <x:v>No</x:v>
      </x:c>
      <x:c r="AB752" s="253" t="str">
        <x:f>IF(W752="No","Maturing",IF(AND(U752="Yes",Z752&gt;0),"Yes","No"))</x:f>
        <x:v>No</x:v>
      </x:c>
      <x:c r="AC752" s="265" t="n">
        <x:v>859.81</x:v>
      </x:c>
      <x:c r="AD752" s="265" t="n">
        <x:v>961.79</x:v>
      </x:c>
      <x:c r="AE752" s="271" t="str"/>
      <x:c r="AF752" s="274" t="str">
        <x:v>Not validated - no control/holdout</x:v>
      </x:c>
      <x:c r="AG752" s="277" t="str">
        <x:v>Recovered execution only; assignment date and unclaimed-offer denominator unavailable</x:v>
      </x:c>
    </x:row>
    <x:row r="753">
      <x:c r="A753" s="252" t="str">
        <x:v>34409314</x:v>
      </x:c>
      <x:c r="B753" s="253" t="str">
        <x:v>WS1</x:v>
      </x:c>
      <x:c r="C753" s="253" t="str">
        <x:v>MB8</x:v>
      </x:c>
      <x:c r="D753" s="262" t="n">
        <x:v>46171.8852662037</x:v>
      </x:c>
      <x:c r="E753" s="259" t="n">
        <x:v>46171.166666666664</x:v>
      </x:c>
      <x:c r="F753" s="253" t="str">
        <x:v>113180</x:v>
      </x:c>
      <x:c r="G753" s="253" t="str">
        <x:v>Hazel</x:v>
      </x:c>
      <x:c r="H753" s="253" t="str">
        <x:v>Yes</x:v>
      </x:c>
      <x:c r="I753" s="253" t="str">
        <x:v>Serene</x:v>
      </x:c>
      <x:c r="J753" s="253" t="str">
        <x:v>Serene</x:v>
      </x:c>
      <x:c r="K753" s="259" t="n">
        <x:v>45831.166666666664</x:v>
      </x:c>
      <x:c r="L753" s="268" t="str">
        <x:f>IFERROR(VLOOKUP(I753,'Handler-Team Map'!$A$7:$C$17,2,FALSE),"")</x:f>
      </x:c>
      <x:c r="M753" s="268" t="str">
        <x:f>IFERROR(VLOOKUP(I753,'Handler-Team Map'!$A$7:$C$17,3,FALSE),"")</x:f>
      </x:c>
      <x:c r="N753" s="274" t="str">
        <x:v>FT_VM_DEP1000_GET500_5X</x:v>
      </x:c>
      <x:c r="O753" s="274" t="str">
        <x:v>VIP BONUS - Deposit 1000 Get 500 - 5x TO</x:v>
      </x:c>
      <x:c r="P753" s="274" t="str">
        <x:v>DepositBonus</x:v>
      </x:c>
      <x:c r="Q753" s="274" t="str">
        <x:v>Approved</x:v>
      </x:c>
      <x:c r="R753" s="265" t="n">
        <x:v>500</x:v>
      </x:c>
      <x:c r="S753" s="253" t="str">
        <x:v>Yes</x:v>
      </x:c>
      <x:c r="T753" s="265" t="n">
        <x:v>5570</x:v>
      </x:c>
      <x:c r="U753" s="253" t="str">
        <x:f>IF(AND(S753="Yes",T753=0),"Yes","No")</x:f>
        <x:v>No</x:v>
      </x:c>
      <x:c r="V753" s="253" t="str">
        <x:v>Yes</x:v>
      </x:c>
      <x:c r="W753" s="253" t="str">
        <x:v>Yes</x:v>
      </x:c>
      <x:c r="X753" s="259" t="n">
        <x:v>46171.166666666664</x:v>
      </x:c>
      <x:c r="Y753" s="265" t="n">
        <x:v>1235</x:v>
      </x:c>
      <x:c r="Z753" s="265" t="n">
        <x:v>2515</x:v>
      </x:c>
      <x:c r="AA753" s="253" t="str">
        <x:f>IF(V753="No","Maturing",IF(AND(U753="Yes",Y753&gt;0),"Yes","No"))</x:f>
        <x:v>No</x:v>
      </x:c>
      <x:c r="AB753" s="253" t="str">
        <x:f>IF(W753="No","Maturing",IF(AND(U753="Yes",Z753&gt;0),"Yes","No"))</x:f>
        <x:v>No</x:v>
      </x:c>
      <x:c r="AC753" s="265" t="n">
        <x:v>687.25</x:v>
      </x:c>
      <x:c r="AD753" s="265" t="n">
        <x:v>1876.33</x:v>
      </x:c>
      <x:c r="AE753" s="271" t="str"/>
      <x:c r="AF753" s="274" t="str">
        <x:v>Not validated - no control/holdout</x:v>
      </x:c>
      <x:c r="AG753" s="277" t="str">
        <x:v>Recovered execution only; assignment date and unclaimed-offer denominator unavailable</x:v>
      </x:c>
    </x:row>
    <x:row r="754">
      <x:c r="A754" s="252" t="str">
        <x:v>34411040</x:v>
      </x:c>
      <x:c r="B754" s="253" t="str">
        <x:v>WS1</x:v>
      </x:c>
      <x:c r="C754" s="253" t="str">
        <x:v>MB8</x:v>
      </x:c>
      <x:c r="D754" s="262" t="n">
        <x:v>46171.967152777775</x:v>
      </x:c>
      <x:c r="E754" s="259" t="n">
        <x:v>46171.166666666664</x:v>
      </x:c>
      <x:c r="F754" s="253" t="str">
        <x:v>512535</x:v>
      </x:c>
      <x:c r="G754" s="253" t="str">
        <x:v>betwin1234</x:v>
      </x:c>
      <x:c r="H754" s="253" t="str">
        <x:v>Yes</x:v>
      </x:c>
      <x:c r="I754" s="253" t="str">
        <x:v>Jiahui</x:v>
      </x:c>
      <x:c r="J754" s="253" t="str">
        <x:v>Jiahui</x:v>
      </x:c>
      <x:c r="K754" s="259" t="n">
        <x:v>46097.166666666664</x:v>
      </x:c>
      <x:c r="L754" s="268" t="str">
        <x:f>IFERROR(VLOOKUP(I754,'Handler-Team Map'!$A$7:$C$17,2,FALSE),"")</x:f>
      </x:c>
      <x:c r="M754" s="268" t="str">
        <x:f>IFERROR(VLOOKUP(I754,'Handler-Team Map'!$A$7:$C$17,3,FALSE),"")</x:f>
      </x:c>
      <x:c r="N754" s="274" t="str">
        <x:v>FT_VM_DEP1000_GET800_2X</x:v>
      </x:c>
      <x:c r="O754" s="274" t="str">
        <x:v>VIP BONUS - Deposit 1000 Get 800 - 2x TO</x:v>
      </x:c>
      <x:c r="P754" s="274" t="str">
        <x:v>DepositBonus</x:v>
      </x:c>
      <x:c r="Q754" s="274" t="str">
        <x:v>Approved</x:v>
      </x:c>
      <x:c r="R754" s="265" t="n">
        <x:v>800</x:v>
      </x:c>
      <x:c r="S754" s="253" t="str">
        <x:v>Yes</x:v>
      </x:c>
      <x:c r="T754" s="265" t="n">
        <x:v>2940</x:v>
      </x:c>
      <x:c r="U754" s="253" t="str">
        <x:f>IF(AND(S754="Yes",T754=0),"Yes","No")</x:f>
        <x:v>No</x:v>
      </x:c>
      <x:c r="V754" s="253" t="str">
        <x:v>Yes</x:v>
      </x:c>
      <x:c r="W754" s="253" t="str">
        <x:v>Yes</x:v>
      </x:c>
      <x:c r="X754" s="259" t="n">
        <x:v>46171.166666666664</x:v>
      </x:c>
      <x:c r="Y754" s="265" t="n">
        <x:v>10009</x:v>
      </x:c>
      <x:c r="Z754" s="265" t="n">
        <x:v>20443</x:v>
      </x:c>
      <x:c r="AA754" s="253" t="str">
        <x:f>IF(V754="No","Maturing",IF(AND(U754="Yes",Y754&gt;0),"Yes","No"))</x:f>
        <x:v>No</x:v>
      </x:c>
      <x:c r="AB754" s="253" t="str">
        <x:f>IF(W754="No","Maturing",IF(AND(U754="Yes",Z754&gt;0),"Yes","No"))</x:f>
        <x:v>No</x:v>
      </x:c>
      <x:c r="AC754" s="265" t="n">
        <x:v>9796</x:v>
      </x:c>
      <x:c r="AD754" s="265" t="n">
        <x:v>13087.04</x:v>
      </x:c>
      <x:c r="AE754" s="271" t="str"/>
      <x:c r="AF754" s="274" t="str">
        <x:v>Not validated - no control/holdout</x:v>
      </x:c>
      <x:c r="AG754" s="277" t="str">
        <x:v>Recovered execution only; assignment date and unclaimed-offer denominator unavailable</x:v>
      </x:c>
    </x:row>
    <x:row r="755">
      <x:c r="A755" s="252" t="str">
        <x:v>34416752</x:v>
      </x:c>
      <x:c r="B755" s="253" t="str">
        <x:v>WS1</x:v>
      </x:c>
      <x:c r="C755" s="253" t="str">
        <x:v>MB8</x:v>
      </x:c>
      <x:c r="D755" s="262" t="n">
        <x:v>46172.45346064815</x:v>
      </x:c>
      <x:c r="E755" s="259" t="n">
        <x:v>46172.166666666664</x:v>
      </x:c>
      <x:c r="F755" s="253" t="str">
        <x:v>65606</x:v>
      </x:c>
      <x:c r="G755" s="253" t="str">
        <x:v>Wkr365066</x:v>
      </x:c>
      <x:c r="H755" s="253" t="str">
        <x:v>Yes</x:v>
      </x:c>
      <x:c r="I755" s="253" t="str">
        <x:v>Jiahui</x:v>
      </x:c>
      <x:c r="J755" s="253" t="str">
        <x:v>Jiahui</x:v>
      </x:c>
      <x:c r="K755" s="259" t="n">
        <x:v>46090.166666666664</x:v>
      </x:c>
      <x:c r="L755" s="268" t="str">
        <x:f>IFERROR(VLOOKUP(I755,'Handler-Team Map'!$A$7:$C$17,2,FALSE),"")</x:f>
      </x:c>
      <x:c r="M755" s="268" t="str">
        <x:f>IFERROR(VLOOKUP(I755,'Handler-Team Map'!$A$7:$C$17,3,FALSE),"")</x:f>
      </x:c>
      <x:c r="N755" s="274" t="str">
        <x:v>FT_VM_DEP300_GET100_5X</x:v>
      </x:c>
      <x:c r="O755" s="274" t="str">
        <x:v>VIP BONUS - Deposit 300 Get 100 - 5x TO</x:v>
      </x:c>
      <x:c r="P755" s="274" t="str">
        <x:v>DepositBonus</x:v>
      </x:c>
      <x:c r="Q755" s="274" t="str">
        <x:v>Approved</x:v>
      </x:c>
      <x:c r="R755" s="265" t="n">
        <x:v>100</x:v>
      </x:c>
      <x:c r="S755" s="253" t="str">
        <x:v>Yes</x:v>
      </x:c>
      <x:c r="T755" s="265" t="n">
        <x:v>20100</x:v>
      </x:c>
      <x:c r="U755" s="253" t="str">
        <x:f>IF(AND(S755="Yes",T755=0),"Yes","No")</x:f>
        <x:v>No</x:v>
      </x:c>
      <x:c r="V755" s="253" t="str">
        <x:v>Yes</x:v>
      </x:c>
      <x:c r="W755" s="253" t="str">
        <x:v>Yes</x:v>
      </x:c>
      <x:c r="X755" s="259" t="n">
        <x:v>46172.166666666664</x:v>
      </x:c>
      <x:c r="Y755" s="265" t="n">
        <x:v>25800</x:v>
      </x:c>
      <x:c r="Z755" s="265" t="n">
        <x:v>25800</x:v>
      </x:c>
      <x:c r="AA755" s="253" t="str">
        <x:f>IF(V755="No","Maturing",IF(AND(U755="Yes",Y755&gt;0),"Yes","No"))</x:f>
        <x:v>No</x:v>
      </x:c>
      <x:c r="AB755" s="253" t="str">
        <x:f>IF(W755="No","Maturing",IF(AND(U755="Yes",Z755&gt;0),"Yes","No"))</x:f>
        <x:v>No</x:v>
      </x:c>
      <x:c r="AC755" s="265" t="n">
        <x:v>9872.63</x:v>
      </x:c>
      <x:c r="AD755" s="265" t="n">
        <x:v>9394.72</x:v>
      </x:c>
      <x:c r="AE755" s="271" t="str"/>
      <x:c r="AF755" s="274" t="str">
        <x:v>Not validated - no control/holdout</x:v>
      </x:c>
      <x:c r="AG755" s="277" t="str">
        <x:v>Recovered execution only; assignment date and unclaimed-offer denominator unavailable</x:v>
      </x:c>
    </x:row>
    <x:row r="756">
      <x:c r="A756" s="252" t="str">
        <x:v>34420377</x:v>
      </x:c>
      <x:c r="B756" s="253" t="str">
        <x:v>WS1</x:v>
      </x:c>
      <x:c r="C756" s="253" t="str">
        <x:v>MB8</x:v>
      </x:c>
      <x:c r="D756" s="262" t="n">
        <x:v>46172.736805555556</x:v>
      </x:c>
      <x:c r="E756" s="259" t="n">
        <x:v>46172.166666666664</x:v>
      </x:c>
      <x:c r="F756" s="253" t="str">
        <x:v>570706</x:v>
      </x:c>
      <x:c r="G756" s="253" t="str">
        <x:v>Soh890922</x:v>
      </x:c>
      <x:c r="H756" s="253" t="str">
        <x:v>Yes</x:v>
      </x:c>
      <x:c r="I756" s="253" t="str"/>
      <x:c r="J756" s="253" t="str"/>
      <x:c r="K756" s="259"/>
      <x:c r="L756" s="268" t="str">
        <x:f>IFERROR(VLOOKUP(I756,'Handler-Team Map'!$A$7:$C$17,2,FALSE),"")</x:f>
      </x:c>
      <x:c r="M756" s="268" t="str">
        <x:f>IFERROR(VLOOKUP(I756,'Handler-Team Map'!$A$7:$C$17,3,FALSE),"")</x:f>
      </x:c>
      <x:c r="N756" s="274" t="str">
        <x:v>FT_VM_DEP600_GET200_5X</x:v>
      </x:c>
      <x:c r="O756" s="274" t="str">
        <x:v>VIP BONUS - Deposit 600 Get 200 - 5x TO</x:v>
      </x:c>
      <x:c r="P756" s="274" t="str">
        <x:v>DepositBonus</x:v>
      </x:c>
      <x:c r="Q756" s="274" t="str">
        <x:v>Approved</x:v>
      </x:c>
      <x:c r="R756" s="265" t="n">
        <x:v>200</x:v>
      </x:c>
      <x:c r="S756" s="253" t="str">
        <x:v>Yes</x:v>
      </x:c>
      <x:c r="T756" s="265" t="n">
        <x:v>1300</x:v>
      </x:c>
      <x:c r="U756" s="253" t="str">
        <x:f>IF(AND(S756="Yes",T756=0),"Yes","No")</x:f>
        <x:v>No</x:v>
      </x:c>
      <x:c r="V756" s="253" t="str">
        <x:v>Yes</x:v>
      </x:c>
      <x:c r="W756" s="253" t="str">
        <x:v>Yes</x:v>
      </x:c>
      <x:c r="X756" s="259" t="n">
        <x:v>46172.166666666664</x:v>
      </x:c>
      <x:c r="Y756" s="265" t="n">
        <x:v>2010</x:v>
      </x:c>
      <x:c r="Z756" s="265" t="n">
        <x:v>2510</x:v>
      </x:c>
      <x:c r="AA756" s="253" t="str">
        <x:f>IF(V756="No","Maturing",IF(AND(U756="Yes",Y756&gt;0),"Yes","No"))</x:f>
        <x:v>No</x:v>
      </x:c>
      <x:c r="AB756" s="253" t="str">
        <x:f>IF(W756="No","Maturing",IF(AND(U756="Yes",Z756&gt;0),"Yes","No"))</x:f>
        <x:v>No</x:v>
      </x:c>
      <x:c r="AC756" s="265" t="n">
        <x:v>-3892.77</x:v>
      </x:c>
      <x:c r="AD756" s="265" t="n">
        <x:v>-3894.65</x:v>
      </x:c>
      <x:c r="AE756" s="271" t="str"/>
      <x:c r="AF756" s="274" t="str">
        <x:v>Not validated - no control/holdout</x:v>
      </x:c>
      <x:c r="AG756" s="277" t="str">
        <x:v>Recovered execution only; assignment date and unclaimed-offer denominator unavailable</x:v>
      </x:c>
    </x:row>
    <x:row r="757">
      <x:c r="A757" s="252" t="str">
        <x:v>34425293</x:v>
      </x:c>
      <x:c r="B757" s="253" t="str">
        <x:v>WS1</x:v>
      </x:c>
      <x:c r="C757" s="253" t="str">
        <x:v>MB8</x:v>
      </x:c>
      <x:c r="D757" s="262" t="n">
        <x:v>46173.00896990741</x:v>
      </x:c>
      <x:c r="E757" s="259" t="n">
        <x:v>46173.166666666664</x:v>
      </x:c>
      <x:c r="F757" s="253" t="str">
        <x:v>940819</x:v>
      </x:c>
      <x:c r="G757" s="253" t="str">
        <x:v>Js7611</x:v>
      </x:c>
      <x:c r="H757" s="253" t="str">
        <x:v>Yes</x:v>
      </x:c>
      <x:c r="I757" s="253" t="str">
        <x:v>Tammy</x:v>
      </x:c>
      <x:c r="J757" s="253" t="str">
        <x:v>Tammy</x:v>
      </x:c>
      <x:c r="K757" s="259" t="n">
        <x:v>45951.166666666664</x:v>
      </x:c>
      <x:c r="L757" s="268" t="str">
        <x:f>IFERROR(VLOOKUP(I757,'Handler-Team Map'!$A$7:$C$17,2,FALSE),"")</x:f>
      </x:c>
      <x:c r="M757" s="268" t="str">
        <x:f>IFERROR(VLOOKUP(I757,'Handler-Team Map'!$A$7:$C$17,3,FALSE),"")</x:f>
      </x:c>
      <x:c r="N757" s="274" t="str">
        <x:v>FT_VM_DEP1000_GET500_5X</x:v>
      </x:c>
      <x:c r="O757" s="274" t="str">
        <x:v>VIP BONUS - Deposit 1000 Get 500 - 5x TO</x:v>
      </x:c>
      <x:c r="P757" s="274" t="str">
        <x:v>DepositBonus</x:v>
      </x:c>
      <x:c r="Q757" s="274" t="str">
        <x:v>Approved</x:v>
      </x:c>
      <x:c r="R757" s="265" t="n">
        <x:v>500</x:v>
      </x:c>
      <x:c r="S757" s="253" t="str">
        <x:v>Yes</x:v>
      </x:c>
      <x:c r="T757" s="265" t="n">
        <x:v>360</x:v>
      </x:c>
      <x:c r="U757" s="253" t="str">
        <x:f>IF(AND(S757="Yes",T757=0),"Yes","No")</x:f>
        <x:v>No</x:v>
      </x:c>
      <x:c r="V757" s="253" t="str">
        <x:v>Yes</x:v>
      </x:c>
      <x:c r="W757" s="253" t="str">
        <x:v>Yes</x:v>
      </x:c>
      <x:c r="X757" s="259" t="n">
        <x:v>46173.166666666664</x:v>
      </x:c>
      <x:c r="Y757" s="265" t="n">
        <x:v>3223</x:v>
      </x:c>
      <x:c r="Z757" s="265" t="n">
        <x:v>4654</x:v>
      </x:c>
      <x:c r="AA757" s="253" t="str">
        <x:f>IF(V757="No","Maturing",IF(AND(U757="Yes",Y757&gt;0),"Yes","No"))</x:f>
        <x:v>No</x:v>
      </x:c>
      <x:c r="AB757" s="253" t="str">
        <x:f>IF(W757="No","Maturing",IF(AND(U757="Yes",Z757&gt;0),"Yes","No"))</x:f>
        <x:v>No</x:v>
      </x:c>
      <x:c r="AC757" s="265" t="n">
        <x:v>-276.79</x:v>
      </x:c>
      <x:c r="AD757" s="265" t="n">
        <x:v>-712.1</x:v>
      </x:c>
      <x:c r="AE757" s="271" t="str"/>
      <x:c r="AF757" s="274" t="str">
        <x:v>Not validated - no control/holdout</x:v>
      </x:c>
      <x:c r="AG757" s="277" t="str">
        <x:v>Recovered execution only; assignment date and unclaimed-offer denominator unavailable</x:v>
      </x:c>
    </x:row>
    <x:row r="758">
      <x:c r="A758" s="252" t="str">
        <x:v>34425959</x:v>
      </x:c>
      <x:c r="B758" s="253" t="str">
        <x:v>WS1</x:v>
      </x:c>
      <x:c r="C758" s="253" t="str">
        <x:v>MB8</x:v>
      </x:c>
      <x:c r="D758" s="262" t="n">
        <x:v>46173.042025462964</x:v>
      </x:c>
      <x:c r="E758" s="259" t="n">
        <x:v>46173.166666666664</x:v>
      </x:c>
      <x:c r="F758" s="253" t="str">
        <x:v>32407</x:v>
      </x:c>
      <x:c r="G758" s="253" t="str">
        <x:v>Arechoy79</x:v>
      </x:c>
      <x:c r="H758" s="253" t="str">
        <x:v>Yes</x:v>
      </x:c>
      <x:c r="I758" s="253" t="str">
        <x:v>Kam</x:v>
      </x:c>
      <x:c r="J758" s="253" t="str">
        <x:v>Kam</x:v>
      </x:c>
      <x:c r="K758" s="259" t="n">
        <x:v>45817.166666666664</x:v>
      </x:c>
      <x:c r="L758" s="268" t="str">
        <x:f>IFERROR(VLOOKUP(I758,'Handler-Team Map'!$A$7:$C$17,2,FALSE),"")</x:f>
      </x:c>
      <x:c r="M758" s="268" t="str">
        <x:f>IFERROR(VLOOKUP(I758,'Handler-Team Map'!$A$7:$C$17,3,FALSE),"")</x:f>
      </x:c>
      <x:c r="N758" s="274" t="str">
        <x:v>FT_VM_DEP1000_GET500_5X</x:v>
      </x:c>
      <x:c r="O758" s="274" t="str">
        <x:v>VIP BONUS - Deposit 1000 Get 500 - 5x TO</x:v>
      </x:c>
      <x:c r="P758" s="274" t="str">
        <x:v>DepositBonus</x:v>
      </x:c>
      <x:c r="Q758" s="274" t="str">
        <x:v>Approved</x:v>
      </x:c>
      <x:c r="R758" s="265" t="n">
        <x:v>500</x:v>
      </x:c>
      <x:c r="S758" s="253" t="str">
        <x:v>Yes</x:v>
      </x:c>
      <x:c r="T758" s="265" t="n">
        <x:v>2050</x:v>
      </x:c>
      <x:c r="U758" s="253" t="str">
        <x:f>IF(AND(S758="Yes",T758=0),"Yes","No")</x:f>
        <x:v>No</x:v>
      </x:c>
      <x:c r="V758" s="253" t="str">
        <x:v>Yes</x:v>
      </x:c>
      <x:c r="W758" s="253" t="str">
        <x:v>Yes</x:v>
      </x:c>
      <x:c r="X758" s="259" t="n">
        <x:v>46173.166666666664</x:v>
      </x:c>
      <x:c r="Y758" s="265" t="n">
        <x:v>1000</x:v>
      </x:c>
      <x:c r="Z758" s="265" t="n">
        <x:v>2000</x:v>
      </x:c>
      <x:c r="AA758" s="253" t="str">
        <x:f>IF(V758="No","Maturing",IF(AND(U758="Yes",Y758&gt;0),"Yes","No"))</x:f>
        <x:v>No</x:v>
      </x:c>
      <x:c r="AB758" s="253" t="str">
        <x:f>IF(W758="No","Maturing",IF(AND(U758="Yes",Z758&gt;0),"Yes","No"))</x:f>
        <x:v>No</x:v>
      </x:c>
      <x:c r="AC758" s="265" t="n">
        <x:v>999.96</x:v>
      </x:c>
      <x:c r="AD758" s="265" t="n">
        <x:v>1999.96</x:v>
      </x:c>
      <x:c r="AE758" s="271" t="str"/>
      <x:c r="AF758" s="274" t="str">
        <x:v>Not validated - no control/holdout</x:v>
      </x:c>
      <x:c r="AG758" s="277" t="str">
        <x:v>Recovered execution only; assignment date and unclaimed-offer denominator unavailable</x:v>
      </x:c>
    </x:row>
    <x:row r="759">
      <x:c r="A759" s="252" t="str">
        <x:v>34429714</x:v>
      </x:c>
      <x:c r="B759" s="253" t="str">
        <x:v>WS1</x:v>
      </x:c>
      <x:c r="C759" s="253" t="str">
        <x:v>MB8</x:v>
      </x:c>
      <x:c r="D759" s="262" t="n">
        <x:v>46173.41694444444</x:v>
      </x:c>
      <x:c r="E759" s="259" t="n">
        <x:v>46173.166666666664</x:v>
      </x:c>
      <x:c r="F759" s="253" t="str">
        <x:v>579706</x:v>
      </x:c>
      <x:c r="G759" s="253" t="str">
        <x:v>wilson89</x:v>
      </x:c>
      <x:c r="H759" s="253" t="str">
        <x:v>Yes</x:v>
      </x:c>
      <x:c r="I759" s="253" t="str">
        <x:v>Jiahui</x:v>
      </x:c>
      <x:c r="J759" s="253" t="str">
        <x:v>Jiahui</x:v>
      </x:c>
      <x:c r="K759" s="259" t="n">
        <x:v>45811.166666666664</x:v>
      </x:c>
      <x:c r="L759" s="268" t="str">
        <x:f>IFERROR(VLOOKUP(I759,'Handler-Team Map'!$A$7:$C$17,2,FALSE),"")</x:f>
      </x:c>
      <x:c r="M759" s="268" t="str">
        <x:f>IFERROR(VLOOKUP(I759,'Handler-Team Map'!$A$7:$C$17,3,FALSE),"")</x:f>
      </x:c>
      <x:c r="N759" s="274" t="str">
        <x:v>FT_VM_DEP1000_GET500_5X</x:v>
      </x:c>
      <x:c r="O759" s="274" t="str">
        <x:v>VIP BONUS - Deposit 1000 Get 500 - 5x TO</x:v>
      </x:c>
      <x:c r="P759" s="274" t="str">
        <x:v>DepositBonus</x:v>
      </x:c>
      <x:c r="Q759" s="274" t="str">
        <x:v>Approved</x:v>
      </x:c>
      <x:c r="R759" s="265" t="n">
        <x:v>500</x:v>
      </x:c>
      <x:c r="S759" s="253" t="str">
        <x:v>Yes</x:v>
      </x:c>
      <x:c r="T759" s="265" t="n">
        <x:v>2380</x:v>
      </x:c>
      <x:c r="U759" s="253" t="str">
        <x:f>IF(AND(S759="Yes",T759=0),"Yes","No")</x:f>
        <x:v>No</x:v>
      </x:c>
      <x:c r="V759" s="253" t="str">
        <x:v>Yes</x:v>
      </x:c>
      <x:c r="W759" s="253" t="str">
        <x:v>Yes</x:v>
      </x:c>
      <x:c r="X759" s="259" t="n">
        <x:v>46173.166666666664</x:v>
      </x:c>
      <x:c r="Y759" s="265" t="n">
        <x:v>1000</x:v>
      </x:c>
      <x:c r="Z759" s="265" t="n">
        <x:v>1000</x:v>
      </x:c>
      <x:c r="AA759" s="253" t="str">
        <x:f>IF(V759="No","Maturing",IF(AND(U759="Yes",Y759&gt;0),"Yes","No"))</x:f>
        <x:v>No</x:v>
      </x:c>
      <x:c r="AB759" s="253" t="str">
        <x:f>IF(W759="No","Maturing",IF(AND(U759="Yes",Z759&gt;0),"Yes","No"))</x:f>
        <x:v>No</x:v>
      </x:c>
      <x:c r="AC759" s="265" t="n">
        <x:v>999.33</x:v>
      </x:c>
      <x:c r="AD759" s="265" t="n">
        <x:v>999.33</x:v>
      </x:c>
      <x:c r="AE759" s="271" t="str"/>
      <x:c r="AF759" s="274" t="str">
        <x:v>Not validated - no control/holdout</x:v>
      </x:c>
      <x:c r="AG759" s="277" t="str">
        <x:v>Recovered execution only; assignment date and unclaimed-offer denominator unavailable</x:v>
      </x:c>
    </x:row>
    <x:row r="760">
      <x:c r="A760" s="252" t="str">
        <x:v>34432335</x:v>
      </x:c>
      <x:c r="B760" s="253" t="str">
        <x:v>WS1</x:v>
      </x:c>
      <x:c r="C760" s="253" t="str">
        <x:v>MB8</x:v>
      </x:c>
      <x:c r="D760" s="262" t="n">
        <x:v>46173.664513888885</x:v>
      </x:c>
      <x:c r="E760" s="259" t="n">
        <x:v>46173.166666666664</x:v>
      </x:c>
      <x:c r="F760" s="253" t="str">
        <x:v>1014620</x:v>
      </x:c>
      <x:c r="G760" s="253" t="str">
        <x:v>Surianti8</x:v>
      </x:c>
      <x:c r="H760" s="253" t="str">
        <x:v>Yes</x:v>
      </x:c>
      <x:c r="I760" s="253" t="str">
        <x:v>zhen</x:v>
      </x:c>
      <x:c r="J760" s="253" t="str">
        <x:v>zhen</x:v>
      </x:c>
      <x:c r="K760" s="259" t="n">
        <x:v>45880.166666666664</x:v>
      </x:c>
      <x:c r="L760" s="268" t="str">
        <x:f>IFERROR(VLOOKUP(I760,'Handler-Team Map'!$A$7:$C$17,2,FALSE),"")</x:f>
      </x:c>
      <x:c r="M760" s="268" t="str">
        <x:f>IFERROR(VLOOKUP(I760,'Handler-Team Map'!$A$7:$C$17,3,FALSE),"")</x:f>
      </x:c>
      <x:c r="N760" s="274" t="str">
        <x:v>FT_VM_DEP600_GET200_5X</x:v>
      </x:c>
      <x:c r="O760" s="274" t="str">
        <x:v>VIP BONUS - Deposit 600 Get 200 - 5x TO</x:v>
      </x:c>
      <x:c r="P760" s="274" t="str">
        <x:v>DepositBonus</x:v>
      </x:c>
      <x:c r="Q760" s="274" t="str">
        <x:v>Approved</x:v>
      </x:c>
      <x:c r="R760" s="265" t="n">
        <x:v>200</x:v>
      </x:c>
      <x:c r="S760" s="253" t="str">
        <x:v>Yes</x:v>
      </x:c>
      <x:c r="T760" s="265" t="n">
        <x:v>800</x:v>
      </x:c>
      <x:c r="U760" s="253" t="str">
        <x:f>IF(AND(S760="Yes",T760=0),"Yes","No")</x:f>
        <x:v>No</x:v>
      </x:c>
      <x:c r="V760" s="253" t="str">
        <x:v>Yes</x:v>
      </x:c>
      <x:c r="W760" s="253" t="str">
        <x:v>Yes</x:v>
      </x:c>
      <x:c r="X760" s="259" t="n">
        <x:v>46173.166666666664</x:v>
      </x:c>
      <x:c r="Y760" s="265" t="n">
        <x:v>700</x:v>
      </x:c>
      <x:c r="Z760" s="265" t="n">
        <x:v>700</x:v>
      </x:c>
      <x:c r="AA760" s="253" t="str">
        <x:f>IF(V760="No","Maturing",IF(AND(U760="Yes",Y760&gt;0),"Yes","No"))</x:f>
        <x:v>No</x:v>
      </x:c>
      <x:c r="AB760" s="253" t="str">
        <x:f>IF(W760="No","Maturing",IF(AND(U760="Yes",Z760&gt;0),"Yes","No"))</x:f>
        <x:v>No</x:v>
      </x:c>
      <x:c r="AC760" s="265" t="n">
        <x:v>-1999.41</x:v>
      </x:c>
      <x:c r="AD760" s="265" t="n">
        <x:v>-1999.41</x:v>
      </x:c>
      <x:c r="AE760" s="271" t="str"/>
      <x:c r="AF760" s="274" t="str">
        <x:v>Not validated - no control/holdout</x:v>
      </x:c>
      <x:c r="AG760" s="277" t="str">
        <x:v>Recovered execution only; assignment date and unclaimed-offer denominator unavailable</x:v>
      </x:c>
    </x:row>
    <x:row r="761">
      <x:c r="A761" s="252" t="str">
        <x:v>34437073</x:v>
      </x:c>
      <x:c r="B761" s="253" t="str">
        <x:v>WS1</x:v>
      </x:c>
      <x:c r="C761" s="253" t="str">
        <x:v>MB8</x:v>
      </x:c>
      <x:c r="D761" s="262" t="n">
        <x:v>46174.00959490741</x:v>
      </x:c>
      <x:c r="E761" s="259" t="n">
        <x:v>46174.166666666664</x:v>
      </x:c>
      <x:c r="F761" s="253" t="str">
        <x:v>524614</x:v>
      </x:c>
      <x:c r="G761" s="253" t="str">
        <x:v>Horseyhorse</x:v>
      </x:c>
      <x:c r="H761" s="253" t="str">
        <x:v>Yes</x:v>
      </x:c>
      <x:c r="I761" s="253" t="str">
        <x:v>Jiahui</x:v>
      </x:c>
      <x:c r="J761" s="253" t="str">
        <x:v>Jiahui</x:v>
      </x:c>
      <x:c r="K761" s="259" t="n">
        <x:v>46090.166666666664</x:v>
      </x:c>
      <x:c r="L761" s="268" t="str">
        <x:f>IFERROR(VLOOKUP(I761,'Handler-Team Map'!$A$7:$C$17,2,FALSE),"")</x:f>
      </x:c>
      <x:c r="M761" s="268" t="str">
        <x:f>IFERROR(VLOOKUP(I761,'Handler-Team Map'!$A$7:$C$17,3,FALSE),"")</x:f>
      </x:c>
      <x:c r="N761" s="274" t="str">
        <x:v>FT_VM_DEP150_GET50_5X</x:v>
      </x:c>
      <x:c r="O761" s="274" t="str">
        <x:v>VIP BONUS - Deposit 150 Get 50 - 5x TO</x:v>
      </x:c>
      <x:c r="P761" s="274" t="str">
        <x:v>DepositBonus</x:v>
      </x:c>
      <x:c r="Q761" s="274" t="str">
        <x:v>Approved</x:v>
      </x:c>
      <x:c r="R761" s="265" t="n">
        <x:v>50</x:v>
      </x:c>
      <x:c r="S761" s="253" t="str">
        <x:v>Yes</x:v>
      </x:c>
      <x:c r="T761" s="265" t="n">
        <x:v>44036</x:v>
      </x:c>
      <x:c r="U761" s="253" t="str">
        <x:f>IF(AND(S761="Yes",T761=0),"Yes","No")</x:f>
        <x:v>No</x:v>
      </x:c>
      <x:c r="V761" s="253" t="str">
        <x:v>Yes</x:v>
      </x:c>
      <x:c r="W761" s="253" t="str">
        <x:v>Yes</x:v>
      </x:c>
      <x:c r="X761" s="259" t="n">
        <x:v>46174.166666666664</x:v>
      </x:c>
      <x:c r="Y761" s="265" t="n">
        <x:v>5895</x:v>
      </x:c>
      <x:c r="Z761" s="265" t="n">
        <x:v>21250</x:v>
      </x:c>
      <x:c r="AA761" s="253" t="str">
        <x:f>IF(V761="No","Maturing",IF(AND(U761="Yes",Y761&gt;0),"Yes","No"))</x:f>
        <x:v>No</x:v>
      </x:c>
      <x:c r="AB761" s="253" t="str">
        <x:f>IF(W761="No","Maturing",IF(AND(U761="Yes",Z761&gt;0),"Yes","No"))</x:f>
        <x:v>No</x:v>
      </x:c>
      <x:c r="AC761" s="265" t="n">
        <x:v>2422.23</x:v>
      </x:c>
      <x:c r="AD761" s="265" t="n">
        <x:v>9084.69</x:v>
      </x:c>
      <x:c r="AE761" s="271" t="str"/>
      <x:c r="AF761" s="274" t="str">
        <x:v>Not validated - no control/holdout</x:v>
      </x:c>
      <x:c r="AG761" s="277" t="str">
        <x:v>Recovered execution only; assignment date and unclaimed-offer denominator unavailable</x:v>
      </x:c>
    </x:row>
    <x:row r="762">
      <x:c r="A762" s="252" t="str">
        <x:v>34438168</x:v>
      </x:c>
      <x:c r="B762" s="253" t="str">
        <x:v>WS1</x:v>
      </x:c>
      <x:c r="C762" s="253" t="str">
        <x:v>MB8</x:v>
      </x:c>
      <x:c r="D762" s="262" t="n">
        <x:v>46174.073113425926</x:v>
      </x:c>
      <x:c r="E762" s="259" t="n">
        <x:v>46174.166666666664</x:v>
      </x:c>
      <x:c r="F762" s="253" t="str">
        <x:v>9160</x:v>
      </x:c>
      <x:c r="G762" s="253" t="str">
        <x:v>rmahen24</x:v>
      </x:c>
      <x:c r="H762" s="253" t="str">
        <x:v>Yes</x:v>
      </x:c>
      <x:c r="I762" s="253" t="str">
        <x:v>Serene</x:v>
      </x:c>
      <x:c r="J762" s="253" t="str">
        <x:v>Serene</x:v>
      </x:c>
      <x:c r="K762" s="259" t="n">
        <x:v>46105.166666666664</x:v>
      </x:c>
      <x:c r="L762" s="268" t="str">
        <x:f>IFERROR(VLOOKUP(I762,'Handler-Team Map'!$A$7:$C$17,2,FALSE),"")</x:f>
      </x:c>
      <x:c r="M762" s="268" t="str">
        <x:f>IFERROR(VLOOKUP(I762,'Handler-Team Map'!$A$7:$C$17,3,FALSE),"")</x:f>
      </x:c>
      <x:c r="N762" s="274" t="str">
        <x:v>FT_VM_DEP1000_GET500_1X</x:v>
      </x:c>
      <x:c r="O762" s="274" t="str">
        <x:v>VIP BONUS - Deposit 1000 Get 500 - 1x TO</x:v>
      </x:c>
      <x:c r="P762" s="274" t="str">
        <x:v>DepositBonus</x:v>
      </x:c>
      <x:c r="Q762" s="274" t="str">
        <x:v>Approved</x:v>
      </x:c>
      <x:c r="R762" s="265" t="n">
        <x:v>500</x:v>
      </x:c>
      <x:c r="S762" s="253" t="str">
        <x:v>Yes</x:v>
      </x:c>
      <x:c r="T762" s="265" t="n">
        <x:v>100</x:v>
      </x:c>
      <x:c r="U762" s="253" t="str">
        <x:f>IF(AND(S762="Yes",T762=0),"Yes","No")</x:f>
        <x:v>No</x:v>
      </x:c>
      <x:c r="V762" s="253" t="str">
        <x:v>Yes</x:v>
      </x:c>
      <x:c r="W762" s="253" t="str">
        <x:v>Yes</x:v>
      </x:c>
      <x:c r="X762" s="259" t="n">
        <x:v>46174.166666666664</x:v>
      </x:c>
      <x:c r="Y762" s="265" t="n">
        <x:v>1000</x:v>
      </x:c>
      <x:c r="Z762" s="265" t="n">
        <x:v>1000</x:v>
      </x:c>
      <x:c r="AA762" s="253" t="str">
        <x:f>IF(V762="No","Maturing",IF(AND(U762="Yes",Y762&gt;0),"Yes","No"))</x:f>
        <x:v>No</x:v>
      </x:c>
      <x:c r="AB762" s="253" t="str">
        <x:f>IF(W762="No","Maturing",IF(AND(U762="Yes",Z762&gt;0),"Yes","No"))</x:f>
        <x:v>No</x:v>
      </x:c>
      <x:c r="AC762" s="265" t="n">
        <x:v>-2.36</x:v>
      </x:c>
      <x:c r="AD762" s="265" t="n">
        <x:v>-2.36</x:v>
      </x:c>
      <x:c r="AE762" s="271" t="str"/>
      <x:c r="AF762" s="274" t="str">
        <x:v>Not validated - no control/holdout</x:v>
      </x:c>
      <x:c r="AG762" s="277" t="str">
        <x:v>Recovered execution only; assignment date and unclaimed-offer denominator unavailable</x:v>
      </x:c>
    </x:row>
    <x:row r="763">
      <x:c r="A763" s="252" t="str">
        <x:v>34438451</x:v>
      </x:c>
      <x:c r="B763" s="253" t="str">
        <x:v>WS1</x:v>
      </x:c>
      <x:c r="C763" s="253" t="str">
        <x:v>MB8</x:v>
      </x:c>
      <x:c r="D763" s="262" t="n">
        <x:v>46174.08559027778</x:v>
      </x:c>
      <x:c r="E763" s="259" t="n">
        <x:v>46174.166666666664</x:v>
      </x:c>
      <x:c r="F763" s="253" t="str">
        <x:v>677807</x:v>
      </x:c>
      <x:c r="G763" s="253" t="str">
        <x:v>KariKai</x:v>
      </x:c>
      <x:c r="H763" s="253" t="str">
        <x:v>Yes</x:v>
      </x:c>
      <x:c r="I763" s="253" t="str"/>
      <x:c r="J763" s="253" t="str"/>
      <x:c r="K763" s="259"/>
      <x:c r="L763" s="268" t="str">
        <x:f>IFERROR(VLOOKUP(I763,'Handler-Team Map'!$A$7:$C$17,2,FALSE),"")</x:f>
      </x:c>
      <x:c r="M763" s="268" t="str">
        <x:f>IFERROR(VLOOKUP(I763,'Handler-Team Map'!$A$7:$C$17,3,FALSE),"")</x:f>
      </x:c>
      <x:c r="N763" s="274" t="str">
        <x:v>FT_VM_DEP1000_GET900_2X</x:v>
      </x:c>
      <x:c r="O763" s="274" t="str">
        <x:v>VIP BONUS - Deposit 1000 Get 900 - 2x TO</x:v>
      </x:c>
      <x:c r="P763" s="274" t="str">
        <x:v>DepositBonus</x:v>
      </x:c>
      <x:c r="Q763" s="274" t="str">
        <x:v>Approved</x:v>
      </x:c>
      <x:c r="R763" s="265" t="n">
        <x:v>900</x:v>
      </x:c>
      <x:c r="S763" s="253" t="str">
        <x:v>Yes</x:v>
      </x:c>
      <x:c r="T763" s="265" t="n">
        <x:v>0</x:v>
      </x:c>
      <x:c r="U763" s="253" t="str">
        <x:f>IF(AND(S763="Yes",T763=0),"Yes","No")</x:f>
        <x:v>Yes</x:v>
      </x:c>
      <x:c r="V763" s="253" t="str">
        <x:v>Yes</x:v>
      </x:c>
      <x:c r="W763" s="253" t="str">
        <x:v>Yes</x:v>
      </x:c>
      <x:c r="X763" s="259" t="n">
        <x:v>46174.166666666664</x:v>
      </x:c>
      <x:c r="Y763" s="265" t="n">
        <x:v>1000</x:v>
      </x:c>
      <x:c r="Z763" s="265" t="n">
        <x:v>1000</x:v>
      </x:c>
      <x:c r="AA763" s="253" t="str">
        <x:f>IF(V763="No","Maturing",IF(AND(U763="Yes",Y763&gt;0),"Yes","No"))</x:f>
        <x:v>Yes</x:v>
      </x:c>
      <x:c r="AB763" s="253" t="str">
        <x:f>IF(W763="No","Maturing",IF(AND(U763="Yes",Z763&gt;0),"Yes","No"))</x:f>
        <x:v>Yes</x:v>
      </x:c>
      <x:c r="AC763" s="265" t="n">
        <x:v>-5347.17</x:v>
      </x:c>
      <x:c r="AD763" s="265" t="n">
        <x:v>-5347.17</x:v>
      </x:c>
      <x:c r="AE763" s="271" t="str"/>
      <x:c r="AF763" s="274" t="str">
        <x:v>Not validated - no control/holdout</x:v>
      </x:c>
      <x:c r="AG763" s="277" t="str">
        <x:v>Recovered execution only; assignment date and unclaimed-offer denominator unavailable</x:v>
      </x:c>
    </x:row>
    <x:row r="764">
      <x:c r="A764" s="252" t="str">
        <x:v>34438471</x:v>
      </x:c>
      <x:c r="B764" s="253" t="str">
        <x:v>WS1</x:v>
      </x:c>
      <x:c r="C764" s="253" t="str">
        <x:v>MB8</x:v>
      </x:c>
      <x:c r="D764" s="262" t="n">
        <x:v>46174.08671296296</x:v>
      </x:c>
      <x:c r="E764" s="259" t="n">
        <x:v>46174.166666666664</x:v>
      </x:c>
      <x:c r="F764" s="253" t="str">
        <x:v>251865</x:v>
      </x:c>
      <x:c r="G764" s="253" t="str">
        <x:v>Hazwan89</x:v>
      </x:c>
      <x:c r="H764" s="253" t="str">
        <x:v>Yes</x:v>
      </x:c>
      <x:c r="I764" s="253" t="str"/>
      <x:c r="J764" s="253" t="str"/>
      <x:c r="K764" s="259"/>
      <x:c r="L764" s="268" t="str">
        <x:f>IFERROR(VLOOKUP(I764,'Handler-Team Map'!$A$7:$C$17,2,FALSE),"")</x:f>
      </x:c>
      <x:c r="M764" s="268" t="str">
        <x:f>IFERROR(VLOOKUP(I764,'Handler-Team Map'!$A$7:$C$17,3,FALSE),"")</x:f>
      </x:c>
      <x:c r="N764" s="274" t="str">
        <x:v>FT_VM_DEP800_GET400_2X</x:v>
      </x:c>
      <x:c r="O764" s="274" t="str">
        <x:v>VIP BONUS - Deposit 800 Get 400 - 2x TO</x:v>
      </x:c>
      <x:c r="P764" s="274" t="str">
        <x:v>DepositBonus</x:v>
      </x:c>
      <x:c r="Q764" s="274" t="str">
        <x:v>Approved</x:v>
      </x:c>
      <x:c r="R764" s="265" t="n">
        <x:v>400</x:v>
      </x:c>
      <x:c r="S764" s="253" t="str">
        <x:v>Yes</x:v>
      </x:c>
      <x:c r="T764" s="265" t="n">
        <x:v>30</x:v>
      </x:c>
      <x:c r="U764" s="253" t="str">
        <x:f>IF(AND(S764="Yes",T764=0),"Yes","No")</x:f>
        <x:v>No</x:v>
      </x:c>
      <x:c r="V764" s="253" t="str">
        <x:v>Yes</x:v>
      </x:c>
      <x:c r="W764" s="253" t="str">
        <x:v>Yes</x:v>
      </x:c>
      <x:c r="X764" s="259" t="n">
        <x:v>46174.166666666664</x:v>
      </x:c>
      <x:c r="Y764" s="265" t="n">
        <x:v>800</x:v>
      </x:c>
      <x:c r="Z764" s="265" t="n">
        <x:v>800</x:v>
      </x:c>
      <x:c r="AA764" s="253" t="str">
        <x:f>IF(V764="No","Maturing",IF(AND(U764="Yes",Y764&gt;0),"Yes","No"))</x:f>
        <x:v>No</x:v>
      </x:c>
      <x:c r="AB764" s="253" t="str">
        <x:f>IF(W764="No","Maturing",IF(AND(U764="Yes",Z764&gt;0),"Yes","No"))</x:f>
        <x:v>No</x:v>
      </x:c>
      <x:c r="AC764" s="265" t="n">
        <x:v>-5719.98</x:v>
      </x:c>
      <x:c r="AD764" s="265" t="n">
        <x:v>-5720</x:v>
      </x:c>
      <x:c r="AE764" s="271" t="str"/>
      <x:c r="AF764" s="274" t="str">
        <x:v>Not validated - no control/holdout</x:v>
      </x:c>
      <x:c r="AG764" s="277" t="str">
        <x:v>Recovered execution only; assignment date and unclaimed-offer denominator unavailable</x:v>
      </x:c>
    </x:row>
    <x:row r="765">
      <x:c r="A765" s="252" t="str">
        <x:v>34439826</x:v>
      </x:c>
      <x:c r="B765" s="253" t="str">
        <x:v>WS1</x:v>
      </x:c>
      <x:c r="C765" s="253" t="str">
        <x:v>MB8</x:v>
      </x:c>
      <x:c r="D765" s="262" t="n">
        <x:v>46174.20576388889</x:v>
      </x:c>
      <x:c r="E765" s="259" t="n">
        <x:v>46174.166666666664</x:v>
      </x:c>
      <x:c r="F765" s="253" t="str">
        <x:v>541496</x:v>
      </x:c>
      <x:c r="G765" s="253" t="str">
        <x:v>Zulhilmi1422</x:v>
      </x:c>
      <x:c r="H765" s="253" t="str">
        <x:v>Yes</x:v>
      </x:c>
      <x:c r="I765" s="253" t="str"/>
      <x:c r="J765" s="253" t="str"/>
      <x:c r="K765" s="259"/>
      <x:c r="L765" s="268" t="str">
        <x:f>IFERROR(VLOOKUP(I765,'Handler-Team Map'!$A$7:$C$17,2,FALSE),"")</x:f>
      </x:c>
      <x:c r="M765" s="268" t="str">
        <x:f>IFERROR(VLOOKUP(I765,'Handler-Team Map'!$A$7:$C$17,3,FALSE),"")</x:f>
      </x:c>
      <x:c r="N765" s="274" t="str">
        <x:v>FT_VM_DEP1000_GET800_2X</x:v>
      </x:c>
      <x:c r="O765" s="274" t="str">
        <x:v>VIP BONUS - Deposit 1000 Get 800 - 2x TO</x:v>
      </x:c>
      <x:c r="P765" s="274" t="str">
        <x:v>DepositBonus</x:v>
      </x:c>
      <x:c r="Q765" s="274" t="str">
        <x:v>Approved</x:v>
      </x:c>
      <x:c r="R765" s="265" t="n">
        <x:v>800</x:v>
      </x:c>
      <x:c r="S765" s="253" t="str">
        <x:v>Yes</x:v>
      </x:c>
      <x:c r="T765" s="265" t="n">
        <x:v>0</x:v>
      </x:c>
      <x:c r="U765" s="253" t="str">
        <x:f>IF(AND(S765="Yes",T765=0),"Yes","No")</x:f>
        <x:v>Yes</x:v>
      </x:c>
      <x:c r="V765" s="253" t="str">
        <x:v>Yes</x:v>
      </x:c>
      <x:c r="W765" s="253" t="str">
        <x:v>Yes</x:v>
      </x:c>
      <x:c r="X765" s="259" t="n">
        <x:v>46174.166666666664</x:v>
      </x:c>
      <x:c r="Y765" s="265" t="n">
        <x:v>10350</x:v>
      </x:c>
      <x:c r="Z765" s="265" t="n">
        <x:v>11450</x:v>
      </x:c>
      <x:c r="AA765" s="253" t="str">
        <x:f>IF(V765="No","Maturing",IF(AND(U765="Yes",Y765&gt;0),"Yes","No"))</x:f>
        <x:v>Yes</x:v>
      </x:c>
      <x:c r="AB765" s="253" t="str">
        <x:f>IF(W765="No","Maturing",IF(AND(U765="Yes",Z765&gt;0),"Yes","No"))</x:f>
        <x:v>Yes</x:v>
      </x:c>
      <x:c r="AC765" s="265" t="n">
        <x:v>1281.13</x:v>
      </x:c>
      <x:c r="AD765" s="265" t="n">
        <x:v>2447.76</x:v>
      </x:c>
      <x:c r="AE765" s="271" t="str"/>
      <x:c r="AF765" s="274" t="str">
        <x:v>Not validated - no control/holdout</x:v>
      </x:c>
      <x:c r="AG765" s="277" t="str">
        <x:v>Recovered execution only; assignment date and unclaimed-offer denominator unavailable</x:v>
      </x:c>
    </x:row>
    <x:row r="766">
      <x:c r="A766" s="252" t="str">
        <x:v>34441931</x:v>
      </x:c>
      <x:c r="B766" s="253" t="str">
        <x:v>WS1</x:v>
      </x:c>
      <x:c r="C766" s="253" t="str">
        <x:v>MB8</x:v>
      </x:c>
      <x:c r="D766" s="262" t="n">
        <x:v>46174.50696759259</x:v>
      </x:c>
      <x:c r="E766" s="259" t="n">
        <x:v>46174.166666666664</x:v>
      </x:c>
      <x:c r="F766" s="253" t="str">
        <x:v>379238</x:v>
      </x:c>
      <x:c r="G766" s="253" t="str">
        <x:v>han9393</x:v>
      </x:c>
      <x:c r="H766" s="253" t="str">
        <x:v>Yes</x:v>
      </x:c>
      <x:c r="I766" s="253" t="str">
        <x:v>Serene</x:v>
      </x:c>
      <x:c r="J766" s="253" t="str">
        <x:v>Serene</x:v>
      </x:c>
      <x:c r="K766" s="259" t="n">
        <x:v>45804.166666666664</x:v>
      </x:c>
      <x:c r="L766" s="268" t="str">
        <x:f>IFERROR(VLOOKUP(I766,'Handler-Team Map'!$A$7:$C$17,2,FALSE),"")</x:f>
      </x:c>
      <x:c r="M766" s="268" t="str">
        <x:f>IFERROR(VLOOKUP(I766,'Handler-Team Map'!$A$7:$C$17,3,FALSE),"")</x:f>
      </x:c>
      <x:c r="N766" s="274" t="str">
        <x:v>FT_VM_DEP700_GET300_2X</x:v>
      </x:c>
      <x:c r="O766" s="274" t="str">
        <x:v>VIP BONUS - Deposit 700 Get 300 - 2x TO</x:v>
      </x:c>
      <x:c r="P766" s="274" t="str">
        <x:v>DepositBonus</x:v>
      </x:c>
      <x:c r="Q766" s="274" t="str">
        <x:v>Approved</x:v>
      </x:c>
      <x:c r="R766" s="265" t="n">
        <x:v>300</x:v>
      </x:c>
      <x:c r="S766" s="253" t="str">
        <x:v>Yes</x:v>
      </x:c>
      <x:c r="T766" s="265" t="n">
        <x:v>0</x:v>
      </x:c>
      <x:c r="U766" s="253" t="str">
        <x:f>IF(AND(S766="Yes",T766=0),"Yes","No")</x:f>
        <x:v>Yes</x:v>
      </x:c>
      <x:c r="V766" s="253" t="str">
        <x:v>Yes</x:v>
      </x:c>
      <x:c r="W766" s="253" t="str">
        <x:v>Yes</x:v>
      </x:c>
      <x:c r="X766" s="259" t="n">
        <x:v>46174.166666666664</x:v>
      </x:c>
      <x:c r="Y766" s="265" t="n">
        <x:v>7000</x:v>
      </x:c>
      <x:c r="Z766" s="265" t="n">
        <x:v>12800</x:v>
      </x:c>
      <x:c r="AA766" s="253" t="str">
        <x:f>IF(V766="No","Maturing",IF(AND(U766="Yes",Y766&gt;0),"Yes","No"))</x:f>
        <x:v>Yes</x:v>
      </x:c>
      <x:c r="AB766" s="253" t="str">
        <x:f>IF(W766="No","Maturing",IF(AND(U766="Yes",Z766&gt;0),"Yes","No"))</x:f>
        <x:v>Yes</x:v>
      </x:c>
      <x:c r="AC766" s="265" t="n">
        <x:v>7472.14</x:v>
      </x:c>
      <x:c r="AD766" s="265" t="n">
        <x:v>13138.48</x:v>
      </x:c>
      <x:c r="AE766" s="271" t="str"/>
      <x:c r="AF766" s="274" t="str">
        <x:v>Not validated - no control/holdout</x:v>
      </x:c>
      <x:c r="AG766" s="277" t="str">
        <x:v>Recovered execution only; assignment date and unclaimed-offer denominator unavailable</x:v>
      </x:c>
    </x:row>
    <x:row r="767">
      <x:c r="A767" s="252" t="str">
        <x:v>34443526</x:v>
      </x:c>
      <x:c r="B767" s="253" t="str">
        <x:v>WS1</x:v>
      </x:c>
      <x:c r="C767" s="253" t="str">
        <x:v>MB8</x:v>
      </x:c>
      <x:c r="D767" s="262" t="n">
        <x:v>46174.65474537037</x:v>
      </x:c>
      <x:c r="E767" s="259" t="n">
        <x:v>46174.166666666664</x:v>
      </x:c>
      <x:c r="F767" s="253" t="str">
        <x:v>937035</x:v>
      </x:c>
      <x:c r="G767" s="253" t="str">
        <x:v>Ivyweiii</x:v>
      </x:c>
      <x:c r="H767" s="253" t="str">
        <x:v>Yes</x:v>
      </x:c>
      <x:c r="I767" s="253" t="str"/>
      <x:c r="J767" s="253" t="str"/>
      <x:c r="K767" s="259"/>
      <x:c r="L767" s="268" t="str">
        <x:f>IFERROR(VLOOKUP(I767,'Handler-Team Map'!$A$7:$C$17,2,FALSE),"")</x:f>
      </x:c>
      <x:c r="M767" s="268" t="str">
        <x:f>IFERROR(VLOOKUP(I767,'Handler-Team Map'!$A$7:$C$17,3,FALSE),"")</x:f>
      </x:c>
      <x:c r="N767" s="274" t="str">
        <x:v>FT_VM_DEP600_GET200_5X</x:v>
      </x:c>
      <x:c r="O767" s="274" t="str">
        <x:v>VIP BONUS - Deposit 600 Get 200 - 5x TO</x:v>
      </x:c>
      <x:c r="P767" s="274" t="str">
        <x:v>DepositBonus</x:v>
      </x:c>
      <x:c r="Q767" s="274" t="str">
        <x:v>Approved</x:v>
      </x:c>
      <x:c r="R767" s="265" t="n">
        <x:v>200</x:v>
      </x:c>
      <x:c r="S767" s="253" t="str">
        <x:v>Yes</x:v>
      </x:c>
      <x:c r="T767" s="265" t="n">
        <x:v>2600</x:v>
      </x:c>
      <x:c r="U767" s="253" t="str">
        <x:f>IF(AND(S767="Yes",T767=0),"Yes","No")</x:f>
        <x:v>No</x:v>
      </x:c>
      <x:c r="V767" s="253" t="str">
        <x:v>Yes</x:v>
      </x:c>
      <x:c r="W767" s="253" t="str">
        <x:v>Yes</x:v>
      </x:c>
      <x:c r="X767" s="259" t="n">
        <x:v>46174.166666666664</x:v>
      </x:c>
      <x:c r="Y767" s="265" t="n">
        <x:v>600</x:v>
      </x:c>
      <x:c r="Z767" s="265" t="n">
        <x:v>1200</x:v>
      </x:c>
      <x:c r="AA767" s="253" t="str">
        <x:f>IF(V767="No","Maturing",IF(AND(U767="Yes",Y767&gt;0),"Yes","No"))</x:f>
        <x:v>No</x:v>
      </x:c>
      <x:c r="AB767" s="253" t="str">
        <x:f>IF(W767="No","Maturing",IF(AND(U767="Yes",Z767&gt;0),"Yes","No"))</x:f>
        <x:v>No</x:v>
      </x:c>
      <x:c r="AC767" s="265" t="n">
        <x:v>600.4</x:v>
      </x:c>
      <x:c r="AD767" s="265" t="n">
        <x:v>1201.26</x:v>
      </x:c>
      <x:c r="AE767" s="271" t="str"/>
      <x:c r="AF767" s="274" t="str">
        <x:v>Not validated - no control/holdout</x:v>
      </x:c>
      <x:c r="AG767" s="277" t="str">
        <x:v>Recovered execution only; assignment date and unclaimed-offer denominator unavailable</x:v>
      </x:c>
    </x:row>
    <x:row r="768">
      <x:c r="A768" s="252" t="str">
        <x:v>34448592</x:v>
      </x:c>
      <x:c r="B768" s="253" t="str">
        <x:v>WS1</x:v>
      </x:c>
      <x:c r="C768" s="253" t="str">
        <x:v>MB8</x:v>
      </x:c>
      <x:c r="D768" s="262" t="n">
        <x:v>46175.0221875</x:v>
      </x:c>
      <x:c r="E768" s="259" t="n">
        <x:v>46175.166666666664</x:v>
      </x:c>
      <x:c r="F768" s="253" t="str">
        <x:v>660486</x:v>
      </x:c>
      <x:c r="G768" s="253" t="str">
        <x:v>jrao83</x:v>
      </x:c>
      <x:c r="H768" s="253" t="str">
        <x:v>Yes</x:v>
      </x:c>
      <x:c r="I768" s="253" t="str">
        <x:v>Kam</x:v>
      </x:c>
      <x:c r="J768" s="253" t="str">
        <x:v>Kam</x:v>
      </x:c>
      <x:c r="K768" s="259" t="n">
        <x:v>45951.166666666664</x:v>
      </x:c>
      <x:c r="L768" s="268" t="str">
        <x:f>IFERROR(VLOOKUP(I768,'Handler-Team Map'!$A$7:$C$17,2,FALSE),"")</x:f>
      </x:c>
      <x:c r="M768" s="268" t="str">
        <x:f>IFERROR(VLOOKUP(I768,'Handler-Team Map'!$A$7:$C$17,3,FALSE),"")</x:f>
      </x:c>
      <x:c r="N768" s="274" t="str">
        <x:v>FT_VM_DEP1000_GET800_2X</x:v>
      </x:c>
      <x:c r="O768" s="274" t="str">
        <x:v>VIP BONUS - Deposit 1000 Get 800 - 2x TO</x:v>
      </x:c>
      <x:c r="P768" s="274" t="str">
        <x:v>DepositBonus</x:v>
      </x:c>
      <x:c r="Q768" s="274" t="str">
        <x:v>Approved</x:v>
      </x:c>
      <x:c r="R768" s="265" t="n">
        <x:v>800</x:v>
      </x:c>
      <x:c r="S768" s="253" t="str">
        <x:v>Yes</x:v>
      </x:c>
      <x:c r="T768" s="265" t="n">
        <x:v>1000</x:v>
      </x:c>
      <x:c r="U768" s="253" t="str">
        <x:f>IF(AND(S768="Yes",T768=0),"Yes","No")</x:f>
        <x:v>No</x:v>
      </x:c>
      <x:c r="V768" s="253" t="str">
        <x:v>Yes</x:v>
      </x:c>
      <x:c r="W768" s="253" t="str">
        <x:v>Yes</x:v>
      </x:c>
      <x:c r="X768" s="259" t="n">
        <x:v>46175.166666666664</x:v>
      </x:c>
      <x:c r="Y768" s="265" t="n">
        <x:v>7000</x:v>
      </x:c>
      <x:c r="Z768" s="265" t="n">
        <x:v>8400</x:v>
      </x:c>
      <x:c r="AA768" s="253" t="str">
        <x:f>IF(V768="No","Maturing",IF(AND(U768="Yes",Y768&gt;0),"Yes","No"))</x:f>
        <x:v>No</x:v>
      </x:c>
      <x:c r="AB768" s="253" t="str">
        <x:f>IF(W768="No","Maturing",IF(AND(U768="Yes",Z768&gt;0),"Yes","No"))</x:f>
        <x:v>No</x:v>
      </x:c>
      <x:c r="AC768" s="265" t="n">
        <x:v>1987.95</x:v>
      </x:c>
      <x:c r="AD768" s="265" t="n">
        <x:v>3399.32</x:v>
      </x:c>
      <x:c r="AE768" s="271" t="str"/>
      <x:c r="AF768" s="274" t="str">
        <x:v>Not validated - no control/holdout</x:v>
      </x:c>
      <x:c r="AG768" s="277" t="str">
        <x:v>Recovered execution only; assignment date and unclaimed-offer denominator unavailable</x:v>
      </x:c>
    </x:row>
    <x:row r="769">
      <x:c r="A769" s="252" t="str">
        <x:v>34453215</x:v>
      </x:c>
      <x:c r="B769" s="253" t="str">
        <x:v>WS1</x:v>
      </x:c>
      <x:c r="C769" s="253" t="str"/>
      <x:c r="D769" s="262" t="n">
        <x:v>46175.53637731481</x:v>
      </x:c>
      <x:c r="E769" s="259" t="n">
        <x:v>46175.166666666664</x:v>
      </x:c>
      <x:c r="F769" s="253" t="str">
        <x:v>1204595</x:v>
      </x:c>
      <x:c r="G769" s="253" t="str"/>
      <x:c r="H769" s="253" t="str">
        <x:v>Yes</x:v>
      </x:c>
      <x:c r="I769" s="253" t="str"/>
      <x:c r="J769" s="253" t="str"/>
      <x:c r="K769" s="259"/>
      <x:c r="L769" s="268" t="str">
        <x:f>IFERROR(VLOOKUP(I769,'Handler-Team Map'!$A$7:$C$17,2,FALSE),"")</x:f>
      </x:c>
      <x:c r="M769" s="268" t="str">
        <x:f>IFERROR(VLOOKUP(I769,'Handler-Team Map'!$A$7:$C$17,3,FALSE),"")</x:f>
      </x:c>
      <x:c r="N769" s="274" t="str">
        <x:v>FT_VM_DEP300_GET100_5X</x:v>
      </x:c>
      <x:c r="O769" s="274" t="str">
        <x:v>VIP BONUS - Deposit 300 Get 100 - 5x TO</x:v>
      </x:c>
      <x:c r="P769" s="274" t="str">
        <x:v>DepositBonus</x:v>
      </x:c>
      <x:c r="Q769" s="274" t="str">
        <x:v>Approved</x:v>
      </x:c>
      <x:c r="R769" s="265" t="n">
        <x:v>100</x:v>
      </x:c>
      <x:c r="S769" s="253" t="str">
        <x:v>No</x:v>
      </x:c>
      <x:c r="T769" s="265" t="n">
        <x:v>34700</x:v>
      </x:c>
      <x:c r="U769" s="253" t="str">
        <x:f>IF(AND(S769="Yes",T769=0),"Yes","No")</x:f>
        <x:v>No</x:v>
      </x:c>
      <x:c r="V769" s="253" t="str">
        <x:v>Yes</x:v>
      </x:c>
      <x:c r="W769" s="253" t="str">
        <x:v>Yes</x:v>
      </x:c>
      <x:c r="X769" s="259" t="n">
        <x:v>46175.166666666664</x:v>
      </x:c>
      <x:c r="Y769" s="265" t="n">
        <x:v>4000</x:v>
      </x:c>
      <x:c r="Z769" s="265" t="n">
        <x:v>4500</x:v>
      </x:c>
      <x:c r="AA769" s="253" t="str">
        <x:f>IF(V769="No","Maturing",IF(AND(U769="Yes",Y769&gt;0),"Yes","No"))</x:f>
        <x:v>No</x:v>
      </x:c>
      <x:c r="AB769" s="253" t="str">
        <x:f>IF(W769="No","Maturing",IF(AND(U769="Yes",Z769&gt;0),"Yes","No"))</x:f>
        <x:v>No</x:v>
      </x:c>
      <x:c r="AC769" s="265" t="n">
        <x:v>4002.63</x:v>
      </x:c>
      <x:c r="AD769" s="265" t="n">
        <x:v>4499.94</x:v>
      </x:c>
      <x:c r="AE769" s="271" t="str"/>
      <x:c r="AF769" s="274" t="str">
        <x:v>Not validated - no control/holdout</x:v>
      </x:c>
      <x:c r="AG769" s="277" t="str">
        <x:v>Recovered execution only; assignment date and unclaimed-offer denominator unavailable</x:v>
      </x:c>
    </x:row>
    <x:row r="770">
      <x:c r="A770" s="252" t="str">
        <x:v>34453703</x:v>
      </x:c>
      <x:c r="B770" s="253" t="str">
        <x:v>WS1</x:v>
      </x:c>
      <x:c r="C770" s="253" t="str">
        <x:v>MB8</x:v>
      </x:c>
      <x:c r="D770" s="262" t="n">
        <x:v>46175.58856481482</x:v>
      </x:c>
      <x:c r="E770" s="259" t="n">
        <x:v>46175.166666666664</x:v>
      </x:c>
      <x:c r="F770" s="253" t="str">
        <x:v>725972</x:v>
      </x:c>
      <x:c r="G770" s="253" t="str">
        <x:v>chuamek</x:v>
      </x:c>
      <x:c r="H770" s="253" t="str">
        <x:v>Yes</x:v>
      </x:c>
      <x:c r="I770" s="253" t="str">
        <x:v>zhen</x:v>
      </x:c>
      <x:c r="J770" s="253" t="str">
        <x:v>zhen</x:v>
      </x:c>
      <x:c r="K770" s="259" t="n">
        <x:v>45880.166666666664</x:v>
      </x:c>
      <x:c r="L770" s="268" t="str">
        <x:f>IFERROR(VLOOKUP(I770,'Handler-Team Map'!$A$7:$C$17,2,FALSE),"")</x:f>
      </x:c>
      <x:c r="M770" s="268" t="str">
        <x:f>IFERROR(VLOOKUP(I770,'Handler-Team Map'!$A$7:$C$17,3,FALSE),"")</x:f>
      </x:c>
      <x:c r="N770" s="274" t="str">
        <x:v>FT_VM_DEP600_GET200_5X</x:v>
      </x:c>
      <x:c r="O770" s="274" t="str">
        <x:v>VIP BONUS - Deposit 600 Get 200 - 5x TO</x:v>
      </x:c>
      <x:c r="P770" s="274" t="str">
        <x:v>DepositBonus</x:v>
      </x:c>
      <x:c r="Q770" s="274" t="str">
        <x:v>Approved</x:v>
      </x:c>
      <x:c r="R770" s="265" t="n">
        <x:v>200</x:v>
      </x:c>
      <x:c r="S770" s="253" t="str">
        <x:v>Yes</x:v>
      </x:c>
      <x:c r="T770" s="265" t="n">
        <x:v>700</x:v>
      </x:c>
      <x:c r="U770" s="253" t="str">
        <x:f>IF(AND(S770="Yes",T770=0),"Yes","No")</x:f>
        <x:v>No</x:v>
      </x:c>
      <x:c r="V770" s="253" t="str">
        <x:v>Yes</x:v>
      </x:c>
      <x:c r="W770" s="253" t="str">
        <x:v>Yes</x:v>
      </x:c>
      <x:c r="X770" s="259" t="n">
        <x:v>46175.166666666664</x:v>
      </x:c>
      <x:c r="Y770" s="265" t="n">
        <x:v>600</x:v>
      </x:c>
      <x:c r="Z770" s="265" t="n">
        <x:v>600</x:v>
      </x:c>
      <x:c r="AA770" s="253" t="str">
        <x:f>IF(V770="No","Maturing",IF(AND(U770="Yes",Y770&gt;0),"Yes","No"))</x:f>
        <x:v>No</x:v>
      </x:c>
      <x:c r="AB770" s="253" t="str">
        <x:f>IF(W770="No","Maturing",IF(AND(U770="Yes",Z770&gt;0),"Yes","No"))</x:f>
        <x:v>No</x:v>
      </x:c>
      <x:c r="AC770" s="265" t="n">
        <x:v>-483.23</x:v>
      </x:c>
      <x:c r="AD770" s="265" t="n">
        <x:v>605.77</x:v>
      </x:c>
      <x:c r="AE770" s="271" t="str"/>
      <x:c r="AF770" s="274" t="str">
        <x:v>Not validated - no control/holdout</x:v>
      </x:c>
      <x:c r="AG770" s="277" t="str">
        <x:v>Recovered execution only; assignment date and unclaimed-offer denominator unavailable</x:v>
      </x:c>
    </x:row>
    <x:row r="771">
      <x:c r="A771" s="252" t="str">
        <x:v>34462106</x:v>
      </x:c>
      <x:c r="B771" s="253" t="str">
        <x:v>WS1</x:v>
      </x:c>
      <x:c r="C771" s="253" t="str">
        <x:v>MB8</x:v>
      </x:c>
      <x:c r="D771" s="262" t="n">
        <x:v>46176.35582175926</x:v>
      </x:c>
      <x:c r="E771" s="259" t="n">
        <x:v>46176.166666666664</x:v>
      </x:c>
      <x:c r="F771" s="253" t="str">
        <x:v>512535</x:v>
      </x:c>
      <x:c r="G771" s="253" t="str">
        <x:v>betwin1234</x:v>
      </x:c>
      <x:c r="H771" s="253" t="str">
        <x:v>Yes</x:v>
      </x:c>
      <x:c r="I771" s="253" t="str">
        <x:v>Jiahui</x:v>
      </x:c>
      <x:c r="J771" s="253" t="str">
        <x:v>Jiahui</x:v>
      </x:c>
      <x:c r="K771" s="259" t="n">
        <x:v>46097.166666666664</x:v>
      </x:c>
      <x:c r="L771" s="268" t="str">
        <x:f>IFERROR(VLOOKUP(I771,'Handler-Team Map'!$A$7:$C$17,2,FALSE),"")</x:f>
      </x:c>
      <x:c r="M771" s="268" t="str">
        <x:f>IFERROR(VLOOKUP(I771,'Handler-Team Map'!$A$7:$C$17,3,FALSE),"")</x:f>
      </x:c>
      <x:c r="N771" s="274" t="str">
        <x:v>FT_VM_DEP1000_GET900_1X</x:v>
      </x:c>
      <x:c r="O771" s="274" t="str">
        <x:v>VIP BONUS - Deposit 1000 Get 900 - 1x TO</x:v>
      </x:c>
      <x:c r="P771" s="274" t="str">
        <x:v>DepositBonus</x:v>
      </x:c>
      <x:c r="Q771" s="274" t="str">
        <x:v>Approved</x:v>
      </x:c>
      <x:c r="R771" s="265" t="n">
        <x:v>900</x:v>
      </x:c>
      <x:c r="S771" s="253" t="str">
        <x:v>Yes</x:v>
      </x:c>
      <x:c r="T771" s="265" t="n">
        <x:v>8809</x:v>
      </x:c>
      <x:c r="U771" s="253" t="str">
        <x:f>IF(AND(S771="Yes",T771=0),"Yes","No")</x:f>
        <x:v>No</x:v>
      </x:c>
      <x:c r="V771" s="253" t="str">
        <x:v>Yes</x:v>
      </x:c>
      <x:c r="W771" s="253" t="str">
        <x:v>Yes</x:v>
      </x:c>
      <x:c r="X771" s="259" t="n">
        <x:v>46176.166666666664</x:v>
      </x:c>
      <x:c r="Y771" s="265" t="n">
        <x:v>11634</x:v>
      </x:c>
      <x:c r="Z771" s="265" t="n">
        <x:v>11634</x:v>
      </x:c>
      <x:c r="AA771" s="253" t="str">
        <x:f>IF(V771="No","Maturing",IF(AND(U771="Yes",Y771&gt;0),"Yes","No"))</x:f>
        <x:v>No</x:v>
      </x:c>
      <x:c r="AB771" s="253" t="str">
        <x:f>IF(W771="No","Maturing",IF(AND(U771="Yes",Z771&gt;0),"Yes","No"))</x:f>
        <x:v>No</x:v>
      </x:c>
      <x:c r="AC771" s="265" t="n">
        <x:v>4280.83</x:v>
      </x:c>
      <x:c r="AD771" s="265" t="n">
        <x:v>4280.92</x:v>
      </x:c>
      <x:c r="AE771" s="271" t="str"/>
      <x:c r="AF771" s="274" t="str">
        <x:v>Not validated - no control/holdout</x:v>
      </x:c>
      <x:c r="AG771" s="277" t="str">
        <x:v>Recovered execution only; assignment date and unclaimed-offer denominator unavailable</x:v>
      </x:c>
    </x:row>
    <x:row r="772">
      <x:c r="A772" s="252" t="str">
        <x:v>34463090</x:v>
      </x:c>
      <x:c r="B772" s="253" t="str">
        <x:v>WS1</x:v>
      </x:c>
      <x:c r="C772" s="253" t="str">
        <x:v>MB8</x:v>
      </x:c>
      <x:c r="D772" s="262" t="n">
        <x:v>46176.49013888889</x:v>
      </x:c>
      <x:c r="E772" s="259" t="n">
        <x:v>46176.166666666664</x:v>
      </x:c>
      <x:c r="F772" s="253" t="str">
        <x:v>306733</x:v>
      </x:c>
      <x:c r="G772" s="253" t="str">
        <x:v>HC5140</x:v>
      </x:c>
      <x:c r="H772" s="253" t="str">
        <x:v>Yes</x:v>
      </x:c>
      <x:c r="I772" s="253" t="str">
        <x:v>Claire</x:v>
      </x:c>
      <x:c r="J772" s="253" t="str">
        <x:v>Claire</x:v>
      </x:c>
      <x:c r="K772" s="259" t="n">
        <x:v>45659.166666666664</x:v>
      </x:c>
      <x:c r="L772" s="268" t="str">
        <x:f>IFERROR(VLOOKUP(I772,'Handler-Team Map'!$A$7:$C$17,2,FALSE),"")</x:f>
      </x:c>
      <x:c r="M772" s="268" t="str">
        <x:f>IFERROR(VLOOKUP(I772,'Handler-Team Map'!$A$7:$C$17,3,FALSE),"")</x:f>
      </x:c>
      <x:c r="N772" s="274" t="str">
        <x:v>FT_VM_DEP1000_GET500_2X</x:v>
      </x:c>
      <x:c r="O772" s="274" t="str">
        <x:v>VIP BONUS - Deposit 1000 Get 500 - 2x TO</x:v>
      </x:c>
      <x:c r="P772" s="274" t="str">
        <x:v>DepositBonus</x:v>
      </x:c>
      <x:c r="Q772" s="274" t="str">
        <x:v>Approved</x:v>
      </x:c>
      <x:c r="R772" s="265" t="n">
        <x:v>500</x:v>
      </x:c>
      <x:c r="S772" s="253" t="str">
        <x:v>Yes</x:v>
      </x:c>
      <x:c r="T772" s="265" t="n">
        <x:v>334750</x:v>
      </x:c>
      <x:c r="U772" s="253" t="str">
        <x:f>IF(AND(S772="Yes",T772=0),"Yes","No")</x:f>
        <x:v>No</x:v>
      </x:c>
      <x:c r="V772" s="253" t="str">
        <x:v>Yes</x:v>
      </x:c>
      <x:c r="W772" s="253" t="str">
        <x:v>Yes</x:v>
      </x:c>
      <x:c r="X772" s="259" t="n">
        <x:v>46176.166666666664</x:v>
      </x:c>
      <x:c r="Y772" s="265" t="n">
        <x:v>22400</x:v>
      </x:c>
      <x:c r="Z772" s="265" t="n">
        <x:v>38500</x:v>
      </x:c>
      <x:c r="AA772" s="253" t="str">
        <x:f>IF(V772="No","Maturing",IF(AND(U772="Yes",Y772&gt;0),"Yes","No"))</x:f>
        <x:v>No</x:v>
      </x:c>
      <x:c r="AB772" s="253" t="str">
        <x:f>IF(W772="No","Maturing",IF(AND(U772="Yes",Z772&gt;0),"Yes","No"))</x:f>
        <x:v>No</x:v>
      </x:c>
      <x:c r="AC772" s="265" t="n">
        <x:v>-18475.4</x:v>
      </x:c>
      <x:c r="AD772" s="265" t="n">
        <x:v>-20010.33</x:v>
      </x:c>
      <x:c r="AE772" s="271" t="str"/>
      <x:c r="AF772" s="274" t="str">
        <x:v>Not validated - no control/holdout</x:v>
      </x:c>
      <x:c r="AG772" s="277" t="str">
        <x:v>Recovered execution only; assignment date and unclaimed-offer denominator unavailable</x:v>
      </x:c>
    </x:row>
    <x:row r="773">
      <x:c r="A773" s="252" t="str">
        <x:v>34463967</x:v>
      </x:c>
      <x:c r="B773" s="253" t="str">
        <x:v>WS1</x:v>
      </x:c>
      <x:c r="C773" s="253" t="str">
        <x:v>MB8</x:v>
      </x:c>
      <x:c r="D773" s="262" t="n">
        <x:v>46176.57431712963</x:v>
      </x:c>
      <x:c r="E773" s="259" t="n">
        <x:v>46176.166666666664</x:v>
      </x:c>
      <x:c r="F773" s="253" t="str">
        <x:v>587328</x:v>
      </x:c>
      <x:c r="G773" s="253" t="str">
        <x:v>momiji123</x:v>
      </x:c>
      <x:c r="H773" s="253" t="str">
        <x:v>Yes</x:v>
      </x:c>
      <x:c r="I773" s="253" t="str">
        <x:v>zhen</x:v>
      </x:c>
      <x:c r="J773" s="253" t="str">
        <x:v>zhen</x:v>
      </x:c>
      <x:c r="K773" s="259" t="n">
        <x:v>45922.166666666664</x:v>
      </x:c>
      <x:c r="L773" s="268" t="str">
        <x:f>IFERROR(VLOOKUP(I773,'Handler-Team Map'!$A$7:$C$17,2,FALSE),"")</x:f>
      </x:c>
      <x:c r="M773" s="268" t="str">
        <x:f>IFERROR(VLOOKUP(I773,'Handler-Team Map'!$A$7:$C$17,3,FALSE),"")</x:f>
      </x:c>
      <x:c r="N773" s="274" t="str">
        <x:v>FT_VM_DEP1000_GET500_5X</x:v>
      </x:c>
      <x:c r="O773" s="274" t="str">
        <x:v>VIP BONUS - Deposit 1000 Get 500 - 5x TO</x:v>
      </x:c>
      <x:c r="P773" s="274" t="str">
        <x:v>DepositBonus</x:v>
      </x:c>
      <x:c r="Q773" s="274" t="str">
        <x:v>Approved</x:v>
      </x:c>
      <x:c r="R773" s="265" t="n">
        <x:v>500</x:v>
      </x:c>
      <x:c r="S773" s="253" t="str">
        <x:v>Yes</x:v>
      </x:c>
      <x:c r="T773" s="265" t="n">
        <x:v>1200</x:v>
      </x:c>
      <x:c r="U773" s="253" t="str">
        <x:f>IF(AND(S773="Yes",T773=0),"Yes","No")</x:f>
        <x:v>No</x:v>
      </x:c>
      <x:c r="V773" s="253" t="str">
        <x:v>Yes</x:v>
      </x:c>
      <x:c r="W773" s="253" t="str">
        <x:v>Yes</x:v>
      </x:c>
      <x:c r="X773" s="259" t="n">
        <x:v>46176.166666666664</x:v>
      </x:c>
      <x:c r="Y773" s="265" t="n">
        <x:v>1000</x:v>
      </x:c>
      <x:c r="Z773" s="265" t="n">
        <x:v>1200</x:v>
      </x:c>
      <x:c r="AA773" s="253" t="str">
        <x:f>IF(V773="No","Maturing",IF(AND(U773="Yes",Y773&gt;0),"Yes","No"))</x:f>
        <x:v>No</x:v>
      </x:c>
      <x:c r="AB773" s="253" t="str">
        <x:f>IF(W773="No","Maturing",IF(AND(U773="Yes",Z773&gt;0),"Yes","No"))</x:f>
        <x:v>No</x:v>
      </x:c>
      <x:c r="AC773" s="265" t="n">
        <x:v>1000.18</x:v>
      </x:c>
      <x:c r="AD773" s="265" t="n">
        <x:v>1197.18</x:v>
      </x:c>
      <x:c r="AE773" s="271" t="str"/>
      <x:c r="AF773" s="274" t="str">
        <x:v>Not validated - no control/holdout</x:v>
      </x:c>
      <x:c r="AG773" s="277" t="str">
        <x:v>Recovered execution only; assignment date and unclaimed-offer denominator unavailable</x:v>
      </x:c>
    </x:row>
    <x:row r="774">
      <x:c r="A774" s="252" t="str">
        <x:v>34464003</x:v>
      </x:c>
      <x:c r="B774" s="253" t="str">
        <x:v>WS1</x:v>
      </x:c>
      <x:c r="C774" s="253" t="str">
        <x:v>MB8</x:v>
      </x:c>
      <x:c r="D774" s="262" t="n">
        <x:v>46176.579189814816</x:v>
      </x:c>
      <x:c r="E774" s="259" t="n">
        <x:v>46176.166666666664</x:v>
      </x:c>
      <x:c r="F774" s="253" t="str">
        <x:v>300292</x:v>
      </x:c>
      <x:c r="G774" s="253" t="str">
        <x:v>Samlim</x:v>
      </x:c>
      <x:c r="H774" s="253" t="str">
        <x:v>Yes</x:v>
      </x:c>
      <x:c r="I774" s="253" t="str">
        <x:v>zhen</x:v>
      </x:c>
      <x:c r="J774" s="253" t="str">
        <x:v>zhen</x:v>
      </x:c>
      <x:c r="K774" s="259" t="n">
        <x:v>45985.166666666664</x:v>
      </x:c>
      <x:c r="L774" s="268" t="str">
        <x:f>IFERROR(VLOOKUP(I774,'Handler-Team Map'!$A$7:$C$17,2,FALSE),"")</x:f>
      </x:c>
      <x:c r="M774" s="268" t="str">
        <x:f>IFERROR(VLOOKUP(I774,'Handler-Team Map'!$A$7:$C$17,3,FALSE),"")</x:f>
      </x:c>
      <x:c r="N774" s="274" t="str">
        <x:v>FT_VM_DEP150_GET50_5X</x:v>
      </x:c>
      <x:c r="O774" s="274" t="str">
        <x:v>VIP BONUS - Deposit 150 Get 50 - 5x TO</x:v>
      </x:c>
      <x:c r="P774" s="274" t="str">
        <x:v>DepositBonus</x:v>
      </x:c>
      <x:c r="Q774" s="274" t="str">
        <x:v>Approved</x:v>
      </x:c>
      <x:c r="R774" s="265" t="n">
        <x:v>50</x:v>
      </x:c>
      <x:c r="S774" s="253" t="str">
        <x:v>Yes</x:v>
      </x:c>
      <x:c r="T774" s="265" t="n">
        <x:v>38298</x:v>
      </x:c>
      <x:c r="U774" s="253" t="str">
        <x:f>IF(AND(S774="Yes",T774=0),"Yes","No")</x:f>
        <x:v>No</x:v>
      </x:c>
      <x:c r="V774" s="253" t="str">
        <x:v>Yes</x:v>
      </x:c>
      <x:c r="W774" s="253" t="str">
        <x:v>Yes</x:v>
      </x:c>
      <x:c r="X774" s="259" t="n">
        <x:v>46176.166666666664</x:v>
      </x:c>
      <x:c r="Y774" s="265" t="n">
        <x:v>8237</x:v>
      </x:c>
      <x:c r="Z774" s="265" t="n">
        <x:v>49637</x:v>
      </x:c>
      <x:c r="AA774" s="253" t="str">
        <x:f>IF(V774="No","Maturing",IF(AND(U774="Yes",Y774&gt;0),"Yes","No"))</x:f>
        <x:v>No</x:v>
      </x:c>
      <x:c r="AB774" s="253" t="str">
        <x:f>IF(W774="No","Maturing",IF(AND(U774="Yes",Z774&gt;0),"Yes","No"))</x:f>
        <x:v>No</x:v>
      </x:c>
      <x:c r="AC774" s="265" t="n">
        <x:v>4226.57</x:v>
      </x:c>
      <x:c r="AD774" s="265" t="n">
        <x:v>7766.83</x:v>
      </x:c>
      <x:c r="AE774" s="271" t="str"/>
      <x:c r="AF774" s="274" t="str">
        <x:v>Not validated - no control/holdout</x:v>
      </x:c>
      <x:c r="AG774" s="277" t="str">
        <x:v>Recovered execution only; assignment date and unclaimed-offer denominator unavailable</x:v>
      </x:c>
    </x:row>
    <x:row r="775">
      <x:c r="A775" s="252" t="str">
        <x:v>34463997</x:v>
      </x:c>
      <x:c r="B775" s="253" t="str">
        <x:v>WS1</x:v>
      </x:c>
      <x:c r="C775" s="253" t="str">
        <x:v>MB8</x:v>
      </x:c>
      <x:c r="D775" s="262" t="n">
        <x:v>46176.58090277778</x:v>
      </x:c>
      <x:c r="E775" s="259" t="n">
        <x:v>46176.166666666664</x:v>
      </x:c>
      <x:c r="F775" s="253" t="str">
        <x:v>274783</x:v>
      </x:c>
      <x:c r="G775" s="253" t="str">
        <x:v>Shamrock</x:v>
      </x:c>
      <x:c r="H775" s="253" t="str">
        <x:v>Yes</x:v>
      </x:c>
      <x:c r="I775" s="253" t="str">
        <x:v>Claire</x:v>
      </x:c>
      <x:c r="J775" s="253" t="str">
        <x:v>Claire</x:v>
      </x:c>
      <x:c r="K775" s="259" t="n">
        <x:v>45659.166666666664</x:v>
      </x:c>
      <x:c r="L775" s="268" t="str">
        <x:f>IFERROR(VLOOKUP(I775,'Handler-Team Map'!$A$7:$C$17,2,FALSE),"")</x:f>
      </x:c>
      <x:c r="M775" s="268" t="str">
        <x:f>IFERROR(VLOOKUP(I775,'Handler-Team Map'!$A$7:$C$17,3,FALSE),"")</x:f>
      </x:c>
      <x:c r="N775" s="274" t="str">
        <x:v>FT_VM_DEP700_GET300_2X</x:v>
      </x:c>
      <x:c r="O775" s="274" t="str">
        <x:v>VIP BONUS - Deposit 700 Get 300 - 2x TO</x:v>
      </x:c>
      <x:c r="P775" s="274" t="str">
        <x:v>DepositBonus</x:v>
      </x:c>
      <x:c r="Q775" s="274" t="str">
        <x:v>Approved</x:v>
      </x:c>
      <x:c r="R775" s="265" t="n">
        <x:v>300</x:v>
      </x:c>
      <x:c r="S775" s="253" t="str">
        <x:v>Yes</x:v>
      </x:c>
      <x:c r="T775" s="265" t="n">
        <x:v>64055</x:v>
      </x:c>
      <x:c r="U775" s="253" t="str">
        <x:f>IF(AND(S775="Yes",T775=0),"Yes","No")</x:f>
        <x:v>No</x:v>
      </x:c>
      <x:c r="V775" s="253" t="str">
        <x:v>Yes</x:v>
      </x:c>
      <x:c r="W775" s="253" t="str">
        <x:v>Yes</x:v>
      </x:c>
      <x:c r="X775" s="259" t="n">
        <x:v>46176.166666666664</x:v>
      </x:c>
      <x:c r="Y775" s="265" t="n">
        <x:v>7004</x:v>
      </x:c>
      <x:c r="Z775" s="265" t="n">
        <x:v>23831</x:v>
      </x:c>
      <x:c r="AA775" s="253" t="str">
        <x:f>IF(V775="No","Maturing",IF(AND(U775="Yes",Y775&gt;0),"Yes","No"))</x:f>
        <x:v>No</x:v>
      </x:c>
      <x:c r="AB775" s="253" t="str">
        <x:f>IF(W775="No","Maturing",IF(AND(U775="Yes",Z775&gt;0),"Yes","No"))</x:f>
        <x:v>No</x:v>
      </x:c>
      <x:c r="AC775" s="265" t="n">
        <x:v>6988.3</x:v>
      </x:c>
      <x:c r="AD775" s="265" t="n">
        <x:v>-6529.48</x:v>
      </x:c>
      <x:c r="AE775" s="271" t="str"/>
      <x:c r="AF775" s="274" t="str">
        <x:v>Not validated - no control/holdout</x:v>
      </x:c>
      <x:c r="AG775" s="277" t="str">
        <x:v>Recovered execution only; assignment date and unclaimed-offer denominator unavailable</x:v>
      </x:c>
    </x:row>
    <x:row r="776">
      <x:c r="A776" s="252" t="str">
        <x:v>34464587</x:v>
      </x:c>
      <x:c r="B776" s="253" t="str">
        <x:v>WS1</x:v>
      </x:c>
      <x:c r="C776" s="253" t="str">
        <x:v>MB8</x:v>
      </x:c>
      <x:c r="D776" s="262" t="n">
        <x:v>46176.63842592593</x:v>
      </x:c>
      <x:c r="E776" s="259" t="n">
        <x:v>46176.166666666664</x:v>
      </x:c>
      <x:c r="F776" s="253" t="str">
        <x:v>443729</x:v>
      </x:c>
      <x:c r="G776" s="253" t="str">
        <x:v>koon65</x:v>
      </x:c>
      <x:c r="H776" s="253" t="str">
        <x:v>Yes</x:v>
      </x:c>
      <x:c r="I776" s="253" t="str">
        <x:v>zhen</x:v>
      </x:c>
      <x:c r="J776" s="253" t="str">
        <x:v>zhen</x:v>
      </x:c>
      <x:c r="K776" s="259" t="n">
        <x:v>46090.166666666664</x:v>
      </x:c>
      <x:c r="L776" s="268" t="str">
        <x:f>IFERROR(VLOOKUP(I776,'Handler-Team Map'!$A$7:$C$17,2,FALSE),"")</x:f>
      </x:c>
      <x:c r="M776" s="268" t="str">
        <x:f>IFERROR(VLOOKUP(I776,'Handler-Team Map'!$A$7:$C$17,3,FALSE),"")</x:f>
      </x:c>
      <x:c r="N776" s="274" t="str">
        <x:v>FT_VM_DEP300_GET100_5X</x:v>
      </x:c>
      <x:c r="O776" s="274" t="str">
        <x:v>VIP BONUS - Deposit 300 Get 100 - 5x TO</x:v>
      </x:c>
      <x:c r="P776" s="274" t="str">
        <x:v>DepositBonus</x:v>
      </x:c>
      <x:c r="Q776" s="274" t="str">
        <x:v>Approved</x:v>
      </x:c>
      <x:c r="R776" s="265" t="n">
        <x:v>100</x:v>
      </x:c>
      <x:c r="S776" s="253" t="str">
        <x:v>Yes</x:v>
      </x:c>
      <x:c r="T776" s="265" t="n">
        <x:v>28288.8</x:v>
      </x:c>
      <x:c r="U776" s="253" t="str">
        <x:f>IF(AND(S776="Yes",T776=0),"Yes","No")</x:f>
        <x:v>No</x:v>
      </x:c>
      <x:c r="V776" s="253" t="str">
        <x:v>Yes</x:v>
      </x:c>
      <x:c r="W776" s="253" t="str">
        <x:v>Yes</x:v>
      </x:c>
      <x:c r="X776" s="259" t="n">
        <x:v>46176.166666666664</x:v>
      </x:c>
      <x:c r="Y776" s="265" t="n">
        <x:v>16800</x:v>
      </x:c>
      <x:c r="Z776" s="265" t="n">
        <x:v>21600</x:v>
      </x:c>
      <x:c r="AA776" s="253" t="str">
        <x:f>IF(V776="No","Maturing",IF(AND(U776="Yes",Y776&gt;0),"Yes","No"))</x:f>
        <x:v>No</x:v>
      </x:c>
      <x:c r="AB776" s="253" t="str">
        <x:f>IF(W776="No","Maturing",IF(AND(U776="Yes",Z776&gt;0),"Yes","No"))</x:f>
        <x:v>No</x:v>
      </x:c>
      <x:c r="AC776" s="265" t="n">
        <x:v>7053.3</x:v>
      </x:c>
      <x:c r="AD776" s="265" t="n">
        <x:v>7460.17</x:v>
      </x:c>
      <x:c r="AE776" s="271" t="str"/>
      <x:c r="AF776" s="274" t="str">
        <x:v>Not validated - no control/holdout</x:v>
      </x:c>
      <x:c r="AG776" s="277" t="str">
        <x:v>Recovered execution only; assignment date and unclaimed-offer denominator unavailable</x:v>
      </x:c>
    </x:row>
    <x:row r="777">
      <x:c r="A777" s="252" t="str">
        <x:v>34464651</x:v>
      </x:c>
      <x:c r="B777" s="253" t="str">
        <x:v>WS1</x:v>
      </x:c>
      <x:c r="C777" s="253" t="str">
        <x:v>MB8</x:v>
      </x:c>
      <x:c r="D777" s="262" t="n">
        <x:v>46176.64445601852</x:v>
      </x:c>
      <x:c r="E777" s="259" t="n">
        <x:v>46176.166666666664</x:v>
      </x:c>
      <x:c r="F777" s="253" t="str">
        <x:v>302345</x:v>
      </x:c>
      <x:c r="G777" s="253" t="str">
        <x:v>bujiangfatt</x:v>
      </x:c>
      <x:c r="H777" s="253" t="str">
        <x:v>Yes</x:v>
      </x:c>
      <x:c r="I777" s="253" t="str">
        <x:v>Elda</x:v>
      </x:c>
      <x:c r="J777" s="253" t="str">
        <x:v>Elda</x:v>
      </x:c>
      <x:c r="K777" s="259" t="n">
        <x:v>45659.166666666664</x:v>
      </x:c>
      <x:c r="L777" s="268" t="str">
        <x:f>IFERROR(VLOOKUP(I777,'Handler-Team Map'!$A$7:$C$17,2,FALSE),"")</x:f>
      </x:c>
      <x:c r="M777" s="268" t="str">
        <x:f>IFERROR(VLOOKUP(I777,'Handler-Team Map'!$A$7:$C$17,3,FALSE),"")</x:f>
      </x:c>
      <x:c r="N777" s="274" t="str">
        <x:v>FT_VM_DEP1000_GET500_5X</x:v>
      </x:c>
      <x:c r="O777" s="274" t="str">
        <x:v>VIP BONUS - Deposit 1000 Get 500 - 5x TO</x:v>
      </x:c>
      <x:c r="P777" s="274" t="str">
        <x:v>DepositBonus</x:v>
      </x:c>
      <x:c r="Q777" s="274" t="str">
        <x:v>Approved</x:v>
      </x:c>
      <x:c r="R777" s="265" t="n">
        <x:v>500</x:v>
      </x:c>
      <x:c r="S777" s="253" t="str">
        <x:v>Yes</x:v>
      </x:c>
      <x:c r="T777" s="265" t="n">
        <x:v>10060</x:v>
      </x:c>
      <x:c r="U777" s="253" t="str">
        <x:f>IF(AND(S777="Yes",T777=0),"Yes","No")</x:f>
        <x:v>No</x:v>
      </x:c>
      <x:c r="V777" s="253" t="str">
        <x:v>Yes</x:v>
      </x:c>
      <x:c r="W777" s="253" t="str">
        <x:v>Yes</x:v>
      </x:c>
      <x:c r="X777" s="259" t="n">
        <x:v>46176.166666666664</x:v>
      </x:c>
      <x:c r="Y777" s="265" t="n">
        <x:v>32100</x:v>
      </x:c>
      <x:c r="Z777" s="265" t="n">
        <x:v>34157</x:v>
      </x:c>
      <x:c r="AA777" s="253" t="str">
        <x:f>IF(V777="No","Maturing",IF(AND(U777="Yes",Y777&gt;0),"Yes","No"))</x:f>
        <x:v>No</x:v>
      </x:c>
      <x:c r="AB777" s="253" t="str">
        <x:f>IF(W777="No","Maturing",IF(AND(U777="Yes",Z777&gt;0),"Yes","No"))</x:f>
        <x:v>No</x:v>
      </x:c>
      <x:c r="AC777" s="265" t="n">
        <x:v>7996.17</x:v>
      </x:c>
      <x:c r="AD777" s="265" t="n">
        <x:v>10103.08</x:v>
      </x:c>
      <x:c r="AE777" s="271" t="str"/>
      <x:c r="AF777" s="274" t="str">
        <x:v>Not validated - no control/holdout</x:v>
      </x:c>
      <x:c r="AG777" s="277" t="str">
        <x:v>Recovered execution only; assignment date and unclaimed-offer denominator unavailable</x:v>
      </x:c>
    </x:row>
    <x:row r="778">
      <x:c r="A778" s="252" t="str">
        <x:v>34465047</x:v>
      </x:c>
      <x:c r="B778" s="253" t="str">
        <x:v>WS1</x:v>
      </x:c>
      <x:c r="C778" s="253" t="str">
        <x:v>MB8</x:v>
      </x:c>
      <x:c r="D778" s="262" t="n">
        <x:v>46176.676030092596</x:v>
      </x:c>
      <x:c r="E778" s="259" t="n">
        <x:v>46176.166666666664</x:v>
      </x:c>
      <x:c r="F778" s="253" t="str">
        <x:v>809424</x:v>
      </x:c>
      <x:c r="G778" s="253" t="str">
        <x:v>yeamwc</x:v>
      </x:c>
      <x:c r="H778" s="253" t="str">
        <x:v>Yes</x:v>
      </x:c>
      <x:c r="I778" s="253" t="str">
        <x:v>Elda</x:v>
      </x:c>
      <x:c r="J778" s="253" t="str">
        <x:v>Elda</x:v>
      </x:c>
      <x:c r="K778" s="259" t="n">
        <x:v>45659.166666666664</x:v>
      </x:c>
      <x:c r="L778" s="268" t="str">
        <x:f>IFERROR(VLOOKUP(I778,'Handler-Team Map'!$A$7:$C$17,2,FALSE),"")</x:f>
      </x:c>
      <x:c r="M778" s="268" t="str">
        <x:f>IFERROR(VLOOKUP(I778,'Handler-Team Map'!$A$7:$C$17,3,FALSE),"")</x:f>
      </x:c>
      <x:c r="N778" s="274" t="str">
        <x:v>FT_VM_DEP1000_GET1000_1X</x:v>
      </x:c>
      <x:c r="O778" s="274" t="str">
        <x:v>VIP BONUS - Deposit 1000 Get 1000 - 1x TO</x:v>
      </x:c>
      <x:c r="P778" s="274" t="str">
        <x:v>DepositBonus</x:v>
      </x:c>
      <x:c r="Q778" s="274" t="str">
        <x:v>Approved</x:v>
      </x:c>
      <x:c r="R778" s="265" t="n">
        <x:v>1000</x:v>
      </x:c>
      <x:c r="S778" s="253" t="str">
        <x:v>Yes</x:v>
      </x:c>
      <x:c r="T778" s="265" t="n">
        <x:v>99250</x:v>
      </x:c>
      <x:c r="U778" s="253" t="str">
        <x:f>IF(AND(S778="Yes",T778=0),"Yes","No")</x:f>
        <x:v>No</x:v>
      </x:c>
      <x:c r="V778" s="253" t="str">
        <x:v>Yes</x:v>
      </x:c>
      <x:c r="W778" s="253" t="str">
        <x:v>Yes</x:v>
      </x:c>
      <x:c r="X778" s="259" t="n">
        <x:v>46176.166666666664</x:v>
      </x:c>
      <x:c r="Y778" s="265" t="n">
        <x:v>4548</x:v>
      </x:c>
      <x:c r="Z778" s="265" t="n">
        <x:v>52748</x:v>
      </x:c>
      <x:c r="AA778" s="253" t="str">
        <x:f>IF(V778="No","Maturing",IF(AND(U778="Yes",Y778&gt;0),"Yes","No"))</x:f>
        <x:v>No</x:v>
      </x:c>
      <x:c r="AB778" s="253" t="str">
        <x:f>IF(W778="No","Maturing",IF(AND(U778="Yes",Z778&gt;0),"Yes","No"))</x:f>
        <x:v>No</x:v>
      </x:c>
      <x:c r="AC778" s="265" t="n">
        <x:v>4547.88</x:v>
      </x:c>
      <x:c r="AD778" s="265" t="n">
        <x:v>23512.42</x:v>
      </x:c>
      <x:c r="AE778" s="271" t="str"/>
      <x:c r="AF778" s="274" t="str">
        <x:v>Not validated - no control/holdout</x:v>
      </x:c>
      <x:c r="AG778" s="277" t="str">
        <x:v>Recovered execution only; assignment date and unclaimed-offer denominator unavailable</x:v>
      </x:c>
    </x:row>
    <x:row r="779">
      <x:c r="A779" s="252" t="str">
        <x:v>34465198</x:v>
      </x:c>
      <x:c r="B779" s="253" t="str">
        <x:v>WS1</x:v>
      </x:c>
      <x:c r="C779" s="253" t="str">
        <x:v>MB8</x:v>
      </x:c>
      <x:c r="D779" s="262" t="n">
        <x:v>46176.68539351852</x:v>
      </x:c>
      <x:c r="E779" s="259" t="n">
        <x:v>46176.166666666664</x:v>
      </x:c>
      <x:c r="F779" s="253" t="str">
        <x:v>878426</x:v>
      </x:c>
      <x:c r="G779" s="253" t="str">
        <x:v>eatmydust7</x:v>
      </x:c>
      <x:c r="H779" s="253" t="str">
        <x:v>Yes</x:v>
      </x:c>
      <x:c r="I779" s="253" t="str">
        <x:v>Sheena</x:v>
      </x:c>
      <x:c r="J779" s="253" t="str">
        <x:v>Sheena</x:v>
      </x:c>
      <x:c r="K779" s="259" t="n">
        <x:v>45852.166666666664</x:v>
      </x:c>
      <x:c r="L779" s="268" t="str">
        <x:f>IFERROR(VLOOKUP(I779,'Handler-Team Map'!$A$7:$C$17,2,FALSE),"")</x:f>
      </x:c>
      <x:c r="M779" s="268" t="str">
        <x:f>IFERROR(VLOOKUP(I779,'Handler-Team Map'!$A$7:$C$17,3,FALSE),"")</x:f>
      </x:c>
      <x:c r="N779" s="274" t="str">
        <x:v>FT_VM_DEP800_GET400_1X</x:v>
      </x:c>
      <x:c r="O779" s="274" t="str">
        <x:v>VIP BONUS - Deposit 800 Get 400 - 1x TO</x:v>
      </x:c>
      <x:c r="P779" s="274" t="str">
        <x:v>DepositBonus</x:v>
      </x:c>
      <x:c r="Q779" s="274" t="str">
        <x:v>Approved</x:v>
      </x:c>
      <x:c r="R779" s="265" t="n">
        <x:v>400</x:v>
      </x:c>
      <x:c r="S779" s="253" t="str">
        <x:v>Yes</x:v>
      </x:c>
      <x:c r="T779" s="265" t="n">
        <x:v>3850</x:v>
      </x:c>
      <x:c r="U779" s="253" t="str">
        <x:f>IF(AND(S779="Yes",T779=0),"Yes","No")</x:f>
        <x:v>No</x:v>
      </x:c>
      <x:c r="V779" s="253" t="str">
        <x:v>Yes</x:v>
      </x:c>
      <x:c r="W779" s="253" t="str">
        <x:v>Yes</x:v>
      </x:c>
      <x:c r="X779" s="259" t="n">
        <x:v>46176.166666666664</x:v>
      </x:c>
      <x:c r="Y779" s="265" t="n">
        <x:v>800</x:v>
      </x:c>
      <x:c r="Z779" s="265" t="n">
        <x:v>800</x:v>
      </x:c>
      <x:c r="AA779" s="253" t="str">
        <x:f>IF(V779="No","Maturing",IF(AND(U779="Yes",Y779&gt;0),"Yes","No"))</x:f>
        <x:v>No</x:v>
      </x:c>
      <x:c r="AB779" s="253" t="str">
        <x:f>IF(W779="No","Maturing",IF(AND(U779="Yes",Z779&gt;0),"Yes","No"))</x:f>
        <x:v>No</x:v>
      </x:c>
      <x:c r="AC779" s="265" t="n">
        <x:v>-1600</x:v>
      </x:c>
      <x:c r="AD779" s="265" t="n">
        <x:v>-1600</x:v>
      </x:c>
      <x:c r="AE779" s="271" t="str"/>
      <x:c r="AF779" s="274" t="str">
        <x:v>Not validated - no control/holdout</x:v>
      </x:c>
      <x:c r="AG779" s="277" t="str">
        <x:v>Recovered execution only; assignment date and unclaimed-offer denominator unavailable</x:v>
      </x:c>
    </x:row>
    <x:row r="780">
      <x:c r="A780" s="252" t="str">
        <x:v>34465235</x:v>
      </x:c>
      <x:c r="B780" s="253" t="str">
        <x:v>WS1</x:v>
      </x:c>
      <x:c r="C780" s="253" t="str">
        <x:v>MB8</x:v>
      </x:c>
      <x:c r="D780" s="262" t="n">
        <x:v>46176.68884259259</x:v>
      </x:c>
      <x:c r="E780" s="259" t="n">
        <x:v>46176.166666666664</x:v>
      </x:c>
      <x:c r="F780" s="253" t="str">
        <x:v>539</x:v>
      </x:c>
      <x:c r="G780" s="253" t="str">
        <x:v>sslssl</x:v>
      </x:c>
      <x:c r="H780" s="253" t="str">
        <x:v>Yes</x:v>
      </x:c>
      <x:c r="I780" s="253" t="str">
        <x:v>Elda</x:v>
      </x:c>
      <x:c r="J780" s="253" t="str">
        <x:v>Elda</x:v>
      </x:c>
      <x:c r="K780" s="259" t="n">
        <x:v>45659.166666666664</x:v>
      </x:c>
      <x:c r="L780" s="268" t="str">
        <x:f>IFERROR(VLOOKUP(I780,'Handler-Team Map'!$A$7:$C$17,2,FALSE),"")</x:f>
      </x:c>
      <x:c r="M780" s="268" t="str">
        <x:f>IFERROR(VLOOKUP(I780,'Handler-Team Map'!$A$7:$C$17,3,FALSE),"")</x:f>
      </x:c>
      <x:c r="N780" s="274" t="str">
        <x:v>FT_VM_DEP1000_GET1000_2X</x:v>
      </x:c>
      <x:c r="O780" s="274" t="str">
        <x:v>VIP BONUS - Deposit 1000 Get 1000 - 2x TO</x:v>
      </x:c>
      <x:c r="P780" s="274" t="str">
        <x:v>DepositBonus</x:v>
      </x:c>
      <x:c r="Q780" s="274" t="str">
        <x:v>Approved</x:v>
      </x:c>
      <x:c r="R780" s="265" t="n">
        <x:v>1000</x:v>
      </x:c>
      <x:c r="S780" s="253" t="str">
        <x:v>Yes</x:v>
      </x:c>
      <x:c r="T780" s="265" t="n">
        <x:v>567058</x:v>
      </x:c>
      <x:c r="U780" s="253" t="str">
        <x:f>IF(AND(S780="Yes",T780=0),"Yes","No")</x:f>
        <x:v>No</x:v>
      </x:c>
      <x:c r="V780" s="253" t="str">
        <x:v>Yes</x:v>
      </x:c>
      <x:c r="W780" s="253" t="str">
        <x:v>Yes</x:v>
      </x:c>
      <x:c r="X780" s="259" t="n">
        <x:v>46176.166666666664</x:v>
      </x:c>
      <x:c r="Y780" s="265" t="n">
        <x:v>212927</x:v>
      </x:c>
      <x:c r="Z780" s="265" t="n">
        <x:v>384367</x:v>
      </x:c>
      <x:c r="AA780" s="253" t="str">
        <x:f>IF(V780="No","Maturing",IF(AND(U780="Yes",Y780&gt;0),"Yes","No"))</x:f>
        <x:v>No</x:v>
      </x:c>
      <x:c r="AB780" s="253" t="str">
        <x:f>IF(W780="No","Maturing",IF(AND(U780="Yes",Z780&gt;0),"Yes","No"))</x:f>
        <x:v>No</x:v>
      </x:c>
      <x:c r="AC780" s="265" t="n">
        <x:v>56982.4</x:v>
      </x:c>
      <x:c r="AD780" s="265" t="n">
        <x:v>61426.24</x:v>
      </x:c>
      <x:c r="AE780" s="271" t="str"/>
      <x:c r="AF780" s="274" t="str">
        <x:v>Not validated - no control/holdout</x:v>
      </x:c>
      <x:c r="AG780" s="277" t="str">
        <x:v>Recovered execution only; assignment date and unclaimed-offer denominator unavailable</x:v>
      </x:c>
    </x:row>
    <x:row r="781">
      <x:c r="A781" s="252" t="str">
        <x:v>34465305</x:v>
      </x:c>
      <x:c r="B781" s="253" t="str">
        <x:v>WS1</x:v>
      </x:c>
      <x:c r="C781" s="253" t="str">
        <x:v>MB8</x:v>
      </x:c>
      <x:c r="D781" s="262" t="n">
        <x:v>46176.694861111115</x:v>
      </x:c>
      <x:c r="E781" s="259" t="n">
        <x:v>46176.166666666664</x:v>
      </x:c>
      <x:c r="F781" s="253" t="str">
        <x:v>1182820</x:v>
      </x:c>
      <x:c r="G781" s="253" t="str">
        <x:v>enqing0222</x:v>
      </x:c>
      <x:c r="H781" s="253" t="str">
        <x:v>Yes</x:v>
      </x:c>
      <x:c r="I781" s="253" t="str"/>
      <x:c r="J781" s="253" t="str"/>
      <x:c r="K781" s="259"/>
      <x:c r="L781" s="268" t="str">
        <x:f>IFERROR(VLOOKUP(I781,'Handler-Team Map'!$A$7:$C$17,2,FALSE),"")</x:f>
      </x:c>
      <x:c r="M781" s="268" t="str">
        <x:f>IFERROR(VLOOKUP(I781,'Handler-Team Map'!$A$7:$C$17,3,FALSE),"")</x:f>
      </x:c>
      <x:c r="N781" s="274" t="str">
        <x:v>FT_VM_DEP1000_GET500_5X</x:v>
      </x:c>
      <x:c r="O781" s="274" t="str">
        <x:v>VIP BONUS - Deposit 1000 Get 500 - 5x TO</x:v>
      </x:c>
      <x:c r="P781" s="274" t="str">
        <x:v>DepositBonus</x:v>
      </x:c>
      <x:c r="Q781" s="274" t="str">
        <x:v>Approved</x:v>
      </x:c>
      <x:c r="R781" s="265" t="n">
        <x:v>500</x:v>
      </x:c>
      <x:c r="S781" s="253" t="str">
        <x:v>Yes</x:v>
      </x:c>
      <x:c r="T781" s="265" t="n">
        <x:v>70239.02</x:v>
      </x:c>
      <x:c r="U781" s="253" t="str">
        <x:f>IF(AND(S781="Yes",T781=0),"Yes","No")</x:f>
        <x:v>No</x:v>
      </x:c>
      <x:c r="V781" s="253" t="str">
        <x:v>Yes</x:v>
      </x:c>
      <x:c r="W781" s="253" t="str">
        <x:v>Yes</x:v>
      </x:c>
      <x:c r="X781" s="259" t="n">
        <x:v>46176.166666666664</x:v>
      </x:c>
      <x:c r="Y781" s="265" t="n">
        <x:v>8100</x:v>
      </x:c>
      <x:c r="Z781" s="265" t="n">
        <x:v>21400</x:v>
      </x:c>
      <x:c r="AA781" s="253" t="str">
        <x:f>IF(V781="No","Maturing",IF(AND(U781="Yes",Y781&gt;0),"Yes","No"))</x:f>
        <x:v>No</x:v>
      </x:c>
      <x:c r="AB781" s="253" t="str">
        <x:f>IF(W781="No","Maturing",IF(AND(U781="Yes",Z781&gt;0),"Yes","No"))</x:f>
        <x:v>No</x:v>
      </x:c>
      <x:c r="AC781" s="265" t="n">
        <x:v>8042.08</x:v>
      </x:c>
      <x:c r="AD781" s="265" t="n">
        <x:v>17819.02</x:v>
      </x:c>
      <x:c r="AE781" s="271" t="str"/>
      <x:c r="AF781" s="274" t="str">
        <x:v>Not validated - no control/holdout</x:v>
      </x:c>
      <x:c r="AG781" s="277" t="str">
        <x:v>Recovered execution only; assignment date and unclaimed-offer denominator unavailable</x:v>
      </x:c>
    </x:row>
    <x:row r="782">
      <x:c r="A782" s="252" t="str">
        <x:v>34465570</x:v>
      </x:c>
      <x:c r="B782" s="253" t="str">
        <x:v>WS1</x:v>
      </x:c>
      <x:c r="C782" s="253" t="str">
        <x:v>MB8</x:v>
      </x:c>
      <x:c r="D782" s="262" t="n">
        <x:v>46176.71429398148</x:v>
      </x:c>
      <x:c r="E782" s="259" t="n">
        <x:v>46176.166666666664</x:v>
      </x:c>
      <x:c r="F782" s="253" t="str">
        <x:v>428126</x:v>
      </x:c>
      <x:c r="G782" s="253" t="str">
        <x:v>MOLEE</x:v>
      </x:c>
      <x:c r="H782" s="253" t="str">
        <x:v>Yes</x:v>
      </x:c>
      <x:c r="I782" s="253" t="str">
        <x:v>zhen</x:v>
      </x:c>
      <x:c r="J782" s="253" t="str">
        <x:v>zhen</x:v>
      </x:c>
      <x:c r="K782" s="259" t="n">
        <x:v>45922.166666666664</x:v>
      </x:c>
      <x:c r="L782" s="268" t="str">
        <x:f>IFERROR(VLOOKUP(I782,'Handler-Team Map'!$A$7:$C$17,2,FALSE),"")</x:f>
      </x:c>
      <x:c r="M782" s="268" t="str">
        <x:f>IFERROR(VLOOKUP(I782,'Handler-Team Map'!$A$7:$C$17,3,FALSE),"")</x:f>
      </x:c>
      <x:c r="N782" s="274" t="str">
        <x:v>FT_VM_DEP150_GET50_5X</x:v>
      </x:c>
      <x:c r="O782" s="274" t="str">
        <x:v>VIP BONUS - Deposit 150 Get 50 - 5x TO</x:v>
      </x:c>
      <x:c r="P782" s="274" t="str">
        <x:v>DepositBonus</x:v>
      </x:c>
      <x:c r="Q782" s="274" t="str">
        <x:v>Approved</x:v>
      </x:c>
      <x:c r="R782" s="265" t="n">
        <x:v>50</x:v>
      </x:c>
      <x:c r="S782" s="253" t="str">
        <x:v>Yes</x:v>
      </x:c>
      <x:c r="T782" s="265" t="n">
        <x:v>17419</x:v>
      </x:c>
      <x:c r="U782" s="253" t="str">
        <x:f>IF(AND(S782="Yes",T782=0),"Yes","No")</x:f>
        <x:v>No</x:v>
      </x:c>
      <x:c r="V782" s="253" t="str">
        <x:v>Yes</x:v>
      </x:c>
      <x:c r="W782" s="253" t="str">
        <x:v>Yes</x:v>
      </x:c>
      <x:c r="X782" s="259" t="n">
        <x:v>46176.166666666664</x:v>
      </x:c>
      <x:c r="Y782" s="265" t="n">
        <x:v>4899</x:v>
      </x:c>
      <x:c r="Z782" s="265" t="n">
        <x:v>8362</x:v>
      </x:c>
      <x:c r="AA782" s="253" t="str">
        <x:f>IF(V782="No","Maturing",IF(AND(U782="Yes",Y782&gt;0),"Yes","No"))</x:f>
        <x:v>No</x:v>
      </x:c>
      <x:c r="AB782" s="253" t="str">
        <x:f>IF(W782="No","Maturing",IF(AND(U782="Yes",Z782&gt;0),"Yes","No"))</x:f>
        <x:v>No</x:v>
      </x:c>
      <x:c r="AC782" s="265" t="n">
        <x:v>-843.56</x:v>
      </x:c>
      <x:c r="AD782" s="265" t="n">
        <x:v>-189.2</x:v>
      </x:c>
      <x:c r="AE782" s="271" t="str"/>
      <x:c r="AF782" s="274" t="str">
        <x:v>Not validated - no control/holdout</x:v>
      </x:c>
      <x:c r="AG782" s="277" t="str">
        <x:v>Recovered execution only; assignment date and unclaimed-offer denominator unavailable</x:v>
      </x:c>
    </x:row>
    <x:row r="783">
      <x:c r="A783" s="252" t="str">
        <x:v>34467059</x:v>
      </x:c>
      <x:c r="B783" s="253" t="str">
        <x:v>WS1</x:v>
      </x:c>
      <x:c r="C783" s="253" t="str">
        <x:v>MB8</x:v>
      </x:c>
      <x:c r="D783" s="262" t="n">
        <x:v>46176.836377314816</x:v>
      </x:c>
      <x:c r="E783" s="259" t="n">
        <x:v>46176.166666666664</x:v>
      </x:c>
      <x:c r="F783" s="253" t="str">
        <x:v>703632</x:v>
      </x:c>
      <x:c r="G783" s="253" t="str">
        <x:v>Keyingyeon</x:v>
      </x:c>
      <x:c r="H783" s="253" t="str">
        <x:v>Yes</x:v>
      </x:c>
      <x:c r="I783" s="253" t="str">
        <x:v>Tammy</x:v>
      </x:c>
      <x:c r="J783" s="253" t="str">
        <x:v>Tammy</x:v>
      </x:c>
      <x:c r="K783" s="259" t="n">
        <x:v>45951.166666666664</x:v>
      </x:c>
      <x:c r="L783" s="268" t="str">
        <x:f>IFERROR(VLOOKUP(I783,'Handler-Team Map'!$A$7:$C$17,2,FALSE),"")</x:f>
      </x:c>
      <x:c r="M783" s="268" t="str">
        <x:f>IFERROR(VLOOKUP(I783,'Handler-Team Map'!$A$7:$C$17,3,FALSE),"")</x:f>
      </x:c>
      <x:c r="N783" s="274" t="str">
        <x:v>FT_VM_DEP700_GET300_2X</x:v>
      </x:c>
      <x:c r="O783" s="274" t="str">
        <x:v>VIP BONUS - Deposit 700 Get 300 - 2x TO</x:v>
      </x:c>
      <x:c r="P783" s="274" t="str">
        <x:v>DepositBonus</x:v>
      </x:c>
      <x:c r="Q783" s="274" t="str">
        <x:v>Approved</x:v>
      </x:c>
      <x:c r="R783" s="265" t="n">
        <x:v>300</x:v>
      </x:c>
      <x:c r="S783" s="253" t="str">
        <x:v>Yes</x:v>
      </x:c>
      <x:c r="T783" s="265" t="n">
        <x:v>50941</x:v>
      </x:c>
      <x:c r="U783" s="253" t="str">
        <x:f>IF(AND(S783="Yes",T783=0),"Yes","No")</x:f>
        <x:v>No</x:v>
      </x:c>
      <x:c r="V783" s="253" t="str">
        <x:v>Yes</x:v>
      </x:c>
      <x:c r="W783" s="253" t="str">
        <x:v>Yes</x:v>
      </x:c>
      <x:c r="X783" s="259" t="n">
        <x:v>46176.166666666664</x:v>
      </x:c>
      <x:c r="Y783" s="265" t="n">
        <x:v>12000</x:v>
      </x:c>
      <x:c r="Z783" s="265" t="n">
        <x:v>33000</x:v>
      </x:c>
      <x:c r="AA783" s="253" t="str">
        <x:f>IF(V783="No","Maturing",IF(AND(U783="Yes",Y783&gt;0),"Yes","No"))</x:f>
        <x:v>No</x:v>
      </x:c>
      <x:c r="AB783" s="253" t="str">
        <x:f>IF(W783="No","Maturing",IF(AND(U783="Yes",Z783&gt;0),"Yes","No"))</x:f>
        <x:v>No</x:v>
      </x:c>
      <x:c r="AC783" s="265" t="n">
        <x:v>-8184.92</x:v>
      </x:c>
      <x:c r="AD783" s="265" t="n">
        <x:v>-32830.58</x:v>
      </x:c>
      <x:c r="AE783" s="271" t="str"/>
      <x:c r="AF783" s="274" t="str">
        <x:v>Not validated - no control/holdout</x:v>
      </x:c>
      <x:c r="AG783" s="277" t="str">
        <x:v>Recovered execution only; assignment date and unclaimed-offer denominator unavailable</x:v>
      </x:c>
    </x:row>
    <x:row r="784">
      <x:c r="A784" s="252" t="str">
        <x:v>34467168</x:v>
      </x:c>
      <x:c r="B784" s="253" t="str">
        <x:v>WS1</x:v>
      </x:c>
      <x:c r="C784" s="253" t="str">
        <x:v>MB8</x:v>
      </x:c>
      <x:c r="D784" s="262" t="n">
        <x:v>46176.84443287037</x:v>
      </x:c>
      <x:c r="E784" s="259" t="n">
        <x:v>46176.166666666664</x:v>
      </x:c>
      <x:c r="F784" s="253" t="str">
        <x:v>422328</x:v>
      </x:c>
      <x:c r="G784" s="253" t="str">
        <x:v>yap5643</x:v>
      </x:c>
      <x:c r="H784" s="253" t="str">
        <x:v>Yes</x:v>
      </x:c>
      <x:c r="I784" s="253" t="str">
        <x:v>Claire</x:v>
      </x:c>
      <x:c r="J784" s="253" t="str">
        <x:v>Claire</x:v>
      </x:c>
      <x:c r="K784" s="259" t="n">
        <x:v>45659.166666666664</x:v>
      </x:c>
      <x:c r="L784" s="268" t="str">
        <x:f>IFERROR(VLOOKUP(I784,'Handler-Team Map'!$A$7:$C$17,2,FALSE),"")</x:f>
      </x:c>
      <x:c r="M784" s="268" t="str">
        <x:f>IFERROR(VLOOKUP(I784,'Handler-Team Map'!$A$7:$C$17,3,FALSE),"")</x:f>
      </x:c>
      <x:c r="N784" s="274" t="str">
        <x:v>FT_VM_DEP1000_GET1000_1X</x:v>
      </x:c>
      <x:c r="O784" s="274" t="str">
        <x:v>VIP BONUS - Deposit 1000 Get 1000 - 1x TO</x:v>
      </x:c>
      <x:c r="P784" s="274" t="str">
        <x:v>DepositBonus</x:v>
      </x:c>
      <x:c r="Q784" s="274" t="str">
        <x:v>Approved</x:v>
      </x:c>
      <x:c r="R784" s="265" t="n">
        <x:v>1000</x:v>
      </x:c>
      <x:c r="S784" s="253" t="str">
        <x:v>Yes</x:v>
      </x:c>
      <x:c r="T784" s="265" t="n">
        <x:v>247000</x:v>
      </x:c>
      <x:c r="U784" s="253" t="str">
        <x:f>IF(AND(S784="Yes",T784=0),"Yes","No")</x:f>
        <x:v>No</x:v>
      </x:c>
      <x:c r="V784" s="253" t="str">
        <x:v>Yes</x:v>
      </x:c>
      <x:c r="W784" s="253" t="str">
        <x:v>Yes</x:v>
      </x:c>
      <x:c r="X784" s="259" t="n">
        <x:v>46176.166666666664</x:v>
      </x:c>
      <x:c r="Y784" s="265" t="n">
        <x:v>97300</x:v>
      </x:c>
      <x:c r="Z784" s="265" t="n">
        <x:v>152800</x:v>
      </x:c>
      <x:c r="AA784" s="253" t="str">
        <x:f>IF(V784="No","Maturing",IF(AND(U784="Yes",Y784&gt;0),"Yes","No"))</x:f>
        <x:v>No</x:v>
      </x:c>
      <x:c r="AB784" s="253" t="str">
        <x:f>IF(W784="No","Maturing",IF(AND(U784="Yes",Z784&gt;0),"Yes","No"))</x:f>
        <x:v>No</x:v>
      </x:c>
      <x:c r="AC784" s="265" t="n">
        <x:v>46088.48</x:v>
      </x:c>
      <x:c r="AD784" s="265" t="n">
        <x:v>93211.78</x:v>
      </x:c>
      <x:c r="AE784" s="271" t="str"/>
      <x:c r="AF784" s="274" t="str">
        <x:v>Not validated - no control/holdout</x:v>
      </x:c>
      <x:c r="AG784" s="277" t="str">
        <x:v>Recovered execution only; assignment date and unclaimed-offer denominator unavailable</x:v>
      </x:c>
    </x:row>
    <x:row r="785">
      <x:c r="A785" s="252" t="str">
        <x:v>34467351</x:v>
      </x:c>
      <x:c r="B785" s="253" t="str">
        <x:v>WS1</x:v>
      </x:c>
      <x:c r="C785" s="253" t="str">
        <x:v>MB8</x:v>
      </x:c>
      <x:c r="D785" s="262" t="n">
        <x:v>46176.859131944446</x:v>
      </x:c>
      <x:c r="E785" s="259" t="n">
        <x:v>46176.166666666664</x:v>
      </x:c>
      <x:c r="F785" s="253" t="str">
        <x:v>977657</x:v>
      </x:c>
      <x:c r="G785" s="253" t="str">
        <x:v>CSS8897</x:v>
      </x:c>
      <x:c r="H785" s="253" t="str">
        <x:v>Yes</x:v>
      </x:c>
      <x:c r="I785" s="253" t="str">
        <x:v>zhen</x:v>
      </x:c>
      <x:c r="J785" s="253" t="str">
        <x:v>zhen</x:v>
      </x:c>
      <x:c r="K785" s="259" t="n">
        <x:v>45922.166666666664</x:v>
      </x:c>
      <x:c r="L785" s="268" t="str">
        <x:f>IFERROR(VLOOKUP(I785,'Handler-Team Map'!$A$7:$C$17,2,FALSE),"")</x:f>
      </x:c>
      <x:c r="M785" s="268" t="str">
        <x:f>IFERROR(VLOOKUP(I785,'Handler-Team Map'!$A$7:$C$17,3,FALSE),"")</x:f>
      </x:c>
      <x:c r="N785" s="274" t="str">
        <x:v>FT_VM_DEP1000_GET500_5X</x:v>
      </x:c>
      <x:c r="O785" s="274" t="str">
        <x:v>VIP BONUS - Deposit 1000 Get 500 - 5x TO</x:v>
      </x:c>
      <x:c r="P785" s="274" t="str">
        <x:v>DepositBonus</x:v>
      </x:c>
      <x:c r="Q785" s="274" t="str">
        <x:v>Approved</x:v>
      </x:c>
      <x:c r="R785" s="265" t="n">
        <x:v>500</x:v>
      </x:c>
      <x:c r="S785" s="253" t="str">
        <x:v>Yes</x:v>
      </x:c>
      <x:c r="T785" s="265" t="n">
        <x:v>2000</x:v>
      </x:c>
      <x:c r="U785" s="253" t="str">
        <x:f>IF(AND(S785="Yes",T785=0),"Yes","No")</x:f>
        <x:v>No</x:v>
      </x:c>
      <x:c r="V785" s="253" t="str">
        <x:v>Yes</x:v>
      </x:c>
      <x:c r="W785" s="253" t="str">
        <x:v>Yes</x:v>
      </x:c>
      <x:c r="X785" s="259" t="n">
        <x:v>46176.166666666664</x:v>
      </x:c>
      <x:c r="Y785" s="265" t="n">
        <x:v>1000</x:v>
      </x:c>
      <x:c r="Z785" s="265" t="n">
        <x:v>3000</x:v>
      </x:c>
      <x:c r="AA785" s="253" t="str">
        <x:f>IF(V785="No","Maturing",IF(AND(U785="Yes",Y785&gt;0),"Yes","No"))</x:f>
        <x:v>No</x:v>
      </x:c>
      <x:c r="AB785" s="253" t="str">
        <x:f>IF(W785="No","Maturing",IF(AND(U785="Yes",Z785&gt;0),"Yes","No"))</x:f>
        <x:v>No</x:v>
      </x:c>
      <x:c r="AC785" s="265" t="n">
        <x:v>-3004.6</x:v>
      </x:c>
      <x:c r="AD785" s="265" t="n">
        <x:v>-2221.76</x:v>
      </x:c>
      <x:c r="AE785" s="271" t="str"/>
      <x:c r="AF785" s="274" t="str">
        <x:v>Not validated - no control/holdout</x:v>
      </x:c>
      <x:c r="AG785" s="277" t="str">
        <x:v>Recovered execution only; assignment date and unclaimed-offer denominator unavailable</x:v>
      </x:c>
    </x:row>
    <x:row r="786">
      <x:c r="A786" s="252" t="str">
        <x:v>34468109</x:v>
      </x:c>
      <x:c r="B786" s="253" t="str">
        <x:v>WS1</x:v>
      </x:c>
      <x:c r="C786" s="253" t="str">
        <x:v>MB8</x:v>
      </x:c>
      <x:c r="D786" s="262" t="n">
        <x:v>46176.91447916667</x:v>
      </x:c>
      <x:c r="E786" s="259" t="n">
        <x:v>46176.166666666664</x:v>
      </x:c>
      <x:c r="F786" s="253" t="str">
        <x:v>215824</x:v>
      </x:c>
      <x:c r="G786" s="253" t="str">
        <x:v>Dellsam333</x:v>
      </x:c>
      <x:c r="H786" s="253" t="str">
        <x:v>Yes</x:v>
      </x:c>
      <x:c r="I786" s="253" t="str">
        <x:v>Claire</x:v>
      </x:c>
      <x:c r="J786" s="253" t="str">
        <x:v>Claire</x:v>
      </x:c>
      <x:c r="K786" s="259" t="n">
        <x:v>45659.166666666664</x:v>
      </x:c>
      <x:c r="L786" s="268" t="str">
        <x:f>IFERROR(VLOOKUP(I786,'Handler-Team Map'!$A$7:$C$17,2,FALSE),"")</x:f>
      </x:c>
      <x:c r="M786" s="268" t="str">
        <x:f>IFERROR(VLOOKUP(I786,'Handler-Team Map'!$A$7:$C$17,3,FALSE),"")</x:f>
      </x:c>
      <x:c r="N786" s="274" t="str">
        <x:v>FT_VM_DEP1000_GET900_1X</x:v>
      </x:c>
      <x:c r="O786" s="274" t="str">
        <x:v>VIP BONUS - Deposit 1000 Get 900 - 1x TO</x:v>
      </x:c>
      <x:c r="P786" s="274" t="str">
        <x:v>DepositBonus</x:v>
      </x:c>
      <x:c r="Q786" s="274" t="str">
        <x:v>Approved</x:v>
      </x:c>
      <x:c r="R786" s="265" t="n">
        <x:v>900</x:v>
      </x:c>
      <x:c r="S786" s="253" t="str">
        <x:v>Yes</x:v>
      </x:c>
      <x:c r="T786" s="265" t="n">
        <x:v>1000</x:v>
      </x:c>
      <x:c r="U786" s="253" t="str">
        <x:f>IF(AND(S786="Yes",T786=0),"Yes","No")</x:f>
        <x:v>No</x:v>
      </x:c>
      <x:c r="V786" s="253" t="str">
        <x:v>Yes</x:v>
      </x:c>
      <x:c r="W786" s="253" t="str">
        <x:v>Yes</x:v>
      </x:c>
      <x:c r="X786" s="259" t="n">
        <x:v>46176.166666666664</x:v>
      </x:c>
      <x:c r="Y786" s="265" t="n">
        <x:v>1000</x:v>
      </x:c>
      <x:c r="Z786" s="265" t="n">
        <x:v>1000</x:v>
      </x:c>
      <x:c r="AA786" s="253" t="str">
        <x:f>IF(V786="No","Maturing",IF(AND(U786="Yes",Y786&gt;0),"Yes","No"))</x:f>
        <x:v>No</x:v>
      </x:c>
      <x:c r="AB786" s="253" t="str">
        <x:f>IF(W786="No","Maturing",IF(AND(U786="Yes",Z786&gt;0),"Yes","No"))</x:f>
        <x:v>No</x:v>
      </x:c>
      <x:c r="AC786" s="265" t="n">
        <x:v>999.93</x:v>
      </x:c>
      <x:c r="AD786" s="265" t="n">
        <x:v>999.93</x:v>
      </x:c>
      <x:c r="AE786" s="271" t="str"/>
      <x:c r="AF786" s="274" t="str">
        <x:v>Not validated - no control/holdout</x:v>
      </x:c>
      <x:c r="AG786" s="277" t="str">
        <x:v>Recovered execution only; assignment date and unclaimed-offer denominator unavailable</x:v>
      </x:c>
    </x:row>
    <x:row r="787">
      <x:c r="A787" s="252" t="str">
        <x:v>34468342</x:v>
      </x:c>
      <x:c r="B787" s="253" t="str">
        <x:v>WS1</x:v>
      </x:c>
      <x:c r="C787" s="253" t="str">
        <x:v>MB8</x:v>
      </x:c>
      <x:c r="D787" s="262" t="n">
        <x:v>46176.93141203704</x:v>
      </x:c>
      <x:c r="E787" s="259" t="n">
        <x:v>46176.166666666664</x:v>
      </x:c>
      <x:c r="F787" s="253" t="str">
        <x:v>111833</x:v>
      </x:c>
      <x:c r="G787" s="253" t="str">
        <x:v>ESR1980</x:v>
      </x:c>
      <x:c r="H787" s="253" t="str">
        <x:v>Yes</x:v>
      </x:c>
      <x:c r="I787" s="253" t="str">
        <x:v>Sheena</x:v>
      </x:c>
      <x:c r="J787" s="253" t="str">
        <x:v>Sheena</x:v>
      </x:c>
      <x:c r="K787" s="259" t="n">
        <x:v>46090.166666666664</x:v>
      </x:c>
      <x:c r="L787" s="268" t="str">
        <x:f>IFERROR(VLOOKUP(I787,'Handler-Team Map'!$A$7:$C$17,2,FALSE),"")</x:f>
      </x:c>
      <x:c r="M787" s="268" t="str">
        <x:f>IFERROR(VLOOKUP(I787,'Handler-Team Map'!$A$7:$C$17,3,FALSE),"")</x:f>
      </x:c>
      <x:c r="N787" s="274" t="str">
        <x:v>FT_VM_DEP1000_GET900_2X</x:v>
      </x:c>
      <x:c r="O787" s="274" t="str">
        <x:v>VIP BONUS - Deposit 1000 Get 900 - 2x TO</x:v>
      </x:c>
      <x:c r="P787" s="274" t="str">
        <x:v>DepositBonus</x:v>
      </x:c>
      <x:c r="Q787" s="274" t="str">
        <x:v>Approved</x:v>
      </x:c>
      <x:c r="R787" s="265" t="n">
        <x:v>900</x:v>
      </x:c>
      <x:c r="S787" s="253" t="str">
        <x:v>Yes</x:v>
      </x:c>
      <x:c r="T787" s="265" t="n">
        <x:v>11950</x:v>
      </x:c>
      <x:c r="U787" s="253" t="str">
        <x:f>IF(AND(S787="Yes",T787=0),"Yes","No")</x:f>
        <x:v>No</x:v>
      </x:c>
      <x:c r="V787" s="253" t="str">
        <x:v>Yes</x:v>
      </x:c>
      <x:c r="W787" s="253" t="str">
        <x:v>Yes</x:v>
      </x:c>
      <x:c r="X787" s="259" t="n">
        <x:v>46176.166666666664</x:v>
      </x:c>
      <x:c r="Y787" s="265" t="n">
        <x:v>1000</x:v>
      </x:c>
      <x:c r="Z787" s="265" t="n">
        <x:v>10500</x:v>
      </x:c>
      <x:c r="AA787" s="253" t="str">
        <x:f>IF(V787="No","Maturing",IF(AND(U787="Yes",Y787&gt;0),"Yes","No"))</x:f>
        <x:v>No</x:v>
      </x:c>
      <x:c r="AB787" s="253" t="str">
        <x:f>IF(W787="No","Maturing",IF(AND(U787="Yes",Z787&gt;0),"Yes","No"))</x:f>
        <x:v>No</x:v>
      </x:c>
      <x:c r="AC787" s="265" t="n">
        <x:v>-5205.22</x:v>
      </x:c>
      <x:c r="AD787" s="265" t="n">
        <x:v>248.59</x:v>
      </x:c>
      <x:c r="AE787" s="271" t="str"/>
      <x:c r="AF787" s="274" t="str">
        <x:v>Not validated - no control/holdout</x:v>
      </x:c>
      <x:c r="AG787" s="277" t="str">
        <x:v>Recovered execution only; assignment date and unclaimed-offer denominator unavailable</x:v>
      </x:c>
    </x:row>
    <x:row r="788">
      <x:c r="A788" s="252" t="str">
        <x:v>34468573</x:v>
      </x:c>
      <x:c r="B788" s="253" t="str">
        <x:v>WS1</x:v>
      </x:c>
      <x:c r="C788" s="253" t="str">
        <x:v>MB8</x:v>
      </x:c>
      <x:c r="D788" s="262" t="n">
        <x:v>46176.947071759256</x:v>
      </x:c>
      <x:c r="E788" s="259" t="n">
        <x:v>46176.166666666664</x:v>
      </x:c>
      <x:c r="F788" s="253" t="str">
        <x:v>527053</x:v>
      </x:c>
      <x:c r="G788" s="253" t="str">
        <x:v>Jim63999</x:v>
      </x:c>
      <x:c r="H788" s="253" t="str">
        <x:v>Yes</x:v>
      </x:c>
      <x:c r="I788" s="253" t="str">
        <x:v>Christy</x:v>
      </x:c>
      <x:c r="J788" s="253" t="str">
        <x:v>Christy</x:v>
      </x:c>
      <x:c r="K788" s="259" t="n">
        <x:v>46090.166666666664</x:v>
      </x:c>
      <x:c r="L788" s="268" t="str">
        <x:f>IFERROR(VLOOKUP(I788,'Handler-Team Map'!$A$7:$C$17,2,FALSE),"")</x:f>
      </x:c>
      <x:c r="M788" s="268" t="str">
        <x:f>IFERROR(VLOOKUP(I788,'Handler-Team Map'!$A$7:$C$17,3,FALSE),"")</x:f>
      </x:c>
      <x:c r="N788" s="274" t="str">
        <x:v>FT_VM_DEP1000_GET700_1X</x:v>
      </x:c>
      <x:c r="O788" s="274" t="str">
        <x:v>VIP BONUS - Deposit 1000 Get 700 - 1x TO</x:v>
      </x:c>
      <x:c r="P788" s="274" t="str">
        <x:v>DepositBonus</x:v>
      </x:c>
      <x:c r="Q788" s="274" t="str">
        <x:v>Approved</x:v>
      </x:c>
      <x:c r="R788" s="265" t="n">
        <x:v>700</x:v>
      </x:c>
      <x:c r="S788" s="253" t="str">
        <x:v>Yes</x:v>
      </x:c>
      <x:c r="T788" s="265" t="n">
        <x:v>1000</x:v>
      </x:c>
      <x:c r="U788" s="253" t="str">
        <x:f>IF(AND(S788="Yes",T788=0),"Yes","No")</x:f>
        <x:v>No</x:v>
      </x:c>
      <x:c r="V788" s="253" t="str">
        <x:v>Yes</x:v>
      </x:c>
      <x:c r="W788" s="253" t="str">
        <x:v>Yes</x:v>
      </x:c>
      <x:c r="X788" s="259" t="n">
        <x:v>46176.166666666664</x:v>
      </x:c>
      <x:c r="Y788" s="265" t="n">
        <x:v>1000</x:v>
      </x:c>
      <x:c r="Z788" s="265" t="n">
        <x:v>1000</x:v>
      </x:c>
      <x:c r="AA788" s="253" t="str">
        <x:f>IF(V788="No","Maturing",IF(AND(U788="Yes",Y788&gt;0),"Yes","No"))</x:f>
        <x:v>No</x:v>
      </x:c>
      <x:c r="AB788" s="253" t="str">
        <x:f>IF(W788="No","Maturing",IF(AND(U788="Yes",Z788&gt;0),"Yes","No"))</x:f>
        <x:v>No</x:v>
      </x:c>
      <x:c r="AC788" s="265" t="n">
        <x:v>-2200.21</x:v>
      </x:c>
      <x:c r="AD788" s="265" t="n">
        <x:v>-2200.21</x:v>
      </x:c>
      <x:c r="AE788" s="271" t="str"/>
      <x:c r="AF788" s="274" t="str">
        <x:v>Not validated - no control/holdout</x:v>
      </x:c>
      <x:c r="AG788" s="277" t="str">
        <x:v>Recovered execution only; assignment date and unclaimed-offer denominator unavailable</x:v>
      </x:c>
    </x:row>
    <x:row r="789">
      <x:c r="A789" s="252" t="str">
        <x:v>34468570</x:v>
      </x:c>
      <x:c r="B789" s="253" t="str">
        <x:v>WS1</x:v>
      </x:c>
      <x:c r="C789" s="253" t="str">
        <x:v>MB8</x:v>
      </x:c>
      <x:c r="D789" s="262" t="n">
        <x:v>46176.94736111111</x:v>
      </x:c>
      <x:c r="E789" s="259" t="n">
        <x:v>46176.166666666664</x:v>
      </x:c>
      <x:c r="F789" s="253" t="str">
        <x:v>567203</x:v>
      </x:c>
      <x:c r="G789" s="253" t="str">
        <x:v>Booboo</x:v>
      </x:c>
      <x:c r="H789" s="253" t="str">
        <x:v>Yes</x:v>
      </x:c>
      <x:c r="I789" s="253" t="str">
        <x:v>Elda</x:v>
      </x:c>
      <x:c r="J789" s="253" t="str">
        <x:v>Elda</x:v>
      </x:c>
      <x:c r="K789" s="259" t="n">
        <x:v>45659.166666666664</x:v>
      </x:c>
      <x:c r="L789" s="268" t="str">
        <x:f>IFERROR(VLOOKUP(I789,'Handler-Team Map'!$A$7:$C$17,2,FALSE),"")</x:f>
      </x:c>
      <x:c r="M789" s="268" t="str">
        <x:f>IFERROR(VLOOKUP(I789,'Handler-Team Map'!$A$7:$C$17,3,FALSE),"")</x:f>
      </x:c>
      <x:c r="N789" s="274" t="str">
        <x:v>FT_VM_DEP1000_GET500_5X</x:v>
      </x:c>
      <x:c r="O789" s="274" t="str">
        <x:v>VIP BONUS - Deposit 1000 Get 500 - 5x TO</x:v>
      </x:c>
      <x:c r="P789" s="274" t="str">
        <x:v>DepositBonus</x:v>
      </x:c>
      <x:c r="Q789" s="274" t="str">
        <x:v>Approved</x:v>
      </x:c>
      <x:c r="R789" s="265" t="n">
        <x:v>500</x:v>
      </x:c>
      <x:c r="S789" s="253" t="str">
        <x:v>Yes</x:v>
      </x:c>
      <x:c r="T789" s="265" t="n">
        <x:v>72009.5</x:v>
      </x:c>
      <x:c r="U789" s="253" t="str">
        <x:f>IF(AND(S789="Yes",T789=0),"Yes","No")</x:f>
        <x:v>No</x:v>
      </x:c>
      <x:c r="V789" s="253" t="str">
        <x:v>Yes</x:v>
      </x:c>
      <x:c r="W789" s="253" t="str">
        <x:v>Yes</x:v>
      </x:c>
      <x:c r="X789" s="259" t="n">
        <x:v>46176.166666666664</x:v>
      </x:c>
      <x:c r="Y789" s="265" t="n">
        <x:v>15330.89</x:v>
      </x:c>
      <x:c r="Z789" s="265" t="n">
        <x:v>20282.24</x:v>
      </x:c>
      <x:c r="AA789" s="253" t="str">
        <x:f>IF(V789="No","Maturing",IF(AND(U789="Yes",Y789&gt;0),"Yes","No"))</x:f>
        <x:v>No</x:v>
      </x:c>
      <x:c r="AB789" s="253" t="str">
        <x:f>IF(W789="No","Maturing",IF(AND(U789="Yes",Z789&gt;0),"Yes","No"))</x:f>
        <x:v>No</x:v>
      </x:c>
      <x:c r="AC789" s="265" t="n">
        <x:v>654.19</x:v>
      </x:c>
      <x:c r="AD789" s="265" t="n">
        <x:v>5312.66</x:v>
      </x:c>
      <x:c r="AE789" s="271" t="str"/>
      <x:c r="AF789" s="274" t="str">
        <x:v>Not validated - no control/holdout</x:v>
      </x:c>
      <x:c r="AG789" s="277" t="str">
        <x:v>Recovered execution only; assignment date and unclaimed-offer denominator unavailable</x:v>
      </x:c>
    </x:row>
    <x:row r="790">
      <x:c r="A790" s="252" t="str">
        <x:v>34468889</x:v>
      </x:c>
      <x:c r="B790" s="253" t="str">
        <x:v>WS1</x:v>
      </x:c>
      <x:c r="C790" s="253" t="str">
        <x:v>MB8</x:v>
      </x:c>
      <x:c r="D790" s="262" t="n">
        <x:v>46176.967997685184</x:v>
      </x:c>
      <x:c r="E790" s="259" t="n">
        <x:v>46176.166666666664</x:v>
      </x:c>
      <x:c r="F790" s="253" t="str">
        <x:v>923480</x:v>
      </x:c>
      <x:c r="G790" s="253" t="str">
        <x:v>jared081199</x:v>
      </x:c>
      <x:c r="H790" s="253" t="str">
        <x:v>Yes</x:v>
      </x:c>
      <x:c r="I790" s="253" t="str">
        <x:v>Tammy</x:v>
      </x:c>
      <x:c r="J790" s="253" t="str">
        <x:v>Tammy</x:v>
      </x:c>
      <x:c r="K790" s="259" t="n">
        <x:v>45951.166666666664</x:v>
      </x:c>
      <x:c r="L790" s="268" t="str">
        <x:f>IFERROR(VLOOKUP(I790,'Handler-Team Map'!$A$7:$C$17,2,FALSE),"")</x:f>
      </x:c>
      <x:c r="M790" s="268" t="str">
        <x:f>IFERROR(VLOOKUP(I790,'Handler-Team Map'!$A$7:$C$17,3,FALSE),"")</x:f>
      </x:c>
      <x:c r="N790" s="274" t="str">
        <x:v>FT_VM_DEP1000_GET500_5X</x:v>
      </x:c>
      <x:c r="O790" s="274" t="str">
        <x:v>VIP BONUS - Deposit 1000 Get 500 - 5x TO</x:v>
      </x:c>
      <x:c r="P790" s="274" t="str">
        <x:v>DepositBonus</x:v>
      </x:c>
      <x:c r="Q790" s="274" t="str">
        <x:v>Approved</x:v>
      </x:c>
      <x:c r="R790" s="265" t="n">
        <x:v>500</x:v>
      </x:c>
      <x:c r="S790" s="253" t="str">
        <x:v>Yes</x:v>
      </x:c>
      <x:c r="T790" s="265" t="n">
        <x:v>12324</x:v>
      </x:c>
      <x:c r="U790" s="253" t="str">
        <x:f>IF(AND(S790="Yes",T790=0),"Yes","No")</x:f>
        <x:v>No</x:v>
      </x:c>
      <x:c r="V790" s="253" t="str">
        <x:v>Yes</x:v>
      </x:c>
      <x:c r="W790" s="253" t="str">
        <x:v>Yes</x:v>
      </x:c>
      <x:c r="X790" s="259" t="n">
        <x:v>46176.166666666664</x:v>
      </x:c>
      <x:c r="Y790" s="265" t="n">
        <x:v>1973</x:v>
      </x:c>
      <x:c r="Z790" s="265" t="n">
        <x:v>5456</x:v>
      </x:c>
      <x:c r="AA790" s="253" t="str">
        <x:f>IF(V790="No","Maturing",IF(AND(U790="Yes",Y790&gt;0),"Yes","No"))</x:f>
        <x:v>No</x:v>
      </x:c>
      <x:c r="AB790" s="253" t="str">
        <x:f>IF(W790="No","Maturing",IF(AND(U790="Yes",Z790&gt;0),"Yes","No"))</x:f>
        <x:v>No</x:v>
      </x:c>
      <x:c r="AC790" s="265" t="n">
        <x:v>1276.25</x:v>
      </x:c>
      <x:c r="AD790" s="265" t="n">
        <x:v>1515.73</x:v>
      </x:c>
      <x:c r="AE790" s="271" t="str"/>
      <x:c r="AF790" s="274" t="str">
        <x:v>Not validated - no control/holdout</x:v>
      </x:c>
      <x:c r="AG790" s="277" t="str">
        <x:v>Recovered execution only; assignment date and unclaimed-offer denominator unavailable</x:v>
      </x:c>
    </x:row>
    <x:row r="791">
      <x:c r="A791" s="252" t="str">
        <x:v>34470672</x:v>
      </x:c>
      <x:c r="B791" s="253" t="str">
        <x:v>WS1</x:v>
      </x:c>
      <x:c r="C791" s="253" t="str">
        <x:v>MB8</x:v>
      </x:c>
      <x:c r="D791" s="262" t="n">
        <x:v>46177.05202546297</x:v>
      </x:c>
      <x:c r="E791" s="259" t="n">
        <x:v>46177.166666666664</x:v>
      </x:c>
      <x:c r="F791" s="253" t="str">
        <x:v>564867</x:v>
      </x:c>
      <x:c r="G791" s="253" t="str">
        <x:v>Nageen</x:v>
      </x:c>
      <x:c r="H791" s="253" t="str">
        <x:v>Yes</x:v>
      </x:c>
      <x:c r="I791" s="253" t="str">
        <x:v>Claire</x:v>
      </x:c>
      <x:c r="J791" s="253" t="str">
        <x:v>Claire</x:v>
      </x:c>
      <x:c r="K791" s="259" t="n">
        <x:v>45659.166666666664</x:v>
      </x:c>
      <x:c r="L791" s="268" t="str">
        <x:f>IFERROR(VLOOKUP(I791,'Handler-Team Map'!$A$7:$C$17,2,FALSE),"")</x:f>
      </x:c>
      <x:c r="M791" s="268" t="str">
        <x:f>IFERROR(VLOOKUP(I791,'Handler-Team Map'!$A$7:$C$17,3,FALSE),"")</x:f>
      </x:c>
      <x:c r="N791" s="274" t="str">
        <x:v>FT_VM_DEP700_GET300_1X</x:v>
      </x:c>
      <x:c r="O791" s="274" t="str">
        <x:v>VIP BONUS - Deposit 700 Get 300 - 1x TO</x:v>
      </x:c>
      <x:c r="P791" s="274" t="str">
        <x:v>DepositBonus</x:v>
      </x:c>
      <x:c r="Q791" s="274" t="str">
        <x:v>Approved</x:v>
      </x:c>
      <x:c r="R791" s="265" t="n">
        <x:v>300</x:v>
      </x:c>
      <x:c r="S791" s="253" t="str">
        <x:v>Yes</x:v>
      </x:c>
      <x:c r="T791" s="265" t="n">
        <x:v>61720.29</x:v>
      </x:c>
      <x:c r="U791" s="253" t="str">
        <x:f>IF(AND(S791="Yes",T791=0),"Yes","No")</x:f>
        <x:v>No</x:v>
      </x:c>
      <x:c r="V791" s="253" t="str">
        <x:v>Yes</x:v>
      </x:c>
      <x:c r="W791" s="253" t="str">
        <x:v>Yes</x:v>
      </x:c>
      <x:c r="X791" s="259" t="n">
        <x:v>46177.166666666664</x:v>
      </x:c>
      <x:c r="Y791" s="265" t="n">
        <x:v>26937.93</x:v>
      </x:c>
      <x:c r="Z791" s="265" t="n">
        <x:v>51864.23</x:v>
      </x:c>
      <x:c r="AA791" s="253" t="str">
        <x:f>IF(V791="No","Maturing",IF(AND(U791="Yes",Y791&gt;0),"Yes","No"))</x:f>
        <x:v>No</x:v>
      </x:c>
      <x:c r="AB791" s="253" t="str">
        <x:f>IF(W791="No","Maturing",IF(AND(U791="Yes",Z791&gt;0),"Yes","No"))</x:f>
        <x:v>No</x:v>
      </x:c>
      <x:c r="AC791" s="265" t="n">
        <x:v>14908.63</x:v>
      </x:c>
      <x:c r="AD791" s="265" t="n">
        <x:v>30536.54</x:v>
      </x:c>
      <x:c r="AE791" s="271" t="str"/>
      <x:c r="AF791" s="274" t="str">
        <x:v>Not validated - no control/holdout</x:v>
      </x:c>
      <x:c r="AG791" s="277" t="str">
        <x:v>Recovered execution only; assignment date and unclaimed-offer denominator unavailable</x:v>
      </x:c>
    </x:row>
    <x:row r="792">
      <x:c r="A792" s="252" t="str">
        <x:v>34473446</x:v>
      </x:c>
      <x:c r="B792" s="253" t="str">
        <x:v>WS1</x:v>
      </x:c>
      <x:c r="C792" s="253" t="str">
        <x:v>MB8</x:v>
      </x:c>
      <x:c r="D792" s="262" t="n">
        <x:v>46177.37909722222</x:v>
      </x:c>
      <x:c r="E792" s="259" t="n">
        <x:v>46177.166666666664</x:v>
      </x:c>
      <x:c r="F792" s="253" t="str">
        <x:v>605081</x:v>
      </x:c>
      <x:c r="G792" s="253" t="str">
        <x:v>xxdra</x:v>
      </x:c>
      <x:c r="H792" s="253" t="str">
        <x:v>Yes</x:v>
      </x:c>
      <x:c r="I792" s="253" t="str">
        <x:v>Mikki</x:v>
      </x:c>
      <x:c r="J792" s="253" t="str">
        <x:v>Mikki</x:v>
      </x:c>
      <x:c r="K792" s="259" t="n">
        <x:v>45993.166666666664</x:v>
      </x:c>
      <x:c r="L792" s="268" t="str">
        <x:f>IFERROR(VLOOKUP(I792,'Handler-Team Map'!$A$7:$C$17,2,FALSE),"")</x:f>
      </x:c>
      <x:c r="M792" s="268" t="str">
        <x:f>IFERROR(VLOOKUP(I792,'Handler-Team Map'!$A$7:$C$17,3,FALSE),"")</x:f>
      </x:c>
      <x:c r="N792" s="274" t="str">
        <x:v>FT_VM_DEP1000_GET500_5X</x:v>
      </x:c>
      <x:c r="O792" s="274" t="str">
        <x:v>VIP BONUS - Deposit 1000 Get 500 - 5x TO</x:v>
      </x:c>
      <x:c r="P792" s="274" t="str">
        <x:v>DepositBonus</x:v>
      </x:c>
      <x:c r="Q792" s="274" t="str">
        <x:v>Approved</x:v>
      </x:c>
      <x:c r="R792" s="265" t="n">
        <x:v>500</x:v>
      </x:c>
      <x:c r="S792" s="253" t="str">
        <x:v>Yes</x:v>
      </x:c>
      <x:c r="T792" s="265" t="n">
        <x:v>16380</x:v>
      </x:c>
      <x:c r="U792" s="253" t="str">
        <x:f>IF(AND(S792="Yes",T792=0),"Yes","No")</x:f>
        <x:v>No</x:v>
      </x:c>
      <x:c r="V792" s="253" t="str">
        <x:v>Yes</x:v>
      </x:c>
      <x:c r="W792" s="253" t="str">
        <x:v>Yes</x:v>
      </x:c>
      <x:c r="X792" s="259" t="n">
        <x:v>46177.166666666664</x:v>
      </x:c>
      <x:c r="Y792" s="265" t="n">
        <x:v>13500</x:v>
      </x:c>
      <x:c r="Z792" s="265" t="n">
        <x:v>23460</x:v>
      </x:c>
      <x:c r="AA792" s="253" t="str">
        <x:f>IF(V792="No","Maturing",IF(AND(U792="Yes",Y792&gt;0),"Yes","No"))</x:f>
        <x:v>No</x:v>
      </x:c>
      <x:c r="AB792" s="253" t="str">
        <x:f>IF(W792="No","Maturing",IF(AND(U792="Yes",Z792&gt;0),"Yes","No"))</x:f>
        <x:v>No</x:v>
      </x:c>
      <x:c r="AC792" s="265" t="n">
        <x:v>-4019.24</x:v>
      </x:c>
      <x:c r="AD792" s="265" t="n">
        <x:v>-1861.99</x:v>
      </x:c>
      <x:c r="AE792" s="271" t="str"/>
      <x:c r="AF792" s="274" t="str">
        <x:v>Not validated - no control/holdout</x:v>
      </x:c>
      <x:c r="AG792" s="277" t="str">
        <x:v>Recovered execution only; assignment date and unclaimed-offer denominator unavailable</x:v>
      </x:c>
    </x:row>
    <x:row r="793">
      <x:c r="A793" s="252" t="str">
        <x:v>34474121</x:v>
      </x:c>
      <x:c r="B793" s="253" t="str">
        <x:v>WS1</x:v>
      </x:c>
      <x:c r="C793" s="253" t="str">
        <x:v>MB8</x:v>
      </x:c>
      <x:c r="D793" s="262" t="n">
        <x:v>46177.461377314816</x:v>
      </x:c>
      <x:c r="E793" s="259" t="n">
        <x:v>46177.166666666664</x:v>
      </x:c>
      <x:c r="F793" s="253" t="str">
        <x:v>1044016</x:v>
      </x:c>
      <x:c r="G793" s="253" t="str">
        <x:v>crapssam</x:v>
      </x:c>
      <x:c r="H793" s="253" t="str">
        <x:v>Yes</x:v>
      </x:c>
      <x:c r="I793" s="253" t="str">
        <x:v>Christy</x:v>
      </x:c>
      <x:c r="J793" s="253" t="str">
        <x:v>Christy</x:v>
      </x:c>
      <x:c r="K793" s="259" t="n">
        <x:v>45831.166666666664</x:v>
      </x:c>
      <x:c r="L793" s="268" t="str">
        <x:f>IFERROR(VLOOKUP(I793,'Handler-Team Map'!$A$7:$C$17,2,FALSE),"")</x:f>
      </x:c>
      <x:c r="M793" s="268" t="str">
        <x:f>IFERROR(VLOOKUP(I793,'Handler-Team Map'!$A$7:$C$17,3,FALSE),"")</x:f>
      </x:c>
      <x:c r="N793" s="274" t="str">
        <x:v>FT_VM_DEP1000_GET500_5X</x:v>
      </x:c>
      <x:c r="O793" s="274" t="str">
        <x:v>VIP BONUS - Deposit 1000 Get 500 - 5x TO</x:v>
      </x:c>
      <x:c r="P793" s="274" t="str">
        <x:v>DepositBonus</x:v>
      </x:c>
      <x:c r="Q793" s="274" t="str">
        <x:v>Approved</x:v>
      </x:c>
      <x:c r="R793" s="265" t="n">
        <x:v>500</x:v>
      </x:c>
      <x:c r="S793" s="253" t="str">
        <x:v>Yes</x:v>
      </x:c>
      <x:c r="T793" s="265" t="n">
        <x:v>5780</x:v>
      </x:c>
      <x:c r="U793" s="253" t="str">
        <x:f>IF(AND(S793="Yes",T793=0),"Yes","No")</x:f>
        <x:v>No</x:v>
      </x:c>
      <x:c r="V793" s="253" t="str">
        <x:v>Yes</x:v>
      </x:c>
      <x:c r="W793" s="253" t="str">
        <x:v>Yes</x:v>
      </x:c>
      <x:c r="X793" s="259" t="n">
        <x:v>46177.166666666664</x:v>
      </x:c>
      <x:c r="Y793" s="265" t="n">
        <x:v>1000</x:v>
      </x:c>
      <x:c r="Z793" s="265" t="n">
        <x:v>2800</x:v>
      </x:c>
      <x:c r="AA793" s="253" t="str">
        <x:f>IF(V793="No","Maturing",IF(AND(U793="Yes",Y793&gt;0),"Yes","No"))</x:f>
        <x:v>No</x:v>
      </x:c>
      <x:c r="AB793" s="253" t="str">
        <x:f>IF(W793="No","Maturing",IF(AND(U793="Yes",Z793&gt;0),"Yes","No"))</x:f>
        <x:v>No</x:v>
      </x:c>
      <x:c r="AC793" s="265" t="n">
        <x:v>985.51</x:v>
      </x:c>
      <x:c r="AD793" s="265" t="n">
        <x:v>-1925.19</x:v>
      </x:c>
      <x:c r="AE793" s="271" t="str"/>
      <x:c r="AF793" s="274" t="str">
        <x:v>Not validated - no control/holdout</x:v>
      </x:c>
      <x:c r="AG793" s="277" t="str">
        <x:v>Recovered execution only; assignment date and unclaimed-offer denominator unavailable</x:v>
      </x:c>
    </x:row>
    <x:row r="794">
      <x:c r="A794" s="252" t="str">
        <x:v>34475024</x:v>
      </x:c>
      <x:c r="B794" s="253" t="str">
        <x:v>WS1</x:v>
      </x:c>
      <x:c r="C794" s="253" t="str">
        <x:v>MB8</x:v>
      </x:c>
      <x:c r="D794" s="262" t="n">
        <x:v>46177.566087962965</x:v>
      </x:c>
      <x:c r="E794" s="259" t="n">
        <x:v>46177.166666666664</x:v>
      </x:c>
      <x:c r="F794" s="253" t="str">
        <x:v>663490</x:v>
      </x:c>
      <x:c r="G794" s="253" t="str">
        <x:v>Arsenal9968</x:v>
      </x:c>
      <x:c r="H794" s="253" t="str">
        <x:v>Yes</x:v>
      </x:c>
      <x:c r="I794" s="253" t="str">
        <x:v>Claire</x:v>
      </x:c>
      <x:c r="J794" s="253" t="str">
        <x:v>Claire</x:v>
      </x:c>
      <x:c r="K794" s="259" t="n">
        <x:v>45659.166666666664</x:v>
      </x:c>
      <x:c r="L794" s="268" t="str">
        <x:f>IFERROR(VLOOKUP(I794,'Handler-Team Map'!$A$7:$C$17,2,FALSE),"")</x:f>
      </x:c>
      <x:c r="M794" s="268" t="str">
        <x:f>IFERROR(VLOOKUP(I794,'Handler-Team Map'!$A$7:$C$17,3,FALSE),"")</x:f>
      </x:c>
      <x:c r="N794" s="274" t="str">
        <x:v>FT_VM_DEP700_GET300_2X</x:v>
      </x:c>
      <x:c r="O794" s="274" t="str">
        <x:v>VIP BONUS - Deposit 700 Get 300 - 2x TO</x:v>
      </x:c>
      <x:c r="P794" s="274" t="str">
        <x:v>DepositBonus</x:v>
      </x:c>
      <x:c r="Q794" s="274" t="str">
        <x:v>Approved</x:v>
      </x:c>
      <x:c r="R794" s="265" t="n">
        <x:v>300</x:v>
      </x:c>
      <x:c r="S794" s="253" t="str">
        <x:v>Yes</x:v>
      </x:c>
      <x:c r="T794" s="265" t="n">
        <x:v>102657</x:v>
      </x:c>
      <x:c r="U794" s="253" t="str">
        <x:f>IF(AND(S794="Yes",T794=0),"Yes","No")</x:f>
        <x:v>No</x:v>
      </x:c>
      <x:c r="V794" s="253" t="str">
        <x:v>Yes</x:v>
      </x:c>
      <x:c r="W794" s="253" t="str">
        <x:v>Yes</x:v>
      </x:c>
      <x:c r="X794" s="259" t="n">
        <x:v>46177.166666666664</x:v>
      </x:c>
      <x:c r="Y794" s="265" t="n">
        <x:v>16140</x:v>
      </x:c>
      <x:c r="Z794" s="265" t="n">
        <x:v>36734</x:v>
      </x:c>
      <x:c r="AA794" s="253" t="str">
        <x:f>IF(V794="No","Maturing",IF(AND(U794="Yes",Y794&gt;0),"Yes","No"))</x:f>
        <x:v>No</x:v>
      </x:c>
      <x:c r="AB794" s="253" t="str">
        <x:f>IF(W794="No","Maturing",IF(AND(U794="Yes",Z794&gt;0),"Yes","No"))</x:f>
        <x:v>No</x:v>
      </x:c>
      <x:c r="AC794" s="265" t="n">
        <x:v>2938.77</x:v>
      </x:c>
      <x:c r="AD794" s="265" t="n">
        <x:v>2715.72</x:v>
      </x:c>
      <x:c r="AE794" s="271" t="str"/>
      <x:c r="AF794" s="274" t="str">
        <x:v>Not validated - no control/holdout</x:v>
      </x:c>
      <x:c r="AG794" s="277" t="str">
        <x:v>Recovered execution only; assignment date and unclaimed-offer denominator unavailable</x:v>
      </x:c>
    </x:row>
    <x:row r="795">
      <x:c r="A795" s="252" t="str">
        <x:v>34475320</x:v>
      </x:c>
      <x:c r="B795" s="253" t="str">
        <x:v>WS1</x:v>
      </x:c>
      <x:c r="C795" s="253" t="str">
        <x:v>MB8</x:v>
      </x:c>
      <x:c r="D795" s="262" t="n">
        <x:v>46177.59332175926</x:v>
      </x:c>
      <x:c r="E795" s="259" t="n">
        <x:v>46177.166666666664</x:v>
      </x:c>
      <x:c r="F795" s="253" t="str">
        <x:v>566047</x:v>
      </x:c>
      <x:c r="G795" s="253" t="str">
        <x:v>Jarance22833</x:v>
      </x:c>
      <x:c r="H795" s="253" t="str">
        <x:v>Yes</x:v>
      </x:c>
      <x:c r="I795" s="253" t="str">
        <x:v>Claire</x:v>
      </x:c>
      <x:c r="J795" s="253" t="str">
        <x:v>Claire</x:v>
      </x:c>
      <x:c r="K795" s="259" t="n">
        <x:v>45659.166666666664</x:v>
      </x:c>
      <x:c r="L795" s="268" t="str">
        <x:f>IFERROR(VLOOKUP(I795,'Handler-Team Map'!$A$7:$C$17,2,FALSE),"")</x:f>
      </x:c>
      <x:c r="M795" s="268" t="str">
        <x:f>IFERROR(VLOOKUP(I795,'Handler-Team Map'!$A$7:$C$17,3,FALSE),"")</x:f>
      </x:c>
      <x:c r="N795" s="274" t="str">
        <x:v>FT_VM_DEP1000_GET800_2X</x:v>
      </x:c>
      <x:c r="O795" s="274" t="str">
        <x:v>VIP BONUS - Deposit 1000 Get 800 - 2x TO</x:v>
      </x:c>
      <x:c r="P795" s="274" t="str">
        <x:v>DepositBonus</x:v>
      </x:c>
      <x:c r="Q795" s="274" t="str">
        <x:v>Approved</x:v>
      </x:c>
      <x:c r="R795" s="265" t="n">
        <x:v>800</x:v>
      </x:c>
      <x:c r="S795" s="253" t="str">
        <x:v>Yes</x:v>
      </x:c>
      <x:c r="T795" s="265" t="n">
        <x:v>1330</x:v>
      </x:c>
      <x:c r="U795" s="253" t="str">
        <x:f>IF(AND(S795="Yes",T795=0),"Yes","No")</x:f>
        <x:v>No</x:v>
      </x:c>
      <x:c r="V795" s="253" t="str">
        <x:v>Yes</x:v>
      </x:c>
      <x:c r="W795" s="253" t="str">
        <x:v>Yes</x:v>
      </x:c>
      <x:c r="X795" s="259" t="n">
        <x:v>46177.166666666664</x:v>
      </x:c>
      <x:c r="Y795" s="265" t="n">
        <x:v>2200</x:v>
      </x:c>
      <x:c r="Z795" s="265" t="n">
        <x:v>2900</x:v>
      </x:c>
      <x:c r="AA795" s="253" t="str">
        <x:f>IF(V795="No","Maturing",IF(AND(U795="Yes",Y795&gt;0),"Yes","No"))</x:f>
        <x:v>No</x:v>
      </x:c>
      <x:c r="AB795" s="253" t="str">
        <x:f>IF(W795="No","Maturing",IF(AND(U795="Yes",Z795&gt;0),"Yes","No"))</x:f>
        <x:v>No</x:v>
      </x:c>
      <x:c r="AC795" s="265" t="n">
        <x:v>-508.6</x:v>
      </x:c>
      <x:c r="AD795" s="265" t="n">
        <x:v>-808.38</x:v>
      </x:c>
      <x:c r="AE795" s="271" t="str"/>
      <x:c r="AF795" s="274" t="str">
        <x:v>Not validated - no control/holdout</x:v>
      </x:c>
      <x:c r="AG795" s="277" t="str">
        <x:v>Recovered execution only; assignment date and unclaimed-offer denominator unavailable</x:v>
      </x:c>
    </x:row>
    <x:row r="796">
      <x:c r="A796" s="252" t="str">
        <x:v>34475583</x:v>
      </x:c>
      <x:c r="B796" s="253" t="str">
        <x:v>WS1</x:v>
      </x:c>
      <x:c r="C796" s="253" t="str">
        <x:v>MB8</x:v>
      </x:c>
      <x:c r="D796" s="262" t="n">
        <x:v>46177.61782407408</x:v>
      </x:c>
      <x:c r="E796" s="259" t="n">
        <x:v>46177.166666666664</x:v>
      </x:c>
      <x:c r="F796" s="253" t="str">
        <x:v>546636</x:v>
      </x:c>
      <x:c r="G796" s="253" t="str">
        <x:v>SONGC</x:v>
      </x:c>
      <x:c r="H796" s="253" t="str">
        <x:v>Yes</x:v>
      </x:c>
      <x:c r="I796" s="253" t="str">
        <x:v>zhen</x:v>
      </x:c>
      <x:c r="J796" s="253" t="str">
        <x:v>zhen</x:v>
      </x:c>
      <x:c r="K796" s="259" t="n">
        <x:v>45985.166666666664</x:v>
      </x:c>
      <x:c r="L796" s="268" t="str">
        <x:f>IFERROR(VLOOKUP(I796,'Handler-Team Map'!$A$7:$C$17,2,FALSE),"")</x:f>
      </x:c>
      <x:c r="M796" s="268" t="str">
        <x:f>IFERROR(VLOOKUP(I796,'Handler-Team Map'!$A$7:$C$17,3,FALSE),"")</x:f>
      </x:c>
      <x:c r="N796" s="274" t="str">
        <x:v>FT_VM_DEP1000_GET500_5X</x:v>
      </x:c>
      <x:c r="O796" s="274" t="str">
        <x:v>VIP BONUS - Deposit 1000 Get 500 - 5x TO</x:v>
      </x:c>
      <x:c r="P796" s="274" t="str">
        <x:v>DepositBonus</x:v>
      </x:c>
      <x:c r="Q796" s="274" t="str">
        <x:v>Approved</x:v>
      </x:c>
      <x:c r="R796" s="265" t="n">
        <x:v>500</x:v>
      </x:c>
      <x:c r="S796" s="253" t="str">
        <x:v>Yes</x:v>
      </x:c>
      <x:c r="T796" s="265" t="n">
        <x:v>54098.15</x:v>
      </x:c>
      <x:c r="U796" s="253" t="str">
        <x:f>IF(AND(S796="Yes",T796=0),"Yes","No")</x:f>
        <x:v>No</x:v>
      </x:c>
      <x:c r="V796" s="253" t="str">
        <x:v>Yes</x:v>
      </x:c>
      <x:c r="W796" s="253" t="str">
        <x:v>Yes</x:v>
      </x:c>
      <x:c r="X796" s="259" t="n">
        <x:v>46177.166666666664</x:v>
      </x:c>
      <x:c r="Y796" s="265" t="n">
        <x:v>6700</x:v>
      </x:c>
      <x:c r="Z796" s="265" t="n">
        <x:v>6700</x:v>
      </x:c>
      <x:c r="AA796" s="253" t="str">
        <x:f>IF(V796="No","Maturing",IF(AND(U796="Yes",Y796&gt;0),"Yes","No"))</x:f>
        <x:v>No</x:v>
      </x:c>
      <x:c r="AB796" s="253" t="str">
        <x:f>IF(W796="No","Maturing",IF(AND(U796="Yes",Z796&gt;0),"Yes","No"))</x:f>
        <x:v>No</x:v>
      </x:c>
      <x:c r="AC796" s="265" t="n">
        <x:v>7220</x:v>
      </x:c>
      <x:c r="AD796" s="265" t="n">
        <x:v>7220.1</x:v>
      </x:c>
      <x:c r="AE796" s="271" t="str"/>
      <x:c r="AF796" s="274" t="str">
        <x:v>Not validated - no control/holdout</x:v>
      </x:c>
      <x:c r="AG796" s="277" t="str">
        <x:v>Recovered execution only; assignment date and unclaimed-offer denominator unavailable</x:v>
      </x:c>
    </x:row>
    <x:row r="797">
      <x:c r="A797" s="252" t="str">
        <x:v>34476410</x:v>
      </x:c>
      <x:c r="B797" s="253" t="str">
        <x:v>WS1</x:v>
      </x:c>
      <x:c r="C797" s="253" t="str">
        <x:v>MB8</x:v>
      </x:c>
      <x:c r="D797" s="262" t="n">
        <x:v>46177.69144675926</x:v>
      </x:c>
      <x:c r="E797" s="259" t="n">
        <x:v>46177.166666666664</x:v>
      </x:c>
      <x:c r="F797" s="253" t="str">
        <x:v>644130</x:v>
      </x:c>
      <x:c r="G797" s="253" t="str">
        <x:v>chong7890</x:v>
      </x:c>
      <x:c r="H797" s="253" t="str">
        <x:v>Yes</x:v>
      </x:c>
      <x:c r="I797" s="253" t="str">
        <x:v>Christy</x:v>
      </x:c>
      <x:c r="J797" s="253" t="str">
        <x:v>Christy</x:v>
      </x:c>
      <x:c r="K797" s="259" t="n">
        <x:v>45831.166666666664</x:v>
      </x:c>
      <x:c r="L797" s="268" t="str">
        <x:f>IFERROR(VLOOKUP(I797,'Handler-Team Map'!$A$7:$C$17,2,FALSE),"")</x:f>
      </x:c>
      <x:c r="M797" s="268" t="str">
        <x:f>IFERROR(VLOOKUP(I797,'Handler-Team Map'!$A$7:$C$17,3,FALSE),"")</x:f>
      </x:c>
      <x:c r="N797" s="274" t="str">
        <x:v>FT_VM_DEP800_GET400_2X</x:v>
      </x:c>
      <x:c r="O797" s="274" t="str">
        <x:v>VIP BONUS - Deposit 800 Get 400 - 2x TO</x:v>
      </x:c>
      <x:c r="P797" s="274" t="str">
        <x:v>DepositBonus</x:v>
      </x:c>
      <x:c r="Q797" s="274" t="str">
        <x:v>Approved</x:v>
      </x:c>
      <x:c r="R797" s="265" t="n">
        <x:v>400</x:v>
      </x:c>
      <x:c r="S797" s="253" t="str">
        <x:v>Yes</x:v>
      </x:c>
      <x:c r="T797" s="265" t="n">
        <x:v>3200</x:v>
      </x:c>
      <x:c r="U797" s="253" t="str">
        <x:f>IF(AND(S797="Yes",T797=0),"Yes","No")</x:f>
        <x:v>No</x:v>
      </x:c>
      <x:c r="V797" s="253" t="str">
        <x:v>Yes</x:v>
      </x:c>
      <x:c r="W797" s="253" t="str">
        <x:v>Yes</x:v>
      </x:c>
      <x:c r="X797" s="259" t="n">
        <x:v>46177.166666666664</x:v>
      </x:c>
      <x:c r="Y797" s="265" t="n">
        <x:v>1700</x:v>
      </x:c>
      <x:c r="Z797" s="265" t="n">
        <x:v>1700</x:v>
      </x:c>
      <x:c r="AA797" s="253" t="str">
        <x:f>IF(V797="No","Maturing",IF(AND(U797="Yes",Y797&gt;0),"Yes","No"))</x:f>
        <x:v>No</x:v>
      </x:c>
      <x:c r="AB797" s="253" t="str">
        <x:f>IF(W797="No","Maturing",IF(AND(U797="Yes",Z797&gt;0),"Yes","No"))</x:f>
        <x:v>No</x:v>
      </x:c>
      <x:c r="AC797" s="265" t="n">
        <x:v>-599.8</x:v>
      </x:c>
      <x:c r="AD797" s="265" t="n">
        <x:v>-599.8</x:v>
      </x:c>
      <x:c r="AE797" s="271" t="str"/>
      <x:c r="AF797" s="274" t="str">
        <x:v>Not validated - no control/holdout</x:v>
      </x:c>
      <x:c r="AG797" s="277" t="str">
        <x:v>Recovered execution only; assignment date and unclaimed-offer denominator unavailable</x:v>
      </x:c>
    </x:row>
    <x:row r="798">
      <x:c r="A798" s="252" t="str">
        <x:v>34476530</x:v>
      </x:c>
      <x:c r="B798" s="253" t="str">
        <x:v>WS1</x:v>
      </x:c>
      <x:c r="C798" s="253" t="str">
        <x:v>MB8</x:v>
      </x:c>
      <x:c r="D798" s="262" t="n">
        <x:v>46177.70309027778</x:v>
      </x:c>
      <x:c r="E798" s="259" t="n">
        <x:v>46177.166666666664</x:v>
      </x:c>
      <x:c r="F798" s="253" t="str">
        <x:v>218256</x:v>
      </x:c>
      <x:c r="G798" s="253" t="str">
        <x:v>Bobby2626</x:v>
      </x:c>
      <x:c r="H798" s="253" t="str">
        <x:v>Yes</x:v>
      </x:c>
      <x:c r="I798" s="253" t="str">
        <x:v>Elda</x:v>
      </x:c>
      <x:c r="J798" s="253" t="str">
        <x:v>Elda</x:v>
      </x:c>
      <x:c r="K798" s="259" t="n">
        <x:v>45659.166666666664</x:v>
      </x:c>
      <x:c r="L798" s="268" t="str">
        <x:f>IFERROR(VLOOKUP(I798,'Handler-Team Map'!$A$7:$C$17,2,FALSE),"")</x:f>
      </x:c>
      <x:c r="M798" s="268" t="str">
        <x:f>IFERROR(VLOOKUP(I798,'Handler-Team Map'!$A$7:$C$17,3,FALSE),"")</x:f>
      </x:c>
      <x:c r="N798" s="274" t="str">
        <x:v>FT_VM_DEP600_GET200_5X</x:v>
      </x:c>
      <x:c r="O798" s="274" t="str">
        <x:v>VIP BONUS - Deposit 600 Get 200 - 5x TO</x:v>
      </x:c>
      <x:c r="P798" s="274" t="str">
        <x:v>DepositBonus</x:v>
      </x:c>
      <x:c r="Q798" s="274" t="str">
        <x:v>Approved</x:v>
      </x:c>
      <x:c r="R798" s="265" t="n">
        <x:v>200</x:v>
      </x:c>
      <x:c r="S798" s="253" t="str">
        <x:v>Yes</x:v>
      </x:c>
      <x:c r="T798" s="265" t="n">
        <x:v>80100</x:v>
      </x:c>
      <x:c r="U798" s="253" t="str">
        <x:f>IF(AND(S798="Yes",T798=0),"Yes","No")</x:f>
        <x:v>No</x:v>
      </x:c>
      <x:c r="V798" s="253" t="str">
        <x:v>Yes</x:v>
      </x:c>
      <x:c r="W798" s="253" t="str">
        <x:v>Yes</x:v>
      </x:c>
      <x:c r="X798" s="259" t="n">
        <x:v>46177.166666666664</x:v>
      </x:c>
      <x:c r="Y798" s="265" t="n">
        <x:v>19100</x:v>
      </x:c>
      <x:c r="Z798" s="265" t="n">
        <x:v>36200</x:v>
      </x:c>
      <x:c r="AA798" s="253" t="str">
        <x:f>IF(V798="No","Maturing",IF(AND(U798="Yes",Y798&gt;0),"Yes","No"))</x:f>
        <x:v>No</x:v>
      </x:c>
      <x:c r="AB798" s="253" t="str">
        <x:f>IF(W798="No","Maturing",IF(AND(U798="Yes",Z798&gt;0),"Yes","No"))</x:f>
        <x:v>No</x:v>
      </x:c>
      <x:c r="AC798" s="265" t="n">
        <x:v>-57646.52</x:v>
      </x:c>
      <x:c r="AD798" s="265" t="n">
        <x:v>-133974.02</x:v>
      </x:c>
      <x:c r="AE798" s="271" t="str"/>
      <x:c r="AF798" s="274" t="str">
        <x:v>Not validated - no control/holdout</x:v>
      </x:c>
      <x:c r="AG798" s="277" t="str">
        <x:v>Recovered execution only; assignment date and unclaimed-offer denominator unavailable</x:v>
      </x:c>
    </x:row>
    <x:row r="799">
      <x:c r="A799" s="252" t="str">
        <x:v>34476612</x:v>
      </x:c>
      <x:c r="B799" s="253" t="str">
        <x:v>WS1</x:v>
      </x:c>
      <x:c r="C799" s="253" t="str">
        <x:v>MB8</x:v>
      </x:c>
      <x:c r="D799" s="262" t="n">
        <x:v>46177.70893518518</x:v>
      </x:c>
      <x:c r="E799" s="259" t="n">
        <x:v>46177.166666666664</x:v>
      </x:c>
      <x:c r="F799" s="253" t="str">
        <x:v>521114</x:v>
      </x:c>
      <x:c r="G799" s="253" t="str">
        <x:v>Nzboss8181</x:v>
      </x:c>
      <x:c r="H799" s="253" t="str">
        <x:v>Yes</x:v>
      </x:c>
      <x:c r="I799" s="253" t="str">
        <x:v>Claire</x:v>
      </x:c>
      <x:c r="J799" s="253" t="str">
        <x:v>Claire</x:v>
      </x:c>
      <x:c r="K799" s="259" t="n">
        <x:v>45659.166666666664</x:v>
      </x:c>
      <x:c r="L799" s="268" t="str">
        <x:f>IFERROR(VLOOKUP(I799,'Handler-Team Map'!$A$7:$C$17,2,FALSE),"")</x:f>
      </x:c>
      <x:c r="M799" s="268" t="str">
        <x:f>IFERROR(VLOOKUP(I799,'Handler-Team Map'!$A$7:$C$17,3,FALSE),"")</x:f>
      </x:c>
      <x:c r="N799" s="274" t="str">
        <x:v>FT_VM_DEP1000_GET500_5X</x:v>
      </x:c>
      <x:c r="O799" s="274" t="str">
        <x:v>VIP BONUS - Deposit 1000 Get 500 - 5x TO</x:v>
      </x:c>
      <x:c r="P799" s="274" t="str">
        <x:v>DepositBonus</x:v>
      </x:c>
      <x:c r="Q799" s="274" t="str">
        <x:v>Approved</x:v>
      </x:c>
      <x:c r="R799" s="265" t="n">
        <x:v>500</x:v>
      </x:c>
      <x:c r="S799" s="253" t="str">
        <x:v>Yes</x:v>
      </x:c>
      <x:c r="T799" s="265" t="n">
        <x:v>265300</x:v>
      </x:c>
      <x:c r="U799" s="253" t="str">
        <x:f>IF(AND(S799="Yes",T799=0),"Yes","No")</x:f>
        <x:v>No</x:v>
      </x:c>
      <x:c r="V799" s="253" t="str">
        <x:v>Yes</x:v>
      </x:c>
      <x:c r="W799" s="253" t="str">
        <x:v>Yes</x:v>
      </x:c>
      <x:c r="X799" s="259" t="n">
        <x:v>46177.166666666664</x:v>
      </x:c>
      <x:c r="Y799" s="265" t="n">
        <x:v>37200</x:v>
      </x:c>
      <x:c r="Z799" s="265" t="n">
        <x:v>104500</x:v>
      </x:c>
      <x:c r="AA799" s="253" t="str">
        <x:f>IF(V799="No","Maturing",IF(AND(U799="Yes",Y799&gt;0),"Yes","No"))</x:f>
        <x:v>No</x:v>
      </x:c>
      <x:c r="AB799" s="253" t="str">
        <x:f>IF(W799="No","Maturing",IF(AND(U799="Yes",Z799&gt;0),"Yes","No"))</x:f>
        <x:v>No</x:v>
      </x:c>
      <x:c r="AC799" s="265" t="n">
        <x:v>6199.99</x:v>
      </x:c>
      <x:c r="AD799" s="265" t="n">
        <x:v>-20644.38</x:v>
      </x:c>
      <x:c r="AE799" s="271" t="str"/>
      <x:c r="AF799" s="274" t="str">
        <x:v>Not validated - no control/holdout</x:v>
      </x:c>
      <x:c r="AG799" s="277" t="str">
        <x:v>Recovered execution only; assignment date and unclaimed-offer denominator unavailable</x:v>
      </x:c>
    </x:row>
    <x:row r="800">
      <x:c r="A800" s="252" t="str">
        <x:v>34476610</x:v>
      </x:c>
      <x:c r="B800" s="253" t="str">
        <x:v>WS1</x:v>
      </x:c>
      <x:c r="C800" s="253" t="str">
        <x:v>MB8</x:v>
      </x:c>
      <x:c r="D800" s="262" t="n">
        <x:v>46177.710011574076</x:v>
      </x:c>
      <x:c r="E800" s="259" t="n">
        <x:v>46177.166666666664</x:v>
      </x:c>
      <x:c r="F800" s="253" t="str">
        <x:v>902826</x:v>
      </x:c>
      <x:c r="G800" s="253" t="str">
        <x:v>Wongseong</x:v>
      </x:c>
      <x:c r="H800" s="253" t="str">
        <x:v>Yes</x:v>
      </x:c>
      <x:c r="I800" s="253" t="str">
        <x:v>zhen</x:v>
      </x:c>
      <x:c r="J800" s="253" t="str">
        <x:v>zhen</x:v>
      </x:c>
      <x:c r="K800" s="259" t="n">
        <x:v>45880.166666666664</x:v>
      </x:c>
      <x:c r="L800" s="268" t="str">
        <x:f>IFERROR(VLOOKUP(I800,'Handler-Team Map'!$A$7:$C$17,2,FALSE),"")</x:f>
      </x:c>
      <x:c r="M800" s="268" t="str">
        <x:f>IFERROR(VLOOKUP(I800,'Handler-Team Map'!$A$7:$C$17,3,FALSE),"")</x:f>
      </x:c>
      <x:c r="N800" s="274" t="str">
        <x:v>FT_VM_DEP800_GET400_2X</x:v>
      </x:c>
      <x:c r="O800" s="274" t="str">
        <x:v>VIP BONUS - Deposit 800 Get 400 - 2x TO</x:v>
      </x:c>
      <x:c r="P800" s="274" t="str">
        <x:v>DepositBonus</x:v>
      </x:c>
      <x:c r="Q800" s="274" t="str">
        <x:v>Approved</x:v>
      </x:c>
      <x:c r="R800" s="265" t="n">
        <x:v>400</x:v>
      </x:c>
      <x:c r="S800" s="253" t="str">
        <x:v>Yes</x:v>
      </x:c>
      <x:c r="T800" s="265" t="n">
        <x:v>800</x:v>
      </x:c>
      <x:c r="U800" s="253" t="str">
        <x:f>IF(AND(S800="Yes",T800=0),"Yes","No")</x:f>
        <x:v>No</x:v>
      </x:c>
      <x:c r="V800" s="253" t="str">
        <x:v>Yes</x:v>
      </x:c>
      <x:c r="W800" s="253" t="str">
        <x:v>Yes</x:v>
      </x:c>
      <x:c r="X800" s="259" t="n">
        <x:v>46177.166666666664</x:v>
      </x:c>
      <x:c r="Y800" s="265" t="n">
        <x:v>800</x:v>
      </x:c>
      <x:c r="Z800" s="265" t="n">
        <x:v>830</x:v>
      </x:c>
      <x:c r="AA800" s="253" t="str">
        <x:f>IF(V800="No","Maturing",IF(AND(U800="Yes",Y800&gt;0),"Yes","No"))</x:f>
        <x:v>No</x:v>
      </x:c>
      <x:c r="AB800" s="253" t="str">
        <x:f>IF(W800="No","Maturing",IF(AND(U800="Yes",Z800&gt;0),"Yes","No"))</x:f>
        <x:v>No</x:v>
      </x:c>
      <x:c r="AC800" s="265" t="n">
        <x:v>697.79</x:v>
      </x:c>
      <x:c r="AD800" s="265" t="n">
        <x:v>629.79</x:v>
      </x:c>
      <x:c r="AE800" s="271" t="str"/>
      <x:c r="AF800" s="274" t="str">
        <x:v>Not validated - no control/holdout</x:v>
      </x:c>
      <x:c r="AG800" s="277" t="str">
        <x:v>Recovered execution only; assignment date and unclaimed-offer denominator unavailable</x:v>
      </x:c>
    </x:row>
    <x:row r="801">
      <x:c r="A801" s="252" t="str">
        <x:v>34476730</x:v>
      </x:c>
      <x:c r="B801" s="253" t="str">
        <x:v>WS1</x:v>
      </x:c>
      <x:c r="C801" s="253" t="str">
        <x:v>MB8</x:v>
      </x:c>
      <x:c r="D801" s="262" t="n">
        <x:v>46177.71795138889</x:v>
      </x:c>
      <x:c r="E801" s="259" t="n">
        <x:v>46177.166666666664</x:v>
      </x:c>
      <x:c r="F801" s="253" t="str">
        <x:v>432234</x:v>
      </x:c>
      <x:c r="G801" s="253" t="str">
        <x:v>geechew85</x:v>
      </x:c>
      <x:c r="H801" s="253" t="str">
        <x:v>Yes</x:v>
      </x:c>
      <x:c r="I801" s="253" t="str">
        <x:v>zhen</x:v>
      </x:c>
      <x:c r="J801" s="253" t="str">
        <x:v>zhen</x:v>
      </x:c>
      <x:c r="K801" s="259" t="n">
        <x:v>45922.166666666664</x:v>
      </x:c>
      <x:c r="L801" s="268" t="str">
        <x:f>IFERROR(VLOOKUP(I801,'Handler-Team Map'!$A$7:$C$17,2,FALSE),"")</x:f>
      </x:c>
      <x:c r="M801" s="268" t="str">
        <x:f>IFERROR(VLOOKUP(I801,'Handler-Team Map'!$A$7:$C$17,3,FALSE),"")</x:f>
      </x:c>
      <x:c r="N801" s="274" t="str">
        <x:v>FT_VM_DEP1000_GET500_5X</x:v>
      </x:c>
      <x:c r="O801" s="274" t="str">
        <x:v>VIP BONUS - Deposit 1000 Get 500 - 5x TO</x:v>
      </x:c>
      <x:c r="P801" s="274" t="str">
        <x:v>DepositBonus</x:v>
      </x:c>
      <x:c r="Q801" s="274" t="str">
        <x:v>Approved</x:v>
      </x:c>
      <x:c r="R801" s="265" t="n">
        <x:v>500</x:v>
      </x:c>
      <x:c r="S801" s="253" t="str">
        <x:v>Yes</x:v>
      </x:c>
      <x:c r="T801" s="265" t="n">
        <x:v>5207</x:v>
      </x:c>
      <x:c r="U801" s="253" t="str">
        <x:f>IF(AND(S801="Yes",T801=0),"Yes","No")</x:f>
        <x:v>No</x:v>
      </x:c>
      <x:c r="V801" s="253" t="str">
        <x:v>Yes</x:v>
      </x:c>
      <x:c r="W801" s="253" t="str">
        <x:v>Yes</x:v>
      </x:c>
      <x:c r="X801" s="259" t="n">
        <x:v>46177.166666666664</x:v>
      </x:c>
      <x:c r="Y801" s="265" t="n">
        <x:v>8391</x:v>
      </x:c>
      <x:c r="Z801" s="265" t="n">
        <x:v>8788.5</x:v>
      </x:c>
      <x:c r="AA801" s="253" t="str">
        <x:f>IF(V801="No","Maturing",IF(AND(U801="Yes",Y801&gt;0),"Yes","No"))</x:f>
        <x:v>No</x:v>
      </x:c>
      <x:c r="AB801" s="253" t="str">
        <x:f>IF(W801="No","Maturing",IF(AND(U801="Yes",Z801&gt;0),"Yes","No"))</x:f>
        <x:v>No</x:v>
      </x:c>
      <x:c r="AC801" s="265" t="n">
        <x:v>-1869.81</x:v>
      </x:c>
      <x:c r="AD801" s="265" t="n">
        <x:v>-1472.12</x:v>
      </x:c>
      <x:c r="AE801" s="271" t="str"/>
      <x:c r="AF801" s="274" t="str">
        <x:v>Not validated - no control/holdout</x:v>
      </x:c>
      <x:c r="AG801" s="277" t="str">
        <x:v>Recovered execution only; assignment date and unclaimed-offer denominator unavailable</x:v>
      </x:c>
    </x:row>
    <x:row r="802">
      <x:c r="A802" s="252" t="str">
        <x:v>34477239</x:v>
      </x:c>
      <x:c r="B802" s="253" t="str">
        <x:v>WS1</x:v>
      </x:c>
      <x:c r="C802" s="253" t="str">
        <x:v>MB8</x:v>
      </x:c>
      <x:c r="D802" s="262" t="n">
        <x:v>46177.757569444446</x:v>
      </x:c>
      <x:c r="E802" s="259" t="n">
        <x:v>46177.166666666664</x:v>
      </x:c>
      <x:c r="F802" s="253" t="str">
        <x:v>1183306</x:v>
      </x:c>
      <x:c r="G802" s="253" t="str">
        <x:v>xuanearn88</x:v>
      </x:c>
      <x:c r="H802" s="253" t="str">
        <x:v>Yes</x:v>
      </x:c>
      <x:c r="I802" s="253" t="str">
        <x:v>Jiahui</x:v>
      </x:c>
      <x:c r="J802" s="253" t="str">
        <x:v>Jiahui</x:v>
      </x:c>
      <x:c r="K802" s="259" t="n">
        <x:v>45909.166666666664</x:v>
      </x:c>
      <x:c r="L802" s="268" t="str">
        <x:f>IFERROR(VLOOKUP(I802,'Handler-Team Map'!$A$7:$C$17,2,FALSE),"")</x:f>
      </x:c>
      <x:c r="M802" s="268" t="str">
        <x:f>IFERROR(VLOOKUP(I802,'Handler-Team Map'!$A$7:$C$17,3,FALSE),"")</x:f>
      </x:c>
      <x:c r="N802" s="274" t="str">
        <x:v>FT_VM_DEP600_GET200_5X</x:v>
      </x:c>
      <x:c r="O802" s="274" t="str">
        <x:v>VIP BONUS - Deposit 600 Get 200 - 5x TO</x:v>
      </x:c>
      <x:c r="P802" s="274" t="str">
        <x:v>DepositBonus</x:v>
      </x:c>
      <x:c r="Q802" s="274" t="str">
        <x:v>Approved</x:v>
      </x:c>
      <x:c r="R802" s="265" t="n">
        <x:v>200</x:v>
      </x:c>
      <x:c r="S802" s="253" t="str">
        <x:v>Yes</x:v>
      </x:c>
      <x:c r="T802" s="265" t="n">
        <x:v>600</x:v>
      </x:c>
      <x:c r="U802" s="253" t="str">
        <x:f>IF(AND(S802="Yes",T802=0),"Yes","No")</x:f>
        <x:v>No</x:v>
      </x:c>
      <x:c r="V802" s="253" t="str">
        <x:v>Yes</x:v>
      </x:c>
      <x:c r="W802" s="253" t="str">
        <x:v>Yes</x:v>
      </x:c>
      <x:c r="X802" s="259" t="n">
        <x:v>46177.166666666664</x:v>
      </x:c>
      <x:c r="Y802" s="265" t="n">
        <x:v>600</x:v>
      </x:c>
      <x:c r="Z802" s="265" t="n">
        <x:v>600</x:v>
      </x:c>
      <x:c r="AA802" s="253" t="str">
        <x:f>IF(V802="No","Maturing",IF(AND(U802="Yes",Y802&gt;0),"Yes","No"))</x:f>
        <x:v>No</x:v>
      </x:c>
      <x:c r="AB802" s="253" t="str">
        <x:f>IF(W802="No","Maturing",IF(AND(U802="Yes",Z802&gt;0),"Yes","No"))</x:f>
        <x:v>No</x:v>
      </x:c>
      <x:c r="AC802" s="265" t="n">
        <x:v>-862.43</x:v>
      </x:c>
      <x:c r="AD802" s="265" t="n">
        <x:v>-862.43</x:v>
      </x:c>
      <x:c r="AE802" s="271" t="str"/>
      <x:c r="AF802" s="274" t="str">
        <x:v>Not validated - no control/holdout</x:v>
      </x:c>
      <x:c r="AG802" s="277" t="str">
        <x:v>Recovered execution only; assignment date and unclaimed-offer denominator unavailable</x:v>
      </x:c>
    </x:row>
    <x:row r="803">
      <x:c r="A803" s="252" t="str">
        <x:v>34477457</x:v>
      </x:c>
      <x:c r="B803" s="253" t="str">
        <x:v>WS1</x:v>
      </x:c>
      <x:c r="C803" s="253" t="str">
        <x:v>MB8</x:v>
      </x:c>
      <x:c r="D803" s="262" t="n">
        <x:v>46177.77858796297</x:v>
      </x:c>
      <x:c r="E803" s="259" t="n">
        <x:v>46177.166666666664</x:v>
      </x:c>
      <x:c r="F803" s="253" t="str">
        <x:v>973981</x:v>
      </x:c>
      <x:c r="G803" s="253" t="str">
        <x:v>sulugerek</x:v>
      </x:c>
      <x:c r="H803" s="253" t="str">
        <x:v>Yes</x:v>
      </x:c>
      <x:c r="I803" s="253" t="str"/>
      <x:c r="J803" s="253" t="str"/>
      <x:c r="K803" s="259"/>
      <x:c r="L803" s="268" t="str">
        <x:f>IFERROR(VLOOKUP(I803,'Handler-Team Map'!$A$7:$C$17,2,FALSE),"")</x:f>
      </x:c>
      <x:c r="M803" s="268" t="str">
        <x:f>IFERROR(VLOOKUP(I803,'Handler-Team Map'!$A$7:$C$17,3,FALSE),"")</x:f>
      </x:c>
      <x:c r="N803" s="274" t="str">
        <x:v>FT_VM_DEP600_GET200_5X</x:v>
      </x:c>
      <x:c r="O803" s="274" t="str">
        <x:v>VIP BONUS - Deposit 600 Get 200 - 5x TO</x:v>
      </x:c>
      <x:c r="P803" s="274" t="str">
        <x:v>DepositBonus</x:v>
      </x:c>
      <x:c r="Q803" s="274" t="str">
        <x:v>Approved</x:v>
      </x:c>
      <x:c r="R803" s="265" t="n">
        <x:v>200</x:v>
      </x:c>
      <x:c r="S803" s="253" t="str">
        <x:v>Yes</x:v>
      </x:c>
      <x:c r="T803" s="265" t="n">
        <x:v>2380</x:v>
      </x:c>
      <x:c r="U803" s="253" t="str">
        <x:f>IF(AND(S803="Yes",T803=0),"Yes","No")</x:f>
        <x:v>No</x:v>
      </x:c>
      <x:c r="V803" s="253" t="str">
        <x:v>Yes</x:v>
      </x:c>
      <x:c r="W803" s="253" t="str">
        <x:v>Yes</x:v>
      </x:c>
      <x:c r="X803" s="259" t="n">
        <x:v>46177.166666666664</x:v>
      </x:c>
      <x:c r="Y803" s="265" t="n">
        <x:v>1450</x:v>
      </x:c>
      <x:c r="Z803" s="265" t="n">
        <x:v>1900</x:v>
      </x:c>
      <x:c r="AA803" s="253" t="str">
        <x:f>IF(V803="No","Maturing",IF(AND(U803="Yes",Y803&gt;0),"Yes","No"))</x:f>
        <x:v>No</x:v>
      </x:c>
      <x:c r="AB803" s="253" t="str">
        <x:f>IF(W803="No","Maturing",IF(AND(U803="Yes",Z803&gt;0),"Yes","No"))</x:f>
        <x:v>No</x:v>
      </x:c>
      <x:c r="AC803" s="265" t="n">
        <x:v>-6334.65</x:v>
      </x:c>
      <x:c r="AD803" s="265" t="n">
        <x:v>-5896.57</x:v>
      </x:c>
      <x:c r="AE803" s="271" t="str"/>
      <x:c r="AF803" s="274" t="str">
        <x:v>Not validated - no control/holdout</x:v>
      </x:c>
      <x:c r="AG803" s="277" t="str">
        <x:v>Recovered execution only; assignment date and unclaimed-offer denominator unavailable</x:v>
      </x:c>
    </x:row>
    <x:row r="804">
      <x:c r="A804" s="252" t="str">
        <x:v>34477749</x:v>
      </x:c>
      <x:c r="B804" s="253" t="str">
        <x:v>WS1</x:v>
      </x:c>
      <x:c r="C804" s="253" t="str">
        <x:v>MB8</x:v>
      </x:c>
      <x:c r="D804" s="262" t="n">
        <x:v>46177.80258101852</x:v>
      </x:c>
      <x:c r="E804" s="259" t="n">
        <x:v>46177.166666666664</x:v>
      </x:c>
      <x:c r="F804" s="253" t="str">
        <x:v>511078</x:v>
      </x:c>
      <x:c r="G804" s="253" t="str">
        <x:v>lchuan96</x:v>
      </x:c>
      <x:c r="H804" s="253" t="str">
        <x:v>Yes</x:v>
      </x:c>
      <x:c r="I804" s="253" t="str">
        <x:v>Sheena</x:v>
      </x:c>
      <x:c r="J804" s="253" t="str">
        <x:v>Sheena</x:v>
      </x:c>
      <x:c r="K804" s="259" t="n">
        <x:v>45852.166666666664</x:v>
      </x:c>
      <x:c r="L804" s="268" t="str">
        <x:f>IFERROR(VLOOKUP(I804,'Handler-Team Map'!$A$7:$C$17,2,FALSE),"")</x:f>
      </x:c>
      <x:c r="M804" s="268" t="str">
        <x:f>IFERROR(VLOOKUP(I804,'Handler-Team Map'!$A$7:$C$17,3,FALSE),"")</x:f>
      </x:c>
      <x:c r="N804" s="274" t="str">
        <x:v>FT_VM_DEP1000_GET800_1X</x:v>
      </x:c>
      <x:c r="O804" s="274" t="str">
        <x:v>VIP BONUS - Deposit 1000 Get 800 - 1x TO</x:v>
      </x:c>
      <x:c r="P804" s="274" t="str">
        <x:v>DepositBonus</x:v>
      </x:c>
      <x:c r="Q804" s="274" t="str">
        <x:v>Approved</x:v>
      </x:c>
      <x:c r="R804" s="265" t="n">
        <x:v>800</x:v>
      </x:c>
      <x:c r="S804" s="253" t="str">
        <x:v>Yes</x:v>
      </x:c>
      <x:c r="T804" s="265" t="n">
        <x:v>2500</x:v>
      </x:c>
      <x:c r="U804" s="253" t="str">
        <x:f>IF(AND(S804="Yes",T804=0),"Yes","No")</x:f>
        <x:v>No</x:v>
      </x:c>
      <x:c r="V804" s="253" t="str">
        <x:v>Yes</x:v>
      </x:c>
      <x:c r="W804" s="253" t="str">
        <x:v>Yes</x:v>
      </x:c>
      <x:c r="X804" s="259" t="n">
        <x:v>46177.166666666664</x:v>
      </x:c>
      <x:c r="Y804" s="265" t="n">
        <x:v>1000</x:v>
      </x:c>
      <x:c r="Z804" s="265" t="n">
        <x:v>1000</x:v>
      </x:c>
      <x:c r="AA804" s="253" t="str">
        <x:f>IF(V804="No","Maturing",IF(AND(U804="Yes",Y804&gt;0),"Yes","No"))</x:f>
        <x:v>No</x:v>
      </x:c>
      <x:c r="AB804" s="253" t="str">
        <x:f>IF(W804="No","Maturing",IF(AND(U804="Yes",Z804&gt;0),"Yes","No"))</x:f>
        <x:v>No</x:v>
      </x:c>
      <x:c r="AC804" s="265" t="n">
        <x:v>-2565.21</x:v>
      </x:c>
      <x:c r="AD804" s="265" t="n">
        <x:v>-2565.21</x:v>
      </x:c>
      <x:c r="AE804" s="271" t="str"/>
      <x:c r="AF804" s="274" t="str">
        <x:v>Not validated - no control/holdout</x:v>
      </x:c>
      <x:c r="AG804" s="277" t="str">
        <x:v>Recovered execution only; assignment date and unclaimed-offer denominator unavailable</x:v>
      </x:c>
    </x:row>
    <x:row r="805">
      <x:c r="A805" s="252" t="str">
        <x:v>34478207</x:v>
      </x:c>
      <x:c r="B805" s="253" t="str">
        <x:v>WS1</x:v>
      </x:c>
      <x:c r="C805" s="253" t="str">
        <x:v>MB8</x:v>
      </x:c>
      <x:c r="D805" s="262" t="n">
        <x:v>46177.8346875</x:v>
      </x:c>
      <x:c r="E805" s="259" t="n">
        <x:v>46177.166666666664</x:v>
      </x:c>
      <x:c r="F805" s="253" t="str">
        <x:v>268246</x:v>
      </x:c>
      <x:c r="G805" s="253" t="str">
        <x:v>Win124</x:v>
      </x:c>
      <x:c r="H805" s="253" t="str">
        <x:v>Yes</x:v>
      </x:c>
      <x:c r="I805" s="253" t="str">
        <x:v>Claire</x:v>
      </x:c>
      <x:c r="J805" s="253" t="str">
        <x:v>Claire</x:v>
      </x:c>
      <x:c r="K805" s="259" t="n">
        <x:v>45659.166666666664</x:v>
      </x:c>
      <x:c r="L805" s="268" t="str">
        <x:f>IFERROR(VLOOKUP(I805,'Handler-Team Map'!$A$7:$C$17,2,FALSE),"")</x:f>
      </x:c>
      <x:c r="M805" s="268" t="str">
        <x:f>IFERROR(VLOOKUP(I805,'Handler-Team Map'!$A$7:$C$17,3,FALSE),"")</x:f>
      </x:c>
      <x:c r="N805" s="274" t="str">
        <x:v>FT_VM_DEP1000_GET500_5X</x:v>
      </x:c>
      <x:c r="O805" s="274" t="str">
        <x:v>VIP BONUS - Deposit 1000 Get 500 - 5x TO</x:v>
      </x:c>
      <x:c r="P805" s="274" t="str">
        <x:v>DepositBonus</x:v>
      </x:c>
      <x:c r="Q805" s="274" t="str">
        <x:v>Approved</x:v>
      </x:c>
      <x:c r="R805" s="265" t="n">
        <x:v>500</x:v>
      </x:c>
      <x:c r="S805" s="253" t="str">
        <x:v>Yes</x:v>
      </x:c>
      <x:c r="T805" s="265" t="n">
        <x:v>1196330</x:v>
      </x:c>
      <x:c r="U805" s="253" t="str">
        <x:f>IF(AND(S805="Yes",T805=0),"Yes","No")</x:f>
        <x:v>No</x:v>
      </x:c>
      <x:c r="V805" s="253" t="str">
        <x:v>Yes</x:v>
      </x:c>
      <x:c r="W805" s="253" t="str">
        <x:v>Yes</x:v>
      </x:c>
      <x:c r="X805" s="259" t="n">
        <x:v>46177.166666666664</x:v>
      </x:c>
      <x:c r="Y805" s="265" t="n">
        <x:v>425700</x:v>
      </x:c>
      <x:c r="Z805" s="265" t="n">
        <x:v>707195</x:v>
      </x:c>
      <x:c r="AA805" s="253" t="str">
        <x:f>IF(V805="No","Maturing",IF(AND(U805="Yes",Y805&gt;0),"Yes","No"))</x:f>
        <x:v>No</x:v>
      </x:c>
      <x:c r="AB805" s="253" t="str">
        <x:f>IF(W805="No","Maturing",IF(AND(U805="Yes",Z805&gt;0),"Yes","No"))</x:f>
        <x:v>No</x:v>
      </x:c>
      <x:c r="AC805" s="265" t="n">
        <x:v>170480.1</x:v>
      </x:c>
      <x:c r="AD805" s="265" t="n">
        <x:v>185647.9</x:v>
      </x:c>
      <x:c r="AE805" s="271" t="str"/>
      <x:c r="AF805" s="274" t="str">
        <x:v>Not validated - no control/holdout</x:v>
      </x:c>
      <x:c r="AG805" s="277" t="str">
        <x:v>Recovered execution only; assignment date and unclaimed-offer denominator unavailable</x:v>
      </x:c>
    </x:row>
    <x:row r="806">
      <x:c r="A806" s="252" t="str">
        <x:v>34478255</x:v>
      </x:c>
      <x:c r="B806" s="253" t="str">
        <x:v>WS1</x:v>
      </x:c>
      <x:c r="C806" s="253" t="str">
        <x:v>MB8</x:v>
      </x:c>
      <x:c r="D806" s="262" t="n">
        <x:v>46177.837743055556</x:v>
      </x:c>
      <x:c r="E806" s="259" t="n">
        <x:v>46177.166666666664</x:v>
      </x:c>
      <x:c r="F806" s="253" t="str">
        <x:v>900452</x:v>
      </x:c>
      <x:c r="G806" s="253" t="str">
        <x:v>att6363</x:v>
      </x:c>
      <x:c r="H806" s="253" t="str">
        <x:v>Yes</x:v>
      </x:c>
      <x:c r="I806" s="253" t="str"/>
      <x:c r="J806" s="253" t="str"/>
      <x:c r="K806" s="259"/>
      <x:c r="L806" s="268" t="str">
        <x:f>IFERROR(VLOOKUP(I806,'Handler-Team Map'!$A$7:$C$17,2,FALSE),"")</x:f>
      </x:c>
      <x:c r="M806" s="268" t="str">
        <x:f>IFERROR(VLOOKUP(I806,'Handler-Team Map'!$A$7:$C$17,3,FALSE),"")</x:f>
      </x:c>
      <x:c r="N806" s="274" t="str">
        <x:v>FT_VM_DEP600_GET200_5X</x:v>
      </x:c>
      <x:c r="O806" s="274" t="str">
        <x:v>VIP BONUS - Deposit 600 Get 200 - 5x TO</x:v>
      </x:c>
      <x:c r="P806" s="274" t="str">
        <x:v>DepositBonus</x:v>
      </x:c>
      <x:c r="Q806" s="274" t="str">
        <x:v>Approved</x:v>
      </x:c>
      <x:c r="R806" s="265" t="n">
        <x:v>200</x:v>
      </x:c>
      <x:c r="S806" s="253" t="str">
        <x:v>Yes</x:v>
      </x:c>
      <x:c r="T806" s="265" t="n">
        <x:v>3100</x:v>
      </x:c>
      <x:c r="U806" s="253" t="str">
        <x:f>IF(AND(S806="Yes",T806=0),"Yes","No")</x:f>
        <x:v>No</x:v>
      </x:c>
      <x:c r="V806" s="253" t="str">
        <x:v>Yes</x:v>
      </x:c>
      <x:c r="W806" s="253" t="str">
        <x:v>Yes</x:v>
      </x:c>
      <x:c r="X806" s="259" t="n">
        <x:v>46177.166666666664</x:v>
      </x:c>
      <x:c r="Y806" s="265" t="n">
        <x:v>600</x:v>
      </x:c>
      <x:c r="Z806" s="265" t="n">
        <x:v>1200</x:v>
      </x:c>
      <x:c r="AA806" s="253" t="str">
        <x:f>IF(V806="No","Maturing",IF(AND(U806="Yes",Y806&gt;0),"Yes","No"))</x:f>
        <x:v>No</x:v>
      </x:c>
      <x:c r="AB806" s="253" t="str">
        <x:f>IF(W806="No","Maturing",IF(AND(U806="Yes",Z806&gt;0),"Yes","No"))</x:f>
        <x:v>No</x:v>
      </x:c>
      <x:c r="AC806" s="265" t="n">
        <x:v>603.95</x:v>
      </x:c>
      <x:c r="AD806" s="265" t="n">
        <x:v>168.33</x:v>
      </x:c>
      <x:c r="AE806" s="271" t="str"/>
      <x:c r="AF806" s="274" t="str">
        <x:v>Not validated - no control/holdout</x:v>
      </x:c>
      <x:c r="AG806" s="277" t="str">
        <x:v>Recovered execution only; assignment date and unclaimed-offer denominator unavailable</x:v>
      </x:c>
    </x:row>
    <x:row r="807">
      <x:c r="A807" s="252" t="str">
        <x:v>34478302</x:v>
      </x:c>
      <x:c r="B807" s="253" t="str">
        <x:v>WS1</x:v>
      </x:c>
      <x:c r="C807" s="253" t="str">
        <x:v>MB8</x:v>
      </x:c>
      <x:c r="D807" s="262" t="n">
        <x:v>46177.840578703705</x:v>
      </x:c>
      <x:c r="E807" s="259" t="n">
        <x:v>46177.166666666664</x:v>
      </x:c>
      <x:c r="F807" s="253" t="str">
        <x:v>17391</x:v>
      </x:c>
      <x:c r="G807" s="253" t="str">
        <x:v>SUPER999</x:v>
      </x:c>
      <x:c r="H807" s="253" t="str">
        <x:v>Yes</x:v>
      </x:c>
      <x:c r="I807" s="253" t="str">
        <x:v>Christy</x:v>
      </x:c>
      <x:c r="J807" s="253" t="str">
        <x:v>Christy</x:v>
      </x:c>
      <x:c r="K807" s="259" t="n">
        <x:v>45831.166666666664</x:v>
      </x:c>
      <x:c r="L807" s="268" t="str">
        <x:f>IFERROR(VLOOKUP(I807,'Handler-Team Map'!$A$7:$C$17,2,FALSE),"")</x:f>
      </x:c>
      <x:c r="M807" s="268" t="str">
        <x:f>IFERROR(VLOOKUP(I807,'Handler-Team Map'!$A$7:$C$17,3,FALSE),"")</x:f>
      </x:c>
      <x:c r="N807" s="274" t="str">
        <x:v>FT_VM_DEP1000_GET700_1X</x:v>
      </x:c>
      <x:c r="O807" s="274" t="str">
        <x:v>VIP BONUS - Deposit 1000 Get 700 - 1x TO</x:v>
      </x:c>
      <x:c r="P807" s="274" t="str">
        <x:v>DepositBonus</x:v>
      </x:c>
      <x:c r="Q807" s="274" t="str">
        <x:v>Approved</x:v>
      </x:c>
      <x:c r="R807" s="265" t="n">
        <x:v>700</x:v>
      </x:c>
      <x:c r="S807" s="253" t="str">
        <x:v>Yes</x:v>
      </x:c>
      <x:c r="T807" s="265" t="n">
        <x:v>0</x:v>
      </x:c>
      <x:c r="U807" s="253" t="str">
        <x:f>IF(AND(S807="Yes",T807=0),"Yes","No")</x:f>
        <x:v>Yes</x:v>
      </x:c>
      <x:c r="V807" s="253" t="str">
        <x:v>Yes</x:v>
      </x:c>
      <x:c r="W807" s="253" t="str">
        <x:v>Yes</x:v>
      </x:c>
      <x:c r="X807" s="259" t="n">
        <x:v>46177.166666666664</x:v>
      </x:c>
      <x:c r="Y807" s="265" t="n">
        <x:v>1000</x:v>
      </x:c>
      <x:c r="Z807" s="265" t="n">
        <x:v>1000</x:v>
      </x:c>
      <x:c r="AA807" s="253" t="str">
        <x:f>IF(V807="No","Maturing",IF(AND(U807="Yes",Y807&gt;0),"Yes","No"))</x:f>
        <x:v>Yes</x:v>
      </x:c>
      <x:c r="AB807" s="253" t="str">
        <x:f>IF(W807="No","Maturing",IF(AND(U807="Yes",Z807&gt;0),"Yes","No"))</x:f>
        <x:v>Yes</x:v>
      </x:c>
      <x:c r="AC807" s="265" t="n">
        <x:v>993.07</x:v>
      </x:c>
      <x:c r="AD807" s="265" t="n">
        <x:v>993.07</x:v>
      </x:c>
      <x:c r="AE807" s="271" t="str"/>
      <x:c r="AF807" s="274" t="str">
        <x:v>Not validated - no control/holdout</x:v>
      </x:c>
      <x:c r="AG807" s="277" t="str">
        <x:v>Recovered execution only; assignment date and unclaimed-offer denominator unavailable</x:v>
      </x:c>
    </x:row>
    <x:row r="808">
      <x:c r="A808" s="252" t="str">
        <x:v>34479311</x:v>
      </x:c>
      <x:c r="B808" s="253" t="str">
        <x:v>WS1</x:v>
      </x:c>
      <x:c r="C808" s="253" t="str">
        <x:v>MB8</x:v>
      </x:c>
      <x:c r="D808" s="262" t="n">
        <x:v>46177.906793981485</x:v>
      </x:c>
      <x:c r="E808" s="259" t="n">
        <x:v>46177.166666666664</x:v>
      </x:c>
      <x:c r="F808" s="253" t="str">
        <x:v>147156</x:v>
      </x:c>
      <x:c r="G808" s="253" t="str">
        <x:v>helmigos</x:v>
      </x:c>
      <x:c r="H808" s="253" t="str">
        <x:v>Yes</x:v>
      </x:c>
      <x:c r="I808" s="253" t="str">
        <x:v>zhen</x:v>
      </x:c>
      <x:c r="J808" s="253" t="str">
        <x:v>zhen</x:v>
      </x:c>
      <x:c r="K808" s="259" t="n">
        <x:v>45880.166666666664</x:v>
      </x:c>
      <x:c r="L808" s="268" t="str">
        <x:f>IFERROR(VLOOKUP(I808,'Handler-Team Map'!$A$7:$C$17,2,FALSE),"")</x:f>
      </x:c>
      <x:c r="M808" s="268" t="str">
        <x:f>IFERROR(VLOOKUP(I808,'Handler-Team Map'!$A$7:$C$17,3,FALSE),"")</x:f>
      </x:c>
      <x:c r="N808" s="274" t="str">
        <x:v>FT_VM_DEP1000_GET500_1X</x:v>
      </x:c>
      <x:c r="O808" s="274" t="str">
        <x:v>VIP BONUS - Deposit 1000 Get 500 - 1x TO</x:v>
      </x:c>
      <x:c r="P808" s="274" t="str">
        <x:v>DepositBonus</x:v>
      </x:c>
      <x:c r="Q808" s="274" t="str">
        <x:v>Approved</x:v>
      </x:c>
      <x:c r="R808" s="265" t="n">
        <x:v>500</x:v>
      </x:c>
      <x:c r="S808" s="253" t="str">
        <x:v>Yes</x:v>
      </x:c>
      <x:c r="T808" s="265" t="n">
        <x:v>0</x:v>
      </x:c>
      <x:c r="U808" s="253" t="str">
        <x:f>IF(AND(S808="Yes",T808=0),"Yes","No")</x:f>
        <x:v>Yes</x:v>
      </x:c>
      <x:c r="V808" s="253" t="str">
        <x:v>Yes</x:v>
      </x:c>
      <x:c r="W808" s="253" t="str">
        <x:v>Yes</x:v>
      </x:c>
      <x:c r="X808" s="259" t="n">
        <x:v>46177.166666666664</x:v>
      </x:c>
      <x:c r="Y808" s="265" t="n">
        <x:v>1100</x:v>
      </x:c>
      <x:c r="Z808" s="265" t="n">
        <x:v>1100</x:v>
      </x:c>
      <x:c r="AA808" s="253" t="str">
        <x:f>IF(V808="No","Maturing",IF(AND(U808="Yes",Y808&gt;0),"Yes","No"))</x:f>
        <x:v>Yes</x:v>
      </x:c>
      <x:c r="AB808" s="253" t="str">
        <x:f>IF(W808="No","Maturing",IF(AND(U808="Yes",Z808&gt;0),"Yes","No"))</x:f>
        <x:v>Yes</x:v>
      </x:c>
      <x:c r="AC808" s="265" t="n">
        <x:v>-4100.83</x:v>
      </x:c>
      <x:c r="AD808" s="265" t="n">
        <x:v>-4100.87</x:v>
      </x:c>
      <x:c r="AE808" s="271" t="str"/>
      <x:c r="AF808" s="274" t="str">
        <x:v>Not validated - no control/holdout</x:v>
      </x:c>
      <x:c r="AG808" s="277" t="str">
        <x:v>Recovered execution only; assignment date and unclaimed-offer denominator unavailable</x:v>
      </x:c>
    </x:row>
    <x:row r="809">
      <x:c r="A809" s="252" t="str">
        <x:v>34480203</x:v>
      </x:c>
      <x:c r="B809" s="253" t="str">
        <x:v>WS1</x:v>
      </x:c>
      <x:c r="C809" s="253" t="str">
        <x:v>MB8</x:v>
      </x:c>
      <x:c r="D809" s="262" t="n">
        <x:v>46177.95321759259</x:v>
      </x:c>
      <x:c r="E809" s="259" t="n">
        <x:v>46177.166666666664</x:v>
      </x:c>
      <x:c r="F809" s="253" t="str">
        <x:v>716818</x:v>
      </x:c>
      <x:c r="G809" s="253" t="str">
        <x:v>yan1288</x:v>
      </x:c>
      <x:c r="H809" s="253" t="str">
        <x:v>Yes</x:v>
      </x:c>
      <x:c r="I809" s="253" t="str"/>
      <x:c r="J809" s="253" t="str"/>
      <x:c r="K809" s="259"/>
      <x:c r="L809" s="268" t="str">
        <x:f>IFERROR(VLOOKUP(I809,'Handler-Team Map'!$A$7:$C$17,2,FALSE),"")</x:f>
      </x:c>
      <x:c r="M809" s="268" t="str">
        <x:f>IFERROR(VLOOKUP(I809,'Handler-Team Map'!$A$7:$C$17,3,FALSE),"")</x:f>
      </x:c>
      <x:c r="N809" s="274" t="str">
        <x:v>FT_VM_DEP600_GET200_5X</x:v>
      </x:c>
      <x:c r="O809" s="274" t="str">
        <x:v>VIP BONUS - Deposit 600 Get 200 - 5x TO</x:v>
      </x:c>
      <x:c r="P809" s="274" t="str">
        <x:v>DepositBonus</x:v>
      </x:c>
      <x:c r="Q809" s="274" t="str">
        <x:v>Approved</x:v>
      </x:c>
      <x:c r="R809" s="265" t="n">
        <x:v>200</x:v>
      </x:c>
      <x:c r="S809" s="253" t="str">
        <x:v>Yes</x:v>
      </x:c>
      <x:c r="T809" s="265" t="n">
        <x:v>1750</x:v>
      </x:c>
      <x:c r="U809" s="253" t="str">
        <x:f>IF(AND(S809="Yes",T809=0),"Yes","No")</x:f>
        <x:v>No</x:v>
      </x:c>
      <x:c r="V809" s="253" t="str">
        <x:v>Yes</x:v>
      </x:c>
      <x:c r="W809" s="253" t="str">
        <x:v>Yes</x:v>
      </x:c>
      <x:c r="X809" s="259" t="n">
        <x:v>46177.166666666664</x:v>
      </x:c>
      <x:c r="Y809" s="265" t="n">
        <x:v>600</x:v>
      </x:c>
      <x:c r="Z809" s="265" t="n">
        <x:v>1000</x:v>
      </x:c>
      <x:c r="AA809" s="253" t="str">
        <x:f>IF(V809="No","Maturing",IF(AND(U809="Yes",Y809&gt;0),"Yes","No"))</x:f>
        <x:v>No</x:v>
      </x:c>
      <x:c r="AB809" s="253" t="str">
        <x:f>IF(W809="No","Maturing",IF(AND(U809="Yes",Z809&gt;0),"Yes","No"))</x:f>
        <x:v>No</x:v>
      </x:c>
      <x:c r="AC809" s="265" t="n">
        <x:v>-443.72</x:v>
      </x:c>
      <x:c r="AD809" s="265" t="n">
        <x:v>-38.32</x:v>
      </x:c>
      <x:c r="AE809" s="271" t="str"/>
      <x:c r="AF809" s="274" t="str">
        <x:v>Not validated - no control/holdout</x:v>
      </x:c>
      <x:c r="AG809" s="277" t="str">
        <x:v>Recovered execution only; assignment date and unclaimed-offer denominator unavailable</x:v>
      </x:c>
    </x:row>
    <x:row r="810">
      <x:c r="A810" s="252" t="str">
        <x:v>34480277</x:v>
      </x:c>
      <x:c r="B810" s="253" t="str">
        <x:v>WS1</x:v>
      </x:c>
      <x:c r="C810" s="253" t="str">
        <x:v>MB8</x:v>
      </x:c>
      <x:c r="D810" s="262" t="n">
        <x:v>46177.9584375</x:v>
      </x:c>
      <x:c r="E810" s="259" t="n">
        <x:v>46177.166666666664</x:v>
      </x:c>
      <x:c r="F810" s="253" t="str">
        <x:v>1145617</x:v>
      </x:c>
      <x:c r="G810" s="253" t="str">
        <x:v>mohdanuar87</x:v>
      </x:c>
      <x:c r="H810" s="253" t="str">
        <x:v>Yes</x:v>
      </x:c>
      <x:c r="I810" s="253" t="str"/>
      <x:c r="J810" s="253" t="str"/>
      <x:c r="K810" s="259"/>
      <x:c r="L810" s="268" t="str">
        <x:f>IFERROR(VLOOKUP(I810,'Handler-Team Map'!$A$7:$C$17,2,FALSE),"")</x:f>
      </x:c>
      <x:c r="M810" s="268" t="str">
        <x:f>IFERROR(VLOOKUP(I810,'Handler-Team Map'!$A$7:$C$17,3,FALSE),"")</x:f>
      </x:c>
      <x:c r="N810" s="274" t="str">
        <x:v>FT_VM_DEP600_GET200_5X</x:v>
      </x:c>
      <x:c r="O810" s="274" t="str">
        <x:v>VIP BONUS - Deposit 600 Get 200 - 5x TO</x:v>
      </x:c>
      <x:c r="P810" s="274" t="str">
        <x:v>DepositBonus</x:v>
      </x:c>
      <x:c r="Q810" s="274" t="str">
        <x:v>Approved</x:v>
      </x:c>
      <x:c r="R810" s="265" t="n">
        <x:v>200</x:v>
      </x:c>
      <x:c r="S810" s="253" t="str">
        <x:v>Yes</x:v>
      </x:c>
      <x:c r="T810" s="265" t="n">
        <x:v>50</x:v>
      </x:c>
      <x:c r="U810" s="253" t="str">
        <x:f>IF(AND(S810="Yes",T810=0),"Yes","No")</x:f>
        <x:v>No</x:v>
      </x:c>
      <x:c r="V810" s="253" t="str">
        <x:v>Yes</x:v>
      </x:c>
      <x:c r="W810" s="253" t="str">
        <x:v>Yes</x:v>
      </x:c>
      <x:c r="X810" s="259" t="n">
        <x:v>46177.166666666664</x:v>
      </x:c>
      <x:c r="Y810" s="265" t="n">
        <x:v>1541</x:v>
      </x:c>
      <x:c r="Z810" s="265" t="n">
        <x:v>1541</x:v>
      </x:c>
      <x:c r="AA810" s="253" t="str">
        <x:f>IF(V810="No","Maturing",IF(AND(U810="Yes",Y810&gt;0),"Yes","No"))</x:f>
        <x:v>No</x:v>
      </x:c>
      <x:c r="AB810" s="253" t="str">
        <x:f>IF(W810="No","Maturing",IF(AND(U810="Yes",Z810&gt;0),"Yes","No"))</x:f>
        <x:v>No</x:v>
      </x:c>
      <x:c r="AC810" s="265" t="n">
        <x:v>-1059.07</x:v>
      </x:c>
      <x:c r="AD810" s="265" t="n">
        <x:v>-1059</x:v>
      </x:c>
      <x:c r="AE810" s="271" t="str"/>
      <x:c r="AF810" s="274" t="str">
        <x:v>Not validated - no control/holdout</x:v>
      </x:c>
      <x:c r="AG810" s="277" t="str">
        <x:v>Recovered execution only; assignment date and unclaimed-offer denominator unavailable</x:v>
      </x:c>
    </x:row>
    <x:row r="811">
      <x:c r="A811" s="252" t="str">
        <x:v>34480702</x:v>
      </x:c>
      <x:c r="B811" s="253" t="str">
        <x:v>WS1</x:v>
      </x:c>
      <x:c r="C811" s="253" t="str">
        <x:v>MB8</x:v>
      </x:c>
      <x:c r="D811" s="262" t="n">
        <x:v>46177.97858796296</x:v>
      </x:c>
      <x:c r="E811" s="259" t="n">
        <x:v>46177.166666666664</x:v>
      </x:c>
      <x:c r="F811" s="253" t="str">
        <x:v>971937</x:v>
      </x:c>
      <x:c r="G811" s="253" t="str">
        <x:v>jason0830</x:v>
      </x:c>
      <x:c r="H811" s="253" t="str">
        <x:v>Yes</x:v>
      </x:c>
      <x:c r="I811" s="253" t="str">
        <x:v>zhen</x:v>
      </x:c>
      <x:c r="J811" s="253" t="str">
        <x:v>zhen</x:v>
      </x:c>
      <x:c r="K811" s="259" t="n">
        <x:v>45880.166666666664</x:v>
      </x:c>
      <x:c r="L811" s="268" t="str">
        <x:f>IFERROR(VLOOKUP(I811,'Handler-Team Map'!$A$7:$C$17,2,FALSE),"")</x:f>
      </x:c>
      <x:c r="M811" s="268" t="str">
        <x:f>IFERROR(VLOOKUP(I811,'Handler-Team Map'!$A$7:$C$17,3,FALSE),"")</x:f>
      </x:c>
      <x:c r="N811" s="274" t="str">
        <x:v>FT_VM_DEP700_GET300_2X</x:v>
      </x:c>
      <x:c r="O811" s="274" t="str">
        <x:v>VIP BONUS - Deposit 700 Get 300 - 2x TO</x:v>
      </x:c>
      <x:c r="P811" s="274" t="str">
        <x:v>DepositBonus</x:v>
      </x:c>
      <x:c r="Q811" s="274" t="str">
        <x:v>Approved</x:v>
      </x:c>
      <x:c r="R811" s="265" t="n">
        <x:v>300</x:v>
      </x:c>
      <x:c r="S811" s="253" t="str">
        <x:v>Yes</x:v>
      </x:c>
      <x:c r="T811" s="265" t="n">
        <x:v>3100</x:v>
      </x:c>
      <x:c r="U811" s="253" t="str">
        <x:f>IF(AND(S811="Yes",T811=0),"Yes","No")</x:f>
        <x:v>No</x:v>
      </x:c>
      <x:c r="V811" s="253" t="str">
        <x:v>Yes</x:v>
      </x:c>
      <x:c r="W811" s="253" t="str">
        <x:v>Yes</x:v>
      </x:c>
      <x:c r="X811" s="259" t="n">
        <x:v>46177.166666666664</x:v>
      </x:c>
      <x:c r="Y811" s="265" t="n">
        <x:v>700</x:v>
      </x:c>
      <x:c r="Z811" s="265" t="n">
        <x:v>700</x:v>
      </x:c>
      <x:c r="AA811" s="253" t="str">
        <x:f>IF(V811="No","Maturing",IF(AND(U811="Yes",Y811&gt;0),"Yes","No"))</x:f>
        <x:v>No</x:v>
      </x:c>
      <x:c r="AB811" s="253" t="str">
        <x:f>IF(W811="No","Maturing",IF(AND(U811="Yes",Z811&gt;0),"Yes","No"))</x:f>
        <x:v>No</x:v>
      </x:c>
      <x:c r="AC811" s="265" t="n">
        <x:v>699.96</x:v>
      </x:c>
      <x:c r="AD811" s="265" t="n">
        <x:v>700.09</x:v>
      </x:c>
      <x:c r="AE811" s="271" t="str"/>
      <x:c r="AF811" s="274" t="str">
        <x:v>Not validated - no control/holdout</x:v>
      </x:c>
      <x:c r="AG811" s="277" t="str">
        <x:v>Recovered execution only; assignment date and unclaimed-offer denominator unavailable</x:v>
      </x:c>
    </x:row>
    <x:row r="812">
      <x:c r="A812" s="252" t="str">
        <x:v>34480745</x:v>
      </x:c>
      <x:c r="B812" s="253" t="str">
        <x:v>WS1</x:v>
      </x:c>
      <x:c r="C812" s="253" t="str">
        <x:v>MB8</x:v>
      </x:c>
      <x:c r="D812" s="262" t="n">
        <x:v>46177.981516203705</x:v>
      </x:c>
      <x:c r="E812" s="259" t="n">
        <x:v>46177.166666666664</x:v>
      </x:c>
      <x:c r="F812" s="253" t="str">
        <x:v>672372</x:v>
      </x:c>
      <x:c r="G812" s="253" t="str">
        <x:v>Sllim</x:v>
      </x:c>
      <x:c r="H812" s="253" t="str">
        <x:v>Yes</x:v>
      </x:c>
      <x:c r="I812" s="253" t="str">
        <x:v>Jiahui</x:v>
      </x:c>
      <x:c r="J812" s="253" t="str">
        <x:v>Jiahui</x:v>
      </x:c>
      <x:c r="K812" s="259" t="n">
        <x:v>45797.166666666664</x:v>
      </x:c>
      <x:c r="L812" s="268" t="str">
        <x:f>IFERROR(VLOOKUP(I812,'Handler-Team Map'!$A$7:$C$17,2,FALSE),"")</x:f>
      </x:c>
      <x:c r="M812" s="268" t="str">
        <x:f>IFERROR(VLOOKUP(I812,'Handler-Team Map'!$A$7:$C$17,3,FALSE),"")</x:f>
      </x:c>
      <x:c r="N812" s="274" t="str">
        <x:v>FT_VM_DEP1000_GET700_2X</x:v>
      </x:c>
      <x:c r="O812" s="274" t="str">
        <x:v>VIP BONUS - Deposit 1000 Get 700 - 2x TO</x:v>
      </x:c>
      <x:c r="P812" s="274" t="str">
        <x:v>DepositBonus</x:v>
      </x:c>
      <x:c r="Q812" s="274" t="str">
        <x:v>Approved</x:v>
      </x:c>
      <x:c r="R812" s="265" t="n">
        <x:v>700</x:v>
      </x:c>
      <x:c r="S812" s="253" t="str">
        <x:v>Yes</x:v>
      </x:c>
      <x:c r="T812" s="265" t="n">
        <x:v>300</x:v>
      </x:c>
      <x:c r="U812" s="253" t="str">
        <x:f>IF(AND(S812="Yes",T812=0),"Yes","No")</x:f>
        <x:v>No</x:v>
      </x:c>
      <x:c r="V812" s="253" t="str">
        <x:v>Yes</x:v>
      </x:c>
      <x:c r="W812" s="253" t="str">
        <x:v>Yes</x:v>
      </x:c>
      <x:c r="X812" s="259" t="n">
        <x:v>46177.166666666664</x:v>
      </x:c>
      <x:c r="Y812" s="265" t="n">
        <x:v>1500</x:v>
      </x:c>
      <x:c r="Z812" s="265" t="n">
        <x:v>3500</x:v>
      </x:c>
      <x:c r="AA812" s="253" t="str">
        <x:f>IF(V812="No","Maturing",IF(AND(U812="Yes",Y812&gt;0),"Yes","No"))</x:f>
        <x:v>No</x:v>
      </x:c>
      <x:c r="AB812" s="253" t="str">
        <x:f>IF(W812="No","Maturing",IF(AND(U812="Yes",Z812&gt;0),"Yes","No"))</x:f>
        <x:v>No</x:v>
      </x:c>
      <x:c r="AC812" s="265" t="n">
        <x:v>1494.7</x:v>
      </x:c>
      <x:c r="AD812" s="265" t="n">
        <x:v>3498.4</x:v>
      </x:c>
      <x:c r="AE812" s="271" t="str"/>
      <x:c r="AF812" s="274" t="str">
        <x:v>Not validated - no control/holdout</x:v>
      </x:c>
      <x:c r="AG812" s="277" t="str">
        <x:v>Recovered execution only; assignment date and unclaimed-offer denominator unavailable</x:v>
      </x:c>
    </x:row>
    <x:row r="813">
      <x:c r="A813" s="252" t="str">
        <x:v>34481678</x:v>
      </x:c>
      <x:c r="B813" s="253" t="str">
        <x:v>WS1</x:v>
      </x:c>
      <x:c r="C813" s="253" t="str">
        <x:v>MB8</x:v>
      </x:c>
      <x:c r="D813" s="262" t="n">
        <x:v>46178.02600694444</x:v>
      </x:c>
      <x:c r="E813" s="259" t="n">
        <x:v>46178.166666666664</x:v>
      </x:c>
      <x:c r="F813" s="253" t="str">
        <x:v>976429</x:v>
      </x:c>
      <x:c r="G813" s="253" t="str">
        <x:v>dylanchan1688</x:v>
      </x:c>
      <x:c r="H813" s="253" t="str">
        <x:v>Yes</x:v>
      </x:c>
      <x:c r="I813" s="253" t="str"/>
      <x:c r="J813" s="253" t="str"/>
      <x:c r="K813" s="259"/>
      <x:c r="L813" s="268" t="str">
        <x:f>IFERROR(VLOOKUP(I813,'Handler-Team Map'!$A$7:$C$17,2,FALSE),"")</x:f>
      </x:c>
      <x:c r="M813" s="268" t="str">
        <x:f>IFERROR(VLOOKUP(I813,'Handler-Team Map'!$A$7:$C$17,3,FALSE),"")</x:f>
      </x:c>
      <x:c r="N813" s="274" t="str">
        <x:v>FT_VM_DEP700_GET300_2X</x:v>
      </x:c>
      <x:c r="O813" s="274" t="str">
        <x:v>VIP BONUS - Deposit 700 Get 300 - 2x TO</x:v>
      </x:c>
      <x:c r="P813" s="274" t="str">
        <x:v>DepositBonus</x:v>
      </x:c>
      <x:c r="Q813" s="274" t="str">
        <x:v>Approved</x:v>
      </x:c>
      <x:c r="R813" s="265" t="n">
        <x:v>300</x:v>
      </x:c>
      <x:c r="S813" s="253" t="str">
        <x:v>Yes</x:v>
      </x:c>
      <x:c r="T813" s="265" t="n">
        <x:v>0</x:v>
      </x:c>
      <x:c r="U813" s="253" t="str">
        <x:f>IF(AND(S813="Yes",T813=0),"Yes","No")</x:f>
        <x:v>Yes</x:v>
      </x:c>
      <x:c r="V813" s="253" t="str">
        <x:v>Yes</x:v>
      </x:c>
      <x:c r="W813" s="253" t="str">
        <x:v>Yes</x:v>
      </x:c>
      <x:c r="X813" s="259" t="n">
        <x:v>46178.166666666664</x:v>
      </x:c>
      <x:c r="Y813" s="265" t="n">
        <x:v>700</x:v>
      </x:c>
      <x:c r="Z813" s="265" t="n">
        <x:v>1200</x:v>
      </x:c>
      <x:c r="AA813" s="253" t="str">
        <x:f>IF(V813="No","Maturing",IF(AND(U813="Yes",Y813&gt;0),"Yes","No"))</x:f>
        <x:v>Yes</x:v>
      </x:c>
      <x:c r="AB813" s="253" t="str">
        <x:f>IF(W813="No","Maturing",IF(AND(U813="Yes",Z813&gt;0),"Yes","No"))</x:f>
        <x:v>Yes</x:v>
      </x:c>
      <x:c r="AC813" s="265" t="n">
        <x:v>-516.31</x:v>
      </x:c>
      <x:c r="AD813" s="265" t="n">
        <x:v>12.69</x:v>
      </x:c>
      <x:c r="AE813" s="271" t="str"/>
      <x:c r="AF813" s="274" t="str">
        <x:v>Not validated - no control/holdout</x:v>
      </x:c>
      <x:c r="AG813" s="277" t="str">
        <x:v>Recovered execution only; assignment date and unclaimed-offer denominator unavailable</x:v>
      </x:c>
    </x:row>
    <x:row r="814">
      <x:c r="A814" s="252" t="str">
        <x:v>34482120</x:v>
      </x:c>
      <x:c r="B814" s="253" t="str">
        <x:v>WS1</x:v>
      </x:c>
      <x:c r="C814" s="253" t="str">
        <x:v>MB8</x:v>
      </x:c>
      <x:c r="D814" s="262" t="n">
        <x:v>46178.04755787037</x:v>
      </x:c>
      <x:c r="E814" s="259" t="n">
        <x:v>46178.166666666664</x:v>
      </x:c>
      <x:c r="F814" s="253" t="str">
        <x:v>38910</x:v>
      </x:c>
      <x:c r="G814" s="253" t="str">
        <x:v>Snowy2kaki</x:v>
      </x:c>
      <x:c r="H814" s="253" t="str">
        <x:v>Yes</x:v>
      </x:c>
      <x:c r="I814" s="253" t="str">
        <x:v>Claire</x:v>
      </x:c>
      <x:c r="J814" s="253" t="str">
        <x:v>Claire</x:v>
      </x:c>
      <x:c r="K814" s="259" t="n">
        <x:v>45659.166666666664</x:v>
      </x:c>
      <x:c r="L814" s="268" t="str">
        <x:f>IFERROR(VLOOKUP(I814,'Handler-Team Map'!$A$7:$C$17,2,FALSE),"")</x:f>
      </x:c>
      <x:c r="M814" s="268" t="str">
        <x:f>IFERROR(VLOOKUP(I814,'Handler-Team Map'!$A$7:$C$17,3,FALSE),"")</x:f>
      </x:c>
      <x:c r="N814" s="274" t="str">
        <x:v>FT_VM_DEP800_GET400_1X</x:v>
      </x:c>
      <x:c r="O814" s="274" t="str">
        <x:v>VIP BONUS - Deposit 800 Get 400 - 1x TO</x:v>
      </x:c>
      <x:c r="P814" s="274" t="str">
        <x:v>DepositBonus</x:v>
      </x:c>
      <x:c r="Q814" s="274" t="str">
        <x:v>Approved</x:v>
      </x:c>
      <x:c r="R814" s="265" t="n">
        <x:v>400</x:v>
      </x:c>
      <x:c r="S814" s="253" t="str">
        <x:v>Yes</x:v>
      </x:c>
      <x:c r="T814" s="265" t="n">
        <x:v>187500</x:v>
      </x:c>
      <x:c r="U814" s="253" t="str">
        <x:f>IF(AND(S814="Yes",T814=0),"Yes","No")</x:f>
        <x:v>No</x:v>
      </x:c>
      <x:c r="V814" s="253" t="str">
        <x:v>Yes</x:v>
      </x:c>
      <x:c r="W814" s="253" t="str">
        <x:v>Yes</x:v>
      </x:c>
      <x:c r="X814" s="259" t="n">
        <x:v>46178.166666666664</x:v>
      </x:c>
      <x:c r="Y814" s="265" t="n">
        <x:v>18800</x:v>
      </x:c>
      <x:c r="Z814" s="265" t="n">
        <x:v>70700</x:v>
      </x:c>
      <x:c r="AA814" s="253" t="str">
        <x:f>IF(V814="No","Maturing",IF(AND(U814="Yes",Y814&gt;0),"Yes","No"))</x:f>
        <x:v>No</x:v>
      </x:c>
      <x:c r="AB814" s="253" t="str">
        <x:f>IF(W814="No","Maturing",IF(AND(U814="Yes",Z814&gt;0),"Yes","No"))</x:f>
        <x:v>No</x:v>
      </x:c>
      <x:c r="AC814" s="265" t="n">
        <x:v>-31140.61</x:v>
      </x:c>
      <x:c r="AD814" s="265" t="n">
        <x:v>20692.28</x:v>
      </x:c>
      <x:c r="AE814" s="271" t="str"/>
      <x:c r="AF814" s="274" t="str">
        <x:v>Not validated - no control/holdout</x:v>
      </x:c>
      <x:c r="AG814" s="277" t="str">
        <x:v>Recovered execution only; assignment date and unclaimed-offer denominator unavailable</x:v>
      </x:c>
    </x:row>
    <x:row r="815">
      <x:c r="A815" s="252" t="str">
        <x:v>34482122</x:v>
      </x:c>
      <x:c r="B815" s="253" t="str">
        <x:v>WS1</x:v>
      </x:c>
      <x:c r="C815" s="253" t="str">
        <x:v>MB8</x:v>
      </x:c>
      <x:c r="D815" s="262" t="n">
        <x:v>46178.04785879629</x:v>
      </x:c>
      <x:c r="E815" s="259" t="n">
        <x:v>46178.166666666664</x:v>
      </x:c>
      <x:c r="F815" s="253" t="str">
        <x:v>998311</x:v>
      </x:c>
      <x:c r="G815" s="253" t="str">
        <x:v>mahathir1982</x:v>
      </x:c>
      <x:c r="H815" s="253" t="str">
        <x:v>Yes</x:v>
      </x:c>
      <x:c r="I815" s="253" t="str"/>
      <x:c r="J815" s="253" t="str"/>
      <x:c r="K815" s="259"/>
      <x:c r="L815" s="268" t="str">
        <x:f>IFERROR(VLOOKUP(I815,'Handler-Team Map'!$A$7:$C$17,2,FALSE),"")</x:f>
      </x:c>
      <x:c r="M815" s="268" t="str">
        <x:f>IFERROR(VLOOKUP(I815,'Handler-Team Map'!$A$7:$C$17,3,FALSE),"")</x:f>
      </x:c>
      <x:c r="N815" s="274" t="str">
        <x:v>FT_VM_DEP700_GET300_2X</x:v>
      </x:c>
      <x:c r="O815" s="274" t="str">
        <x:v>VIP BONUS - Deposit 700 Get 300 - 2x TO</x:v>
      </x:c>
      <x:c r="P815" s="274" t="str">
        <x:v>DepositBonus</x:v>
      </x:c>
      <x:c r="Q815" s="274" t="str">
        <x:v>Approved</x:v>
      </x:c>
      <x:c r="R815" s="265" t="n">
        <x:v>300</x:v>
      </x:c>
      <x:c r="S815" s="253" t="str">
        <x:v>Yes</x:v>
      </x:c>
      <x:c r="T815" s="265" t="n">
        <x:v>876.63</x:v>
      </x:c>
      <x:c r="U815" s="253" t="str">
        <x:f>IF(AND(S815="Yes",T815=0),"Yes","No")</x:f>
        <x:v>No</x:v>
      </x:c>
      <x:c r="V815" s="253" t="str">
        <x:v>Yes</x:v>
      </x:c>
      <x:c r="W815" s="253" t="str">
        <x:v>Yes</x:v>
      </x:c>
      <x:c r="X815" s="259" t="n">
        <x:v>46178.166666666664</x:v>
      </x:c>
      <x:c r="Y815" s="265" t="n">
        <x:v>2700</x:v>
      </x:c>
      <x:c r="Z815" s="265" t="n">
        <x:v>2700</x:v>
      </x:c>
      <x:c r="AA815" s="253" t="str">
        <x:f>IF(V815="No","Maturing",IF(AND(U815="Yes",Y815&gt;0),"Yes","No"))</x:f>
        <x:v>No</x:v>
      </x:c>
      <x:c r="AB815" s="253" t="str">
        <x:f>IF(W815="No","Maturing",IF(AND(U815="Yes",Z815&gt;0),"Yes","No"))</x:f>
        <x:v>No</x:v>
      </x:c>
      <x:c r="AC815" s="265" t="n">
        <x:v>2687.48</x:v>
      </x:c>
      <x:c r="AD815" s="265" t="n">
        <x:v>2701.48</x:v>
      </x:c>
      <x:c r="AE815" s="271" t="str"/>
      <x:c r="AF815" s="274" t="str">
        <x:v>Not validated - no control/holdout</x:v>
      </x:c>
      <x:c r="AG815" s="277" t="str">
        <x:v>Recovered execution only; assignment date and unclaimed-offer denominator unavailable</x:v>
      </x:c>
    </x:row>
    <x:row r="816">
      <x:c r="A816" s="252" t="str">
        <x:v>34484979</x:v>
      </x:c>
      <x:c r="B816" s="253" t="str">
        <x:v>WS1</x:v>
      </x:c>
      <x:c r="C816" s="253" t="str">
        <x:v>MB8</x:v>
      </x:c>
      <x:c r="D816" s="262" t="n">
        <x:v>46178.34086805556</x:v>
      </x:c>
      <x:c r="E816" s="259" t="n">
        <x:v>46178.166666666664</x:v>
      </x:c>
      <x:c r="F816" s="253" t="str">
        <x:v>352938</x:v>
      </x:c>
      <x:c r="G816" s="253" t="str">
        <x:v>youcheehong</x:v>
      </x:c>
      <x:c r="H816" s="253" t="str">
        <x:v>Yes</x:v>
      </x:c>
      <x:c r="I816" s="253" t="str">
        <x:v>Sheena</x:v>
      </x:c>
      <x:c r="J816" s="253" t="str">
        <x:v>Sheena</x:v>
      </x:c>
      <x:c r="K816" s="259" t="n">
        <x:v>45852.166666666664</x:v>
      </x:c>
      <x:c r="L816" s="268" t="str">
        <x:f>IFERROR(VLOOKUP(I816,'Handler-Team Map'!$A$7:$C$17,2,FALSE),"")</x:f>
      </x:c>
      <x:c r="M816" s="268" t="str">
        <x:f>IFERROR(VLOOKUP(I816,'Handler-Team Map'!$A$7:$C$17,3,FALSE),"")</x:f>
      </x:c>
      <x:c r="N816" s="274" t="str">
        <x:v>FT_VM_DEP1000_GET500_5X</x:v>
      </x:c>
      <x:c r="O816" s="274" t="str">
        <x:v>VIP BONUS - Deposit 1000 Get 500 - 5x TO</x:v>
      </x:c>
      <x:c r="P816" s="274" t="str">
        <x:v>DepositBonus</x:v>
      </x:c>
      <x:c r="Q816" s="274" t="str">
        <x:v>Approved</x:v>
      </x:c>
      <x:c r="R816" s="265" t="n">
        <x:v>500</x:v>
      </x:c>
      <x:c r="S816" s="253" t="str">
        <x:v>Yes</x:v>
      </x:c>
      <x:c r="T816" s="265" t="n">
        <x:v>4044</x:v>
      </x:c>
      <x:c r="U816" s="253" t="str">
        <x:f>IF(AND(S816="Yes",T816=0),"Yes","No")</x:f>
        <x:v>No</x:v>
      </x:c>
      <x:c r="V816" s="253" t="str">
        <x:v>Yes</x:v>
      </x:c>
      <x:c r="W816" s="253" t="str">
        <x:v>Yes</x:v>
      </x:c>
      <x:c r="X816" s="259" t="n">
        <x:v>46178.166666666664</x:v>
      </x:c>
      <x:c r="Y816" s="265" t="n">
        <x:v>1100</x:v>
      </x:c>
      <x:c r="Z816" s="265" t="n">
        <x:v>1300</x:v>
      </x:c>
      <x:c r="AA816" s="253" t="str">
        <x:f>IF(V816="No","Maturing",IF(AND(U816="Yes",Y816&gt;0),"Yes","No"))</x:f>
        <x:v>No</x:v>
      </x:c>
      <x:c r="AB816" s="253" t="str">
        <x:f>IF(W816="No","Maturing",IF(AND(U816="Yes",Z816&gt;0),"Yes","No"))</x:f>
        <x:v>No</x:v>
      </x:c>
      <x:c r="AC816" s="265" t="n">
        <x:v>1094.42</x:v>
      </x:c>
      <x:c r="AD816" s="265" t="n">
        <x:v>1294.18</x:v>
      </x:c>
      <x:c r="AE816" s="271" t="str"/>
      <x:c r="AF816" s="274" t="str">
        <x:v>Not validated - no control/holdout</x:v>
      </x:c>
      <x:c r="AG816" s="277" t="str">
        <x:v>Recovered execution only; assignment date and unclaimed-offer denominator unavailable</x:v>
      </x:c>
    </x:row>
    <x:row r="817">
      <x:c r="A817" s="252" t="str">
        <x:v>34485321</x:v>
      </x:c>
      <x:c r="B817" s="253" t="str">
        <x:v>WS1</x:v>
      </x:c>
      <x:c r="C817" s="253" t="str">
        <x:v>MB8</x:v>
      </x:c>
      <x:c r="D817" s="262" t="n">
        <x:v>46178.38774305556</x:v>
      </x:c>
      <x:c r="E817" s="259" t="n">
        <x:v>46178.166666666664</x:v>
      </x:c>
      <x:c r="F817" s="253" t="str">
        <x:v>999210</x:v>
      </x:c>
      <x:c r="G817" s="253" t="str">
        <x:v>flosueper</x:v>
      </x:c>
      <x:c r="H817" s="253" t="str">
        <x:v>Yes</x:v>
      </x:c>
      <x:c r="I817" s="253" t="str">
        <x:v>Claire</x:v>
      </x:c>
      <x:c r="J817" s="253" t="str">
        <x:v>Claire</x:v>
      </x:c>
      <x:c r="K817" s="259" t="n">
        <x:v>45755.166666666664</x:v>
      </x:c>
      <x:c r="L817" s="268" t="str">
        <x:f>IFERROR(VLOOKUP(I817,'Handler-Team Map'!$A$7:$C$17,2,FALSE),"")</x:f>
      </x:c>
      <x:c r="M817" s="268" t="str">
        <x:f>IFERROR(VLOOKUP(I817,'Handler-Team Map'!$A$7:$C$17,3,FALSE),"")</x:f>
      </x:c>
      <x:c r="N817" s="274" t="str">
        <x:v>FT_VM_DEP1000_GET500_5X</x:v>
      </x:c>
      <x:c r="O817" s="274" t="str">
        <x:v>VIP BONUS - Deposit 1000 Get 500 - 5x TO</x:v>
      </x:c>
      <x:c r="P817" s="274" t="str">
        <x:v>DepositBonus</x:v>
      </x:c>
      <x:c r="Q817" s="274" t="str">
        <x:v>Approved</x:v>
      </x:c>
      <x:c r="R817" s="265" t="n">
        <x:v>500</x:v>
      </x:c>
      <x:c r="S817" s="253" t="str">
        <x:v>Yes</x:v>
      </x:c>
      <x:c r="T817" s="265" t="n">
        <x:v>18200</x:v>
      </x:c>
      <x:c r="U817" s="253" t="str">
        <x:f>IF(AND(S817="Yes",T817=0),"Yes","No")</x:f>
        <x:v>No</x:v>
      </x:c>
      <x:c r="V817" s="253" t="str">
        <x:v>Yes</x:v>
      </x:c>
      <x:c r="W817" s="253" t="str">
        <x:v>Yes</x:v>
      </x:c>
      <x:c r="X817" s="259" t="n">
        <x:v>46178.166666666664</x:v>
      </x:c>
      <x:c r="Y817" s="265" t="n">
        <x:v>4280</x:v>
      </x:c>
      <x:c r="Z817" s="265" t="n">
        <x:v>4680</x:v>
      </x:c>
      <x:c r="AA817" s="253" t="str">
        <x:f>IF(V817="No","Maturing",IF(AND(U817="Yes",Y817&gt;0),"Yes","No"))</x:f>
        <x:v>No</x:v>
      </x:c>
      <x:c r="AB817" s="253" t="str">
        <x:f>IF(W817="No","Maturing",IF(AND(U817="Yes",Z817&gt;0),"Yes","No"))</x:f>
        <x:v>No</x:v>
      </x:c>
      <x:c r="AC817" s="265" t="n">
        <x:v>4490.8</x:v>
      </x:c>
      <x:c r="AD817" s="265" t="n">
        <x:v>4727.8</x:v>
      </x:c>
      <x:c r="AE817" s="271" t="str"/>
      <x:c r="AF817" s="274" t="str">
        <x:v>Not validated - no control/holdout</x:v>
      </x:c>
      <x:c r="AG817" s="277" t="str">
        <x:v>Recovered execution only; assignment date and unclaimed-offer denominator unavailable</x:v>
      </x:c>
    </x:row>
    <x:row r="818">
      <x:c r="A818" s="252" t="str">
        <x:v>34485963</x:v>
      </x:c>
      <x:c r="B818" s="253" t="str">
        <x:v>WS1</x:v>
      </x:c>
      <x:c r="C818" s="253" t="str">
        <x:v>MB8</x:v>
      </x:c>
      <x:c r="D818" s="262" t="n">
        <x:v>46178.45092592593</x:v>
      </x:c>
      <x:c r="E818" s="259" t="n">
        <x:v>46178.166666666664</x:v>
      </x:c>
      <x:c r="F818" s="253" t="str">
        <x:v>577473</x:v>
      </x:c>
      <x:c r="G818" s="253" t="str">
        <x:v>Dzqsyl3966</x:v>
      </x:c>
      <x:c r="H818" s="253" t="str">
        <x:v>Yes</x:v>
      </x:c>
      <x:c r="I818" s="253" t="str"/>
      <x:c r="J818" s="253" t="str"/>
      <x:c r="K818" s="259"/>
      <x:c r="L818" s="268" t="str">
        <x:f>IFERROR(VLOOKUP(I818,'Handler-Team Map'!$A$7:$C$17,2,FALSE),"")</x:f>
      </x:c>
      <x:c r="M818" s="268" t="str">
        <x:f>IFERROR(VLOOKUP(I818,'Handler-Team Map'!$A$7:$C$17,3,FALSE),"")</x:f>
      </x:c>
      <x:c r="N818" s="274" t="str">
        <x:v>FT_VM_DEP600_GET200_5X</x:v>
      </x:c>
      <x:c r="O818" s="274" t="str">
        <x:v>VIP BONUS - Deposit 600 Get 200 - 5x TO</x:v>
      </x:c>
      <x:c r="P818" s="274" t="str">
        <x:v>DepositBonus</x:v>
      </x:c>
      <x:c r="Q818" s="274" t="str">
        <x:v>Approved</x:v>
      </x:c>
      <x:c r="R818" s="265" t="n">
        <x:v>200</x:v>
      </x:c>
      <x:c r="S818" s="253" t="str">
        <x:v>Yes</x:v>
      </x:c>
      <x:c r="T818" s="265" t="n">
        <x:v>2400</x:v>
      </x:c>
      <x:c r="U818" s="253" t="str">
        <x:f>IF(AND(S818="Yes",T818=0),"Yes","No")</x:f>
        <x:v>No</x:v>
      </x:c>
      <x:c r="V818" s="253" t="str">
        <x:v>Yes</x:v>
      </x:c>
      <x:c r="W818" s="253" t="str">
        <x:v>Yes</x:v>
      </x:c>
      <x:c r="X818" s="259" t="n">
        <x:v>46178.166666666664</x:v>
      </x:c>
      <x:c r="Y818" s="265" t="n">
        <x:v>2430</x:v>
      </x:c>
      <x:c r="Z818" s="265" t="n">
        <x:v>3880</x:v>
      </x:c>
      <x:c r="AA818" s="253" t="str">
        <x:f>IF(V818="No","Maturing",IF(AND(U818="Yes",Y818&gt;0),"Yes","No"))</x:f>
        <x:v>No</x:v>
      </x:c>
      <x:c r="AB818" s="253" t="str">
        <x:f>IF(W818="No","Maturing",IF(AND(U818="Yes",Z818&gt;0),"Yes","No"))</x:f>
        <x:v>No</x:v>
      </x:c>
      <x:c r="AC818" s="265" t="n">
        <x:v>625.68</x:v>
      </x:c>
      <x:c r="AD818" s="265" t="n">
        <x:v>-87.59</x:v>
      </x:c>
      <x:c r="AE818" s="271" t="str"/>
      <x:c r="AF818" s="274" t="str">
        <x:v>Not validated - no control/holdout</x:v>
      </x:c>
      <x:c r="AG818" s="277" t="str">
        <x:v>Recovered execution only; assignment date and unclaimed-offer denominator unavailable</x:v>
      </x:c>
    </x:row>
    <x:row r="819">
      <x:c r="A819" s="252" t="str">
        <x:v>34487367</x:v>
      </x:c>
      <x:c r="B819" s="253" t="str">
        <x:v>WS1</x:v>
      </x:c>
      <x:c r="C819" s="253" t="str">
        <x:v>MB8</x:v>
      </x:c>
      <x:c r="D819" s="262" t="n">
        <x:v>46178.56627314815</x:v>
      </x:c>
      <x:c r="E819" s="259" t="n">
        <x:v>46178.166666666664</x:v>
      </x:c>
      <x:c r="F819" s="253" t="str">
        <x:v>942384</x:v>
      </x:c>
      <x:c r="G819" s="253" t="str">
        <x:v>Wcliew88</x:v>
      </x:c>
      <x:c r="H819" s="253" t="str">
        <x:v>Yes</x:v>
      </x:c>
      <x:c r="I819" s="253" t="str">
        <x:v>Elda</x:v>
      </x:c>
      <x:c r="J819" s="253" t="str">
        <x:v>Elda</x:v>
      </x:c>
      <x:c r="K819" s="259" t="n">
        <x:v>45659.166666666664</x:v>
      </x:c>
      <x:c r="L819" s="268" t="str">
        <x:f>IFERROR(VLOOKUP(I819,'Handler-Team Map'!$A$7:$C$17,2,FALSE),"")</x:f>
      </x:c>
      <x:c r="M819" s="268" t="str">
        <x:f>IFERROR(VLOOKUP(I819,'Handler-Team Map'!$A$7:$C$17,3,FALSE),"")</x:f>
      </x:c>
      <x:c r="N819" s="274" t="str">
        <x:v>FT_VM_DEP1000_GET800_1X</x:v>
      </x:c>
      <x:c r="O819" s="274" t="str">
        <x:v>VIP BONUS - Deposit 1000 Get 800 - 1x TO</x:v>
      </x:c>
      <x:c r="P819" s="274" t="str">
        <x:v>DepositBonus</x:v>
      </x:c>
      <x:c r="Q819" s="274" t="str">
        <x:v>Approved</x:v>
      </x:c>
      <x:c r="R819" s="265" t="n">
        <x:v>800</x:v>
      </x:c>
      <x:c r="S819" s="253" t="str">
        <x:v>Yes</x:v>
      </x:c>
      <x:c r="T819" s="265" t="n">
        <x:v>49000</x:v>
      </x:c>
      <x:c r="U819" s="253" t="str">
        <x:f>IF(AND(S819="Yes",T819=0),"Yes","No")</x:f>
        <x:v>No</x:v>
      </x:c>
      <x:c r="V819" s="253" t="str">
        <x:v>Yes</x:v>
      </x:c>
      <x:c r="W819" s="253" t="str">
        <x:v>Yes</x:v>
      </x:c>
      <x:c r="X819" s="259" t="n">
        <x:v>46178.166666666664</x:v>
      </x:c>
      <x:c r="Y819" s="265" t="n">
        <x:v>29100</x:v>
      </x:c>
      <x:c r="Z819" s="265" t="n">
        <x:v>29100</x:v>
      </x:c>
      <x:c r="AA819" s="253" t="str">
        <x:f>IF(V819="No","Maturing",IF(AND(U819="Yes",Y819&gt;0),"Yes","No"))</x:f>
        <x:v>No</x:v>
      </x:c>
      <x:c r="AB819" s="253" t="str">
        <x:f>IF(W819="No","Maturing",IF(AND(U819="Yes",Z819&gt;0),"Yes","No"))</x:f>
        <x:v>No</x:v>
      </x:c>
      <x:c r="AC819" s="265" t="n">
        <x:v>11100.96</x:v>
      </x:c>
      <x:c r="AD819" s="265" t="n">
        <x:v>11101.13</x:v>
      </x:c>
      <x:c r="AE819" s="271" t="str"/>
      <x:c r="AF819" s="274" t="str">
        <x:v>Not validated - no control/holdout</x:v>
      </x:c>
      <x:c r="AG819" s="277" t="str">
        <x:v>Recovered execution only; assignment date and unclaimed-offer denominator unavailable</x:v>
      </x:c>
    </x:row>
    <x:row r="820">
      <x:c r="A820" s="252" t="str">
        <x:v>34487687</x:v>
      </x:c>
      <x:c r="B820" s="253" t="str">
        <x:v>WS1</x:v>
      </x:c>
      <x:c r="C820" s="253" t="str">
        <x:v>MB8</x:v>
      </x:c>
      <x:c r="D820" s="262" t="n">
        <x:v>46178.5815625</x:v>
      </x:c>
      <x:c r="E820" s="259" t="n">
        <x:v>46178.166666666664</x:v>
      </x:c>
      <x:c r="F820" s="253" t="str">
        <x:v>778261</x:v>
      </x:c>
      <x:c r="G820" s="253" t="str">
        <x:v>sayoon</x:v>
      </x:c>
      <x:c r="H820" s="253" t="str">
        <x:v>Yes</x:v>
      </x:c>
      <x:c r="I820" s="253" t="str"/>
      <x:c r="J820" s="253" t="str"/>
      <x:c r="K820" s="259"/>
      <x:c r="L820" s="268" t="str">
        <x:f>IFERROR(VLOOKUP(I820,'Handler-Team Map'!$A$7:$C$17,2,FALSE),"")</x:f>
      </x:c>
      <x:c r="M820" s="268" t="str">
        <x:f>IFERROR(VLOOKUP(I820,'Handler-Team Map'!$A$7:$C$17,3,FALSE),"")</x:f>
      </x:c>
      <x:c r="N820" s="274" t="str">
        <x:v>FT_VM_DEP700_GET300_2X</x:v>
      </x:c>
      <x:c r="O820" s="274" t="str">
        <x:v>VIP BONUS - Deposit 700 Get 300 - 2x TO</x:v>
      </x:c>
      <x:c r="P820" s="274" t="str">
        <x:v>DepositBonus</x:v>
      </x:c>
      <x:c r="Q820" s="274" t="str">
        <x:v>Approved</x:v>
      </x:c>
      <x:c r="R820" s="265" t="n">
        <x:v>300</x:v>
      </x:c>
      <x:c r="S820" s="253" t="str">
        <x:v>Yes</x:v>
      </x:c>
      <x:c r="T820" s="265" t="n">
        <x:v>988</x:v>
      </x:c>
      <x:c r="U820" s="253" t="str">
        <x:f>IF(AND(S820="Yes",T820=0),"Yes","No")</x:f>
        <x:v>No</x:v>
      </x:c>
      <x:c r="V820" s="253" t="str">
        <x:v>Yes</x:v>
      </x:c>
      <x:c r="W820" s="253" t="str">
        <x:v>Yes</x:v>
      </x:c>
      <x:c r="X820" s="259" t="n">
        <x:v>46178.166666666664</x:v>
      </x:c>
      <x:c r="Y820" s="265" t="n">
        <x:v>800</x:v>
      </x:c>
      <x:c r="Z820" s="265" t="n">
        <x:v>800</x:v>
      </x:c>
      <x:c r="AA820" s="253" t="str">
        <x:f>IF(V820="No","Maturing",IF(AND(U820="Yes",Y820&gt;0),"Yes","No"))</x:f>
        <x:v>No</x:v>
      </x:c>
      <x:c r="AB820" s="253" t="str">
        <x:f>IF(W820="No","Maturing",IF(AND(U820="Yes",Z820&gt;0),"Yes","No"))</x:f>
        <x:v>No</x:v>
      </x:c>
      <x:c r="AC820" s="265" t="n">
        <x:v>-1300.28</x:v>
      </x:c>
      <x:c r="AD820" s="265" t="n">
        <x:v>-1300</x:v>
      </x:c>
      <x:c r="AE820" s="271" t="str"/>
      <x:c r="AF820" s="274" t="str">
        <x:v>Not validated - no control/holdout</x:v>
      </x:c>
      <x:c r="AG820" s="277" t="str">
        <x:v>Recovered execution only; assignment date and unclaimed-offer denominator unavailable</x:v>
      </x:c>
    </x:row>
    <x:row r="821">
      <x:c r="A821" s="252" t="str">
        <x:v>34487805</x:v>
      </x:c>
      <x:c r="B821" s="253" t="str">
        <x:v>WS1</x:v>
      </x:c>
      <x:c r="C821" s="253" t="str">
        <x:v>MB8</x:v>
      </x:c>
      <x:c r="D821" s="262" t="n">
        <x:v>46178.588541666664</x:v>
      </x:c>
      <x:c r="E821" s="259" t="n">
        <x:v>46178.166666666664</x:v>
      </x:c>
      <x:c r="F821" s="253" t="str">
        <x:v>668025</x:v>
      </x:c>
      <x:c r="G821" s="253" t="str">
        <x:v>Dvd1017</x:v>
      </x:c>
      <x:c r="H821" s="253" t="str">
        <x:v>Yes</x:v>
      </x:c>
      <x:c r="I821" s="253" t="str">
        <x:v>Christy</x:v>
      </x:c>
      <x:c r="J821" s="253" t="str">
        <x:v>Christy</x:v>
      </x:c>
      <x:c r="K821" s="259" t="n">
        <x:v>46090.166666666664</x:v>
      </x:c>
      <x:c r="L821" s="268" t="str">
        <x:f>IFERROR(VLOOKUP(I821,'Handler-Team Map'!$A$7:$C$17,2,FALSE),"")</x:f>
      </x:c>
      <x:c r="M821" s="268" t="str">
        <x:f>IFERROR(VLOOKUP(I821,'Handler-Team Map'!$A$7:$C$17,3,FALSE),"")</x:f>
      </x:c>
      <x:c r="N821" s="274" t="str">
        <x:v>FT_VM_DEP800_GET400_2X</x:v>
      </x:c>
      <x:c r="O821" s="274" t="str">
        <x:v>VIP BONUS - Deposit 800 Get 400 - 2x TO</x:v>
      </x:c>
      <x:c r="P821" s="274" t="str">
        <x:v>DepositBonus</x:v>
      </x:c>
      <x:c r="Q821" s="274" t="str">
        <x:v>Approved</x:v>
      </x:c>
      <x:c r="R821" s="265" t="n">
        <x:v>400</x:v>
      </x:c>
      <x:c r="S821" s="253" t="str">
        <x:v>Yes</x:v>
      </x:c>
      <x:c r="T821" s="265" t="n">
        <x:v>368</x:v>
      </x:c>
      <x:c r="U821" s="253" t="str">
        <x:f>IF(AND(S821="Yes",T821=0),"Yes","No")</x:f>
        <x:v>No</x:v>
      </x:c>
      <x:c r="V821" s="253" t="str">
        <x:v>Yes</x:v>
      </x:c>
      <x:c r="W821" s="253" t="str">
        <x:v>Yes</x:v>
      </x:c>
      <x:c r="X821" s="259" t="n">
        <x:v>46178.166666666664</x:v>
      </x:c>
      <x:c r="Y821" s="265" t="n">
        <x:v>1000</x:v>
      </x:c>
      <x:c r="Z821" s="265" t="n">
        <x:v>1000</x:v>
      </x:c>
      <x:c r="AA821" s="253" t="str">
        <x:f>IF(V821="No","Maturing",IF(AND(U821="Yes",Y821&gt;0),"Yes","No"))</x:f>
        <x:v>No</x:v>
      </x:c>
      <x:c r="AB821" s="253" t="str">
        <x:f>IF(W821="No","Maturing",IF(AND(U821="Yes",Z821&gt;0),"Yes","No"))</x:f>
        <x:v>No</x:v>
      </x:c>
      <x:c r="AC821" s="265" t="n">
        <x:v>-323.59</x:v>
      </x:c>
      <x:c r="AD821" s="265" t="n">
        <x:v>-300.24</x:v>
      </x:c>
      <x:c r="AE821" s="271" t="str"/>
      <x:c r="AF821" s="274" t="str">
        <x:v>Not validated - no control/holdout</x:v>
      </x:c>
      <x:c r="AG821" s="277" t="str">
        <x:v>Recovered execution only; assignment date and unclaimed-offer denominator unavailable</x:v>
      </x:c>
    </x:row>
    <x:row r="822">
      <x:c r="A822" s="252" t="str">
        <x:v>34488704</x:v>
      </x:c>
      <x:c r="B822" s="253" t="str">
        <x:v>WS1</x:v>
      </x:c>
      <x:c r="C822" s="253" t="str">
        <x:v>MB8</x:v>
      </x:c>
      <x:c r="D822" s="262" t="n">
        <x:v>46178.64695601852</x:v>
      </x:c>
      <x:c r="E822" s="259" t="n">
        <x:v>46178.166666666664</x:v>
      </x:c>
      <x:c r="F822" s="253" t="str">
        <x:v>654855</x:v>
      </x:c>
      <x:c r="G822" s="253" t="str">
        <x:v>uuidsa741</x:v>
      </x:c>
      <x:c r="H822" s="253" t="str">
        <x:v>Yes</x:v>
      </x:c>
      <x:c r="I822" s="253" t="str"/>
      <x:c r="J822" s="253" t="str"/>
      <x:c r="K822" s="259"/>
      <x:c r="L822" s="268" t="str">
        <x:f>IFERROR(VLOOKUP(I822,'Handler-Team Map'!$A$7:$C$17,2,FALSE),"")</x:f>
      </x:c>
      <x:c r="M822" s="268" t="str">
        <x:f>IFERROR(VLOOKUP(I822,'Handler-Team Map'!$A$7:$C$17,3,FALSE),"")</x:f>
      </x:c>
      <x:c r="N822" s="274" t="str">
        <x:v>FT_VM_DEP700_GET300_2X</x:v>
      </x:c>
      <x:c r="O822" s="274" t="str">
        <x:v>VIP BONUS - Deposit 700 Get 300 - 2x TO</x:v>
      </x:c>
      <x:c r="P822" s="274" t="str">
        <x:v>DepositBonus</x:v>
      </x:c>
      <x:c r="Q822" s="274" t="str">
        <x:v>Approved</x:v>
      </x:c>
      <x:c r="R822" s="265" t="n">
        <x:v>300</x:v>
      </x:c>
      <x:c r="S822" s="253" t="str">
        <x:v>Yes</x:v>
      </x:c>
      <x:c r="T822" s="265" t="n">
        <x:v>700</x:v>
      </x:c>
      <x:c r="U822" s="253" t="str">
        <x:f>IF(AND(S822="Yes",T822=0),"Yes","No")</x:f>
        <x:v>No</x:v>
      </x:c>
      <x:c r="V822" s="253" t="str">
        <x:v>Yes</x:v>
      </x:c>
      <x:c r="W822" s="253" t="str">
        <x:v>Yes</x:v>
      </x:c>
      <x:c r="X822" s="259" t="n">
        <x:v>46178.166666666664</x:v>
      </x:c>
      <x:c r="Y822" s="265" t="n">
        <x:v>700</x:v>
      </x:c>
      <x:c r="Z822" s="265" t="n">
        <x:v>700</x:v>
      </x:c>
      <x:c r="AA822" s="253" t="str">
        <x:f>IF(V822="No","Maturing",IF(AND(U822="Yes",Y822&gt;0),"Yes","No"))</x:f>
        <x:v>No</x:v>
      </x:c>
      <x:c r="AB822" s="253" t="str">
        <x:f>IF(W822="No","Maturing",IF(AND(U822="Yes",Z822&gt;0),"Yes","No"))</x:f>
        <x:v>No</x:v>
      </x:c>
      <x:c r="AC822" s="265" t="n">
        <x:v>-356.87</x:v>
      </x:c>
      <x:c r="AD822" s="265" t="n">
        <x:v>-177.76</x:v>
      </x:c>
      <x:c r="AE822" s="271" t="str"/>
      <x:c r="AF822" s="274" t="str">
        <x:v>Not validated - no control/holdout</x:v>
      </x:c>
      <x:c r="AG822" s="277" t="str">
        <x:v>Recovered execution only; assignment date and unclaimed-offer denominator unavailable</x:v>
      </x:c>
    </x:row>
    <x:row r="823">
      <x:c r="A823" s="252" t="str">
        <x:v>34489029</x:v>
      </x:c>
      <x:c r="B823" s="253" t="str">
        <x:v>WS1</x:v>
      </x:c>
      <x:c r="C823" s="253" t="str">
        <x:v>MB8</x:v>
      </x:c>
      <x:c r="D823" s="262" t="n">
        <x:v>46178.67238425926</x:v>
      </x:c>
      <x:c r="E823" s="259" t="n">
        <x:v>46178.166666666664</x:v>
      </x:c>
      <x:c r="F823" s="253" t="str">
        <x:v>716119</x:v>
      </x:c>
      <x:c r="G823" s="253" t="str">
        <x:v>Tan012</x:v>
      </x:c>
      <x:c r="H823" s="253" t="str">
        <x:v>Yes</x:v>
      </x:c>
      <x:c r="I823" s="253" t="str"/>
      <x:c r="J823" s="253" t="str"/>
      <x:c r="K823" s="259"/>
      <x:c r="L823" s="268" t="str">
        <x:f>IFERROR(VLOOKUP(I823,'Handler-Team Map'!$A$7:$C$17,2,FALSE),"")</x:f>
      </x:c>
      <x:c r="M823" s="268" t="str">
        <x:f>IFERROR(VLOOKUP(I823,'Handler-Team Map'!$A$7:$C$17,3,FALSE),"")</x:f>
      </x:c>
      <x:c r="N823" s="274" t="str">
        <x:v>FT_VM_DEP1000_GET500_1X</x:v>
      </x:c>
      <x:c r="O823" s="274" t="str">
        <x:v>VIP BONUS - Deposit 1000 Get 500 - 1x TO</x:v>
      </x:c>
      <x:c r="P823" s="274" t="str">
        <x:v>DepositBonus</x:v>
      </x:c>
      <x:c r="Q823" s="274" t="str">
        <x:v>Approved</x:v>
      </x:c>
      <x:c r="R823" s="265" t="n">
        <x:v>500</x:v>
      </x:c>
      <x:c r="S823" s="253" t="str">
        <x:v>Yes</x:v>
      </x:c>
      <x:c r="T823" s="265" t="n">
        <x:v>0</x:v>
      </x:c>
      <x:c r="U823" s="253" t="str">
        <x:f>IF(AND(S823="Yes",T823=0),"Yes","No")</x:f>
        <x:v>Yes</x:v>
      </x:c>
      <x:c r="V823" s="253" t="str">
        <x:v>Yes</x:v>
      </x:c>
      <x:c r="W823" s="253" t="str">
        <x:v>Yes</x:v>
      </x:c>
      <x:c r="X823" s="259" t="n">
        <x:v>46178.166666666664</x:v>
      </x:c>
      <x:c r="Y823" s="265" t="n">
        <x:v>1015</x:v>
      </x:c>
      <x:c r="Z823" s="265" t="n">
        <x:v>1015</x:v>
      </x:c>
      <x:c r="AA823" s="253" t="str">
        <x:f>IF(V823="No","Maturing",IF(AND(U823="Yes",Y823&gt;0),"Yes","No"))</x:f>
        <x:v>Yes</x:v>
      </x:c>
      <x:c r="AB823" s="253" t="str">
        <x:f>IF(W823="No","Maturing",IF(AND(U823="Yes",Z823&gt;0),"Yes","No"))</x:f>
        <x:v>Yes</x:v>
      </x:c>
      <x:c r="AC823" s="265" t="n">
        <x:v>-6285.16</x:v>
      </x:c>
      <x:c r="AD823" s="265" t="n">
        <x:v>-6285.16</x:v>
      </x:c>
      <x:c r="AE823" s="271" t="str"/>
      <x:c r="AF823" s="274" t="str">
        <x:v>Not validated - no control/holdout</x:v>
      </x:c>
      <x:c r="AG823" s="277" t="str">
        <x:v>Recovered execution only; assignment date and unclaimed-offer denominator unavailable</x:v>
      </x:c>
    </x:row>
    <x:row r="824">
      <x:c r="A824" s="252" t="str">
        <x:v>34489573</x:v>
      </x:c>
      <x:c r="B824" s="253" t="str">
        <x:v>WS1</x:v>
      </x:c>
      <x:c r="C824" s="253" t="str">
        <x:v>MB8</x:v>
      </x:c>
      <x:c r="D824" s="262" t="n">
        <x:v>46178.71041666667</x:v>
      </x:c>
      <x:c r="E824" s="259" t="n">
        <x:v>46178.166666666664</x:v>
      </x:c>
      <x:c r="F824" s="253" t="str">
        <x:v>687540</x:v>
      </x:c>
      <x:c r="G824" s="253" t="str">
        <x:v>Rick5841</x:v>
      </x:c>
      <x:c r="H824" s="253" t="str">
        <x:v>Yes</x:v>
      </x:c>
      <x:c r="I824" s="253" t="str">
        <x:v>Claire</x:v>
      </x:c>
      <x:c r="J824" s="253" t="str">
        <x:v>Claire</x:v>
      </x:c>
      <x:c r="K824" s="259" t="n">
        <x:v>46090.166666666664</x:v>
      </x:c>
      <x:c r="L824" s="268" t="str">
        <x:f>IFERROR(VLOOKUP(I824,'Handler-Team Map'!$A$7:$C$17,2,FALSE),"")</x:f>
      </x:c>
      <x:c r="M824" s="268" t="str">
        <x:f>IFERROR(VLOOKUP(I824,'Handler-Team Map'!$A$7:$C$17,3,FALSE),"")</x:f>
      </x:c>
      <x:c r="N824" s="274" t="str">
        <x:v>FT_VM_DEP1000_GET700_2X</x:v>
      </x:c>
      <x:c r="O824" s="274" t="str">
        <x:v>VIP BONUS - Deposit 1000 Get 700 - 2x TO</x:v>
      </x:c>
      <x:c r="P824" s="274" t="str">
        <x:v>DepositBonus</x:v>
      </x:c>
      <x:c r="Q824" s="274" t="str">
        <x:v>Approved</x:v>
      </x:c>
      <x:c r="R824" s="265" t="n">
        <x:v>700</x:v>
      </x:c>
      <x:c r="S824" s="253" t="str">
        <x:v>Yes</x:v>
      </x:c>
      <x:c r="T824" s="265" t="n">
        <x:v>1000</x:v>
      </x:c>
      <x:c r="U824" s="253" t="str">
        <x:f>IF(AND(S824="Yes",T824=0),"Yes","No")</x:f>
        <x:v>No</x:v>
      </x:c>
      <x:c r="V824" s="253" t="str">
        <x:v>Yes</x:v>
      </x:c>
      <x:c r="W824" s="253" t="str">
        <x:v>Yes</x:v>
      </x:c>
      <x:c r="X824" s="259" t="n">
        <x:v>46178.166666666664</x:v>
      </x:c>
      <x:c r="Y824" s="265" t="n">
        <x:v>2000</x:v>
      </x:c>
      <x:c r="Z824" s="265" t="n">
        <x:v>2000</x:v>
      </x:c>
      <x:c r="AA824" s="253" t="str">
        <x:f>IF(V824="No","Maturing",IF(AND(U824="Yes",Y824&gt;0),"Yes","No"))</x:f>
        <x:v>No</x:v>
      </x:c>
      <x:c r="AB824" s="253" t="str">
        <x:f>IF(W824="No","Maturing",IF(AND(U824="Yes",Z824&gt;0),"Yes","No"))</x:f>
        <x:v>No</x:v>
      </x:c>
      <x:c r="AC824" s="265" t="n">
        <x:v>-6001.8</x:v>
      </x:c>
      <x:c r="AD824" s="265" t="n">
        <x:v>-6001.89</x:v>
      </x:c>
      <x:c r="AE824" s="271" t="str"/>
      <x:c r="AF824" s="274" t="str">
        <x:v>Not validated - no control/holdout</x:v>
      </x:c>
      <x:c r="AG824" s="277" t="str">
        <x:v>Recovered execution only; assignment date and unclaimed-offer denominator unavailable</x:v>
      </x:c>
    </x:row>
    <x:row r="825">
      <x:c r="A825" s="252" t="str">
        <x:v>34489826</x:v>
      </x:c>
      <x:c r="B825" s="253" t="str">
        <x:v>WS1</x:v>
      </x:c>
      <x:c r="C825" s="253" t="str">
        <x:v>MB8</x:v>
      </x:c>
      <x:c r="D825" s="262" t="n">
        <x:v>46178.72760416667</x:v>
      </x:c>
      <x:c r="E825" s="259" t="n">
        <x:v>46178.166666666664</x:v>
      </x:c>
      <x:c r="F825" s="253" t="str">
        <x:v>195813</x:v>
      </x:c>
      <x:c r="G825" s="253" t="str">
        <x:v>Veq5774</x:v>
      </x:c>
      <x:c r="H825" s="253" t="str">
        <x:v>Yes</x:v>
      </x:c>
      <x:c r="I825" s="253" t="str">
        <x:v>Elda</x:v>
      </x:c>
      <x:c r="J825" s="253" t="str">
        <x:v>Elda</x:v>
      </x:c>
      <x:c r="K825" s="259" t="n">
        <x:v>45659.166666666664</x:v>
      </x:c>
      <x:c r="L825" s="268" t="str">
        <x:f>IFERROR(VLOOKUP(I825,'Handler-Team Map'!$A$7:$C$17,2,FALSE),"")</x:f>
      </x:c>
      <x:c r="M825" s="268" t="str">
        <x:f>IFERROR(VLOOKUP(I825,'Handler-Team Map'!$A$7:$C$17,3,FALSE),"")</x:f>
      </x:c>
      <x:c r="N825" s="274" t="str">
        <x:v>FT_VM_DEP1000_GET1000_1X</x:v>
      </x:c>
      <x:c r="O825" s="274" t="str">
        <x:v>VIP BONUS - Deposit 1000 Get 1000 - 1x TO</x:v>
      </x:c>
      <x:c r="P825" s="274" t="str">
        <x:v>DepositBonus</x:v>
      </x:c>
      <x:c r="Q825" s="274" t="str">
        <x:v>Approved</x:v>
      </x:c>
      <x:c r="R825" s="265" t="n">
        <x:v>1000</x:v>
      </x:c>
      <x:c r="S825" s="253" t="str">
        <x:v>Yes</x:v>
      </x:c>
      <x:c r="T825" s="265" t="n">
        <x:v>297351</x:v>
      </x:c>
      <x:c r="U825" s="253" t="str">
        <x:f>IF(AND(S825="Yes",T825=0),"Yes","No")</x:f>
        <x:v>No</x:v>
      </x:c>
      <x:c r="V825" s="253" t="str">
        <x:v>Yes</x:v>
      </x:c>
      <x:c r="W825" s="253" t="str">
        <x:v>Yes</x:v>
      </x:c>
      <x:c r="X825" s="259" t="n">
        <x:v>46178.166666666664</x:v>
      </x:c>
      <x:c r="Y825" s="265" t="n">
        <x:v>85938</x:v>
      </x:c>
      <x:c r="Z825" s="265" t="n">
        <x:v>139214</x:v>
      </x:c>
      <x:c r="AA825" s="253" t="str">
        <x:f>IF(V825="No","Maturing",IF(AND(U825="Yes",Y825&gt;0),"Yes","No"))</x:f>
        <x:v>No</x:v>
      </x:c>
      <x:c r="AB825" s="253" t="str">
        <x:f>IF(W825="No","Maturing",IF(AND(U825="Yes",Z825&gt;0),"Yes","No"))</x:f>
        <x:v>No</x:v>
      </x:c>
      <x:c r="AC825" s="265" t="n">
        <x:v>36005.62</x:v>
      </x:c>
      <x:c r="AD825" s="265" t="n">
        <x:v>89219.87</x:v>
      </x:c>
      <x:c r="AE825" s="271" t="str"/>
      <x:c r="AF825" s="274" t="str">
        <x:v>Not validated - no control/holdout</x:v>
      </x:c>
      <x:c r="AG825" s="277" t="str">
        <x:v>Recovered execution only; assignment date and unclaimed-offer denominator unavailable</x:v>
      </x:c>
    </x:row>
    <x:row r="826">
      <x:c r="A826" s="252" t="str">
        <x:v>34489828</x:v>
      </x:c>
      <x:c r="B826" s="253" t="str">
        <x:v>WS1</x:v>
      </x:c>
      <x:c r="C826" s="253" t="str">
        <x:v>MB8</x:v>
      </x:c>
      <x:c r="D826" s="262" t="n">
        <x:v>46178.7278125</x:v>
      </x:c>
      <x:c r="E826" s="259" t="n">
        <x:v>46178.166666666664</x:v>
      </x:c>
      <x:c r="F826" s="253" t="str">
        <x:v>638779</x:v>
      </x:c>
      <x:c r="G826" s="253" t="str">
        <x:v>Wandolar</x:v>
      </x:c>
      <x:c r="H826" s="253" t="str">
        <x:v>Yes</x:v>
      </x:c>
      <x:c r="I826" s="253" t="str"/>
      <x:c r="J826" s="253" t="str"/>
      <x:c r="K826" s="259"/>
      <x:c r="L826" s="268" t="str">
        <x:f>IFERROR(VLOOKUP(I826,'Handler-Team Map'!$A$7:$C$17,2,FALSE),"")</x:f>
      </x:c>
      <x:c r="M826" s="268" t="str">
        <x:f>IFERROR(VLOOKUP(I826,'Handler-Team Map'!$A$7:$C$17,3,FALSE),"")</x:f>
      </x:c>
      <x:c r="N826" s="274" t="str">
        <x:v>FT_VM_DEP1000_GET500_1X</x:v>
      </x:c>
      <x:c r="O826" s="274" t="str">
        <x:v>VIP BONUS - Deposit 1000 Get 500 - 1x TO</x:v>
      </x:c>
      <x:c r="P826" s="274" t="str">
        <x:v>DepositBonus</x:v>
      </x:c>
      <x:c r="Q826" s="274" t="str">
        <x:v>Approved</x:v>
      </x:c>
      <x:c r="R826" s="265" t="n">
        <x:v>500</x:v>
      </x:c>
      <x:c r="S826" s="253" t="str">
        <x:v>Yes</x:v>
      </x:c>
      <x:c r="T826" s="265" t="n">
        <x:v>0</x:v>
      </x:c>
      <x:c r="U826" s="253" t="str">
        <x:f>IF(AND(S826="Yes",T826=0),"Yes","No")</x:f>
        <x:v>Yes</x:v>
      </x:c>
      <x:c r="V826" s="253" t="str">
        <x:v>Yes</x:v>
      </x:c>
      <x:c r="W826" s="253" t="str">
        <x:v>Yes</x:v>
      </x:c>
      <x:c r="X826" s="259" t="n">
        <x:v>46178.166666666664</x:v>
      </x:c>
      <x:c r="Y826" s="265" t="n">
        <x:v>1600</x:v>
      </x:c>
      <x:c r="Z826" s="265" t="n">
        <x:v>2850</x:v>
      </x:c>
      <x:c r="AA826" s="253" t="str">
        <x:f>IF(V826="No","Maturing",IF(AND(U826="Yes",Y826&gt;0),"Yes","No"))</x:f>
        <x:v>Yes</x:v>
      </x:c>
      <x:c r="AB826" s="253" t="str">
        <x:f>IF(W826="No","Maturing",IF(AND(U826="Yes",Z826&gt;0),"Yes","No"))</x:f>
        <x:v>Yes</x:v>
      </x:c>
      <x:c r="AC826" s="265" t="n">
        <x:v>-3718.02</x:v>
      </x:c>
      <x:c r="AD826" s="265" t="n">
        <x:v>-2462.09</x:v>
      </x:c>
      <x:c r="AE826" s="271" t="str"/>
      <x:c r="AF826" s="274" t="str">
        <x:v>Not validated - no control/holdout</x:v>
      </x:c>
      <x:c r="AG826" s="277" t="str">
        <x:v>Recovered execution only; assignment date and unclaimed-offer denominator unavailable</x:v>
      </x:c>
    </x:row>
    <x:row r="827">
      <x:c r="A827" s="252" t="str">
        <x:v>34490006</x:v>
      </x:c>
      <x:c r="B827" s="253" t="str">
        <x:v>WS1</x:v>
      </x:c>
      <x:c r="C827" s="253" t="str">
        <x:v>MB8</x:v>
      </x:c>
      <x:c r="D827" s="262" t="n">
        <x:v>46178.740902777776</x:v>
      </x:c>
      <x:c r="E827" s="259" t="n">
        <x:v>46178.166666666664</x:v>
      </x:c>
      <x:c r="F827" s="253" t="str">
        <x:v>935102</x:v>
      </x:c>
      <x:c r="G827" s="253" t="str">
        <x:v>Chenmi</x:v>
      </x:c>
      <x:c r="H827" s="253" t="str">
        <x:v>Yes</x:v>
      </x:c>
      <x:c r="I827" s="253" t="str">
        <x:v>Kam</x:v>
      </x:c>
      <x:c r="J827" s="253" t="str">
        <x:v>Kam</x:v>
      </x:c>
      <x:c r="K827" s="259" t="n">
        <x:v>45817.166666666664</x:v>
      </x:c>
      <x:c r="L827" s="268" t="str">
        <x:f>IFERROR(VLOOKUP(I827,'Handler-Team Map'!$A$7:$C$17,2,FALSE),"")</x:f>
      </x:c>
      <x:c r="M827" s="268" t="str">
        <x:f>IFERROR(VLOOKUP(I827,'Handler-Team Map'!$A$7:$C$17,3,FALSE),"")</x:f>
      </x:c>
      <x:c r="N827" s="274" t="str">
        <x:v>FT_VM_DEP1000_GET700_1X</x:v>
      </x:c>
      <x:c r="O827" s="274" t="str">
        <x:v>VIP BONUS - Deposit 1000 Get 700 - 1x TO</x:v>
      </x:c>
      <x:c r="P827" s="274" t="str">
        <x:v>DepositBonus</x:v>
      </x:c>
      <x:c r="Q827" s="274" t="str">
        <x:v>Approved</x:v>
      </x:c>
      <x:c r="R827" s="265" t="n">
        <x:v>700</x:v>
      </x:c>
      <x:c r="S827" s="253" t="str">
        <x:v>Yes</x:v>
      </x:c>
      <x:c r="T827" s="265" t="n">
        <x:v>0</x:v>
      </x:c>
      <x:c r="U827" s="253" t="str">
        <x:f>IF(AND(S827="Yes",T827=0),"Yes","No")</x:f>
        <x:v>Yes</x:v>
      </x:c>
      <x:c r="V827" s="253" t="str">
        <x:v>Yes</x:v>
      </x:c>
      <x:c r="W827" s="253" t="str">
        <x:v>Yes</x:v>
      </x:c>
      <x:c r="X827" s="259" t="n">
        <x:v>46178.166666666664</x:v>
      </x:c>
      <x:c r="Y827" s="265" t="n">
        <x:v>22450</x:v>
      </x:c>
      <x:c r="Z827" s="265" t="n">
        <x:v>23650</x:v>
      </x:c>
      <x:c r="AA827" s="253" t="str">
        <x:f>IF(V827="No","Maturing",IF(AND(U827="Yes",Y827&gt;0),"Yes","No"))</x:f>
        <x:v>Yes</x:v>
      </x:c>
      <x:c r="AB827" s="253" t="str">
        <x:f>IF(W827="No","Maturing",IF(AND(U827="Yes",Z827&gt;0),"Yes","No"))</x:f>
        <x:v>Yes</x:v>
      </x:c>
      <x:c r="AC827" s="265" t="n">
        <x:v>243.02</x:v>
      </x:c>
      <x:c r="AD827" s="265" t="n">
        <x:v>1443.21</x:v>
      </x:c>
      <x:c r="AE827" s="271" t="str"/>
      <x:c r="AF827" s="274" t="str">
        <x:v>Not validated - no control/holdout</x:v>
      </x:c>
      <x:c r="AG827" s="277" t="str">
        <x:v>Recovered execution only; assignment date and unclaimed-offer denominator unavailable</x:v>
      </x:c>
    </x:row>
    <x:row r="828">
      <x:c r="A828" s="252" t="str">
        <x:v>34490421</x:v>
      </x:c>
      <x:c r="B828" s="253" t="str">
        <x:v>WS1</x:v>
      </x:c>
      <x:c r="C828" s="253" t="str">
        <x:v>MB8</x:v>
      </x:c>
      <x:c r="D828" s="262" t="n">
        <x:v>46178.77099537037</x:v>
      </x:c>
      <x:c r="E828" s="259" t="n">
        <x:v>46178.166666666664</x:v>
      </x:c>
      <x:c r="F828" s="253" t="str">
        <x:v>1179606</x:v>
      </x:c>
      <x:c r="G828" s="253" t="str">
        <x:v>yonerota</x:v>
      </x:c>
      <x:c r="H828" s="253" t="str">
        <x:v>Yes</x:v>
      </x:c>
      <x:c r="I828" s="253" t="str"/>
      <x:c r="J828" s="253" t="str"/>
      <x:c r="K828" s="259"/>
      <x:c r="L828" s="268" t="str">
        <x:f>IFERROR(VLOOKUP(I828,'Handler-Team Map'!$A$7:$C$17,2,FALSE),"")</x:f>
      </x:c>
      <x:c r="M828" s="268" t="str">
        <x:f>IFERROR(VLOOKUP(I828,'Handler-Team Map'!$A$7:$C$17,3,FALSE),"")</x:f>
      </x:c>
      <x:c r="N828" s="274" t="str">
        <x:v>FT_VM_DEP800_GET400_2X</x:v>
      </x:c>
      <x:c r="O828" s="274" t="str">
        <x:v>VIP BONUS - Deposit 800 Get 400 - 2x TO</x:v>
      </x:c>
      <x:c r="P828" s="274" t="str">
        <x:v>DepositBonus</x:v>
      </x:c>
      <x:c r="Q828" s="274" t="str">
        <x:v>Approved</x:v>
      </x:c>
      <x:c r="R828" s="265" t="n">
        <x:v>400</x:v>
      </x:c>
      <x:c r="S828" s="253" t="str">
        <x:v>Yes</x:v>
      </x:c>
      <x:c r="T828" s="265" t="n">
        <x:v>2696</x:v>
      </x:c>
      <x:c r="U828" s="253" t="str">
        <x:f>IF(AND(S828="Yes",T828=0),"Yes","No")</x:f>
        <x:v>No</x:v>
      </x:c>
      <x:c r="V828" s="253" t="str">
        <x:v>Yes</x:v>
      </x:c>
      <x:c r="W828" s="253" t="str">
        <x:v>Yes</x:v>
      </x:c>
      <x:c r="X828" s="259" t="n">
        <x:v>46178.166666666664</x:v>
      </x:c>
      <x:c r="Y828" s="265" t="n">
        <x:v>2040</x:v>
      </x:c>
      <x:c r="Z828" s="265" t="n">
        <x:v>3488</x:v>
      </x:c>
      <x:c r="AA828" s="253" t="str">
        <x:f>IF(V828="No","Maturing",IF(AND(U828="Yes",Y828&gt;0),"Yes","No"))</x:f>
        <x:v>No</x:v>
      </x:c>
      <x:c r="AB828" s="253" t="str">
        <x:f>IF(W828="No","Maturing",IF(AND(U828="Yes",Z828&gt;0),"Yes","No"))</x:f>
        <x:v>No</x:v>
      </x:c>
      <x:c r="AC828" s="265" t="n">
        <x:v>-9602.02</x:v>
      </x:c>
      <x:c r="AD828" s="265" t="n">
        <x:v>-8381.63</x:v>
      </x:c>
      <x:c r="AE828" s="271" t="str"/>
      <x:c r="AF828" s="274" t="str">
        <x:v>Not validated - no control/holdout</x:v>
      </x:c>
      <x:c r="AG828" s="277" t="str">
        <x:v>Recovered execution only; assignment date and unclaimed-offer denominator unavailable</x:v>
      </x:c>
    </x:row>
    <x:row r="829">
      <x:c r="A829" s="252" t="str">
        <x:v>34490509</x:v>
      </x:c>
      <x:c r="B829" s="253" t="str">
        <x:v>WS1</x:v>
      </x:c>
      <x:c r="C829" s="253" t="str">
        <x:v>MB8</x:v>
      </x:c>
      <x:c r="D829" s="262" t="n">
        <x:v>46178.77643518519</x:v>
      </x:c>
      <x:c r="E829" s="259" t="n">
        <x:v>46178.166666666664</x:v>
      </x:c>
      <x:c r="F829" s="253" t="str">
        <x:v>492460</x:v>
      </x:c>
      <x:c r="G829" s="253" t="str">
        <x:v>ardek27</x:v>
      </x:c>
      <x:c r="H829" s="253" t="str">
        <x:v>Yes</x:v>
      </x:c>
      <x:c r="I829" s="253" t="str">
        <x:v>Elda</x:v>
      </x:c>
      <x:c r="J829" s="253" t="str">
        <x:v>Elda</x:v>
      </x:c>
      <x:c r="K829" s="259" t="n">
        <x:v>45790.166666666664</x:v>
      </x:c>
      <x:c r="L829" s="268" t="str">
        <x:f>IFERROR(VLOOKUP(I829,'Handler-Team Map'!$A$7:$C$17,2,FALSE),"")</x:f>
      </x:c>
      <x:c r="M829" s="268" t="str">
        <x:f>IFERROR(VLOOKUP(I829,'Handler-Team Map'!$A$7:$C$17,3,FALSE),"")</x:f>
      </x:c>
      <x:c r="N829" s="274" t="str">
        <x:v>FT_VM_DEP150_GET50_5X</x:v>
      </x:c>
      <x:c r="O829" s="274" t="str">
        <x:v>VIP BONUS - Deposit 150 Get 50 - 5x TO</x:v>
      </x:c>
      <x:c r="P829" s="274" t="str">
        <x:v>DepositBonus</x:v>
      </x:c>
      <x:c r="Q829" s="274" t="str">
        <x:v>Approved</x:v>
      </x:c>
      <x:c r="R829" s="265" t="n">
        <x:v>50</x:v>
      </x:c>
      <x:c r="S829" s="253" t="str">
        <x:v>Yes</x:v>
      </x:c>
      <x:c r="T829" s="265" t="n">
        <x:v>1140</x:v>
      </x:c>
      <x:c r="U829" s="253" t="str">
        <x:f>IF(AND(S829="Yes",T829=0),"Yes","No")</x:f>
        <x:v>No</x:v>
      </x:c>
      <x:c r="V829" s="253" t="str">
        <x:v>Yes</x:v>
      </x:c>
      <x:c r="W829" s="253" t="str">
        <x:v>Yes</x:v>
      </x:c>
      <x:c r="X829" s="259" t="n">
        <x:v>46178.166666666664</x:v>
      </x:c>
      <x:c r="Y829" s="265" t="n">
        <x:v>1639</x:v>
      </x:c>
      <x:c r="Z829" s="265" t="n">
        <x:v>2355</x:v>
      </x:c>
      <x:c r="AA829" s="253" t="str">
        <x:f>IF(V829="No","Maturing",IF(AND(U829="Yes",Y829&gt;0),"Yes","No"))</x:f>
        <x:v>No</x:v>
      </x:c>
      <x:c r="AB829" s="253" t="str">
        <x:f>IF(W829="No","Maturing",IF(AND(U829="Yes",Z829&gt;0),"Yes","No"))</x:f>
        <x:v>No</x:v>
      </x:c>
      <x:c r="AC829" s="265" t="n">
        <x:v>-1321.33</x:v>
      </x:c>
      <x:c r="AD829" s="265" t="n">
        <x:v>-630.41</x:v>
      </x:c>
      <x:c r="AE829" s="271" t="str"/>
      <x:c r="AF829" s="274" t="str">
        <x:v>Not validated - no control/holdout</x:v>
      </x:c>
      <x:c r="AG829" s="277" t="str">
        <x:v>Recovered execution only; assignment date and unclaimed-offer denominator unavailable</x:v>
      </x:c>
    </x:row>
    <x:row r="830">
      <x:c r="A830" s="252" t="str">
        <x:v>34491107</x:v>
      </x:c>
      <x:c r="B830" s="253" t="str">
        <x:v>WS1</x:v>
      </x:c>
      <x:c r="C830" s="253" t="str">
        <x:v>MB8</x:v>
      </x:c>
      <x:c r="D830" s="262" t="n">
        <x:v>46178.82496527778</x:v>
      </x:c>
      <x:c r="E830" s="259" t="n">
        <x:v>46178.166666666664</x:v>
      </x:c>
      <x:c r="F830" s="253" t="str">
        <x:v>717988</x:v>
      </x:c>
      <x:c r="G830" s="253" t="str">
        <x:v>How7878</x:v>
      </x:c>
      <x:c r="H830" s="253" t="str">
        <x:v>Yes</x:v>
      </x:c>
      <x:c r="I830" s="253" t="str">
        <x:v>zhen</x:v>
      </x:c>
      <x:c r="J830" s="253" t="str">
        <x:v>zhen</x:v>
      </x:c>
      <x:c r="K830" s="259" t="n">
        <x:v>45985.166666666664</x:v>
      </x:c>
      <x:c r="L830" s="268" t="str">
        <x:f>IFERROR(VLOOKUP(I830,'Handler-Team Map'!$A$7:$C$17,2,FALSE),"")</x:f>
      </x:c>
      <x:c r="M830" s="268" t="str">
        <x:f>IFERROR(VLOOKUP(I830,'Handler-Team Map'!$A$7:$C$17,3,FALSE),"")</x:f>
      </x:c>
      <x:c r="N830" s="274" t="str">
        <x:v>FT_VM_DEP1000_GET900_1X</x:v>
      </x:c>
      <x:c r="O830" s="274" t="str">
        <x:v>VIP BONUS - Deposit 1000 Get 900 - 1x TO</x:v>
      </x:c>
      <x:c r="P830" s="274" t="str">
        <x:v>DepositBonus</x:v>
      </x:c>
      <x:c r="Q830" s="274" t="str">
        <x:v>Approved</x:v>
      </x:c>
      <x:c r="R830" s="265" t="n">
        <x:v>900</x:v>
      </x:c>
      <x:c r="S830" s="253" t="str">
        <x:v>Yes</x:v>
      </x:c>
      <x:c r="T830" s="265" t="n">
        <x:v>0</x:v>
      </x:c>
      <x:c r="U830" s="253" t="str">
        <x:f>IF(AND(S830="Yes",T830=0),"Yes","No")</x:f>
        <x:v>Yes</x:v>
      </x:c>
      <x:c r="V830" s="253" t="str">
        <x:v>Yes</x:v>
      </x:c>
      <x:c r="W830" s="253" t="str">
        <x:v>Yes</x:v>
      </x:c>
      <x:c r="X830" s="259" t="n">
        <x:v>46178.166666666664</x:v>
      </x:c>
      <x:c r="Y830" s="265" t="n">
        <x:v>2000</x:v>
      </x:c>
      <x:c r="Z830" s="265" t="n">
        <x:v>3000</x:v>
      </x:c>
      <x:c r="AA830" s="253" t="str">
        <x:f>IF(V830="No","Maturing",IF(AND(U830="Yes",Y830&gt;0),"Yes","No"))</x:f>
        <x:v>Yes</x:v>
      </x:c>
      <x:c r="AB830" s="253" t="str">
        <x:f>IF(W830="No","Maturing",IF(AND(U830="Yes",Z830&gt;0),"Yes","No"))</x:f>
        <x:v>Yes</x:v>
      </x:c>
      <x:c r="AC830" s="265" t="n">
        <x:v>-999.74</x:v>
      </x:c>
      <x:c r="AD830" s="265" t="n">
        <x:v>0.26</x:v>
      </x:c>
      <x:c r="AE830" s="271" t="str"/>
      <x:c r="AF830" s="274" t="str">
        <x:v>Not validated - no control/holdout</x:v>
      </x:c>
      <x:c r="AG830" s="277" t="str">
        <x:v>Recovered execution only; assignment date and unclaimed-offer denominator unavailable</x:v>
      </x:c>
    </x:row>
    <x:row r="831">
      <x:c r="A831" s="252" t="str">
        <x:v>34493003</x:v>
      </x:c>
      <x:c r="B831" s="253" t="str">
        <x:v>WS1</x:v>
      </x:c>
      <x:c r="C831" s="253" t="str">
        <x:v>MB8</x:v>
      </x:c>
      <x:c r="D831" s="262" t="n">
        <x:v>46178.93582175926</x:v>
      </x:c>
      <x:c r="E831" s="259" t="n">
        <x:v>46178.166666666664</x:v>
      </x:c>
      <x:c r="F831" s="253" t="str">
        <x:v>37007</x:v>
      </x:c>
      <x:c r="G831" s="253" t="str">
        <x:v>KuLelaki</x:v>
      </x:c>
      <x:c r="H831" s="253" t="str">
        <x:v>Yes</x:v>
      </x:c>
      <x:c r="I831" s="253" t="str">
        <x:v>Elda</x:v>
      </x:c>
      <x:c r="J831" s="253" t="str">
        <x:v>Elda</x:v>
      </x:c>
      <x:c r="K831" s="259" t="n">
        <x:v>45659.166666666664</x:v>
      </x:c>
      <x:c r="L831" s="268" t="str">
        <x:f>IFERROR(VLOOKUP(I831,'Handler-Team Map'!$A$7:$C$17,2,FALSE),"")</x:f>
      </x:c>
      <x:c r="M831" s="268" t="str">
        <x:f>IFERROR(VLOOKUP(I831,'Handler-Team Map'!$A$7:$C$17,3,FALSE),"")</x:f>
      </x:c>
      <x:c r="N831" s="274" t="str">
        <x:v>FT_VM_DEP1000_GET500_5X</x:v>
      </x:c>
      <x:c r="O831" s="274" t="str">
        <x:v>VIP BONUS - Deposit 1000 Get 500 - 5x TO</x:v>
      </x:c>
      <x:c r="P831" s="274" t="str">
        <x:v>DepositBonus</x:v>
      </x:c>
      <x:c r="Q831" s="274" t="str">
        <x:v>Approved</x:v>
      </x:c>
      <x:c r="R831" s="265" t="n">
        <x:v>500</x:v>
      </x:c>
      <x:c r="S831" s="253" t="str">
        <x:v>Yes</x:v>
      </x:c>
      <x:c r="T831" s="265" t="n">
        <x:v>2500</x:v>
      </x:c>
      <x:c r="U831" s="253" t="str">
        <x:f>IF(AND(S831="Yes",T831=0),"Yes","No")</x:f>
        <x:v>No</x:v>
      </x:c>
      <x:c r="V831" s="253" t="str">
        <x:v>Yes</x:v>
      </x:c>
      <x:c r="W831" s="253" t="str">
        <x:v>Yes</x:v>
      </x:c>
      <x:c r="X831" s="259" t="n">
        <x:v>46178.166666666664</x:v>
      </x:c>
      <x:c r="Y831" s="265" t="n">
        <x:v>2900</x:v>
      </x:c>
      <x:c r="Z831" s="265" t="n">
        <x:v>2900</x:v>
      </x:c>
      <x:c r="AA831" s="253" t="str">
        <x:f>IF(V831="No","Maturing",IF(AND(U831="Yes",Y831&gt;0),"Yes","No"))</x:f>
        <x:v>No</x:v>
      </x:c>
      <x:c r="AB831" s="253" t="str">
        <x:f>IF(W831="No","Maturing",IF(AND(U831="Yes",Z831&gt;0),"Yes","No"))</x:f>
        <x:v>No</x:v>
      </x:c>
      <x:c r="AC831" s="265" t="n">
        <x:v>2905.37</x:v>
      </x:c>
      <x:c r="AD831" s="265" t="n">
        <x:v>2905.37</x:v>
      </x:c>
      <x:c r="AE831" s="271" t="str"/>
      <x:c r="AF831" s="274" t="str">
        <x:v>Not validated - no control/holdout</x:v>
      </x:c>
      <x:c r="AG831" s="277" t="str">
        <x:v>Recovered execution only; assignment date and unclaimed-offer denominator unavailable</x:v>
      </x:c>
    </x:row>
    <x:row r="832">
      <x:c r="A832" s="252" t="str">
        <x:v>34493496</x:v>
      </x:c>
      <x:c r="B832" s="253" t="str">
        <x:v>WS1</x:v>
      </x:c>
      <x:c r="C832" s="253" t="str">
        <x:v>MB8</x:v>
      </x:c>
      <x:c r="D832" s="262" t="n">
        <x:v>46178.959756944445</x:v>
      </x:c>
      <x:c r="E832" s="259" t="n">
        <x:v>46178.166666666664</x:v>
      </x:c>
      <x:c r="F832" s="253" t="str">
        <x:v>834759</x:v>
      </x:c>
      <x:c r="G832" s="253" t="str">
        <x:v>chenyeow</x:v>
      </x:c>
      <x:c r="H832" s="253" t="str">
        <x:v>Yes</x:v>
      </x:c>
      <x:c r="I832" s="253" t="str">
        <x:v>zhen</x:v>
      </x:c>
      <x:c r="J832" s="253" t="str">
        <x:v>zhen</x:v>
      </x:c>
      <x:c r="K832" s="259" t="n">
        <x:v>45922.166666666664</x:v>
      </x:c>
      <x:c r="L832" s="268" t="str">
        <x:f>IFERROR(VLOOKUP(I832,'Handler-Team Map'!$A$7:$C$17,2,FALSE),"")</x:f>
      </x:c>
      <x:c r="M832" s="268" t="str">
        <x:f>IFERROR(VLOOKUP(I832,'Handler-Team Map'!$A$7:$C$17,3,FALSE),"")</x:f>
      </x:c>
      <x:c r="N832" s="274" t="str">
        <x:v>FT_VM_DEP1000_GET500_5X</x:v>
      </x:c>
      <x:c r="O832" s="274" t="str">
        <x:v>VIP BONUS - Deposit 1000 Get 500 - 5x TO</x:v>
      </x:c>
      <x:c r="P832" s="274" t="str">
        <x:v>DepositBonus</x:v>
      </x:c>
      <x:c r="Q832" s="274" t="str">
        <x:v>Approved</x:v>
      </x:c>
      <x:c r="R832" s="265" t="n">
        <x:v>500</x:v>
      </x:c>
      <x:c r="S832" s="253" t="str">
        <x:v>Yes</x:v>
      </x:c>
      <x:c r="T832" s="265" t="n">
        <x:v>4550</x:v>
      </x:c>
      <x:c r="U832" s="253" t="str">
        <x:f>IF(AND(S832="Yes",T832=0),"Yes","No")</x:f>
        <x:v>No</x:v>
      </x:c>
      <x:c r="V832" s="253" t="str">
        <x:v>Yes</x:v>
      </x:c>
      <x:c r="W832" s="253" t="str">
        <x:v>Yes</x:v>
      </x:c>
      <x:c r="X832" s="259" t="n">
        <x:v>46178.166666666664</x:v>
      </x:c>
      <x:c r="Y832" s="265" t="n">
        <x:v>7900</x:v>
      </x:c>
      <x:c r="Z832" s="265" t="n">
        <x:v>20900</x:v>
      </x:c>
      <x:c r="AA832" s="253" t="str">
        <x:f>IF(V832="No","Maturing",IF(AND(U832="Yes",Y832&gt;0),"Yes","No"))</x:f>
        <x:v>No</x:v>
      </x:c>
      <x:c r="AB832" s="253" t="str">
        <x:f>IF(W832="No","Maturing",IF(AND(U832="Yes",Z832&gt;0),"Yes","No"))</x:f>
        <x:v>No</x:v>
      </x:c>
      <x:c r="AC832" s="265" t="n">
        <x:v>3275.66</x:v>
      </x:c>
      <x:c r="AD832" s="265" t="n">
        <x:v>4295.72</x:v>
      </x:c>
      <x:c r="AE832" s="271" t="str"/>
      <x:c r="AF832" s="274" t="str">
        <x:v>Not validated - no control/holdout</x:v>
      </x:c>
      <x:c r="AG832" s="277" t="str">
        <x:v>Recovered execution only; assignment date and unclaimed-offer denominator unavailable</x:v>
      </x:c>
    </x:row>
    <x:row r="833">
      <x:c r="A833" s="252" t="str">
        <x:v>34493787</x:v>
      </x:c>
      <x:c r="B833" s="253" t="str">
        <x:v>WS1</x:v>
      </x:c>
      <x:c r="C833" s="253" t="str">
        <x:v>MB8</x:v>
      </x:c>
      <x:c r="D833" s="262" t="n">
        <x:v>46178.97363425926</x:v>
      </x:c>
      <x:c r="E833" s="259" t="n">
        <x:v>46178.166666666664</x:v>
      </x:c>
      <x:c r="F833" s="253" t="str">
        <x:v>113180</x:v>
      </x:c>
      <x:c r="G833" s="253" t="str">
        <x:v>Hazel</x:v>
      </x:c>
      <x:c r="H833" s="253" t="str">
        <x:v>Yes</x:v>
      </x:c>
      <x:c r="I833" s="253" t="str">
        <x:v>Serene</x:v>
      </x:c>
      <x:c r="J833" s="253" t="str">
        <x:v>Serene</x:v>
      </x:c>
      <x:c r="K833" s="259" t="n">
        <x:v>45831.166666666664</x:v>
      </x:c>
      <x:c r="L833" s="268" t="str">
        <x:f>IFERROR(VLOOKUP(I833,'Handler-Team Map'!$A$7:$C$17,2,FALSE),"")</x:f>
      </x:c>
      <x:c r="M833" s="268" t="str">
        <x:f>IFERROR(VLOOKUP(I833,'Handler-Team Map'!$A$7:$C$17,3,FALSE),"")</x:f>
      </x:c>
      <x:c r="N833" s="274" t="str">
        <x:v>FT_VM_DEP1000_GET500_5X</x:v>
      </x:c>
      <x:c r="O833" s="274" t="str">
        <x:v>VIP BONUS - Deposit 1000 Get 500 - 5x TO</x:v>
      </x:c>
      <x:c r="P833" s="274" t="str">
        <x:v>DepositBonus</x:v>
      </x:c>
      <x:c r="Q833" s="274" t="str">
        <x:v>Approved</x:v>
      </x:c>
      <x:c r="R833" s="265" t="n">
        <x:v>500</x:v>
      </x:c>
      <x:c r="S833" s="253" t="str">
        <x:v>Yes</x:v>
      </x:c>
      <x:c r="T833" s="265" t="n">
        <x:v>5805</x:v>
      </x:c>
      <x:c r="U833" s="253" t="str">
        <x:f>IF(AND(S833="Yes",T833=0),"Yes","No")</x:f>
        <x:v>No</x:v>
      </x:c>
      <x:c r="V833" s="253" t="str">
        <x:v>Yes</x:v>
      </x:c>
      <x:c r="W833" s="253" t="str">
        <x:v>Yes</x:v>
      </x:c>
      <x:c r="X833" s="259" t="n">
        <x:v>46178.166666666664</x:v>
      </x:c>
      <x:c r="Y833" s="265" t="n">
        <x:v>1280</x:v>
      </x:c>
      <x:c r="Z833" s="265" t="n">
        <x:v>3280</x:v>
      </x:c>
      <x:c r="AA833" s="253" t="str">
        <x:f>IF(V833="No","Maturing",IF(AND(U833="Yes",Y833&gt;0),"Yes","No"))</x:f>
        <x:v>No</x:v>
      </x:c>
      <x:c r="AB833" s="253" t="str">
        <x:f>IF(W833="No","Maturing",IF(AND(U833="Yes",Z833&gt;0),"Yes","No"))</x:f>
        <x:v>No</x:v>
      </x:c>
      <x:c r="AC833" s="265" t="n">
        <x:v>1189.08</x:v>
      </x:c>
      <x:c r="AD833" s="265" t="n">
        <x:v>658.82</x:v>
      </x:c>
      <x:c r="AE833" s="271" t="str"/>
      <x:c r="AF833" s="274" t="str">
        <x:v>Not validated - no control/holdout</x:v>
      </x:c>
      <x:c r="AG833" s="277" t="str">
        <x:v>Recovered execution only; assignment date and unclaimed-offer denominator unavailable</x:v>
      </x:c>
    </x:row>
    <x:row r="834">
      <x:c r="A834" s="252" t="str">
        <x:v>34494152</x:v>
      </x:c>
      <x:c r="B834" s="253" t="str">
        <x:v>WS1</x:v>
      </x:c>
      <x:c r="C834" s="253" t="str">
        <x:v>MB8</x:v>
      </x:c>
      <x:c r="D834" s="262" t="n">
        <x:v>46178.99177083333</x:v>
      </x:c>
      <x:c r="E834" s="259" t="n">
        <x:v>46178.166666666664</x:v>
      </x:c>
      <x:c r="F834" s="253" t="str">
        <x:v>956073</x:v>
      </x:c>
      <x:c r="G834" s="253" t="str">
        <x:v>lkchen</x:v>
      </x:c>
      <x:c r="H834" s="253" t="str">
        <x:v>Yes</x:v>
      </x:c>
      <x:c r="I834" s="253" t="str"/>
      <x:c r="J834" s="253" t="str"/>
      <x:c r="K834" s="259"/>
      <x:c r="L834" s="268" t="str">
        <x:f>IFERROR(VLOOKUP(I834,'Handler-Team Map'!$A$7:$C$17,2,FALSE),"")</x:f>
      </x:c>
      <x:c r="M834" s="268" t="str">
        <x:f>IFERROR(VLOOKUP(I834,'Handler-Team Map'!$A$7:$C$17,3,FALSE),"")</x:f>
      </x:c>
      <x:c r="N834" s="274" t="str">
        <x:v>FT_VM_DEP700_GET300_2X</x:v>
      </x:c>
      <x:c r="O834" s="274" t="str">
        <x:v>VIP BONUS - Deposit 700 Get 300 - 2x TO</x:v>
      </x:c>
      <x:c r="P834" s="274" t="str">
        <x:v>DepositBonus</x:v>
      </x:c>
      <x:c r="Q834" s="274" t="str">
        <x:v>Approved</x:v>
      </x:c>
      <x:c r="R834" s="265" t="n">
        <x:v>300</x:v>
      </x:c>
      <x:c r="S834" s="253" t="str">
        <x:v>Yes</x:v>
      </x:c>
      <x:c r="T834" s="265" t="n">
        <x:v>3800</x:v>
      </x:c>
      <x:c r="U834" s="253" t="str">
        <x:f>IF(AND(S834="Yes",T834=0),"Yes","No")</x:f>
        <x:v>No</x:v>
      </x:c>
      <x:c r="V834" s="253" t="str">
        <x:v>Yes</x:v>
      </x:c>
      <x:c r="W834" s="253" t="str">
        <x:v>Yes</x:v>
      </x:c>
      <x:c r="X834" s="259" t="n">
        <x:v>46178.166666666664</x:v>
      </x:c>
      <x:c r="Y834" s="265" t="n">
        <x:v>700</x:v>
      </x:c>
      <x:c r="Z834" s="265" t="n">
        <x:v>700</x:v>
      </x:c>
      <x:c r="AA834" s="253" t="str">
        <x:f>IF(V834="No","Maturing",IF(AND(U834="Yes",Y834&gt;0),"Yes","No"))</x:f>
        <x:v>No</x:v>
      </x:c>
      <x:c r="AB834" s="253" t="str">
        <x:f>IF(W834="No","Maturing",IF(AND(U834="Yes",Z834&gt;0),"Yes","No"))</x:f>
        <x:v>No</x:v>
      </x:c>
      <x:c r="AC834" s="265" t="n">
        <x:v>695.26</x:v>
      </x:c>
      <x:c r="AD834" s="265" t="n">
        <x:v>695.26</x:v>
      </x:c>
      <x:c r="AE834" s="271" t="str"/>
      <x:c r="AF834" s="274" t="str">
        <x:v>Not validated - no control/holdout</x:v>
      </x:c>
      <x:c r="AG834" s="277" t="str">
        <x:v>Recovered execution only; assignment date and unclaimed-offer denominator unavailable</x:v>
      </x:c>
    </x:row>
    <x:row r="835">
      <x:c r="A835" s="252" t="str">
        <x:v>34495985</x:v>
      </x:c>
      <x:c r="B835" s="253" t="str">
        <x:v>WS1</x:v>
      </x:c>
      <x:c r="C835" s="253" t="str">
        <x:v>MB8</x:v>
      </x:c>
      <x:c r="D835" s="262" t="n">
        <x:v>46179.06842592593</x:v>
      </x:c>
      <x:c r="E835" s="259" t="n">
        <x:v>46179.166666666664</x:v>
      </x:c>
      <x:c r="F835" s="253" t="str">
        <x:v>927189</x:v>
      </x:c>
      <x:c r="G835" s="253" t="str">
        <x:v>Yayay75</x:v>
      </x:c>
      <x:c r="H835" s="253" t="str">
        <x:v>Yes</x:v>
      </x:c>
      <x:c r="I835" s="253" t="str">
        <x:v>Serene</x:v>
      </x:c>
      <x:c r="J835" s="253" t="str">
        <x:v>Serene</x:v>
      </x:c>
      <x:c r="K835" s="259" t="n">
        <x:v>46077.166666666664</x:v>
      </x:c>
      <x:c r="L835" s="268" t="str">
        <x:f>IFERROR(VLOOKUP(I835,'Handler-Team Map'!$A$7:$C$17,2,FALSE),"")</x:f>
      </x:c>
      <x:c r="M835" s="268" t="str">
        <x:f>IFERROR(VLOOKUP(I835,'Handler-Team Map'!$A$7:$C$17,3,FALSE),"")</x:f>
      </x:c>
      <x:c r="N835" s="274" t="str">
        <x:v>FT_VM_DEP1000_GET500_1X</x:v>
      </x:c>
      <x:c r="O835" s="274" t="str">
        <x:v>VIP BONUS - Deposit 1000 Get 500 - 1x TO</x:v>
      </x:c>
      <x:c r="P835" s="274" t="str">
        <x:v>DepositBonus</x:v>
      </x:c>
      <x:c r="Q835" s="274" t="str">
        <x:v>Approved</x:v>
      </x:c>
      <x:c r="R835" s="265" t="n">
        <x:v>500</x:v>
      </x:c>
      <x:c r="S835" s="253" t="str">
        <x:v>Yes</x:v>
      </x:c>
      <x:c r="T835" s="265" t="n">
        <x:v>100</x:v>
      </x:c>
      <x:c r="U835" s="253" t="str">
        <x:f>IF(AND(S835="Yes",T835=0),"Yes","No")</x:f>
        <x:v>No</x:v>
      </x:c>
      <x:c r="V835" s="253" t="str">
        <x:v>Yes</x:v>
      </x:c>
      <x:c r="W835" s="253" t="str">
        <x:v>Yes</x:v>
      </x:c>
      <x:c r="X835" s="259" t="n">
        <x:v>46179.166666666664</x:v>
      </x:c>
      <x:c r="Y835" s="265" t="n">
        <x:v>1775</x:v>
      </x:c>
      <x:c r="Z835" s="265" t="n">
        <x:v>1775</x:v>
      </x:c>
      <x:c r="AA835" s="253" t="str">
        <x:f>IF(V835="No","Maturing",IF(AND(U835="Yes",Y835&gt;0),"Yes","No"))</x:f>
        <x:v>No</x:v>
      </x:c>
      <x:c r="AB835" s="253" t="str">
        <x:f>IF(W835="No","Maturing",IF(AND(U835="Yes",Z835&gt;0),"Yes","No"))</x:f>
        <x:v>No</x:v>
      </x:c>
      <x:c r="AC835" s="265" t="n">
        <x:v>1026.4</x:v>
      </x:c>
      <x:c r="AD835" s="265" t="n">
        <x:v>1026.4</x:v>
      </x:c>
      <x:c r="AE835" s="271" t="str"/>
      <x:c r="AF835" s="274" t="str">
        <x:v>Not validated - no control/holdout</x:v>
      </x:c>
      <x:c r="AG835" s="277" t="str">
        <x:v>Recovered execution only; assignment date and unclaimed-offer denominator unavailable</x:v>
      </x:c>
    </x:row>
    <x:row r="836">
      <x:c r="A836" s="252" t="str">
        <x:v>34499264</x:v>
      </x:c>
      <x:c r="B836" s="253" t="str">
        <x:v>WS1</x:v>
      </x:c>
      <x:c r="C836" s="253" t="str">
        <x:v>MB8</x:v>
      </x:c>
      <x:c r="D836" s="262" t="n">
        <x:v>46179.402592592596</x:v>
      </x:c>
      <x:c r="E836" s="259" t="n">
        <x:v>46179.166666666664</x:v>
      </x:c>
      <x:c r="F836" s="253" t="str">
        <x:v>736225</x:v>
      </x:c>
      <x:c r="G836" s="253" t="str">
        <x:v>machil66</x:v>
      </x:c>
      <x:c r="H836" s="253" t="str">
        <x:v>Yes</x:v>
      </x:c>
      <x:c r="I836" s="253" t="str">
        <x:v>Elda</x:v>
      </x:c>
      <x:c r="J836" s="253" t="str">
        <x:v>Elda</x:v>
      </x:c>
      <x:c r="K836" s="259" t="n">
        <x:v>45779.166666666664</x:v>
      </x:c>
      <x:c r="L836" s="268" t="str">
        <x:f>IFERROR(VLOOKUP(I836,'Handler-Team Map'!$A$7:$C$17,2,FALSE),"")</x:f>
      </x:c>
      <x:c r="M836" s="268" t="str">
        <x:f>IFERROR(VLOOKUP(I836,'Handler-Team Map'!$A$7:$C$17,3,FALSE),"")</x:f>
      </x:c>
      <x:c r="N836" s="274" t="str">
        <x:v>FT_VM_DEP1000_GET800_1X</x:v>
      </x:c>
      <x:c r="O836" s="274" t="str">
        <x:v>VIP BONUS - Deposit 1000 Get 800 - 1x TO</x:v>
      </x:c>
      <x:c r="P836" s="274" t="str">
        <x:v>DepositBonus</x:v>
      </x:c>
      <x:c r="Q836" s="274" t="str">
        <x:v>Approved</x:v>
      </x:c>
      <x:c r="R836" s="265" t="n">
        <x:v>800</x:v>
      </x:c>
      <x:c r="S836" s="253" t="str">
        <x:v>Yes</x:v>
      </x:c>
      <x:c r="T836" s="265" t="n">
        <x:v>1050</x:v>
      </x:c>
      <x:c r="U836" s="253" t="str">
        <x:f>IF(AND(S836="Yes",T836=0),"Yes","No")</x:f>
        <x:v>No</x:v>
      </x:c>
      <x:c r="V836" s="253" t="str">
        <x:v>Yes</x:v>
      </x:c>
      <x:c r="W836" s="253" t="str">
        <x:v>Yes</x:v>
      </x:c>
      <x:c r="X836" s="259" t="n">
        <x:v>46179.166666666664</x:v>
      </x:c>
      <x:c r="Y836" s="265" t="n">
        <x:v>1300</x:v>
      </x:c>
      <x:c r="Z836" s="265" t="n">
        <x:v>4250</x:v>
      </x:c>
      <x:c r="AA836" s="253" t="str">
        <x:f>IF(V836="No","Maturing",IF(AND(U836="Yes",Y836&gt;0),"Yes","No"))</x:f>
        <x:v>No</x:v>
      </x:c>
      <x:c r="AB836" s="253" t="str">
        <x:f>IF(W836="No","Maturing",IF(AND(U836="Yes",Z836&gt;0),"Yes","No"))</x:f>
        <x:v>No</x:v>
      </x:c>
      <x:c r="AC836" s="265" t="n">
        <x:v>834.32</x:v>
      </x:c>
      <x:c r="AD836" s="265" t="n">
        <x:v>-1744.57</x:v>
      </x:c>
      <x:c r="AE836" s="271" t="str"/>
      <x:c r="AF836" s="274" t="str">
        <x:v>Not validated - no control/holdout</x:v>
      </x:c>
      <x:c r="AG836" s="277" t="str">
        <x:v>Recovered execution only; assignment date and unclaimed-offer denominator unavailable</x:v>
      </x:c>
    </x:row>
    <x:row r="837">
      <x:c r="A837" s="252" t="str">
        <x:v>34501711</x:v>
      </x:c>
      <x:c r="B837" s="253" t="str">
        <x:v>WS1</x:v>
      </x:c>
      <x:c r="C837" s="253" t="str">
        <x:v>MB8</x:v>
      </x:c>
      <x:c r="D837" s="262" t="n">
        <x:v>46179.62810185185</x:v>
      </x:c>
      <x:c r="E837" s="259" t="n">
        <x:v>46179.166666666664</x:v>
      </x:c>
      <x:c r="F837" s="253" t="str">
        <x:v>673118</x:v>
      </x:c>
      <x:c r="G837" s="253" t="str">
        <x:v>Hashim007</x:v>
      </x:c>
      <x:c r="H837" s="253" t="str">
        <x:v>Yes</x:v>
      </x:c>
      <x:c r="I837" s="253" t="str">
        <x:v>Elda</x:v>
      </x:c>
      <x:c r="J837" s="253" t="str">
        <x:v>Elda</x:v>
      </x:c>
      <x:c r="K837" s="259" t="n">
        <x:v>45779.166666666664</x:v>
      </x:c>
      <x:c r="L837" s="268" t="str">
        <x:f>IFERROR(VLOOKUP(I837,'Handler-Team Map'!$A$7:$C$17,2,FALSE),"")</x:f>
      </x:c>
      <x:c r="M837" s="268" t="str">
        <x:f>IFERROR(VLOOKUP(I837,'Handler-Team Map'!$A$7:$C$17,3,FALSE),"")</x:f>
      </x:c>
      <x:c r="N837" s="274" t="str">
        <x:v>FT_VM_DEP300_GET100_5X</x:v>
      </x:c>
      <x:c r="O837" s="274" t="str">
        <x:v>VIP BONUS - Deposit 300 Get 100 - 5x TO</x:v>
      </x:c>
      <x:c r="P837" s="274" t="str">
        <x:v>DepositBonus</x:v>
      </x:c>
      <x:c r="Q837" s="274" t="str">
        <x:v>Approved</x:v>
      </x:c>
      <x:c r="R837" s="265" t="n">
        <x:v>100</x:v>
      </x:c>
      <x:c r="S837" s="253" t="str">
        <x:v>Yes</x:v>
      </x:c>
      <x:c r="T837" s="265" t="n">
        <x:v>3662.87</x:v>
      </x:c>
      <x:c r="U837" s="253" t="str">
        <x:f>IF(AND(S837="Yes",T837=0),"Yes","No")</x:f>
        <x:v>No</x:v>
      </x:c>
      <x:c r="V837" s="253" t="str">
        <x:v>Yes</x:v>
      </x:c>
      <x:c r="W837" s="253" t="str">
        <x:v>Yes</x:v>
      </x:c>
      <x:c r="X837" s="259" t="n">
        <x:v>46179.166666666664</x:v>
      </x:c>
      <x:c r="Y837" s="265" t="n">
        <x:v>950</x:v>
      </x:c>
      <x:c r="Z837" s="265" t="n">
        <x:v>1250</x:v>
      </x:c>
      <x:c r="AA837" s="253" t="str">
        <x:f>IF(V837="No","Maturing",IF(AND(U837="Yes",Y837&gt;0),"Yes","No"))</x:f>
        <x:v>No</x:v>
      </x:c>
      <x:c r="AB837" s="253" t="str">
        <x:f>IF(W837="No","Maturing",IF(AND(U837="Yes",Z837&gt;0),"Yes","No"))</x:f>
        <x:v>No</x:v>
      </x:c>
      <x:c r="AC837" s="265" t="n">
        <x:v>592.6</x:v>
      </x:c>
      <x:c r="AD837" s="265" t="n">
        <x:v>1252.28</x:v>
      </x:c>
      <x:c r="AE837" s="271" t="str"/>
      <x:c r="AF837" s="274" t="str">
        <x:v>Not validated - no control/holdout</x:v>
      </x:c>
      <x:c r="AG837" s="277" t="str">
        <x:v>Recovered execution only; assignment date and unclaimed-offer denominator unavailable</x:v>
      </x:c>
    </x:row>
    <x:row r="838">
      <x:c r="A838" s="252" t="str">
        <x:v>34503284</x:v>
      </x:c>
      <x:c r="B838" s="253" t="str">
        <x:v>WS1</x:v>
      </x:c>
      <x:c r="C838" s="253" t="str">
        <x:v>MB8</x:v>
      </x:c>
      <x:c r="D838" s="262" t="n">
        <x:v>46179.740428240744</x:v>
      </x:c>
      <x:c r="E838" s="259" t="n">
        <x:v>46179.166666666664</x:v>
      </x:c>
      <x:c r="F838" s="253" t="str">
        <x:v>233398</x:v>
      </x:c>
      <x:c r="G838" s="253" t="str">
        <x:v>Lakaka</x:v>
      </x:c>
      <x:c r="H838" s="253" t="str">
        <x:v>Yes</x:v>
      </x:c>
      <x:c r="I838" s="253" t="str"/>
      <x:c r="J838" s="253" t="str"/>
      <x:c r="K838" s="259"/>
      <x:c r="L838" s="268" t="str">
        <x:f>IFERROR(VLOOKUP(I838,'Handler-Team Map'!$A$7:$C$17,2,FALSE),"")</x:f>
      </x:c>
      <x:c r="M838" s="268" t="str">
        <x:f>IFERROR(VLOOKUP(I838,'Handler-Team Map'!$A$7:$C$17,3,FALSE),"")</x:f>
      </x:c>
      <x:c r="N838" s="274" t="str">
        <x:v>FT_VM_DEP600_GET200_5X</x:v>
      </x:c>
      <x:c r="O838" s="274" t="str">
        <x:v>VIP BONUS - Deposit 600 Get 200 - 5x TO</x:v>
      </x:c>
      <x:c r="P838" s="274" t="str">
        <x:v>DepositBonus</x:v>
      </x:c>
      <x:c r="Q838" s="274" t="str">
        <x:v>Approved</x:v>
      </x:c>
      <x:c r="R838" s="265" t="n">
        <x:v>200</x:v>
      </x:c>
      <x:c r="S838" s="253" t="str">
        <x:v>Yes</x:v>
      </x:c>
      <x:c r="T838" s="265" t="n">
        <x:v>315</x:v>
      </x:c>
      <x:c r="U838" s="253" t="str">
        <x:f>IF(AND(S838="Yes",T838=0),"Yes","No")</x:f>
        <x:v>No</x:v>
      </x:c>
      <x:c r="V838" s="253" t="str">
        <x:v>Yes</x:v>
      </x:c>
      <x:c r="W838" s="253" t="str">
        <x:v>Yes</x:v>
      </x:c>
      <x:c r="X838" s="259" t="n">
        <x:v>46179.166666666664</x:v>
      </x:c>
      <x:c r="Y838" s="265" t="n">
        <x:v>600</x:v>
      </x:c>
      <x:c r="Z838" s="265" t="n">
        <x:v>600</x:v>
      </x:c>
      <x:c r="AA838" s="253" t="str">
        <x:f>IF(V838="No","Maturing",IF(AND(U838="Yes",Y838&gt;0),"Yes","No"))</x:f>
        <x:v>No</x:v>
      </x:c>
      <x:c r="AB838" s="253" t="str">
        <x:f>IF(W838="No","Maturing",IF(AND(U838="Yes",Z838&gt;0),"Yes","No"))</x:f>
        <x:v>No</x:v>
      </x:c>
      <x:c r="AC838" s="265" t="n">
        <x:v>601.64</x:v>
      </x:c>
      <x:c r="AD838" s="265" t="n">
        <x:v>601.64</x:v>
      </x:c>
      <x:c r="AE838" s="271" t="str"/>
      <x:c r="AF838" s="274" t="str">
        <x:v>Not validated - no control/holdout</x:v>
      </x:c>
      <x:c r="AG838" s="277" t="str">
        <x:v>Recovered execution only; assignment date and unclaimed-offer denominator unavailable</x:v>
      </x:c>
    </x:row>
    <x:row r="839">
      <x:c r="A839" s="252" t="str">
        <x:v>34504419</x:v>
      </x:c>
      <x:c r="B839" s="253" t="str">
        <x:v>WS1</x:v>
      </x:c>
      <x:c r="C839" s="253" t="str">
        <x:v>MB8</x:v>
      </x:c>
      <x:c r="D839" s="262" t="n">
        <x:v>46179.81696759259</x:v>
      </x:c>
      <x:c r="E839" s="259" t="n">
        <x:v>46179.166666666664</x:v>
      </x:c>
      <x:c r="F839" s="253" t="str">
        <x:v>1032256</x:v>
      </x:c>
      <x:c r="G839" s="253" t="str">
        <x:v>mrryori</x:v>
      </x:c>
      <x:c r="H839" s="253" t="str">
        <x:v>Yes</x:v>
      </x:c>
      <x:c r="I839" s="253" t="str">
        <x:v>Jiahui</x:v>
      </x:c>
      <x:c r="J839" s="253" t="str">
        <x:v>Jiahui</x:v>
      </x:c>
      <x:c r="K839" s="259" t="n">
        <x:v>45797.166666666664</x:v>
      </x:c>
      <x:c r="L839" s="268" t="str">
        <x:f>IFERROR(VLOOKUP(I839,'Handler-Team Map'!$A$7:$C$17,2,FALSE),"")</x:f>
      </x:c>
      <x:c r="M839" s="268" t="str">
        <x:f>IFERROR(VLOOKUP(I839,'Handler-Team Map'!$A$7:$C$17,3,FALSE),"")</x:f>
      </x:c>
      <x:c r="N839" s="274" t="str">
        <x:v>FT_VM_DEP1000_GET500_2X</x:v>
      </x:c>
      <x:c r="O839" s="274" t="str">
        <x:v>VIP BONUS - Deposit 1000 Get 500 - 2x TO</x:v>
      </x:c>
      <x:c r="P839" s="274" t="str">
        <x:v>DepositBonus</x:v>
      </x:c>
      <x:c r="Q839" s="274" t="str">
        <x:v>Approved</x:v>
      </x:c>
      <x:c r="R839" s="265" t="n">
        <x:v>500</x:v>
      </x:c>
      <x:c r="S839" s="253" t="str">
        <x:v>Yes</x:v>
      </x:c>
      <x:c r="T839" s="265" t="n">
        <x:v>50</x:v>
      </x:c>
      <x:c r="U839" s="253" t="str">
        <x:f>IF(AND(S839="Yes",T839=0),"Yes","No")</x:f>
        <x:v>No</x:v>
      </x:c>
      <x:c r="V839" s="253" t="str">
        <x:v>Yes</x:v>
      </x:c>
      <x:c r="W839" s="253" t="str">
        <x:v>Yes</x:v>
      </x:c>
      <x:c r="X839" s="259" t="n">
        <x:v>46179.166666666664</x:v>
      </x:c>
      <x:c r="Y839" s="265" t="n">
        <x:v>4200</x:v>
      </x:c>
      <x:c r="Z839" s="265" t="n">
        <x:v>4300</x:v>
      </x:c>
      <x:c r="AA839" s="253" t="str">
        <x:f>IF(V839="No","Maturing",IF(AND(U839="Yes",Y839&gt;0),"Yes","No"))</x:f>
        <x:v>No</x:v>
      </x:c>
      <x:c r="AB839" s="253" t="str">
        <x:f>IF(W839="No","Maturing",IF(AND(U839="Yes",Z839&gt;0),"Yes","No"))</x:f>
        <x:v>No</x:v>
      </x:c>
      <x:c r="AC839" s="265" t="n">
        <x:v>997.39</x:v>
      </x:c>
      <x:c r="AD839" s="265" t="n">
        <x:v>1098.37</x:v>
      </x:c>
      <x:c r="AE839" s="271" t="str"/>
      <x:c r="AF839" s="274" t="str">
        <x:v>Not validated - no control/holdout</x:v>
      </x:c>
      <x:c r="AG839" s="277" t="str">
        <x:v>Recovered execution only; assignment date and unclaimed-offer denominator unavailable</x:v>
      </x:c>
    </x:row>
    <x:row r="840">
      <x:c r="A840" s="252" t="str">
        <x:v>34504516</x:v>
      </x:c>
      <x:c r="B840" s="253" t="str">
        <x:v>WS1</x:v>
      </x:c>
      <x:c r="C840" s="253" t="str">
        <x:v>MB8</x:v>
      </x:c>
      <x:c r="D840" s="262" t="n">
        <x:v>46179.82724537037</x:v>
      </x:c>
      <x:c r="E840" s="259" t="n">
        <x:v>46179.166666666664</x:v>
      </x:c>
      <x:c r="F840" s="253" t="str">
        <x:v>452826</x:v>
      </x:c>
      <x:c r="G840" s="253" t="str">
        <x:v>Waiko119</x:v>
      </x:c>
      <x:c r="H840" s="253" t="str">
        <x:v>Yes</x:v>
      </x:c>
      <x:c r="I840" s="253" t="str">
        <x:v>Elda</x:v>
      </x:c>
      <x:c r="J840" s="253" t="str">
        <x:v>Elda</x:v>
      </x:c>
      <x:c r="K840" s="259" t="n">
        <x:v>45659.166666666664</x:v>
      </x:c>
      <x:c r="L840" s="268" t="str">
        <x:f>IFERROR(VLOOKUP(I840,'Handler-Team Map'!$A$7:$C$17,2,FALSE),"")</x:f>
      </x:c>
      <x:c r="M840" s="268" t="str">
        <x:f>IFERROR(VLOOKUP(I840,'Handler-Team Map'!$A$7:$C$17,3,FALSE),"")</x:f>
      </x:c>
      <x:c r="N840" s="274" t="str">
        <x:v>FT_VM_DEP1000_GET900_1X</x:v>
      </x:c>
      <x:c r="O840" s="274" t="str">
        <x:v>VIP BONUS - Deposit 1000 Get 900 - 1x TO</x:v>
      </x:c>
      <x:c r="P840" s="274" t="str">
        <x:v>DepositBonus</x:v>
      </x:c>
      <x:c r="Q840" s="274" t="str">
        <x:v>Approved</x:v>
      </x:c>
      <x:c r="R840" s="265" t="n">
        <x:v>900</x:v>
      </x:c>
      <x:c r="S840" s="253" t="str">
        <x:v>Yes</x:v>
      </x:c>
      <x:c r="T840" s="265" t="n">
        <x:v>1000</x:v>
      </x:c>
      <x:c r="U840" s="253" t="str">
        <x:f>IF(AND(S840="Yes",T840=0),"Yes","No")</x:f>
        <x:v>No</x:v>
      </x:c>
      <x:c r="V840" s="253" t="str">
        <x:v>Yes</x:v>
      </x:c>
      <x:c r="W840" s="253" t="str">
        <x:v>Yes</x:v>
      </x:c>
      <x:c r="X840" s="259" t="n">
        <x:v>46179.166666666664</x:v>
      </x:c>
      <x:c r="Y840" s="265" t="n">
        <x:v>2000</x:v>
      </x:c>
      <x:c r="Z840" s="265" t="n">
        <x:v>2000</x:v>
      </x:c>
      <x:c r="AA840" s="253" t="str">
        <x:f>IF(V840="No","Maturing",IF(AND(U840="Yes",Y840&gt;0),"Yes","No"))</x:f>
        <x:v>No</x:v>
      </x:c>
      <x:c r="AB840" s="253" t="str">
        <x:f>IF(W840="No","Maturing",IF(AND(U840="Yes",Z840&gt;0),"Yes","No"))</x:f>
        <x:v>No</x:v>
      </x:c>
      <x:c r="AC840" s="265" t="n">
        <x:v>-1862.9</x:v>
      </x:c>
      <x:c r="AD840" s="265" t="n">
        <x:v>-1862.9</x:v>
      </x:c>
      <x:c r="AE840" s="271" t="str"/>
      <x:c r="AF840" s="274" t="str">
        <x:v>Not validated - no control/holdout</x:v>
      </x:c>
      <x:c r="AG840" s="277" t="str">
        <x:v>Recovered execution only; assignment date and unclaimed-offer denominator unavailable</x:v>
      </x:c>
    </x:row>
    <x:row r="841">
      <x:c r="A841" s="252" t="str">
        <x:v>34505655</x:v>
      </x:c>
      <x:c r="B841" s="253" t="str">
        <x:v>WS1</x:v>
      </x:c>
      <x:c r="C841" s="253" t="str">
        <x:v>MB8</x:v>
      </x:c>
      <x:c r="D841" s="262" t="n">
        <x:v>46179.90895833333</x:v>
      </x:c>
      <x:c r="E841" s="259" t="n">
        <x:v>46179.166666666664</x:v>
      </x:c>
      <x:c r="F841" s="253" t="str">
        <x:v>639294</x:v>
      </x:c>
      <x:c r="G841" s="253" t="str">
        <x:v>PahlawanMerah</x:v>
      </x:c>
      <x:c r="H841" s="253" t="str">
        <x:v>Yes</x:v>
      </x:c>
      <x:c r="I841" s="253" t="str">
        <x:v>Jiahui</x:v>
      </x:c>
      <x:c r="J841" s="253" t="str">
        <x:v>Jiahui</x:v>
      </x:c>
      <x:c r="K841" s="259" t="n">
        <x:v>45831.166666666664</x:v>
      </x:c>
      <x:c r="L841" s="268" t="str">
        <x:f>IFERROR(VLOOKUP(I841,'Handler-Team Map'!$A$7:$C$17,2,FALSE),"")</x:f>
      </x:c>
      <x:c r="M841" s="268" t="str">
        <x:f>IFERROR(VLOOKUP(I841,'Handler-Team Map'!$A$7:$C$17,3,FALSE),"")</x:f>
      </x:c>
      <x:c r="N841" s="274" t="str">
        <x:v>FT_VM_DEP300_GET100_5X</x:v>
      </x:c>
      <x:c r="O841" s="274" t="str">
        <x:v>VIP BONUS - Deposit 300 Get 100 - 5x TO</x:v>
      </x:c>
      <x:c r="P841" s="274" t="str">
        <x:v>DepositBonus</x:v>
      </x:c>
      <x:c r="Q841" s="274" t="str">
        <x:v>Approved</x:v>
      </x:c>
      <x:c r="R841" s="265" t="n">
        <x:v>100</x:v>
      </x:c>
      <x:c r="S841" s="253" t="str">
        <x:v>Yes</x:v>
      </x:c>
      <x:c r="T841" s="265" t="n">
        <x:v>22885</x:v>
      </x:c>
      <x:c r="U841" s="253" t="str">
        <x:f>IF(AND(S841="Yes",T841=0),"Yes","No")</x:f>
        <x:v>No</x:v>
      </x:c>
      <x:c r="V841" s="253" t="str">
        <x:v>Yes</x:v>
      </x:c>
      <x:c r="W841" s="253" t="str">
        <x:v>Yes</x:v>
      </x:c>
      <x:c r="X841" s="259" t="n">
        <x:v>46179.166666666664</x:v>
      </x:c>
      <x:c r="Y841" s="265" t="n">
        <x:v>2680</x:v>
      </x:c>
      <x:c r="Z841" s="265" t="n">
        <x:v>4980</x:v>
      </x:c>
      <x:c r="AA841" s="253" t="str">
        <x:f>IF(V841="No","Maturing",IF(AND(U841="Yes",Y841&gt;0),"Yes","No"))</x:f>
        <x:v>No</x:v>
      </x:c>
      <x:c r="AB841" s="253" t="str">
        <x:f>IF(W841="No","Maturing",IF(AND(U841="Yes",Z841&gt;0),"Yes","No"))</x:f>
        <x:v>No</x:v>
      </x:c>
      <x:c r="AC841" s="265" t="n">
        <x:v>-521.28</x:v>
      </x:c>
      <x:c r="AD841" s="265" t="n">
        <x:v>-6221.03</x:v>
      </x:c>
      <x:c r="AE841" s="271" t="str"/>
      <x:c r="AF841" s="274" t="str">
        <x:v>Not validated - no control/holdout</x:v>
      </x:c>
      <x:c r="AG841" s="277" t="str">
        <x:v>Recovered execution only; assignment date and unclaimed-offer denominator unavailable</x:v>
      </x:c>
    </x:row>
    <x:row r="842">
      <x:c r="A842" s="252" t="str">
        <x:v>34510772</x:v>
      </x:c>
      <x:c r="B842" s="253" t="str">
        <x:v>WS1</x:v>
      </x:c>
      <x:c r="C842" s="253" t="str">
        <x:v>MB8</x:v>
      </x:c>
      <x:c r="D842" s="262" t="n">
        <x:v>46180.24255787037</x:v>
      </x:c>
      <x:c r="E842" s="259" t="n">
        <x:v>46180.166666666664</x:v>
      </x:c>
      <x:c r="F842" s="253" t="str">
        <x:v>394469</x:v>
      </x:c>
      <x:c r="G842" s="253" t="str">
        <x:v>danieltan619</x:v>
      </x:c>
      <x:c r="H842" s="253" t="str">
        <x:v>Yes</x:v>
      </x:c>
      <x:c r="I842" s="253" t="str"/>
      <x:c r="J842" s="253" t="str"/>
      <x:c r="K842" s="259"/>
      <x:c r="L842" s="268" t="str">
        <x:f>IFERROR(VLOOKUP(I842,'Handler-Team Map'!$A$7:$C$17,2,FALSE),"")</x:f>
      </x:c>
      <x:c r="M842" s="268" t="str">
        <x:f>IFERROR(VLOOKUP(I842,'Handler-Team Map'!$A$7:$C$17,3,FALSE),"")</x:f>
      </x:c>
      <x:c r="N842" s="274" t="str">
        <x:v>FT_VM_DEP800_GET400_2X</x:v>
      </x:c>
      <x:c r="O842" s="274" t="str">
        <x:v>VIP BONUS - Deposit 800 Get 400 - 2x TO</x:v>
      </x:c>
      <x:c r="P842" s="274" t="str">
        <x:v>DepositBonus</x:v>
      </x:c>
      <x:c r="Q842" s="274" t="str">
        <x:v>Approved</x:v>
      </x:c>
      <x:c r="R842" s="265" t="n">
        <x:v>400</x:v>
      </x:c>
      <x:c r="S842" s="253" t="str">
        <x:v>Yes</x:v>
      </x:c>
      <x:c r="T842" s="265" t="n">
        <x:v>1200</x:v>
      </x:c>
      <x:c r="U842" s="253" t="str">
        <x:f>IF(AND(S842="Yes",T842=0),"Yes","No")</x:f>
        <x:v>No</x:v>
      </x:c>
      <x:c r="V842" s="253" t="str">
        <x:v>Yes</x:v>
      </x:c>
      <x:c r="W842" s="253" t="str">
        <x:v>Yes</x:v>
      </x:c>
      <x:c r="X842" s="259" t="n">
        <x:v>46180.166666666664</x:v>
      </x:c>
      <x:c r="Y842" s="265" t="n">
        <x:v>1000</x:v>
      </x:c>
      <x:c r="Z842" s="265" t="n">
        <x:v>1500</x:v>
      </x:c>
      <x:c r="AA842" s="253" t="str">
        <x:f>IF(V842="No","Maturing",IF(AND(U842="Yes",Y842&gt;0),"Yes","No"))</x:f>
        <x:v>No</x:v>
      </x:c>
      <x:c r="AB842" s="253" t="str">
        <x:f>IF(W842="No","Maturing",IF(AND(U842="Yes",Z842&gt;0),"Yes","No"))</x:f>
        <x:v>No</x:v>
      </x:c>
      <x:c r="AC842" s="265" t="n">
        <x:v>-800.19</x:v>
      </x:c>
      <x:c r="AD842" s="265" t="n">
        <x:v>-1300.46</x:v>
      </x:c>
      <x:c r="AE842" s="271" t="str"/>
      <x:c r="AF842" s="274" t="str">
        <x:v>Not validated - no control/holdout</x:v>
      </x:c>
      <x:c r="AG842" s="277" t="str">
        <x:v>Recovered execution only; assignment date and unclaimed-offer denominator unavailable</x:v>
      </x:c>
    </x:row>
    <x:row r="843">
      <x:c r="A843" s="252" t="str">
        <x:v>34511359</x:v>
      </x:c>
      <x:c r="B843" s="253" t="str">
        <x:v>WS1</x:v>
      </x:c>
      <x:c r="C843" s="253" t="str">
        <x:v>MB8</x:v>
      </x:c>
      <x:c r="D843" s="262" t="n">
        <x:v>46180.33335648148</x:v>
      </x:c>
      <x:c r="E843" s="259" t="n">
        <x:v>46180.166666666664</x:v>
      </x:c>
      <x:c r="F843" s="253" t="str">
        <x:v>452826</x:v>
      </x:c>
      <x:c r="G843" s="253" t="str">
        <x:v>Waiko119</x:v>
      </x:c>
      <x:c r="H843" s="253" t="str">
        <x:v>Yes</x:v>
      </x:c>
      <x:c r="I843" s="253" t="str">
        <x:v>Elda</x:v>
      </x:c>
      <x:c r="J843" s="253" t="str">
        <x:v>Elda</x:v>
      </x:c>
      <x:c r="K843" s="259" t="n">
        <x:v>45659.166666666664</x:v>
      </x:c>
      <x:c r="L843" s="268" t="str">
        <x:f>IFERROR(VLOOKUP(I843,'Handler-Team Map'!$A$7:$C$17,2,FALSE),"")</x:f>
      </x:c>
      <x:c r="M843" s="268" t="str">
        <x:f>IFERROR(VLOOKUP(I843,'Handler-Team Map'!$A$7:$C$17,3,FALSE),"")</x:f>
      </x:c>
      <x:c r="N843" s="274" t="str">
        <x:v>FT_VM_DEP1000_GET900_1X</x:v>
      </x:c>
      <x:c r="O843" s="274" t="str">
        <x:v>VIP BONUS - Deposit 1000 Get 900 - 1x TO</x:v>
      </x:c>
      <x:c r="P843" s="274" t="str">
        <x:v>DepositBonus</x:v>
      </x:c>
      <x:c r="Q843" s="274" t="str">
        <x:v>Approved</x:v>
      </x:c>
      <x:c r="R843" s="265" t="n">
        <x:v>900</x:v>
      </x:c>
      <x:c r="S843" s="253" t="str">
        <x:v>Yes</x:v>
      </x:c>
      <x:c r="T843" s="265" t="n">
        <x:v>1000</x:v>
      </x:c>
      <x:c r="U843" s="253" t="str">
        <x:f>IF(AND(S843="Yes",T843=0),"Yes","No")</x:f>
        <x:v>No</x:v>
      </x:c>
      <x:c r="V843" s="253" t="str">
        <x:v>Yes</x:v>
      </x:c>
      <x:c r="W843" s="253" t="str">
        <x:v>Yes</x:v>
      </x:c>
      <x:c r="X843" s="259" t="n">
        <x:v>46180.166666666664</x:v>
      </x:c>
      <x:c r="Y843" s="265" t="n">
        <x:v>1000</x:v>
      </x:c>
      <x:c r="Z843" s="265" t="n">
        <x:v>1000</x:v>
      </x:c>
      <x:c r="AA843" s="253" t="str">
        <x:f>IF(V843="No","Maturing",IF(AND(U843="Yes",Y843&gt;0),"Yes","No"))</x:f>
        <x:v>No</x:v>
      </x:c>
      <x:c r="AB843" s="253" t="str">
        <x:f>IF(W843="No","Maturing",IF(AND(U843="Yes",Z843&gt;0),"Yes","No"))</x:f>
        <x:v>No</x:v>
      </x:c>
      <x:c r="AC843" s="265" t="n">
        <x:v>999.6</x:v>
      </x:c>
      <x:c r="AD843" s="265" t="n">
        <x:v>999.6</x:v>
      </x:c>
      <x:c r="AE843" s="271" t="str"/>
      <x:c r="AF843" s="274" t="str">
        <x:v>Not validated - no control/holdout</x:v>
      </x:c>
      <x:c r="AG843" s="277" t="str">
        <x:v>Recovered execution only; assignment date and unclaimed-offer denominator unavailable</x:v>
      </x:c>
    </x:row>
    <x:row r="844">
      <x:c r="A844" s="252" t="str">
        <x:v>34512913</x:v>
      </x:c>
      <x:c r="B844" s="253" t="str">
        <x:v>WS1</x:v>
      </x:c>
      <x:c r="C844" s="253" t="str">
        <x:v>MB8</x:v>
      </x:c>
      <x:c r="D844" s="262" t="n">
        <x:v>46180.53590277778</x:v>
      </x:c>
      <x:c r="E844" s="259" t="n">
        <x:v>46180.166666666664</x:v>
      </x:c>
      <x:c r="F844" s="253" t="str">
        <x:v>676296</x:v>
      </x:c>
      <x:c r="G844" s="253" t="str">
        <x:v>ngmuhau</x:v>
      </x:c>
      <x:c r="H844" s="253" t="str">
        <x:v>Yes</x:v>
      </x:c>
      <x:c r="I844" s="253" t="str">
        <x:v>Jiahui</x:v>
      </x:c>
      <x:c r="J844" s="253" t="str">
        <x:v>Jiahui</x:v>
      </x:c>
      <x:c r="K844" s="259" t="n">
        <x:v>45993.166666666664</x:v>
      </x:c>
      <x:c r="L844" s="268" t="str">
        <x:f>IFERROR(VLOOKUP(I844,'Handler-Team Map'!$A$7:$C$17,2,FALSE),"")</x:f>
      </x:c>
      <x:c r="M844" s="268" t="str">
        <x:f>IFERROR(VLOOKUP(I844,'Handler-Team Map'!$A$7:$C$17,3,FALSE),"")</x:f>
      </x:c>
      <x:c r="N844" s="274" t="str">
        <x:v>FT_VM_DEP300_GET100_5X</x:v>
      </x:c>
      <x:c r="O844" s="274" t="str">
        <x:v>VIP BONUS - Deposit 300 Get 100 - 5x TO</x:v>
      </x:c>
      <x:c r="P844" s="274" t="str">
        <x:v>DepositBonus</x:v>
      </x:c>
      <x:c r="Q844" s="274" t="str">
        <x:v>Approved</x:v>
      </x:c>
      <x:c r="R844" s="265" t="n">
        <x:v>100</x:v>
      </x:c>
      <x:c r="S844" s="253" t="str">
        <x:v>Yes</x:v>
      </x:c>
      <x:c r="T844" s="265" t="n">
        <x:v>36700</x:v>
      </x:c>
      <x:c r="U844" s="253" t="str">
        <x:f>IF(AND(S844="Yes",T844=0),"Yes","No")</x:f>
        <x:v>No</x:v>
      </x:c>
      <x:c r="V844" s="253" t="str">
        <x:v>Yes</x:v>
      </x:c>
      <x:c r="W844" s="253" t="str">
        <x:v>Yes</x:v>
      </x:c>
      <x:c r="X844" s="259" t="n">
        <x:v>46180.166666666664</x:v>
      </x:c>
      <x:c r="Y844" s="265" t="n">
        <x:v>21800</x:v>
      </x:c>
      <x:c r="Z844" s="265" t="n">
        <x:v>47300</x:v>
      </x:c>
      <x:c r="AA844" s="253" t="str">
        <x:f>IF(V844="No","Maturing",IF(AND(U844="Yes",Y844&gt;0),"Yes","No"))</x:f>
        <x:v>No</x:v>
      </x:c>
      <x:c r="AB844" s="253" t="str">
        <x:f>IF(W844="No","Maturing",IF(AND(U844="Yes",Z844&gt;0),"Yes","No"))</x:f>
        <x:v>No</x:v>
      </x:c>
      <x:c r="AC844" s="265" t="n">
        <x:v>-5391.39</x:v>
      </x:c>
      <x:c r="AD844" s="265" t="n">
        <x:v>-9308.96</x:v>
      </x:c>
      <x:c r="AE844" s="271" t="str"/>
      <x:c r="AF844" s="274" t="str">
        <x:v>Not validated - no control/holdout</x:v>
      </x:c>
      <x:c r="AG844" s="277" t="str">
        <x:v>Recovered execution only; assignment date and unclaimed-offer denominator unavailable</x:v>
      </x:c>
    </x:row>
    <x:row r="845">
      <x:c r="A845" s="252" t="str">
        <x:v>34513976</x:v>
      </x:c>
      <x:c r="B845" s="253" t="str">
        <x:v>WS1</x:v>
      </x:c>
      <x:c r="C845" s="253" t="str">
        <x:v>MB8</x:v>
      </x:c>
      <x:c r="D845" s="262" t="n">
        <x:v>46180.62975694444</x:v>
      </x:c>
      <x:c r="E845" s="259" t="n">
        <x:v>46180.166666666664</x:v>
      </x:c>
      <x:c r="F845" s="253" t="str">
        <x:v>58882</x:v>
      </x:c>
      <x:c r="G845" s="253" t="str">
        <x:v>Farfr96</x:v>
      </x:c>
      <x:c r="H845" s="253" t="str">
        <x:v>Yes</x:v>
      </x:c>
      <x:c r="I845" s="253" t="str"/>
      <x:c r="J845" s="253" t="str"/>
      <x:c r="K845" s="259"/>
      <x:c r="L845" s="268" t="str">
        <x:f>IFERROR(VLOOKUP(I845,'Handler-Team Map'!$A$7:$C$17,2,FALSE),"")</x:f>
      </x:c>
      <x:c r="M845" s="268" t="str">
        <x:f>IFERROR(VLOOKUP(I845,'Handler-Team Map'!$A$7:$C$17,3,FALSE),"")</x:f>
      </x:c>
      <x:c r="N845" s="274" t="str">
        <x:v>FT_VM_DEP800_GET400_1X</x:v>
      </x:c>
      <x:c r="O845" s="274" t="str">
        <x:v>VIP BONUS - Deposit 800 Get 400 - 1x TO</x:v>
      </x:c>
      <x:c r="P845" s="274" t="str">
        <x:v>DepositBonus</x:v>
      </x:c>
      <x:c r="Q845" s="274" t="str">
        <x:v>Approved</x:v>
      </x:c>
      <x:c r="R845" s="265" t="n">
        <x:v>400</x:v>
      </x:c>
      <x:c r="S845" s="253" t="str">
        <x:v>Yes</x:v>
      </x:c>
      <x:c r="T845" s="265" t="n">
        <x:v>100</x:v>
      </x:c>
      <x:c r="U845" s="253" t="str">
        <x:f>IF(AND(S845="Yes",T845=0),"Yes","No")</x:f>
        <x:v>No</x:v>
      </x:c>
      <x:c r="V845" s="253" t="str">
        <x:v>Yes</x:v>
      </x:c>
      <x:c r="W845" s="253" t="str">
        <x:v>Yes</x:v>
      </x:c>
      <x:c r="X845" s="259" t="n">
        <x:v>46180.166666666664</x:v>
      </x:c>
      <x:c r="Y845" s="265" t="n">
        <x:v>830</x:v>
      </x:c>
      <x:c r="Z845" s="265" t="n">
        <x:v>830</x:v>
      </x:c>
      <x:c r="AA845" s="253" t="str">
        <x:f>IF(V845="No","Maturing",IF(AND(U845="Yes",Y845&gt;0),"Yes","No"))</x:f>
        <x:v>No</x:v>
      </x:c>
      <x:c r="AB845" s="253" t="str">
        <x:f>IF(W845="No","Maturing",IF(AND(U845="Yes",Z845&gt;0),"Yes","No"))</x:f>
        <x:v>No</x:v>
      </x:c>
      <x:c r="AC845" s="265" t="n">
        <x:v>-570.28</x:v>
      </x:c>
      <x:c r="AD845" s="265" t="n">
        <x:v>-570.32</x:v>
      </x:c>
      <x:c r="AE845" s="271" t="str"/>
      <x:c r="AF845" s="274" t="str">
        <x:v>Not validated - no control/holdout</x:v>
      </x:c>
      <x:c r="AG845" s="277" t="str">
        <x:v>Recovered execution only; assignment date and unclaimed-offer denominator unavailable</x:v>
      </x:c>
    </x:row>
    <x:row r="846">
      <x:c r="A846" s="252" t="str">
        <x:v>34514300</x:v>
      </x:c>
      <x:c r="B846" s="253" t="str">
        <x:v>WS1</x:v>
      </x:c>
      <x:c r="C846" s="253" t="str">
        <x:v>MB8</x:v>
      </x:c>
      <x:c r="D846" s="262" t="n">
        <x:v>46180.65528935185</x:v>
      </x:c>
      <x:c r="E846" s="259" t="n">
        <x:v>46180.166666666664</x:v>
      </x:c>
      <x:c r="F846" s="253" t="str">
        <x:v>1210975</x:v>
      </x:c>
      <x:c r="G846" s="253" t="str">
        <x:v>hardev90</x:v>
      </x:c>
      <x:c r="H846" s="253" t="str">
        <x:v>Yes</x:v>
      </x:c>
      <x:c r="I846" s="253" t="str"/>
      <x:c r="J846" s="253" t="str"/>
      <x:c r="K846" s="259"/>
      <x:c r="L846" s="268" t="str">
        <x:f>IFERROR(VLOOKUP(I846,'Handler-Team Map'!$A$7:$C$17,2,FALSE),"")</x:f>
      </x:c>
      <x:c r="M846" s="268" t="str">
        <x:f>IFERROR(VLOOKUP(I846,'Handler-Team Map'!$A$7:$C$17,3,FALSE),"")</x:f>
      </x:c>
      <x:c r="N846" s="274" t="str">
        <x:v>FT_VM_DEP1000_GET1000_1X</x:v>
      </x:c>
      <x:c r="O846" s="274" t="str">
        <x:v>VIP BONUS - Deposit 1000 Get 1000 - 1x TO</x:v>
      </x:c>
      <x:c r="P846" s="274" t="str">
        <x:v>DepositBonus</x:v>
      </x:c>
      <x:c r="Q846" s="274" t="str">
        <x:v>Approved</x:v>
      </x:c>
      <x:c r="R846" s="265" t="n">
        <x:v>1000</x:v>
      </x:c>
      <x:c r="S846" s="253" t="str">
        <x:v>Yes</x:v>
      </x:c>
      <x:c r="T846" s="265" t="n">
        <x:v>476283</x:v>
      </x:c>
      <x:c r="U846" s="253" t="str">
        <x:f>IF(AND(S846="Yes",T846=0),"Yes","No")</x:f>
        <x:v>No</x:v>
      </x:c>
      <x:c r="V846" s="253" t="str">
        <x:v>Yes</x:v>
      </x:c>
      <x:c r="W846" s="253" t="str">
        <x:v>Yes</x:v>
      </x:c>
      <x:c r="X846" s="259" t="n">
        <x:v>46180.166666666664</x:v>
      </x:c>
      <x:c r="Y846" s="265" t="n">
        <x:v>132319</x:v>
      </x:c>
      <x:c r="Z846" s="265" t="n">
        <x:v>244804</x:v>
      </x:c>
      <x:c r="AA846" s="253" t="str">
        <x:f>IF(V846="No","Maturing",IF(AND(U846="Yes",Y846&gt;0),"Yes","No"))</x:f>
        <x:v>No</x:v>
      </x:c>
      <x:c r="AB846" s="253" t="str">
        <x:f>IF(W846="No","Maturing",IF(AND(U846="Yes",Z846&gt;0),"Yes","No"))</x:f>
        <x:v>No</x:v>
      </x:c>
      <x:c r="AC846" s="265" t="n">
        <x:v>115322.97</x:v>
      </x:c>
      <x:c r="AD846" s="265" t="n">
        <x:v>189808.04</x:v>
      </x:c>
      <x:c r="AE846" s="271" t="str"/>
      <x:c r="AF846" s="274" t="str">
        <x:v>Not validated - no control/holdout</x:v>
      </x:c>
      <x:c r="AG846" s="277" t="str">
        <x:v>Recovered execution only; assignment date and unclaimed-offer denominator unavailable</x:v>
      </x:c>
    </x:row>
    <x:row r="847">
      <x:c r="A847" s="252" t="str">
        <x:v>34516144</x:v>
      </x:c>
      <x:c r="B847" s="253" t="str">
        <x:v>WS1</x:v>
      </x:c>
      <x:c r="C847" s="253" t="str">
        <x:v>MB8</x:v>
      </x:c>
      <x:c r="D847" s="262" t="n">
        <x:v>46180.77842592593</x:v>
      </x:c>
      <x:c r="E847" s="259" t="n">
        <x:v>46180.166666666664</x:v>
      </x:c>
      <x:c r="F847" s="253" t="str">
        <x:v>1171982</x:v>
      </x:c>
      <x:c r="G847" s="253" t="str">
        <x:v>ning1366</x:v>
      </x:c>
      <x:c r="H847" s="253" t="str">
        <x:v>Yes</x:v>
      </x:c>
      <x:c r="I847" s="253" t="str"/>
      <x:c r="J847" s="253" t="str"/>
      <x:c r="K847" s="259"/>
      <x:c r="L847" s="268" t="str">
        <x:f>IFERROR(VLOOKUP(I847,'Handler-Team Map'!$A$7:$C$17,2,FALSE),"")</x:f>
      </x:c>
      <x:c r="M847" s="268" t="str">
        <x:f>IFERROR(VLOOKUP(I847,'Handler-Team Map'!$A$7:$C$17,3,FALSE),"")</x:f>
      </x:c>
      <x:c r="N847" s="274" t="str">
        <x:v>FT_VM_DEP1000_GET500_5X</x:v>
      </x:c>
      <x:c r="O847" s="274" t="str">
        <x:v>VIP BONUS - Deposit 1000 Get 500 - 5x TO</x:v>
      </x:c>
      <x:c r="P847" s="274" t="str">
        <x:v>DepositBonus</x:v>
      </x:c>
      <x:c r="Q847" s="274" t="str">
        <x:v>Approved</x:v>
      </x:c>
      <x:c r="R847" s="265" t="n">
        <x:v>500</x:v>
      </x:c>
      <x:c r="S847" s="253" t="str">
        <x:v>Yes</x:v>
      </x:c>
      <x:c r="T847" s="265" t="n">
        <x:v>7050</x:v>
      </x:c>
      <x:c r="U847" s="253" t="str">
        <x:f>IF(AND(S847="Yes",T847=0),"Yes","No")</x:f>
        <x:v>No</x:v>
      </x:c>
      <x:c r="V847" s="253" t="str">
        <x:v>Yes</x:v>
      </x:c>
      <x:c r="W847" s="253" t="str">
        <x:v>Yes</x:v>
      </x:c>
      <x:c r="X847" s="259" t="n">
        <x:v>46180.166666666664</x:v>
      </x:c>
      <x:c r="Y847" s="265" t="n">
        <x:v>1850</x:v>
      </x:c>
      <x:c r="Z847" s="265" t="n">
        <x:v>1850</x:v>
      </x:c>
      <x:c r="AA847" s="253" t="str">
        <x:f>IF(V847="No","Maturing",IF(AND(U847="Yes",Y847&gt;0),"Yes","No"))</x:f>
        <x:v>No</x:v>
      </x:c>
      <x:c r="AB847" s="253" t="str">
        <x:f>IF(W847="No","Maturing",IF(AND(U847="Yes",Z847&gt;0),"Yes","No"))</x:f>
        <x:v>No</x:v>
      </x:c>
      <x:c r="AC847" s="265" t="n">
        <x:v>1849.93</x:v>
      </x:c>
      <x:c r="AD847" s="265" t="n">
        <x:v>1849.93</x:v>
      </x:c>
      <x:c r="AE847" s="271" t="str"/>
      <x:c r="AF847" s="274" t="str">
        <x:v>Not validated - no control/holdout</x:v>
      </x:c>
      <x:c r="AG847" s="277" t="str">
        <x:v>Recovered execution only; assignment date and unclaimed-offer denominator unavailable</x:v>
      </x:c>
    </x:row>
    <x:row r="848">
      <x:c r="A848" s="252" t="str">
        <x:v>34516849</x:v>
      </x:c>
      <x:c r="B848" s="253" t="str">
        <x:v>WS1</x:v>
      </x:c>
      <x:c r="C848" s="253" t="str">
        <x:v>MB8</x:v>
      </x:c>
      <x:c r="D848" s="262" t="n">
        <x:v>46180.830462962964</x:v>
      </x:c>
      <x:c r="E848" s="259" t="n">
        <x:v>46180.166666666664</x:v>
      </x:c>
      <x:c r="F848" s="253" t="str">
        <x:v>841814</x:v>
      </x:c>
      <x:c r="G848" s="253" t="str">
        <x:v>Amanda89</x:v>
      </x:c>
      <x:c r="H848" s="253" t="str">
        <x:v>Yes</x:v>
      </x:c>
      <x:c r="I848" s="253" t="str"/>
      <x:c r="J848" s="253" t="str"/>
      <x:c r="K848" s="259"/>
      <x:c r="L848" s="268" t="str">
        <x:f>IFERROR(VLOOKUP(I848,'Handler-Team Map'!$A$7:$C$17,2,FALSE),"")</x:f>
      </x:c>
      <x:c r="M848" s="268" t="str">
        <x:f>IFERROR(VLOOKUP(I848,'Handler-Team Map'!$A$7:$C$17,3,FALSE),"")</x:f>
      </x:c>
      <x:c r="N848" s="274" t="str">
        <x:v>FT_VM_DEP800_GET400_2X</x:v>
      </x:c>
      <x:c r="O848" s="274" t="str">
        <x:v>VIP BONUS - Deposit 800 Get 400 - 2x TO</x:v>
      </x:c>
      <x:c r="P848" s="274" t="str">
        <x:v>DepositBonus</x:v>
      </x:c>
      <x:c r="Q848" s="274" t="str">
        <x:v>Approved</x:v>
      </x:c>
      <x:c r="R848" s="265" t="n">
        <x:v>400</x:v>
      </x:c>
      <x:c r="S848" s="253" t="str">
        <x:v>Yes</x:v>
      </x:c>
      <x:c r="T848" s="265" t="n">
        <x:v>3360.42</x:v>
      </x:c>
      <x:c r="U848" s="253" t="str">
        <x:f>IF(AND(S848="Yes",T848=0),"Yes","No")</x:f>
        <x:v>No</x:v>
      </x:c>
      <x:c r="V848" s="253" t="str">
        <x:v>Yes</x:v>
      </x:c>
      <x:c r="W848" s="253" t="str">
        <x:v>Yes</x:v>
      </x:c>
      <x:c r="X848" s="259" t="n">
        <x:v>46180.166666666664</x:v>
      </x:c>
      <x:c r="Y848" s="265" t="n">
        <x:v>3620</x:v>
      </x:c>
      <x:c r="Z848" s="265" t="n">
        <x:v>4618</x:v>
      </x:c>
      <x:c r="AA848" s="253" t="str">
        <x:f>IF(V848="No","Maturing",IF(AND(U848="Yes",Y848&gt;0),"Yes","No"))</x:f>
        <x:v>No</x:v>
      </x:c>
      <x:c r="AB848" s="253" t="str">
        <x:f>IF(W848="No","Maturing",IF(AND(U848="Yes",Z848&gt;0),"Yes","No"))</x:f>
        <x:v>No</x:v>
      </x:c>
      <x:c r="AC848" s="265" t="n">
        <x:v>-5208.61</x:v>
      </x:c>
      <x:c r="AD848" s="265" t="n">
        <x:v>-7878.71</x:v>
      </x:c>
      <x:c r="AE848" s="271" t="str"/>
      <x:c r="AF848" s="274" t="str">
        <x:v>Not validated - no control/holdout</x:v>
      </x:c>
      <x:c r="AG848" s="277" t="str">
        <x:v>Recovered execution only; assignment date and unclaimed-offer denominator unavailable</x:v>
      </x:c>
    </x:row>
    <x:row r="849">
      <x:c r="A849" s="252" t="str">
        <x:v>34517629</x:v>
      </x:c>
      <x:c r="B849" s="253" t="str">
        <x:v>WS1</x:v>
      </x:c>
      <x:c r="C849" s="253" t="str">
        <x:v>MB8</x:v>
      </x:c>
      <x:c r="D849" s="262" t="n">
        <x:v>46180.887407407405</x:v>
      </x:c>
      <x:c r="E849" s="259" t="n">
        <x:v>46180.166666666664</x:v>
      </x:c>
      <x:c r="F849" s="253" t="str">
        <x:v>808641</x:v>
      </x:c>
      <x:c r="G849" s="253" t="str">
        <x:v>manlisa75</x:v>
      </x:c>
      <x:c r="H849" s="253" t="str">
        <x:v>Yes</x:v>
      </x:c>
      <x:c r="I849" s="253" t="str">
        <x:v>Kam</x:v>
      </x:c>
      <x:c r="J849" s="253" t="str">
        <x:v>Kam</x:v>
      </x:c>
      <x:c r="K849" s="259" t="n">
        <x:v>45817.166666666664</x:v>
      </x:c>
      <x:c r="L849" s="268" t="str">
        <x:f>IFERROR(VLOOKUP(I849,'Handler-Team Map'!$A$7:$C$17,2,FALSE),"")</x:f>
      </x:c>
      <x:c r="M849" s="268" t="str">
        <x:f>IFERROR(VLOOKUP(I849,'Handler-Team Map'!$A$7:$C$17,3,FALSE),"")</x:f>
      </x:c>
      <x:c r="N849" s="274" t="str">
        <x:v>FT_VM_DEP1000_GET500_5X</x:v>
      </x:c>
      <x:c r="O849" s="274" t="str">
        <x:v>VIP BONUS - Deposit 1000 Get 500 - 5x TO</x:v>
      </x:c>
      <x:c r="P849" s="274" t="str">
        <x:v>DepositBonus</x:v>
      </x:c>
      <x:c r="Q849" s="274" t="str">
        <x:v>Approved</x:v>
      </x:c>
      <x:c r="R849" s="265" t="n">
        <x:v>500</x:v>
      </x:c>
      <x:c r="S849" s="253" t="str">
        <x:v>Yes</x:v>
      </x:c>
      <x:c r="T849" s="265" t="n">
        <x:v>98950</x:v>
      </x:c>
      <x:c r="U849" s="253" t="str">
        <x:f>IF(AND(S849="Yes",T849=0),"Yes","No")</x:f>
        <x:v>No</x:v>
      </x:c>
      <x:c r="V849" s="253" t="str">
        <x:v>Yes</x:v>
      </x:c>
      <x:c r="W849" s="253" t="str">
        <x:v>Yes</x:v>
      </x:c>
      <x:c r="X849" s="259" t="n">
        <x:v>46180.166666666664</x:v>
      </x:c>
      <x:c r="Y849" s="265" t="n">
        <x:v>29000</x:v>
      </x:c>
      <x:c r="Z849" s="265" t="n">
        <x:v>29200</x:v>
      </x:c>
      <x:c r="AA849" s="253" t="str">
        <x:f>IF(V849="No","Maturing",IF(AND(U849="Yes",Y849&gt;0),"Yes","No"))</x:f>
        <x:v>No</x:v>
      </x:c>
      <x:c r="AB849" s="253" t="str">
        <x:f>IF(W849="No","Maturing",IF(AND(U849="Yes",Z849&gt;0),"Yes","No"))</x:f>
        <x:v>No</x:v>
      </x:c>
      <x:c r="AC849" s="265" t="n">
        <x:v>28998.73</x:v>
      </x:c>
      <x:c r="AD849" s="265" t="n">
        <x:v>29196.72</x:v>
      </x:c>
      <x:c r="AE849" s="271" t="str"/>
      <x:c r="AF849" s="274" t="str">
        <x:v>Not validated - no control/holdout</x:v>
      </x:c>
      <x:c r="AG849" s="277" t="str">
        <x:v>Recovered execution only; assignment date and unclaimed-offer denominator unavailable</x:v>
      </x:c>
    </x:row>
    <x:row r="850">
      <x:c r="A850" s="252" t="str">
        <x:v>34519845</x:v>
      </x:c>
      <x:c r="B850" s="253" t="str">
        <x:v>WS1</x:v>
      </x:c>
      <x:c r="C850" s="253" t="str">
        <x:v>MB8</x:v>
      </x:c>
      <x:c r="D850" s="262" t="n">
        <x:v>46181.0212962963</x:v>
      </x:c>
      <x:c r="E850" s="259" t="n">
        <x:v>46181.166666666664</x:v>
      </x:c>
      <x:c r="F850" s="253" t="str">
        <x:v>658056</x:v>
      </x:c>
      <x:c r="G850" s="253" t="str">
        <x:v>nuhj18</x:v>
      </x:c>
      <x:c r="H850" s="253" t="str">
        <x:v>Yes</x:v>
      </x:c>
      <x:c r="I850" s="253" t="str">
        <x:v>Christy</x:v>
      </x:c>
      <x:c r="J850" s="253" t="str">
        <x:v>Christy</x:v>
      </x:c>
      <x:c r="K850" s="259" t="n">
        <x:v>45831.166666666664</x:v>
      </x:c>
      <x:c r="L850" s="268" t="str">
        <x:f>IFERROR(VLOOKUP(I850,'Handler-Team Map'!$A$7:$C$17,2,FALSE),"")</x:f>
      </x:c>
      <x:c r="M850" s="268" t="str">
        <x:f>IFERROR(VLOOKUP(I850,'Handler-Team Map'!$A$7:$C$17,3,FALSE),"")</x:f>
      </x:c>
      <x:c r="N850" s="274" t="str">
        <x:v>FT_VM_DEP150_GET50_5X</x:v>
      </x:c>
      <x:c r="O850" s="274" t="str">
        <x:v>VIP BONUS - Deposit 150 Get 50 - 5x TO</x:v>
      </x:c>
      <x:c r="P850" s="274" t="str">
        <x:v>DepositBonus</x:v>
      </x:c>
      <x:c r="Q850" s="274" t="str">
        <x:v>Approved</x:v>
      </x:c>
      <x:c r="R850" s="265" t="n">
        <x:v>50</x:v>
      </x:c>
      <x:c r="S850" s="253" t="str">
        <x:v>Yes</x:v>
      </x:c>
      <x:c r="T850" s="265" t="n">
        <x:v>12647</x:v>
      </x:c>
      <x:c r="U850" s="253" t="str">
        <x:f>IF(AND(S850="Yes",T850=0),"Yes","No")</x:f>
        <x:v>No</x:v>
      </x:c>
      <x:c r="V850" s="253" t="str">
        <x:v>Yes</x:v>
      </x:c>
      <x:c r="W850" s="253" t="str">
        <x:v>Yes</x:v>
      </x:c>
      <x:c r="X850" s="259" t="n">
        <x:v>46181.166666666664</x:v>
      </x:c>
      <x:c r="Y850" s="265" t="n">
        <x:v>5576</x:v>
      </x:c>
      <x:c r="Z850" s="265" t="n">
        <x:v>7949</x:v>
      </x:c>
      <x:c r="AA850" s="253" t="str">
        <x:f>IF(V850="No","Maturing",IF(AND(U850="Yes",Y850&gt;0),"Yes","No"))</x:f>
        <x:v>No</x:v>
      </x:c>
      <x:c r="AB850" s="253" t="str">
        <x:f>IF(W850="No","Maturing",IF(AND(U850="Yes",Z850&gt;0),"Yes","No"))</x:f>
        <x:v>No</x:v>
      </x:c>
      <x:c r="AC850" s="265" t="n">
        <x:v>942.13</x:v>
      </x:c>
      <x:c r="AD850" s="265" t="n">
        <x:v>-437.64</x:v>
      </x:c>
      <x:c r="AE850" s="271" t="str"/>
      <x:c r="AF850" s="274" t="str">
        <x:v>Not validated - no control/holdout</x:v>
      </x:c>
      <x:c r="AG850" s="277" t="str">
        <x:v>Recovered execution only; assignment date and unclaimed-offer denominator unavailable</x:v>
      </x:c>
    </x:row>
    <x:row r="851">
      <x:c r="A851" s="252" t="str">
        <x:v>34523351</x:v>
      </x:c>
      <x:c r="B851" s="253" t="str">
        <x:v>WS1</x:v>
      </x:c>
      <x:c r="C851" s="253" t="str">
        <x:v>MB8</x:v>
      </x:c>
      <x:c r="D851" s="262" t="n">
        <x:v>46181.433645833335</x:v>
      </x:c>
      <x:c r="E851" s="259" t="n">
        <x:v>46181.166666666664</x:v>
      </x:c>
      <x:c r="F851" s="253" t="str">
        <x:v>1181391</x:v>
      </x:c>
      <x:c r="G851" s="253" t="str">
        <x:v>Kook27</x:v>
      </x:c>
      <x:c r="H851" s="253" t="str">
        <x:v>Yes</x:v>
      </x:c>
      <x:c r="I851" s="253" t="str">
        <x:v>Jiahui</x:v>
      </x:c>
      <x:c r="J851" s="253" t="str">
        <x:v>Jiahui</x:v>
      </x:c>
      <x:c r="K851" s="259" t="n">
        <x:v>45811.166666666664</x:v>
      </x:c>
      <x:c r="L851" s="268" t="str">
        <x:f>IFERROR(VLOOKUP(I851,'Handler-Team Map'!$A$7:$C$17,2,FALSE),"")</x:f>
      </x:c>
      <x:c r="M851" s="268" t="str">
        <x:f>IFERROR(VLOOKUP(I851,'Handler-Team Map'!$A$7:$C$17,3,FALSE),"")</x:f>
      </x:c>
      <x:c r="N851" s="274" t="str">
        <x:v>FT_VM_DEP1000_GET500_5X</x:v>
      </x:c>
      <x:c r="O851" s="274" t="str">
        <x:v>VIP BONUS - Deposit 1000 Get 500 - 5x TO</x:v>
      </x:c>
      <x:c r="P851" s="274" t="str">
        <x:v>DepositBonus</x:v>
      </x:c>
      <x:c r="Q851" s="274" t="str">
        <x:v>Approved</x:v>
      </x:c>
      <x:c r="R851" s="265" t="n">
        <x:v>500</x:v>
      </x:c>
      <x:c r="S851" s="253" t="str">
        <x:v>Yes</x:v>
      </x:c>
      <x:c r="T851" s="265" t="n">
        <x:v>2400</x:v>
      </x:c>
      <x:c r="U851" s="253" t="str">
        <x:f>IF(AND(S851="Yes",T851=0),"Yes","No")</x:f>
        <x:v>No</x:v>
      </x:c>
      <x:c r="V851" s="253" t="str">
        <x:v>Yes</x:v>
      </x:c>
      <x:c r="W851" s="253" t="str">
        <x:v>Yes</x:v>
      </x:c>
      <x:c r="X851" s="259" t="n">
        <x:v>46181.166666666664</x:v>
      </x:c>
      <x:c r="Y851" s="265" t="n">
        <x:v>1000</x:v>
      </x:c>
      <x:c r="Z851" s="265" t="n">
        <x:v>2000</x:v>
      </x:c>
      <x:c r="AA851" s="253" t="str">
        <x:f>IF(V851="No","Maturing",IF(AND(U851="Yes",Y851&gt;0),"Yes","No"))</x:f>
        <x:v>No</x:v>
      </x:c>
      <x:c r="AB851" s="253" t="str">
        <x:f>IF(W851="No","Maturing",IF(AND(U851="Yes",Z851&gt;0),"Yes","No"))</x:f>
        <x:v>No</x:v>
      </x:c>
      <x:c r="AC851" s="265" t="n">
        <x:v>999.49</x:v>
      </x:c>
      <x:c r="AD851" s="265" t="n">
        <x:v>2000.27</x:v>
      </x:c>
      <x:c r="AE851" s="271" t="str"/>
      <x:c r="AF851" s="274" t="str">
        <x:v>Not validated - no control/holdout</x:v>
      </x:c>
      <x:c r="AG851" s="277" t="str">
        <x:v>Recovered execution only; assignment date and unclaimed-offer denominator unavailable</x:v>
      </x:c>
    </x:row>
    <x:row r="852">
      <x:c r="A852" s="252" t="str">
        <x:v>34524057</x:v>
      </x:c>
      <x:c r="B852" s="253" t="str">
        <x:v>WS1</x:v>
      </x:c>
      <x:c r="C852" s="253" t="str">
        <x:v>MB8</x:v>
      </x:c>
      <x:c r="D852" s="262" t="n">
        <x:v>46181.50503472222</x:v>
      </x:c>
      <x:c r="E852" s="259" t="n">
        <x:v>46181.166666666664</x:v>
      </x:c>
      <x:c r="F852" s="253" t="str">
        <x:v>158072</x:v>
      </x:c>
      <x:c r="G852" s="253" t="str">
        <x:v>jackycheng7</x:v>
      </x:c>
      <x:c r="H852" s="253" t="str">
        <x:v>Yes</x:v>
      </x:c>
      <x:c r="I852" s="253" t="str"/>
      <x:c r="J852" s="253" t="str"/>
      <x:c r="K852" s="259"/>
      <x:c r="L852" s="268" t="str">
        <x:f>IFERROR(VLOOKUP(I852,'Handler-Team Map'!$A$7:$C$17,2,FALSE),"")</x:f>
      </x:c>
      <x:c r="M852" s="268" t="str">
        <x:f>IFERROR(VLOOKUP(I852,'Handler-Team Map'!$A$7:$C$17,3,FALSE),"")</x:f>
      </x:c>
      <x:c r="N852" s="274" t="str">
        <x:v>FT_VM_DEP800_GET400_1X</x:v>
      </x:c>
      <x:c r="O852" s="274" t="str">
        <x:v>VIP BONUS - Deposit 800 Get 400 - 1x TO</x:v>
      </x:c>
      <x:c r="P852" s="274" t="str">
        <x:v>DepositBonus</x:v>
      </x:c>
      <x:c r="Q852" s="274" t="str">
        <x:v>Approved</x:v>
      </x:c>
      <x:c r="R852" s="265" t="n">
        <x:v>400</x:v>
      </x:c>
      <x:c r="S852" s="253" t="str">
        <x:v>Yes</x:v>
      </x:c>
      <x:c r="T852" s="265" t="n">
        <x:v>100</x:v>
      </x:c>
      <x:c r="U852" s="253" t="str">
        <x:f>IF(AND(S852="Yes",T852=0),"Yes","No")</x:f>
        <x:v>No</x:v>
      </x:c>
      <x:c r="V852" s="253" t="str">
        <x:v>Yes</x:v>
      </x:c>
      <x:c r="W852" s="253" t="str">
        <x:v>Yes</x:v>
      </x:c>
      <x:c r="X852" s="259" t="n">
        <x:v>46181.166666666664</x:v>
      </x:c>
      <x:c r="Y852" s="265" t="n">
        <x:v>900</x:v>
      </x:c>
      <x:c r="Z852" s="265" t="n">
        <x:v>900</x:v>
      </x:c>
      <x:c r="AA852" s="253" t="str">
        <x:f>IF(V852="No","Maturing",IF(AND(U852="Yes",Y852&gt;0),"Yes","No"))</x:f>
        <x:v>No</x:v>
      </x:c>
      <x:c r="AB852" s="253" t="str">
        <x:f>IF(W852="No","Maturing",IF(AND(U852="Yes",Z852&gt;0),"Yes","No"))</x:f>
        <x:v>No</x:v>
      </x:c>
      <x:c r="AC852" s="265" t="n">
        <x:v>-197.67</x:v>
      </x:c>
      <x:c r="AD852" s="265" t="n">
        <x:v>-197.67</x:v>
      </x:c>
      <x:c r="AE852" s="271" t="str"/>
      <x:c r="AF852" s="274" t="str">
        <x:v>Not validated - no control/holdout</x:v>
      </x:c>
      <x:c r="AG852" s="277" t="str">
        <x:v>Recovered execution only; assignment date and unclaimed-offer denominator unavailable</x:v>
      </x:c>
    </x:row>
    <x:row r="853">
      <x:c r="A853" s="252" t="str">
        <x:v>34524117</x:v>
      </x:c>
      <x:c r="B853" s="253" t="str">
        <x:v>WS1</x:v>
      </x:c>
      <x:c r="C853" s="253" t="str">
        <x:v>MB8</x:v>
      </x:c>
      <x:c r="D853" s="262" t="n">
        <x:v>46181.51262731481</x:v>
      </x:c>
      <x:c r="E853" s="259" t="n">
        <x:v>46181.166666666664</x:v>
      </x:c>
      <x:c r="F853" s="253" t="str">
        <x:v>815535</x:v>
      </x:c>
      <x:c r="G853" s="253" t="str">
        <x:v>rusydan86</x:v>
      </x:c>
      <x:c r="H853" s="253" t="str">
        <x:v>Yes</x:v>
      </x:c>
      <x:c r="I853" s="253" t="str"/>
      <x:c r="J853" s="253" t="str"/>
      <x:c r="K853" s="259"/>
      <x:c r="L853" s="268" t="str">
        <x:f>IFERROR(VLOOKUP(I853,'Handler-Team Map'!$A$7:$C$17,2,FALSE),"")</x:f>
      </x:c>
      <x:c r="M853" s="268" t="str">
        <x:f>IFERROR(VLOOKUP(I853,'Handler-Team Map'!$A$7:$C$17,3,FALSE),"")</x:f>
      </x:c>
      <x:c r="N853" s="274" t="str">
        <x:v>FT_VM_DEP1000_GET700_2X</x:v>
      </x:c>
      <x:c r="O853" s="274" t="str">
        <x:v>VIP BONUS - Deposit 1000 Get 700 - 2x TO</x:v>
      </x:c>
      <x:c r="P853" s="274" t="str">
        <x:v>DepositBonus</x:v>
      </x:c>
      <x:c r="Q853" s="274" t="str">
        <x:v>Approved</x:v>
      </x:c>
      <x:c r="R853" s="265" t="n">
        <x:v>700</x:v>
      </x:c>
      <x:c r="S853" s="253" t="str">
        <x:v>Yes</x:v>
      </x:c>
      <x:c r="T853" s="265" t="n">
        <x:v>1000</x:v>
      </x:c>
      <x:c r="U853" s="253" t="str">
        <x:f>IF(AND(S853="Yes",T853=0),"Yes","No")</x:f>
        <x:v>No</x:v>
      </x:c>
      <x:c r="V853" s="253" t="str">
        <x:v>Yes</x:v>
      </x:c>
      <x:c r="W853" s="253" t="str">
        <x:v>Yes</x:v>
      </x:c>
      <x:c r="X853" s="259" t="n">
        <x:v>46181.166666666664</x:v>
      </x:c>
      <x:c r="Y853" s="265" t="n">
        <x:v>4000</x:v>
      </x:c>
      <x:c r="Z853" s="265" t="n">
        <x:v>10000</x:v>
      </x:c>
      <x:c r="AA853" s="253" t="str">
        <x:f>IF(V853="No","Maturing",IF(AND(U853="Yes",Y853&gt;0),"Yes","No"))</x:f>
        <x:v>No</x:v>
      </x:c>
      <x:c r="AB853" s="253" t="str">
        <x:f>IF(W853="No","Maturing",IF(AND(U853="Yes",Z853&gt;0),"Yes","No"))</x:f>
        <x:v>No</x:v>
      </x:c>
      <x:c r="AC853" s="265" t="n">
        <x:v>-3372.63</x:v>
      </x:c>
      <x:c r="AD853" s="265" t="n">
        <x:v>1036.9</x:v>
      </x:c>
      <x:c r="AE853" s="271" t="str"/>
      <x:c r="AF853" s="274" t="str">
        <x:v>Not validated - no control/holdout</x:v>
      </x:c>
      <x:c r="AG853" s="277" t="str">
        <x:v>Recovered execution only; assignment date and unclaimed-offer denominator unavailable</x:v>
      </x:c>
    </x:row>
    <x:row r="854">
      <x:c r="A854" s="252" t="str">
        <x:v>34525352</x:v>
      </x:c>
      <x:c r="B854" s="253" t="str">
        <x:v>WS1</x:v>
      </x:c>
      <x:c r="C854" s="253" t="str">
        <x:v>MB8</x:v>
      </x:c>
      <x:c r="D854" s="262" t="n">
        <x:v>46181.62681712963</x:v>
      </x:c>
      <x:c r="E854" s="259" t="n">
        <x:v>46181.166666666664</x:v>
      </x:c>
      <x:c r="F854" s="253" t="str">
        <x:v>605081</x:v>
      </x:c>
      <x:c r="G854" s="253" t="str">
        <x:v>xxdra</x:v>
      </x:c>
      <x:c r="H854" s="253" t="str">
        <x:v>Yes</x:v>
      </x:c>
      <x:c r="I854" s="253" t="str">
        <x:v>Mikki</x:v>
      </x:c>
      <x:c r="J854" s="253" t="str">
        <x:v>Mikki</x:v>
      </x:c>
      <x:c r="K854" s="259" t="n">
        <x:v>45993.166666666664</x:v>
      </x:c>
      <x:c r="L854" s="268" t="str">
        <x:f>IFERROR(VLOOKUP(I854,'Handler-Team Map'!$A$7:$C$17,2,FALSE),"")</x:f>
      </x:c>
      <x:c r="M854" s="268" t="str">
        <x:f>IFERROR(VLOOKUP(I854,'Handler-Team Map'!$A$7:$C$17,3,FALSE),"")</x:f>
      </x:c>
      <x:c r="N854" s="274" t="str">
        <x:v>FT_VM_DEP1000_GET500_5X</x:v>
      </x:c>
      <x:c r="O854" s="274" t="str">
        <x:v>VIP BONUS - Deposit 1000 Get 500 - 5x TO</x:v>
      </x:c>
      <x:c r="P854" s="274" t="str">
        <x:v>DepositBonus</x:v>
      </x:c>
      <x:c r="Q854" s="274" t="str">
        <x:v>Approved</x:v>
      </x:c>
      <x:c r="R854" s="265" t="n">
        <x:v>500</x:v>
      </x:c>
      <x:c r="S854" s="253" t="str">
        <x:v>Yes</x:v>
      </x:c>
      <x:c r="T854" s="265" t="n">
        <x:v>25690</x:v>
      </x:c>
      <x:c r="U854" s="253" t="str">
        <x:f>IF(AND(S854="Yes",T854=0),"Yes","No")</x:f>
        <x:v>No</x:v>
      </x:c>
      <x:c r="V854" s="253" t="str">
        <x:v>Yes</x:v>
      </x:c>
      <x:c r="W854" s="253" t="str">
        <x:v>Yes</x:v>
      </x:c>
      <x:c r="X854" s="259" t="n">
        <x:v>46181.166666666664</x:v>
      </x:c>
      <x:c r="Y854" s="265" t="n">
        <x:v>8310</x:v>
      </x:c>
      <x:c r="Z854" s="265" t="n">
        <x:v>14840</x:v>
      </x:c>
      <x:c r="AA854" s="253" t="str">
        <x:f>IF(V854="No","Maturing",IF(AND(U854="Yes",Y854&gt;0),"Yes","No"))</x:f>
        <x:v>No</x:v>
      </x:c>
      <x:c r="AB854" s="253" t="str">
        <x:f>IF(W854="No","Maturing",IF(AND(U854="Yes",Z854&gt;0),"Yes","No"))</x:f>
        <x:v>No</x:v>
      </x:c>
      <x:c r="AC854" s="265" t="n">
        <x:v>1598.73</x:v>
      </x:c>
      <x:c r="AD854" s="265" t="n">
        <x:v>2746.38</x:v>
      </x:c>
      <x:c r="AE854" s="271" t="str"/>
      <x:c r="AF854" s="274" t="str">
        <x:v>Not validated - no control/holdout</x:v>
      </x:c>
      <x:c r="AG854" s="277" t="str">
        <x:v>Recovered execution only; assignment date and unclaimed-offer denominator unavailable</x:v>
      </x:c>
    </x:row>
    <x:row r="855">
      <x:c r="A855" s="252" t="str">
        <x:v>34525616</x:v>
      </x:c>
      <x:c r="B855" s="253" t="str">
        <x:v>WS1</x:v>
      </x:c>
      <x:c r="C855" s="253" t="str">
        <x:v>MB8</x:v>
      </x:c>
      <x:c r="D855" s="262" t="n">
        <x:v>46181.64653935185</x:v>
      </x:c>
      <x:c r="E855" s="259" t="n">
        <x:v>46181.166666666664</x:v>
      </x:c>
      <x:c r="F855" s="253" t="str">
        <x:v>476126</x:v>
      </x:c>
      <x:c r="G855" s="253" t="str">
        <x:v>Mahendraj</x:v>
      </x:c>
      <x:c r="H855" s="253" t="str">
        <x:v>Yes</x:v>
      </x:c>
      <x:c r="I855" s="253" t="str">
        <x:v>Sheena</x:v>
      </x:c>
      <x:c r="J855" s="253" t="str">
        <x:v>Sheena</x:v>
      </x:c>
      <x:c r="K855" s="259" t="n">
        <x:v>46090.166666666664</x:v>
      </x:c>
      <x:c r="L855" s="268" t="str">
        <x:f>IFERROR(VLOOKUP(I855,'Handler-Team Map'!$A$7:$C$17,2,FALSE),"")</x:f>
      </x:c>
      <x:c r="M855" s="268" t="str">
        <x:f>IFERROR(VLOOKUP(I855,'Handler-Team Map'!$A$7:$C$17,3,FALSE),"")</x:f>
      </x:c>
      <x:c r="N855" s="274" t="str">
        <x:v>FT_VM_DEP1000_GET800_2X</x:v>
      </x:c>
      <x:c r="O855" s="274" t="str">
        <x:v>VIP BONUS - Deposit 1000 Get 800 - 2x TO</x:v>
      </x:c>
      <x:c r="P855" s="274" t="str">
        <x:v>DepositBonus</x:v>
      </x:c>
      <x:c r="Q855" s="274" t="str">
        <x:v>Approved</x:v>
      </x:c>
      <x:c r="R855" s="265" t="n">
        <x:v>800</x:v>
      </x:c>
      <x:c r="S855" s="253" t="str">
        <x:v>Yes</x:v>
      </x:c>
      <x:c r="T855" s="265" t="n">
        <x:v>6400</x:v>
      </x:c>
      <x:c r="U855" s="253" t="str">
        <x:f>IF(AND(S855="Yes",T855=0),"Yes","No")</x:f>
        <x:v>No</x:v>
      </x:c>
      <x:c r="V855" s="253" t="str">
        <x:v>Yes</x:v>
      </x:c>
      <x:c r="W855" s="253" t="str">
        <x:v>Yes</x:v>
      </x:c>
      <x:c r="X855" s="259" t="n">
        <x:v>46181.166666666664</x:v>
      </x:c>
      <x:c r="Y855" s="265" t="n">
        <x:v>2800</x:v>
      </x:c>
      <x:c r="Z855" s="265" t="n">
        <x:v>2800</x:v>
      </x:c>
      <x:c r="AA855" s="253" t="str">
        <x:f>IF(V855="No","Maturing",IF(AND(U855="Yes",Y855&gt;0),"Yes","No"))</x:f>
        <x:v>No</x:v>
      </x:c>
      <x:c r="AB855" s="253" t="str">
        <x:f>IF(W855="No","Maturing",IF(AND(U855="Yes",Z855&gt;0),"Yes","No"))</x:f>
        <x:v>No</x:v>
      </x:c>
      <x:c r="AC855" s="265" t="n">
        <x:v>-5200.4</x:v>
      </x:c>
      <x:c r="AD855" s="265" t="n">
        <x:v>-5200.4</x:v>
      </x:c>
      <x:c r="AE855" s="271" t="str"/>
      <x:c r="AF855" s="274" t="str">
        <x:v>Not validated - no control/holdout</x:v>
      </x:c>
      <x:c r="AG855" s="277" t="str">
        <x:v>Recovered execution only; assignment date and unclaimed-offer denominator unavailable</x:v>
      </x:c>
    </x:row>
    <x:row r="856">
      <x:c r="A856" s="252" t="str">
        <x:v>34525791</x:v>
      </x:c>
      <x:c r="B856" s="253" t="str">
        <x:v>WS1</x:v>
      </x:c>
      <x:c r="C856" s="253" t="str">
        <x:v>MB8</x:v>
      </x:c>
      <x:c r="D856" s="262" t="n">
        <x:v>46181.66296296296</x:v>
      </x:c>
      <x:c r="E856" s="259" t="n">
        <x:v>46181.166666666664</x:v>
      </x:c>
      <x:c r="F856" s="253" t="str">
        <x:v>827371</x:v>
      </x:c>
      <x:c r="G856" s="253" t="str">
        <x:v>marc187</x:v>
      </x:c>
      <x:c r="H856" s="253" t="str">
        <x:v>Yes</x:v>
      </x:c>
      <x:c r="I856" s="253" t="str">
        <x:v>Claire</x:v>
      </x:c>
      <x:c r="J856" s="253" t="str">
        <x:v>Claire</x:v>
      </x:c>
      <x:c r="K856" s="259" t="n">
        <x:v>45755.166666666664</x:v>
      </x:c>
      <x:c r="L856" s="268" t="str">
        <x:f>IFERROR(VLOOKUP(I856,'Handler-Team Map'!$A$7:$C$17,2,FALSE),"")</x:f>
      </x:c>
      <x:c r="M856" s="268" t="str">
        <x:f>IFERROR(VLOOKUP(I856,'Handler-Team Map'!$A$7:$C$17,3,FALSE),"")</x:f>
      </x:c>
      <x:c r="N856" s="274" t="str">
        <x:v>FT_VM_DEP1000_GET1000_2X</x:v>
      </x:c>
      <x:c r="O856" s="274" t="str">
        <x:v>VIP BONUS - Deposit 1000 Get 1000 - 2x TO</x:v>
      </x:c>
      <x:c r="P856" s="274" t="str">
        <x:v>DepositBonus</x:v>
      </x:c>
      <x:c r="Q856" s="274" t="str">
        <x:v>Approved</x:v>
      </x:c>
      <x:c r="R856" s="265" t="n">
        <x:v>1000</x:v>
      </x:c>
      <x:c r="S856" s="253" t="str">
        <x:v>Yes</x:v>
      </x:c>
      <x:c r="T856" s="265" t="n">
        <x:v>1668363.87</x:v>
      </x:c>
      <x:c r="U856" s="253" t="str">
        <x:f>IF(AND(S856="Yes",T856=0),"Yes","No")</x:f>
        <x:v>No</x:v>
      </x:c>
      <x:c r="V856" s="253" t="str">
        <x:v>Yes</x:v>
      </x:c>
      <x:c r="W856" s="253" t="str">
        <x:v>Yes</x:v>
      </x:c>
      <x:c r="X856" s="259" t="n">
        <x:v>46181.166666666664</x:v>
      </x:c>
      <x:c r="Y856" s="265" t="n">
        <x:v>400960</x:v>
      </x:c>
      <x:c r="Z856" s="265" t="n">
        <x:v>690100</x:v>
      </x:c>
      <x:c r="AA856" s="253" t="str">
        <x:f>IF(V856="No","Maturing",IF(AND(U856="Yes",Y856&gt;0),"Yes","No"))</x:f>
        <x:v>No</x:v>
      </x:c>
      <x:c r="AB856" s="253" t="str">
        <x:f>IF(W856="No","Maturing",IF(AND(U856="Yes",Z856&gt;0),"Yes","No"))</x:f>
        <x:v>No</x:v>
      </x:c>
      <x:c r="AC856" s="265" t="n">
        <x:v>19597.27</x:v>
      </x:c>
      <x:c r="AD856" s="265" t="n">
        <x:v>69855.09</x:v>
      </x:c>
      <x:c r="AE856" s="271" t="str"/>
      <x:c r="AF856" s="274" t="str">
        <x:v>Not validated - no control/holdout</x:v>
      </x:c>
      <x:c r="AG856" s="277" t="str">
        <x:v>Recovered execution only; assignment date and unclaimed-offer denominator unavailable</x:v>
      </x:c>
    </x:row>
    <x:row r="857">
      <x:c r="A857" s="252" t="str">
        <x:v>34525803</x:v>
      </x:c>
      <x:c r="B857" s="253" t="str">
        <x:v>WS1</x:v>
      </x:c>
      <x:c r="C857" s="253" t="str">
        <x:v>MB8</x:v>
      </x:c>
      <x:c r="D857" s="262" t="n">
        <x:v>46181.6634837963</x:v>
      </x:c>
      <x:c r="E857" s="259" t="n">
        <x:v>46181.166666666664</x:v>
      </x:c>
      <x:c r="F857" s="253" t="str">
        <x:v>673118</x:v>
      </x:c>
      <x:c r="G857" s="253" t="str">
        <x:v>Hashim007</x:v>
      </x:c>
      <x:c r="H857" s="253" t="str">
        <x:v>Yes</x:v>
      </x:c>
      <x:c r="I857" s="253" t="str">
        <x:v>Elda</x:v>
      </x:c>
      <x:c r="J857" s="253" t="str">
        <x:v>Elda</x:v>
      </x:c>
      <x:c r="K857" s="259" t="n">
        <x:v>45779.166666666664</x:v>
      </x:c>
      <x:c r="L857" s="268" t="str">
        <x:f>IFERROR(VLOOKUP(I857,'Handler-Team Map'!$A$7:$C$17,2,FALSE),"")</x:f>
      </x:c>
      <x:c r="M857" s="268" t="str">
        <x:f>IFERROR(VLOOKUP(I857,'Handler-Team Map'!$A$7:$C$17,3,FALSE),"")</x:f>
      </x:c>
      <x:c r="N857" s="274" t="str">
        <x:v>FT_VM_DEP300_GET100_5X</x:v>
      </x:c>
      <x:c r="O857" s="274" t="str">
        <x:v>VIP BONUS - Deposit 300 Get 100 - 5x TO</x:v>
      </x:c>
      <x:c r="P857" s="274" t="str">
        <x:v>DepositBonus</x:v>
      </x:c>
      <x:c r="Q857" s="274" t="str">
        <x:v>Approved</x:v>
      </x:c>
      <x:c r="R857" s="265" t="n">
        <x:v>100</x:v>
      </x:c>
      <x:c r="S857" s="253" t="str">
        <x:v>Yes</x:v>
      </x:c>
      <x:c r="T857" s="265" t="n">
        <x:v>3612.87</x:v>
      </x:c>
      <x:c r="U857" s="253" t="str">
        <x:f>IF(AND(S857="Yes",T857=0),"Yes","No")</x:f>
        <x:v>No</x:v>
      </x:c>
      <x:c r="V857" s="253" t="str">
        <x:v>Yes</x:v>
      </x:c>
      <x:c r="W857" s="253" t="str">
        <x:v>Yes</x:v>
      </x:c>
      <x:c r="X857" s="259" t="n">
        <x:v>46181.166666666664</x:v>
      </x:c>
      <x:c r="Y857" s="265" t="n">
        <x:v>950</x:v>
      </x:c>
      <x:c r="Z857" s="265" t="n">
        <x:v>2250</x:v>
      </x:c>
      <x:c r="AA857" s="253" t="str">
        <x:f>IF(V857="No","Maturing",IF(AND(U857="Yes",Y857&gt;0),"Yes","No"))</x:f>
        <x:v>No</x:v>
      </x:c>
      <x:c r="AB857" s="253" t="str">
        <x:f>IF(W857="No","Maturing",IF(AND(U857="Yes",Z857&gt;0),"Yes","No"))</x:f>
        <x:v>No</x:v>
      </x:c>
      <x:c r="AC857" s="265" t="n">
        <x:v>946.69</x:v>
      </x:c>
      <x:c r="AD857" s="265" t="n">
        <x:v>1251.47</x:v>
      </x:c>
      <x:c r="AE857" s="271" t="str"/>
      <x:c r="AF857" s="274" t="str">
        <x:v>Not validated - no control/holdout</x:v>
      </x:c>
      <x:c r="AG857" s="277" t="str">
        <x:v>Recovered execution only; assignment date and unclaimed-offer denominator unavailable</x:v>
      </x:c>
    </x:row>
    <x:row r="858">
      <x:c r="A858" s="252" t="str">
        <x:v>34525838</x:v>
      </x:c>
      <x:c r="B858" s="253" t="str">
        <x:v>WS1</x:v>
      </x:c>
      <x:c r="C858" s="253" t="str">
        <x:v>MB8</x:v>
      </x:c>
      <x:c r="D858" s="262" t="n">
        <x:v>46181.66716435185</x:v>
      </x:c>
      <x:c r="E858" s="259" t="n">
        <x:v>46181.166666666664</x:v>
      </x:c>
      <x:c r="F858" s="253" t="str">
        <x:v>48929</x:v>
      </x:c>
      <x:c r="G858" s="253" t="str">
        <x:v>Vithya31</x:v>
      </x:c>
      <x:c r="H858" s="253" t="str">
        <x:v>Yes</x:v>
      </x:c>
      <x:c r="I858" s="253" t="str">
        <x:v>zhen</x:v>
      </x:c>
      <x:c r="J858" s="253" t="str">
        <x:v>zhen</x:v>
      </x:c>
      <x:c r="K858" s="259" t="n">
        <x:v>46090.166666666664</x:v>
      </x:c>
      <x:c r="L858" s="268" t="str">
        <x:f>IFERROR(VLOOKUP(I858,'Handler-Team Map'!$A$7:$C$17,2,FALSE),"")</x:f>
      </x:c>
      <x:c r="M858" s="268" t="str">
        <x:f>IFERROR(VLOOKUP(I858,'Handler-Team Map'!$A$7:$C$17,3,FALSE),"")</x:f>
      </x:c>
      <x:c r="N858" s="274" t="str">
        <x:v>FT_VM_DEP150_GET50_5X</x:v>
      </x:c>
      <x:c r="O858" s="274" t="str">
        <x:v>VIP BONUS - Deposit 150 Get 50 - 5x TO</x:v>
      </x:c>
      <x:c r="P858" s="274" t="str">
        <x:v>DepositBonus</x:v>
      </x:c>
      <x:c r="Q858" s="274" t="str">
        <x:v>Approved</x:v>
      </x:c>
      <x:c r="R858" s="265" t="n">
        <x:v>50</x:v>
      </x:c>
      <x:c r="S858" s="253" t="str">
        <x:v>Yes</x:v>
      </x:c>
      <x:c r="T858" s="265" t="n">
        <x:v>110250</x:v>
      </x:c>
      <x:c r="U858" s="253" t="str">
        <x:f>IF(AND(S858="Yes",T858=0),"Yes","No")</x:f>
        <x:v>No</x:v>
      </x:c>
      <x:c r="V858" s="253" t="str">
        <x:v>Yes</x:v>
      </x:c>
      <x:c r="W858" s="253" t="str">
        <x:v>Yes</x:v>
      </x:c>
      <x:c r="X858" s="259" t="n">
        <x:v>46181.166666666664</x:v>
      </x:c>
      <x:c r="Y858" s="265" t="n">
        <x:v>35520</x:v>
      </x:c>
      <x:c r="Z858" s="265" t="n">
        <x:v>61570</x:v>
      </x:c>
      <x:c r="AA858" s="253" t="str">
        <x:f>IF(V858="No","Maturing",IF(AND(U858="Yes",Y858&gt;0),"Yes","No"))</x:f>
        <x:v>No</x:v>
      </x:c>
      <x:c r="AB858" s="253" t="str">
        <x:f>IF(W858="No","Maturing",IF(AND(U858="Yes",Z858&gt;0),"Yes","No"))</x:f>
        <x:v>No</x:v>
      </x:c>
      <x:c r="AC858" s="265" t="n">
        <x:v>-8898.53</x:v>
      </x:c>
      <x:c r="AD858" s="265" t="n">
        <x:v>-31075.33</x:v>
      </x:c>
      <x:c r="AE858" s="271" t="str"/>
      <x:c r="AF858" s="274" t="str">
        <x:v>Not validated - no control/holdout</x:v>
      </x:c>
      <x:c r="AG858" s="277" t="str">
        <x:v>Recovered execution only; assignment date and unclaimed-offer denominator unavailable</x:v>
      </x:c>
    </x:row>
    <x:row r="859">
      <x:c r="A859" s="252" t="str">
        <x:v>34526006</x:v>
      </x:c>
      <x:c r="B859" s="253" t="str">
        <x:v>WS1</x:v>
      </x:c>
      <x:c r="C859" s="253" t="str">
        <x:v>MB8</x:v>
      </x:c>
      <x:c r="D859" s="262" t="n">
        <x:v>46181.67947916667</x:v>
      </x:c>
      <x:c r="E859" s="259" t="n">
        <x:v>46181.166666666664</x:v>
      </x:c>
      <x:c r="F859" s="253" t="str">
        <x:v>268246</x:v>
      </x:c>
      <x:c r="G859" s="253" t="str">
        <x:v>Win124</x:v>
      </x:c>
      <x:c r="H859" s="253" t="str">
        <x:v>Yes</x:v>
      </x:c>
      <x:c r="I859" s="253" t="str">
        <x:v>Claire</x:v>
      </x:c>
      <x:c r="J859" s="253" t="str">
        <x:v>Claire</x:v>
      </x:c>
      <x:c r="K859" s="259" t="n">
        <x:v>45659.166666666664</x:v>
      </x:c>
      <x:c r="L859" s="268" t="str">
        <x:f>IFERROR(VLOOKUP(I859,'Handler-Team Map'!$A$7:$C$17,2,FALSE),"")</x:f>
      </x:c>
      <x:c r="M859" s="268" t="str">
        <x:f>IFERROR(VLOOKUP(I859,'Handler-Team Map'!$A$7:$C$17,3,FALSE),"")</x:f>
      </x:c>
      <x:c r="N859" s="274" t="str">
        <x:v>FT_VM_DEP1000_GET1000_2X</x:v>
      </x:c>
      <x:c r="O859" s="274" t="str">
        <x:v>VIP BONUS - Deposit 1000 Get 1000 - 2x TO</x:v>
      </x:c>
      <x:c r="P859" s="274" t="str">
        <x:v>DepositBonus</x:v>
      </x:c>
      <x:c r="Q859" s="274" t="str">
        <x:v>Approved</x:v>
      </x:c>
      <x:c r="R859" s="265" t="n">
        <x:v>1000</x:v>
      </x:c>
      <x:c r="S859" s="253" t="str">
        <x:v>Yes</x:v>
      </x:c>
      <x:c r="T859" s="265" t="n">
        <x:v>1154900</x:v>
      </x:c>
      <x:c r="U859" s="253" t="str">
        <x:f>IF(AND(S859="Yes",T859=0),"Yes","No")</x:f>
        <x:v>No</x:v>
      </x:c>
      <x:c r="V859" s="253" t="str">
        <x:v>Yes</x:v>
      </x:c>
      <x:c r="W859" s="253" t="str">
        <x:v>Yes</x:v>
      </x:c>
      <x:c r="X859" s="259" t="n">
        <x:v>46181.166666666664</x:v>
      </x:c>
      <x:c r="Y859" s="265" t="n">
        <x:v>441145</x:v>
      </x:c>
      <x:c r="Z859" s="265" t="n">
        <x:v>721095</x:v>
      </x:c>
      <x:c r="AA859" s="253" t="str">
        <x:f>IF(V859="No","Maturing",IF(AND(U859="Yes",Y859&gt;0),"Yes","No"))</x:f>
        <x:v>No</x:v>
      </x:c>
      <x:c r="AB859" s="253" t="str">
        <x:f>IF(W859="No","Maturing",IF(AND(U859="Yes",Z859&gt;0),"Yes","No"))</x:f>
        <x:v>No</x:v>
      </x:c>
      <x:c r="AC859" s="265" t="n">
        <x:v>145925.12</x:v>
      </x:c>
      <x:c r="AD859" s="265" t="n">
        <x:v>185865.23</x:v>
      </x:c>
      <x:c r="AE859" s="271" t="str"/>
      <x:c r="AF859" s="274" t="str">
        <x:v>Not validated - no control/holdout</x:v>
      </x:c>
      <x:c r="AG859" s="277" t="str">
        <x:v>Recovered execution only; assignment date and unclaimed-offer denominator unavailable</x:v>
      </x:c>
    </x:row>
    <x:row r="860">
      <x:c r="A860" s="252" t="str">
        <x:v>34526186</x:v>
      </x:c>
      <x:c r="B860" s="253" t="str">
        <x:v>WS1</x:v>
      </x:c>
      <x:c r="C860" s="253" t="str">
        <x:v>MB8</x:v>
      </x:c>
      <x:c r="D860" s="262" t="n">
        <x:v>46181.69148148148</x:v>
      </x:c>
      <x:c r="E860" s="259" t="n">
        <x:v>46181.166666666664</x:v>
      </x:c>
      <x:c r="F860" s="253" t="str">
        <x:v>546437</x:v>
      </x:c>
      <x:c r="G860" s="253" t="str">
        <x:v>Devils</x:v>
      </x:c>
      <x:c r="H860" s="253" t="str">
        <x:v>Yes</x:v>
      </x:c>
      <x:c r="I860" s="253" t="str">
        <x:v>Elda</x:v>
      </x:c>
      <x:c r="J860" s="253" t="str">
        <x:v>Elda</x:v>
      </x:c>
      <x:c r="K860" s="259" t="n">
        <x:v>45659.166666666664</x:v>
      </x:c>
      <x:c r="L860" s="268" t="str">
        <x:f>IFERROR(VLOOKUP(I860,'Handler-Team Map'!$A$7:$C$17,2,FALSE),"")</x:f>
      </x:c>
      <x:c r="M860" s="268" t="str">
        <x:f>IFERROR(VLOOKUP(I860,'Handler-Team Map'!$A$7:$C$17,3,FALSE),"")</x:f>
      </x:c>
      <x:c r="N860" s="274" t="str">
        <x:v>FT_VM_DEP300_GET100_5X</x:v>
      </x:c>
      <x:c r="O860" s="274" t="str">
        <x:v>VIP BONUS - Deposit 300 Get 100 - 5x TO</x:v>
      </x:c>
      <x:c r="P860" s="274" t="str">
        <x:v>DepositBonus</x:v>
      </x:c>
      <x:c r="Q860" s="274" t="str">
        <x:v>Approved</x:v>
      </x:c>
      <x:c r="R860" s="265" t="n">
        <x:v>100</x:v>
      </x:c>
      <x:c r="S860" s="253" t="str">
        <x:v>Yes</x:v>
      </x:c>
      <x:c r="T860" s="265" t="n">
        <x:v>10410</x:v>
      </x:c>
      <x:c r="U860" s="253" t="str">
        <x:f>IF(AND(S860="Yes",T860=0),"Yes","No")</x:f>
        <x:v>No</x:v>
      </x:c>
      <x:c r="V860" s="253" t="str">
        <x:v>Yes</x:v>
      </x:c>
      <x:c r="W860" s="253" t="str">
        <x:v>Yes</x:v>
      </x:c>
      <x:c r="X860" s="259" t="n">
        <x:v>46181.166666666664</x:v>
      </x:c>
      <x:c r="Y860" s="265" t="n">
        <x:v>930</x:v>
      </x:c>
      <x:c r="Z860" s="265" t="n">
        <x:v>2060</x:v>
      </x:c>
      <x:c r="AA860" s="253" t="str">
        <x:f>IF(V860="No","Maturing",IF(AND(U860="Yes",Y860&gt;0),"Yes","No"))</x:f>
        <x:v>No</x:v>
      </x:c>
      <x:c r="AB860" s="253" t="str">
        <x:f>IF(W860="No","Maturing",IF(AND(U860="Yes",Z860&gt;0),"Yes","No"))</x:f>
        <x:v>No</x:v>
      </x:c>
      <x:c r="AC860" s="265" t="n">
        <x:v>-539.95</x:v>
      </x:c>
      <x:c r="AD860" s="265" t="n">
        <x:v>-1063.68</x:v>
      </x:c>
      <x:c r="AE860" s="271" t="str"/>
      <x:c r="AF860" s="274" t="str">
        <x:v>Not validated - no control/holdout</x:v>
      </x:c>
      <x:c r="AG860" s="277" t="str">
        <x:v>Recovered execution only; assignment date and unclaimed-offer denominator unavailable</x:v>
      </x:c>
    </x:row>
    <x:row r="861">
      <x:c r="A861" s="252" t="str">
        <x:v>34526561</x:v>
      </x:c>
      <x:c r="B861" s="253" t="str">
        <x:v>WS1</x:v>
      </x:c>
      <x:c r="C861" s="253" t="str">
        <x:v>MB8</x:v>
      </x:c>
      <x:c r="D861" s="262" t="n">
        <x:v>46181.71606481481</x:v>
      </x:c>
      <x:c r="E861" s="259" t="n">
        <x:v>46181.166666666664</x:v>
      </x:c>
      <x:c r="F861" s="253" t="str">
        <x:v>592123</x:v>
      </x:c>
      <x:c r="G861" s="253" t="str">
        <x:v>Tiger222</x:v>
      </x:c>
      <x:c r="H861" s="253" t="str">
        <x:v>Yes</x:v>
      </x:c>
      <x:c r="I861" s="253" t="str"/>
      <x:c r="J861" s="253" t="str"/>
      <x:c r="K861" s="259"/>
      <x:c r="L861" s="268" t="str">
        <x:f>IFERROR(VLOOKUP(I861,'Handler-Team Map'!$A$7:$C$17,2,FALSE),"")</x:f>
      </x:c>
      <x:c r="M861" s="268" t="str">
        <x:f>IFERROR(VLOOKUP(I861,'Handler-Team Map'!$A$7:$C$17,3,FALSE),"")</x:f>
      </x:c>
      <x:c r="N861" s="274" t="str">
        <x:v>FT_VM_DEP1000_GET800_2X</x:v>
      </x:c>
      <x:c r="O861" s="274" t="str">
        <x:v>VIP BONUS - Deposit 1000 Get 800 - 2x TO</x:v>
      </x:c>
      <x:c r="P861" s="274" t="str">
        <x:v>DepositBonus</x:v>
      </x:c>
      <x:c r="Q861" s="274" t="str">
        <x:v>Approved</x:v>
      </x:c>
      <x:c r="R861" s="265" t="n">
        <x:v>800</x:v>
      </x:c>
      <x:c r="S861" s="253" t="str">
        <x:v>Yes</x:v>
      </x:c>
      <x:c r="T861" s="265" t="n">
        <x:v>4000</x:v>
      </x:c>
      <x:c r="U861" s="253" t="str">
        <x:f>IF(AND(S861="Yes",T861=0),"Yes","No")</x:f>
        <x:v>No</x:v>
      </x:c>
      <x:c r="V861" s="253" t="str">
        <x:v>Yes</x:v>
      </x:c>
      <x:c r="W861" s="253" t="str">
        <x:v>Yes</x:v>
      </x:c>
      <x:c r="X861" s="259" t="n">
        <x:v>46181.166666666664</x:v>
      </x:c>
      <x:c r="Y861" s="265" t="n">
        <x:v>1000</x:v>
      </x:c>
      <x:c r="Z861" s="265" t="n">
        <x:v>21000</x:v>
      </x:c>
      <x:c r="AA861" s="253" t="str">
        <x:f>IF(V861="No","Maturing",IF(AND(U861="Yes",Y861&gt;0),"Yes","No"))</x:f>
        <x:v>No</x:v>
      </x:c>
      <x:c r="AB861" s="253" t="str">
        <x:f>IF(W861="No","Maturing",IF(AND(U861="Yes",Z861&gt;0),"Yes","No"))</x:f>
        <x:v>No</x:v>
      </x:c>
      <x:c r="AC861" s="265" t="n">
        <x:v>814.23</x:v>
      </x:c>
      <x:c r="AD861" s="265" t="n">
        <x:v>-32008.47</x:v>
      </x:c>
      <x:c r="AE861" s="271" t="str"/>
      <x:c r="AF861" s="274" t="str">
        <x:v>Not validated - no control/holdout</x:v>
      </x:c>
      <x:c r="AG861" s="277" t="str">
        <x:v>Recovered execution only; assignment date and unclaimed-offer denominator unavailable</x:v>
      </x:c>
    </x:row>
    <x:row r="862">
      <x:c r="A862" s="252" t="str">
        <x:v>34526570</x:v>
      </x:c>
      <x:c r="B862" s="253" t="str">
        <x:v>WS1</x:v>
      </x:c>
      <x:c r="C862" s="253" t="str">
        <x:v>MB8</x:v>
      </x:c>
      <x:c r="D862" s="262" t="n">
        <x:v>46181.71758101852</x:v>
      </x:c>
      <x:c r="E862" s="259" t="n">
        <x:v>46181.166666666664</x:v>
      </x:c>
      <x:c r="F862" s="253" t="str">
        <x:v>663490</x:v>
      </x:c>
      <x:c r="G862" s="253" t="str">
        <x:v>Arsenal9968</x:v>
      </x:c>
      <x:c r="H862" s="253" t="str">
        <x:v>Yes</x:v>
      </x:c>
      <x:c r="I862" s="253" t="str">
        <x:v>Claire</x:v>
      </x:c>
      <x:c r="J862" s="253" t="str">
        <x:v>Claire</x:v>
      </x:c>
      <x:c r="K862" s="259" t="n">
        <x:v>45659.166666666664</x:v>
      </x:c>
      <x:c r="L862" s="268" t="str">
        <x:f>IFERROR(VLOOKUP(I862,'Handler-Team Map'!$A$7:$C$17,2,FALSE),"")</x:f>
      </x:c>
      <x:c r="M862" s="268" t="str">
        <x:f>IFERROR(VLOOKUP(I862,'Handler-Team Map'!$A$7:$C$17,3,FALSE),"")</x:f>
      </x:c>
      <x:c r="N862" s="274" t="str">
        <x:v>FT_VM_DEP700_GET300_2X</x:v>
      </x:c>
      <x:c r="O862" s="274" t="str">
        <x:v>VIP BONUS - Deposit 700 Get 300 - 2x TO</x:v>
      </x:c>
      <x:c r="P862" s="274" t="str">
        <x:v>DepositBonus</x:v>
      </x:c>
      <x:c r="Q862" s="274" t="str">
        <x:v>Approved</x:v>
      </x:c>
      <x:c r="R862" s="265" t="n">
        <x:v>300</x:v>
      </x:c>
      <x:c r="S862" s="253" t="str">
        <x:v>Yes</x:v>
      </x:c>
      <x:c r="T862" s="265" t="n">
        <x:v>107057</x:v>
      </x:c>
      <x:c r="U862" s="253" t="str">
        <x:f>IF(AND(S862="Yes",T862=0),"Yes","No")</x:f>
        <x:v>No</x:v>
      </x:c>
      <x:c r="V862" s="253" t="str">
        <x:v>Yes</x:v>
      </x:c>
      <x:c r="W862" s="253" t="str">
        <x:v>Yes</x:v>
      </x:c>
      <x:c r="X862" s="259" t="n">
        <x:v>46181.166666666664</x:v>
      </x:c>
      <x:c r="Y862" s="265" t="n">
        <x:v>18980</x:v>
      </x:c>
      <x:c r="Z862" s="265" t="n">
        <x:v>44329</x:v>
      </x:c>
      <x:c r="AA862" s="253" t="str">
        <x:f>IF(V862="No","Maturing",IF(AND(U862="Yes",Y862&gt;0),"Yes","No"))</x:f>
        <x:v>No</x:v>
      </x:c>
      <x:c r="AB862" s="253" t="str">
        <x:f>IF(W862="No","Maturing",IF(AND(U862="Yes",Z862&gt;0),"Yes","No"))</x:f>
        <x:v>No</x:v>
      </x:c>
      <x:c r="AC862" s="265" t="n">
        <x:v>-9519.4</x:v>
      </x:c>
      <x:c r="AD862" s="265" t="n">
        <x:v>-14671.07</x:v>
      </x:c>
      <x:c r="AE862" s="271" t="str"/>
      <x:c r="AF862" s="274" t="str">
        <x:v>Not validated - no control/holdout</x:v>
      </x:c>
      <x:c r="AG862" s="277" t="str">
        <x:v>Recovered execution only; assignment date and unclaimed-offer denominator unavailable</x:v>
      </x:c>
    </x:row>
    <x:row r="863">
      <x:c r="A863" s="252" t="str">
        <x:v>34526749</x:v>
      </x:c>
      <x:c r="B863" s="253" t="str">
        <x:v>WS1</x:v>
      </x:c>
      <x:c r="C863" s="253" t="str">
        <x:v>MB8</x:v>
      </x:c>
      <x:c r="D863" s="262" t="n">
        <x:v>46181.72997685185</x:v>
      </x:c>
      <x:c r="E863" s="259" t="n">
        <x:v>46181.166666666664</x:v>
      </x:c>
      <x:c r="F863" s="253" t="str">
        <x:v>302345</x:v>
      </x:c>
      <x:c r="G863" s="253" t="str">
        <x:v>bujiangfatt</x:v>
      </x:c>
      <x:c r="H863" s="253" t="str">
        <x:v>Yes</x:v>
      </x:c>
      <x:c r="I863" s="253" t="str">
        <x:v>Elda</x:v>
      </x:c>
      <x:c r="J863" s="253" t="str">
        <x:v>Elda</x:v>
      </x:c>
      <x:c r="K863" s="259" t="n">
        <x:v>45659.166666666664</x:v>
      </x:c>
      <x:c r="L863" s="268" t="str">
        <x:f>IFERROR(VLOOKUP(I863,'Handler-Team Map'!$A$7:$C$17,2,FALSE),"")</x:f>
      </x:c>
      <x:c r="M863" s="268" t="str">
        <x:f>IFERROR(VLOOKUP(I863,'Handler-Team Map'!$A$7:$C$17,3,FALSE),"")</x:f>
      </x:c>
      <x:c r="N863" s="274" t="str">
        <x:v>FT_VM_DEP1000_GET500_5X</x:v>
      </x:c>
      <x:c r="O863" s="274" t="str">
        <x:v>VIP BONUS - Deposit 1000 Get 500 - 5x TO</x:v>
      </x:c>
      <x:c r="P863" s="274" t="str">
        <x:v>DepositBonus</x:v>
      </x:c>
      <x:c r="Q863" s="274" t="str">
        <x:v>Approved</x:v>
      </x:c>
      <x:c r="R863" s="265" t="n">
        <x:v>500</x:v>
      </x:c>
      <x:c r="S863" s="253" t="str">
        <x:v>Yes</x:v>
      </x:c>
      <x:c r="T863" s="265" t="n">
        <x:v>21500</x:v>
      </x:c>
      <x:c r="U863" s="253" t="str">
        <x:f>IF(AND(S863="Yes",T863=0),"Yes","No")</x:f>
        <x:v>No</x:v>
      </x:c>
      <x:c r="V863" s="253" t="str">
        <x:v>Yes</x:v>
      </x:c>
      <x:c r="W863" s="253" t="str">
        <x:v>Yes</x:v>
      </x:c>
      <x:c r="X863" s="259" t="n">
        <x:v>46181.166666666664</x:v>
      </x:c>
      <x:c r="Y863" s="265" t="n">
        <x:v>21857</x:v>
      </x:c>
      <x:c r="Z863" s="265" t="n">
        <x:v>22857</x:v>
      </x:c>
      <x:c r="AA863" s="253" t="str">
        <x:f>IF(V863="No","Maturing",IF(AND(U863="Yes",Y863&gt;0),"Yes","No"))</x:f>
        <x:v>No</x:v>
      </x:c>
      <x:c r="AB863" s="253" t="str">
        <x:f>IF(W863="No","Maturing",IF(AND(U863="Yes",Z863&gt;0),"Yes","No"))</x:f>
        <x:v>No</x:v>
      </x:c>
      <x:c r="AC863" s="265" t="n">
        <x:v>20739.72</x:v>
      </x:c>
      <x:c r="AD863" s="265" t="n">
        <x:v>21452.11</x:v>
      </x:c>
      <x:c r="AE863" s="271" t="str"/>
      <x:c r="AF863" s="274" t="str">
        <x:v>Not validated - no control/holdout</x:v>
      </x:c>
      <x:c r="AG863" s="277" t="str">
        <x:v>Recovered execution only; assignment date and unclaimed-offer denominator unavailable</x:v>
      </x:c>
    </x:row>
    <x:row r="864">
      <x:c r="A864" s="252" t="str">
        <x:v>34526957</x:v>
      </x:c>
      <x:c r="B864" s="253" t="str">
        <x:v>WS1</x:v>
      </x:c>
      <x:c r="C864" s="253" t="str">
        <x:v>MB8</x:v>
      </x:c>
      <x:c r="D864" s="262" t="n">
        <x:v>46181.7440162037</x:v>
      </x:c>
      <x:c r="E864" s="259" t="n">
        <x:v>46181.166666666664</x:v>
      </x:c>
      <x:c r="F864" s="253" t="str">
        <x:v>539</x:v>
      </x:c>
      <x:c r="G864" s="253" t="str">
        <x:v>sslssl</x:v>
      </x:c>
      <x:c r="H864" s="253" t="str">
        <x:v>Yes</x:v>
      </x:c>
      <x:c r="I864" s="253" t="str">
        <x:v>Elda</x:v>
      </x:c>
      <x:c r="J864" s="253" t="str">
        <x:v>Elda</x:v>
      </x:c>
      <x:c r="K864" s="259" t="n">
        <x:v>45659.166666666664</x:v>
      </x:c>
      <x:c r="L864" s="268" t="str">
        <x:f>IFERROR(VLOOKUP(I864,'Handler-Team Map'!$A$7:$C$17,2,FALSE),"")</x:f>
      </x:c>
      <x:c r="M864" s="268" t="str">
        <x:f>IFERROR(VLOOKUP(I864,'Handler-Team Map'!$A$7:$C$17,3,FALSE),"")</x:f>
      </x:c>
      <x:c r="N864" s="274" t="str">
        <x:v>FT_VM_DEP1000_GET900_2X</x:v>
      </x:c>
      <x:c r="O864" s="274" t="str">
        <x:v>VIP BONUS - Deposit 1000 Get 900 - 2x TO</x:v>
      </x:c>
      <x:c r="P864" s="274" t="str">
        <x:v>DepositBonus</x:v>
      </x:c>
      <x:c r="Q864" s="274" t="str">
        <x:v>Approved</x:v>
      </x:c>
      <x:c r="R864" s="265" t="n">
        <x:v>900</x:v>
      </x:c>
      <x:c r="S864" s="253" t="str">
        <x:v>Yes</x:v>
      </x:c>
      <x:c r="T864" s="265" t="n">
        <x:v>617899</x:v>
      </x:c>
      <x:c r="U864" s="253" t="str">
        <x:f>IF(AND(S864="Yes",T864=0),"Yes","No")</x:f>
        <x:v>No</x:v>
      </x:c>
      <x:c r="V864" s="253" t="str">
        <x:v>Yes</x:v>
      </x:c>
      <x:c r="W864" s="253" t="str">
        <x:v>Yes</x:v>
      </x:c>
      <x:c r="X864" s="259" t="n">
        <x:v>46181.166666666664</x:v>
      </x:c>
      <x:c r="Y864" s="265" t="n">
        <x:v>258466</x:v>
      </x:c>
      <x:c r="Z864" s="265" t="n">
        <x:v>369026</x:v>
      </x:c>
      <x:c r="AA864" s="253" t="str">
        <x:f>IF(V864="No","Maturing",IF(AND(U864="Yes",Y864&gt;0),"Yes","No"))</x:f>
        <x:v>No</x:v>
      </x:c>
      <x:c r="AB864" s="253" t="str">
        <x:f>IF(W864="No","Maturing",IF(AND(U864="Yes",Z864&gt;0),"Yes","No"))</x:f>
        <x:v>No</x:v>
      </x:c>
      <x:c r="AC864" s="265" t="n">
        <x:v>-3257.8</x:v>
      </x:c>
      <x:c r="AD864" s="265" t="n">
        <x:v>-150101.24</x:v>
      </x:c>
      <x:c r="AE864" s="271" t="str"/>
      <x:c r="AF864" s="274" t="str">
        <x:v>Not validated - no control/holdout</x:v>
      </x:c>
      <x:c r="AG864" s="277" t="str">
        <x:v>Recovered execution only; assignment date and unclaimed-offer denominator unavailable</x:v>
      </x:c>
    </x:row>
    <x:row r="865">
      <x:c r="A865" s="252" t="str">
        <x:v>34526978</x:v>
      </x:c>
      <x:c r="B865" s="253" t="str">
        <x:v>WS1</x:v>
      </x:c>
      <x:c r="C865" s="253" t="str">
        <x:v>MB8</x:v>
      </x:c>
      <x:c r="D865" s="262" t="n">
        <x:v>46181.74561342593</x:v>
      </x:c>
      <x:c r="E865" s="259" t="n">
        <x:v>46181.166666666664</x:v>
      </x:c>
      <x:c r="F865" s="253" t="str">
        <x:v>803558</x:v>
      </x:c>
      <x:c r="G865" s="253" t="str">
        <x:v>ctt123</x:v>
      </x:c>
      <x:c r="H865" s="253" t="str">
        <x:v>Yes</x:v>
      </x:c>
      <x:c r="I865" s="253" t="str">
        <x:v>Elda</x:v>
      </x:c>
      <x:c r="J865" s="253" t="str">
        <x:v>Elda</x:v>
      </x:c>
      <x:c r="K865" s="259" t="n">
        <x:v>45659.166666666664</x:v>
      </x:c>
      <x:c r="L865" s="268" t="str">
        <x:f>IFERROR(VLOOKUP(I865,'Handler-Team Map'!$A$7:$C$17,2,FALSE),"")</x:f>
      </x:c>
      <x:c r="M865" s="268" t="str">
        <x:f>IFERROR(VLOOKUP(I865,'Handler-Team Map'!$A$7:$C$17,3,FALSE),"")</x:f>
      </x:c>
      <x:c r="N865" s="274" t="str">
        <x:v>FT_VM_DEP800_GET400_1X</x:v>
      </x:c>
      <x:c r="O865" s="274" t="str">
        <x:v>VIP BONUS - Deposit 800 Get 400 - 1x TO</x:v>
      </x:c>
      <x:c r="P865" s="274" t="str">
        <x:v>DepositBonus</x:v>
      </x:c>
      <x:c r="Q865" s="274" t="str">
        <x:v>Approved</x:v>
      </x:c>
      <x:c r="R865" s="265" t="n">
        <x:v>400</x:v>
      </x:c>
      <x:c r="S865" s="253" t="str">
        <x:v>Yes</x:v>
      </x:c>
      <x:c r="T865" s="265" t="n">
        <x:v>700</x:v>
      </x:c>
      <x:c r="U865" s="253" t="str">
        <x:f>IF(AND(S865="Yes",T865=0),"Yes","No")</x:f>
        <x:v>No</x:v>
      </x:c>
      <x:c r="V865" s="253" t="str">
        <x:v>Yes</x:v>
      </x:c>
      <x:c r="W865" s="253" t="str">
        <x:v>Yes</x:v>
      </x:c>
      <x:c r="X865" s="259" t="n">
        <x:v>46181.166666666664</x:v>
      </x:c>
      <x:c r="Y865" s="265" t="n">
        <x:v>800</x:v>
      </x:c>
      <x:c r="Z865" s="265" t="n">
        <x:v>800</x:v>
      </x:c>
      <x:c r="AA865" s="253" t="str">
        <x:f>IF(V865="No","Maturing",IF(AND(U865="Yes",Y865&gt;0),"Yes","No"))</x:f>
        <x:v>No</x:v>
      </x:c>
      <x:c r="AB865" s="253" t="str">
        <x:f>IF(W865="No","Maturing",IF(AND(U865="Yes",Z865&gt;0),"Yes","No"))</x:f>
        <x:v>No</x:v>
      </x:c>
      <x:c r="AC865" s="265" t="n">
        <x:v>-604.77</x:v>
      </x:c>
      <x:c r="AD865" s="265" t="n">
        <x:v>-604.77</x:v>
      </x:c>
      <x:c r="AE865" s="271" t="str"/>
      <x:c r="AF865" s="274" t="str">
        <x:v>Not validated - no control/holdout</x:v>
      </x:c>
      <x:c r="AG865" s="277" t="str">
        <x:v>Recovered execution only; assignment date and unclaimed-offer denominator unavailable</x:v>
      </x:c>
    </x:row>
    <x:row r="866">
      <x:c r="A866" s="252" t="str">
        <x:v>34527210</x:v>
      </x:c>
      <x:c r="B866" s="253" t="str">
        <x:v>WS1</x:v>
      </x:c>
      <x:c r="C866" s="253" t="str">
        <x:v>MB8</x:v>
      </x:c>
      <x:c r="D866" s="262" t="n">
        <x:v>46181.76299768518</x:v>
      </x:c>
      <x:c r="E866" s="259" t="n">
        <x:v>46181.166666666664</x:v>
      </x:c>
      <x:c r="F866" s="253" t="str">
        <x:v>354412</x:v>
      </x:c>
      <x:c r="G866" s="253" t="str">
        <x:v>Jesse69</x:v>
      </x:c>
      <x:c r="H866" s="253" t="str">
        <x:v>Yes</x:v>
      </x:c>
      <x:c r="I866" s="253" t="str">
        <x:v>Claire</x:v>
      </x:c>
      <x:c r="J866" s="253" t="str">
        <x:v>Claire</x:v>
      </x:c>
      <x:c r="K866" s="259" t="n">
        <x:v>45755.166666666664</x:v>
      </x:c>
      <x:c r="L866" s="268" t="str">
        <x:f>IFERROR(VLOOKUP(I866,'Handler-Team Map'!$A$7:$C$17,2,FALSE),"")</x:f>
      </x:c>
      <x:c r="M866" s="268" t="str">
        <x:f>IFERROR(VLOOKUP(I866,'Handler-Team Map'!$A$7:$C$17,3,FALSE),"")</x:f>
      </x:c>
      <x:c r="N866" s="274" t="str">
        <x:v>FT_VM_DEP300_GET100_5X</x:v>
      </x:c>
      <x:c r="O866" s="274" t="str">
        <x:v>VIP BONUS - Deposit 300 Get 100 - 5x TO</x:v>
      </x:c>
      <x:c r="P866" s="274" t="str">
        <x:v>DepositBonus</x:v>
      </x:c>
      <x:c r="Q866" s="274" t="str">
        <x:v>Approved</x:v>
      </x:c>
      <x:c r="R866" s="265" t="n">
        <x:v>100</x:v>
      </x:c>
      <x:c r="S866" s="253" t="str">
        <x:v>Yes</x:v>
      </x:c>
      <x:c r="T866" s="265" t="n">
        <x:v>20680</x:v>
      </x:c>
      <x:c r="U866" s="253" t="str">
        <x:f>IF(AND(S866="Yes",T866=0),"Yes","No")</x:f>
        <x:v>No</x:v>
      </x:c>
      <x:c r="V866" s="253" t="str">
        <x:v>Yes</x:v>
      </x:c>
      <x:c r="W866" s="253" t="str">
        <x:v>Yes</x:v>
      </x:c>
      <x:c r="X866" s="259" t="n">
        <x:v>46181.166666666664</x:v>
      </x:c>
      <x:c r="Y866" s="265" t="n">
        <x:v>18600</x:v>
      </x:c>
      <x:c r="Z866" s="265" t="n">
        <x:v>28400</x:v>
      </x:c>
      <x:c r="AA866" s="253" t="str">
        <x:f>IF(V866="No","Maturing",IF(AND(U866="Yes",Y866&gt;0),"Yes","No"))</x:f>
        <x:v>No</x:v>
      </x:c>
      <x:c r="AB866" s="253" t="str">
        <x:f>IF(W866="No","Maturing",IF(AND(U866="Yes",Z866&gt;0),"Yes","No"))</x:f>
        <x:v>No</x:v>
      </x:c>
      <x:c r="AC866" s="265" t="n">
        <x:v>2317.68</x:v>
      </x:c>
      <x:c r="AD866" s="265" t="n">
        <x:v>6421.11</x:v>
      </x:c>
      <x:c r="AE866" s="271" t="str"/>
      <x:c r="AF866" s="274" t="str">
        <x:v>Not validated - no control/holdout</x:v>
      </x:c>
      <x:c r="AG866" s="277" t="str">
        <x:v>Recovered execution only; assignment date and unclaimed-offer denominator unavailable</x:v>
      </x:c>
    </x:row>
    <x:row r="867">
      <x:c r="A867" s="252" t="str">
        <x:v>34527403</x:v>
      </x:c>
      <x:c r="B867" s="253" t="str">
        <x:v>WS1</x:v>
      </x:c>
      <x:c r="C867" s="253" t="str">
        <x:v>MB8</x:v>
      </x:c>
      <x:c r="D867" s="262" t="n">
        <x:v>46181.77854166667</x:v>
      </x:c>
      <x:c r="E867" s="259" t="n">
        <x:v>46181.166666666664</x:v>
      </x:c>
      <x:c r="F867" s="253" t="str">
        <x:v>565191</x:v>
      </x:c>
      <x:c r="G867" s="253" t="str">
        <x:v>Sasitaren</x:v>
      </x:c>
      <x:c r="H867" s="253" t="str">
        <x:v>Yes</x:v>
      </x:c>
      <x:c r="I867" s="253" t="str">
        <x:v>Kam</x:v>
      </x:c>
      <x:c r="J867" s="253" t="str">
        <x:v>Kam</x:v>
      </x:c>
      <x:c r="K867" s="259" t="n">
        <x:v>45951.166666666664</x:v>
      </x:c>
      <x:c r="L867" s="268" t="str">
        <x:f>IFERROR(VLOOKUP(I867,'Handler-Team Map'!$A$7:$C$17,2,FALSE),"")</x:f>
      </x:c>
      <x:c r="M867" s="268" t="str">
        <x:f>IFERROR(VLOOKUP(I867,'Handler-Team Map'!$A$7:$C$17,3,FALSE),"")</x:f>
      </x:c>
      <x:c r="N867" s="274" t="str">
        <x:v>FT_VM_DEP1000_GET500_5X</x:v>
      </x:c>
      <x:c r="O867" s="274" t="str">
        <x:v>VIP BONUS - Deposit 1000 Get 500 - 5x TO</x:v>
      </x:c>
      <x:c r="P867" s="274" t="str">
        <x:v>DepositBonus</x:v>
      </x:c>
      <x:c r="Q867" s="274" t="str">
        <x:v>Approved</x:v>
      </x:c>
      <x:c r="R867" s="265" t="n">
        <x:v>500</x:v>
      </x:c>
      <x:c r="S867" s="253" t="str">
        <x:v>Yes</x:v>
      </x:c>
      <x:c r="T867" s="265" t="n">
        <x:v>2803</x:v>
      </x:c>
      <x:c r="U867" s="253" t="str">
        <x:f>IF(AND(S867="Yes",T867=0),"Yes","No")</x:f>
        <x:v>No</x:v>
      </x:c>
      <x:c r="V867" s="253" t="str">
        <x:v>Yes</x:v>
      </x:c>
      <x:c r="W867" s="253" t="str">
        <x:v>Yes</x:v>
      </x:c>
      <x:c r="X867" s="259" t="n">
        <x:v>46181.166666666664</x:v>
      </x:c>
      <x:c r="Y867" s="265" t="n">
        <x:v>2760</x:v>
      </x:c>
      <x:c r="Z867" s="265" t="n">
        <x:v>4793</x:v>
      </x:c>
      <x:c r="AA867" s="253" t="str">
        <x:f>IF(V867="No","Maturing",IF(AND(U867="Yes",Y867&gt;0),"Yes","No"))</x:f>
        <x:v>No</x:v>
      </x:c>
      <x:c r="AB867" s="253" t="str">
        <x:f>IF(W867="No","Maturing",IF(AND(U867="Yes",Z867&gt;0),"Yes","No"))</x:f>
        <x:v>No</x:v>
      </x:c>
      <x:c r="AC867" s="265" t="n">
        <x:v>1617.75</x:v>
      </x:c>
      <x:c r="AD867" s="265" t="n">
        <x:v>-9306.98</x:v>
      </x:c>
      <x:c r="AE867" s="271" t="str"/>
      <x:c r="AF867" s="274" t="str">
        <x:v>Not validated - no control/holdout</x:v>
      </x:c>
      <x:c r="AG867" s="277" t="str">
        <x:v>Recovered execution only; assignment date and unclaimed-offer denominator unavailable</x:v>
      </x:c>
    </x:row>
    <x:row r="868">
      <x:c r="A868" s="252" t="str">
        <x:v>34527589</x:v>
      </x:c>
      <x:c r="B868" s="253" t="str">
        <x:v>WS1</x:v>
      </x:c>
      <x:c r="C868" s="253" t="str">
        <x:v>MB8</x:v>
      </x:c>
      <x:c r="D868" s="262" t="n">
        <x:v>46181.79337962963</x:v>
      </x:c>
      <x:c r="E868" s="259" t="n">
        <x:v>46181.166666666664</x:v>
      </x:c>
      <x:c r="F868" s="253" t="str">
        <x:v>587646</x:v>
      </x:c>
      <x:c r="G868" s="253" t="str">
        <x:v>arilrich</x:v>
      </x:c>
      <x:c r="H868" s="253" t="str">
        <x:v>Yes</x:v>
      </x:c>
      <x:c r="I868" s="253" t="str">
        <x:v>Christy</x:v>
      </x:c>
      <x:c r="J868" s="253" t="str">
        <x:v>Christy</x:v>
      </x:c>
      <x:c r="K868" s="259" t="n">
        <x:v>45831.166666666664</x:v>
      </x:c>
      <x:c r="L868" s="268" t="str">
        <x:f>IFERROR(VLOOKUP(I868,'Handler-Team Map'!$A$7:$C$17,2,FALSE),"")</x:f>
      </x:c>
      <x:c r="M868" s="268" t="str">
        <x:f>IFERROR(VLOOKUP(I868,'Handler-Team Map'!$A$7:$C$17,3,FALSE),"")</x:f>
      </x:c>
      <x:c r="N868" s="274" t="str">
        <x:v>FT_VM_DEP1000_GET500_5X</x:v>
      </x:c>
      <x:c r="O868" s="274" t="str">
        <x:v>VIP BONUS - Deposit 1000 Get 500 - 5x TO</x:v>
      </x:c>
      <x:c r="P868" s="274" t="str">
        <x:v>DepositBonus</x:v>
      </x:c>
      <x:c r="Q868" s="274" t="str">
        <x:v>Approved</x:v>
      </x:c>
      <x:c r="R868" s="265" t="n">
        <x:v>500</x:v>
      </x:c>
      <x:c r="S868" s="253" t="str">
        <x:v>Yes</x:v>
      </x:c>
      <x:c r="T868" s="265" t="n">
        <x:v>3450</x:v>
      </x:c>
      <x:c r="U868" s="253" t="str">
        <x:f>IF(AND(S868="Yes",T868=0),"Yes","No")</x:f>
        <x:v>No</x:v>
      </x:c>
      <x:c r="V868" s="253" t="str">
        <x:v>Yes</x:v>
      </x:c>
      <x:c r="W868" s="253" t="str">
        <x:v>Yes</x:v>
      </x:c>
      <x:c r="X868" s="259" t="n">
        <x:v>46181.166666666664</x:v>
      </x:c>
      <x:c r="Y868" s="265" t="n">
        <x:v>1100</x:v>
      </x:c>
      <x:c r="Z868" s="265" t="n">
        <x:v>1860</x:v>
      </x:c>
      <x:c r="AA868" s="253" t="str">
        <x:f>IF(V868="No","Maturing",IF(AND(U868="Yes",Y868&gt;0),"Yes","No"))</x:f>
        <x:v>No</x:v>
      </x:c>
      <x:c r="AB868" s="253" t="str">
        <x:f>IF(W868="No","Maturing",IF(AND(U868="Yes",Z868&gt;0),"Yes","No"))</x:f>
        <x:v>No</x:v>
      </x:c>
      <x:c r="AC868" s="265" t="n">
        <x:v>339.03</x:v>
      </x:c>
      <x:c r="AD868" s="265" t="n">
        <x:v>1098.92</x:v>
      </x:c>
      <x:c r="AE868" s="271" t="str"/>
      <x:c r="AF868" s="274" t="str">
        <x:v>Not validated - no control/holdout</x:v>
      </x:c>
      <x:c r="AG868" s="277" t="str">
        <x:v>Recovered execution only; assignment date and unclaimed-offer denominator unavailable</x:v>
      </x:c>
    </x:row>
    <x:row r="869">
      <x:c r="A869" s="252" t="str">
        <x:v>34527744</x:v>
      </x:c>
      <x:c r="B869" s="253" t="str">
        <x:v>WS1</x:v>
      </x:c>
      <x:c r="C869" s="253" t="str">
        <x:v>MB8</x:v>
      </x:c>
      <x:c r="D869" s="262" t="n">
        <x:v>46181.80541666667</x:v>
      </x:c>
      <x:c r="E869" s="259" t="n">
        <x:v>46181.166666666664</x:v>
      </x:c>
      <x:c r="F869" s="253" t="str">
        <x:v>306733</x:v>
      </x:c>
      <x:c r="G869" s="253" t="str">
        <x:v>HC5140</x:v>
      </x:c>
      <x:c r="H869" s="253" t="str">
        <x:v>Yes</x:v>
      </x:c>
      <x:c r="I869" s="253" t="str">
        <x:v>Claire</x:v>
      </x:c>
      <x:c r="J869" s="253" t="str">
        <x:v>Claire</x:v>
      </x:c>
      <x:c r="K869" s="259" t="n">
        <x:v>45659.166666666664</x:v>
      </x:c>
      <x:c r="L869" s="268" t="str">
        <x:f>IFERROR(VLOOKUP(I869,'Handler-Team Map'!$A$7:$C$17,2,FALSE),"")</x:f>
      </x:c>
      <x:c r="M869" s="268" t="str">
        <x:f>IFERROR(VLOOKUP(I869,'Handler-Team Map'!$A$7:$C$17,3,FALSE),"")</x:f>
      </x:c>
      <x:c r="N869" s="274" t="str">
        <x:v>FT_VM_DEP1000_GET500_5X</x:v>
      </x:c>
      <x:c r="O869" s="274" t="str">
        <x:v>VIP BONUS - Deposit 1000 Get 500 - 5x TO</x:v>
      </x:c>
      <x:c r="P869" s="274" t="str">
        <x:v>DepositBonus</x:v>
      </x:c>
      <x:c r="Q869" s="274" t="str">
        <x:v>Approved</x:v>
      </x:c>
      <x:c r="R869" s="265" t="n">
        <x:v>500</x:v>
      </x:c>
      <x:c r="S869" s="253" t="str">
        <x:v>Yes</x:v>
      </x:c>
      <x:c r="T869" s="265" t="n">
        <x:v>306350</x:v>
      </x:c>
      <x:c r="U869" s="253" t="str">
        <x:f>IF(AND(S869="Yes",T869=0),"Yes","No")</x:f>
        <x:v>No</x:v>
      </x:c>
      <x:c r="V869" s="253" t="str">
        <x:v>Yes</x:v>
      </x:c>
      <x:c r="W869" s="253" t="str">
        <x:v>Yes</x:v>
      </x:c>
      <x:c r="X869" s="259" t="n">
        <x:v>46181.166666666664</x:v>
      </x:c>
      <x:c r="Y869" s="265" t="n">
        <x:v>22600</x:v>
      </x:c>
      <x:c r="Z869" s="265" t="n">
        <x:v>65140</x:v>
      </x:c>
      <x:c r="AA869" s="253" t="str">
        <x:f>IF(V869="No","Maturing",IF(AND(U869="Yes",Y869&gt;0),"Yes","No"))</x:f>
        <x:v>No</x:v>
      </x:c>
      <x:c r="AB869" s="253" t="str">
        <x:f>IF(W869="No","Maturing",IF(AND(U869="Yes",Z869&gt;0),"Yes","No"))</x:f>
        <x:v>No</x:v>
      </x:c>
      <x:c r="AC869" s="265" t="n">
        <x:v>-5937.23</x:v>
      </x:c>
      <x:c r="AD869" s="265" t="n">
        <x:v>-1911.3</x:v>
      </x:c>
      <x:c r="AE869" s="271" t="str"/>
      <x:c r="AF869" s="274" t="str">
        <x:v>Not validated - no control/holdout</x:v>
      </x:c>
      <x:c r="AG869" s="277" t="str">
        <x:v>Recovered execution only; assignment date and unclaimed-offer denominator unavailable</x:v>
      </x:c>
    </x:row>
    <x:row r="870">
      <x:c r="A870" s="252" t="str">
        <x:v>34528357</x:v>
      </x:c>
      <x:c r="B870" s="253" t="str">
        <x:v>WS1</x:v>
      </x:c>
      <x:c r="C870" s="253" t="str">
        <x:v>MB8</x:v>
      </x:c>
      <x:c r="D870" s="262" t="n">
        <x:v>46181.847858796296</x:v>
      </x:c>
      <x:c r="E870" s="259" t="n">
        <x:v>46181.166666666664</x:v>
      </x:c>
      <x:c r="F870" s="253" t="str">
        <x:v>303791</x:v>
      </x:c>
      <x:c r="G870" s="253" t="str">
        <x:v>Howie88</x:v>
      </x:c>
      <x:c r="H870" s="253" t="str">
        <x:v>Yes</x:v>
      </x:c>
      <x:c r="I870" s="253" t="str">
        <x:v>Jiahui</x:v>
      </x:c>
      <x:c r="J870" s="253" t="str">
        <x:v>Jiahui</x:v>
      </x:c>
      <x:c r="K870" s="259" t="n">
        <x:v>45831.166666666664</x:v>
      </x:c>
      <x:c r="L870" s="268" t="str">
        <x:f>IFERROR(VLOOKUP(I870,'Handler-Team Map'!$A$7:$C$17,2,FALSE),"")</x:f>
      </x:c>
      <x:c r="M870" s="268" t="str">
        <x:f>IFERROR(VLOOKUP(I870,'Handler-Team Map'!$A$7:$C$17,3,FALSE),"")</x:f>
      </x:c>
      <x:c r="N870" s="274" t="str">
        <x:v>FT_VM_DEP1000_GET800_2X</x:v>
      </x:c>
      <x:c r="O870" s="274" t="str">
        <x:v>VIP BONUS - Deposit 1000 Get 800 - 2x TO</x:v>
      </x:c>
      <x:c r="P870" s="274" t="str">
        <x:v>DepositBonus</x:v>
      </x:c>
      <x:c r="Q870" s="274" t="str">
        <x:v>Approved</x:v>
      </x:c>
      <x:c r="R870" s="265" t="n">
        <x:v>800</x:v>
      </x:c>
      <x:c r="S870" s="253" t="str">
        <x:v>Yes</x:v>
      </x:c>
      <x:c r="T870" s="265" t="n">
        <x:v>800</x:v>
      </x:c>
      <x:c r="U870" s="253" t="str">
        <x:f>IF(AND(S870="Yes",T870=0),"Yes","No")</x:f>
        <x:v>No</x:v>
      </x:c>
      <x:c r="V870" s="253" t="str">
        <x:v>Yes</x:v>
      </x:c>
      <x:c r="W870" s="253" t="str">
        <x:v>Yes</x:v>
      </x:c>
      <x:c r="X870" s="259" t="n">
        <x:v>46181.166666666664</x:v>
      </x:c>
      <x:c r="Y870" s="265" t="n">
        <x:v>3225</x:v>
      </x:c>
      <x:c r="Z870" s="265" t="n">
        <x:v>3225</x:v>
      </x:c>
      <x:c r="AA870" s="253" t="str">
        <x:f>IF(V870="No","Maturing",IF(AND(U870="Yes",Y870&gt;0),"Yes","No"))</x:f>
        <x:v>No</x:v>
      </x:c>
      <x:c r="AB870" s="253" t="str">
        <x:f>IF(W870="No","Maturing",IF(AND(U870="Yes",Z870&gt;0),"Yes","No"))</x:f>
        <x:v>No</x:v>
      </x:c>
      <x:c r="AC870" s="265" t="n">
        <x:v>3225.28</x:v>
      </x:c>
      <x:c r="AD870" s="265" t="n">
        <x:v>3225.28</x:v>
      </x:c>
      <x:c r="AE870" s="271" t="str"/>
      <x:c r="AF870" s="274" t="str">
        <x:v>Not validated - no control/holdout</x:v>
      </x:c>
      <x:c r="AG870" s="277" t="str">
        <x:v>Recovered execution only; assignment date and unclaimed-offer denominator unavailable</x:v>
      </x:c>
    </x:row>
    <x:row r="871">
      <x:c r="A871" s="252" t="str">
        <x:v>34528358</x:v>
      </x:c>
      <x:c r="B871" s="253" t="str">
        <x:v>WS1</x:v>
      </x:c>
      <x:c r="C871" s="253" t="str">
        <x:v>MB8</x:v>
      </x:c>
      <x:c r="D871" s="262" t="n">
        <x:v>46181.84900462963</x:v>
      </x:c>
      <x:c r="E871" s="259" t="n">
        <x:v>46181.166666666664</x:v>
      </x:c>
      <x:c r="F871" s="253" t="str">
        <x:v>450398</x:v>
      </x:c>
      <x:c r="G871" s="253" t="str">
        <x:v>johnnytan8</x:v>
      </x:c>
      <x:c r="H871" s="253" t="str">
        <x:v>Yes</x:v>
      </x:c>
      <x:c r="I871" s="253" t="str">
        <x:v>Elda</x:v>
      </x:c>
      <x:c r="J871" s="253" t="str">
        <x:v>Elda</x:v>
      </x:c>
      <x:c r="K871" s="259" t="n">
        <x:v>45790.166666666664</x:v>
      </x:c>
      <x:c r="L871" s="268" t="str">
        <x:f>IFERROR(VLOOKUP(I871,'Handler-Team Map'!$A$7:$C$17,2,FALSE),"")</x:f>
      </x:c>
      <x:c r="M871" s="268" t="str">
        <x:f>IFERROR(VLOOKUP(I871,'Handler-Team Map'!$A$7:$C$17,3,FALSE),"")</x:f>
      </x:c>
      <x:c r="N871" s="274" t="str">
        <x:v>FT_VM_DEP800_GET400_2X</x:v>
      </x:c>
      <x:c r="O871" s="274" t="str">
        <x:v>VIP BONUS - Deposit 800 Get 400 - 2x TO</x:v>
      </x:c>
      <x:c r="P871" s="274" t="str">
        <x:v>DepositBonus</x:v>
      </x:c>
      <x:c r="Q871" s="274" t="str">
        <x:v>Approved</x:v>
      </x:c>
      <x:c r="R871" s="265" t="n">
        <x:v>400</x:v>
      </x:c>
      <x:c r="S871" s="253" t="str">
        <x:v>Yes</x:v>
      </x:c>
      <x:c r="T871" s="265" t="n">
        <x:v>800</x:v>
      </x:c>
      <x:c r="U871" s="253" t="str">
        <x:f>IF(AND(S871="Yes",T871=0),"Yes","No")</x:f>
        <x:v>No</x:v>
      </x:c>
      <x:c r="V871" s="253" t="str">
        <x:v>Yes</x:v>
      </x:c>
      <x:c r="W871" s="253" t="str">
        <x:v>Yes</x:v>
      </x:c>
      <x:c r="X871" s="259" t="n">
        <x:v>46181.166666666664</x:v>
      </x:c>
      <x:c r="Y871" s="265" t="n">
        <x:v>800</x:v>
      </x:c>
      <x:c r="Z871" s="265" t="n">
        <x:v>800</x:v>
      </x:c>
      <x:c r="AA871" s="253" t="str">
        <x:f>IF(V871="No","Maturing",IF(AND(U871="Yes",Y871&gt;0),"Yes","No"))</x:f>
        <x:v>No</x:v>
      </x:c>
      <x:c r="AB871" s="253" t="str">
        <x:f>IF(W871="No","Maturing",IF(AND(U871="Yes",Z871&gt;0),"Yes","No"))</x:f>
        <x:v>No</x:v>
      </x:c>
      <x:c r="AC871" s="265" t="n">
        <x:v>-304.16</x:v>
      </x:c>
      <x:c r="AD871" s="265" t="n">
        <x:v>-304.16</x:v>
      </x:c>
      <x:c r="AE871" s="271" t="str"/>
      <x:c r="AF871" s="274" t="str">
        <x:v>Not validated - no control/holdout</x:v>
      </x:c>
      <x:c r="AG871" s="277" t="str">
        <x:v>Recovered execution only; assignment date and unclaimed-offer denominator unavailable</x:v>
      </x:c>
    </x:row>
    <x:row r="872">
      <x:c r="A872" s="252" t="str">
        <x:v>34529065</x:v>
      </x:c>
      <x:c r="B872" s="253" t="str">
        <x:v>WS1</x:v>
      </x:c>
      <x:c r="C872" s="253" t="str">
        <x:v>MB8</x:v>
      </x:c>
      <x:c r="D872" s="262" t="n">
        <x:v>46181.89207175926</x:v>
      </x:c>
      <x:c r="E872" s="259" t="n">
        <x:v>46181.166666666664</x:v>
      </x:c>
      <x:c r="F872" s="253" t="str">
        <x:v>1054089</x:v>
      </x:c>
      <x:c r="G872" s="253" t="str">
        <x:v>Ap1802</x:v>
      </x:c>
      <x:c r="H872" s="253" t="str">
        <x:v>Yes</x:v>
      </x:c>
      <x:c r="I872" s="253" t="str">
        <x:v>Serene</x:v>
      </x:c>
      <x:c r="J872" s="253" t="str">
        <x:v>Serene</x:v>
      </x:c>
      <x:c r="K872" s="259" t="n">
        <x:v>46077.166666666664</x:v>
      </x:c>
      <x:c r="L872" s="268" t="str">
        <x:f>IFERROR(VLOOKUP(I872,'Handler-Team Map'!$A$7:$C$17,2,FALSE),"")</x:f>
      </x:c>
      <x:c r="M872" s="268" t="str">
        <x:f>IFERROR(VLOOKUP(I872,'Handler-Team Map'!$A$7:$C$17,3,FALSE),"")</x:f>
      </x:c>
      <x:c r="N872" s="274" t="str">
        <x:v>FT_VM_DEP1000_GET500_5X</x:v>
      </x:c>
      <x:c r="O872" s="274" t="str">
        <x:v>VIP BONUS - Deposit 1000 Get 500 - 5x TO</x:v>
      </x:c>
      <x:c r="P872" s="274" t="str">
        <x:v>DepositBonus</x:v>
      </x:c>
      <x:c r="Q872" s="274" t="str">
        <x:v>Approved</x:v>
      </x:c>
      <x:c r="R872" s="265" t="n">
        <x:v>500</x:v>
      </x:c>
      <x:c r="S872" s="253" t="str">
        <x:v>Yes</x:v>
      </x:c>
      <x:c r="T872" s="265" t="n">
        <x:v>5200</x:v>
      </x:c>
      <x:c r="U872" s="253" t="str">
        <x:f>IF(AND(S872="Yes",T872=0),"Yes","No")</x:f>
        <x:v>No</x:v>
      </x:c>
      <x:c r="V872" s="253" t="str">
        <x:v>Yes</x:v>
      </x:c>
      <x:c r="W872" s="253" t="str">
        <x:v>Yes</x:v>
      </x:c>
      <x:c r="X872" s="259" t="n">
        <x:v>46181.166666666664</x:v>
      </x:c>
      <x:c r="Y872" s="265" t="n">
        <x:v>1200</x:v>
      </x:c>
      <x:c r="Z872" s="265" t="n">
        <x:v>2800</x:v>
      </x:c>
      <x:c r="AA872" s="253" t="str">
        <x:f>IF(V872="No","Maturing",IF(AND(U872="Yes",Y872&gt;0),"Yes","No"))</x:f>
        <x:v>No</x:v>
      </x:c>
      <x:c r="AB872" s="253" t="str">
        <x:f>IF(W872="No","Maturing",IF(AND(U872="Yes",Z872&gt;0),"Yes","No"))</x:f>
        <x:v>No</x:v>
      </x:c>
      <x:c r="AC872" s="265" t="n">
        <x:v>-8188.68</x:v>
      </x:c>
      <x:c r="AD872" s="265" t="n">
        <x:v>-11096.75</x:v>
      </x:c>
      <x:c r="AE872" s="271" t="str"/>
      <x:c r="AF872" s="274" t="str">
        <x:v>Not validated - no control/holdout</x:v>
      </x:c>
      <x:c r="AG872" s="277" t="str">
        <x:v>Recovered execution only; assignment date and unclaimed-offer denominator unavailable</x:v>
      </x:c>
    </x:row>
    <x:row r="873">
      <x:c r="A873" s="252" t="str">
        <x:v>34529274</x:v>
      </x:c>
      <x:c r="B873" s="253" t="str">
        <x:v>WS1</x:v>
      </x:c>
      <x:c r="C873" s="253" t="str">
        <x:v>MB8</x:v>
      </x:c>
      <x:c r="D873" s="262" t="n">
        <x:v>46181.9028125</x:v>
      </x:c>
      <x:c r="E873" s="259" t="n">
        <x:v>46181.166666666664</x:v>
      </x:c>
      <x:c r="F873" s="253" t="str">
        <x:v>1186078</x:v>
      </x:c>
      <x:c r="G873" s="253" t="str">
        <x:v>Andrewheng77</x:v>
      </x:c>
      <x:c r="H873" s="253" t="str">
        <x:v>Yes</x:v>
      </x:c>
      <x:c r="I873" s="253" t="str">
        <x:v>zhen</x:v>
      </x:c>
      <x:c r="J873" s="253" t="str">
        <x:v>zhen</x:v>
      </x:c>
      <x:c r="K873" s="259" t="n">
        <x:v>45880.166666666664</x:v>
      </x:c>
      <x:c r="L873" s="268" t="str">
        <x:f>IFERROR(VLOOKUP(I873,'Handler-Team Map'!$A$7:$C$17,2,FALSE),"")</x:f>
      </x:c>
      <x:c r="M873" s="268" t="str">
        <x:f>IFERROR(VLOOKUP(I873,'Handler-Team Map'!$A$7:$C$17,3,FALSE),"")</x:f>
      </x:c>
      <x:c r="N873" s="274" t="str">
        <x:v>FT_VM_DEP300_GET100_5X</x:v>
      </x:c>
      <x:c r="O873" s="274" t="str">
        <x:v>VIP BONUS - Deposit 300 Get 100 - 5x TO</x:v>
      </x:c>
      <x:c r="P873" s="274" t="str">
        <x:v>DepositBonus</x:v>
      </x:c>
      <x:c r="Q873" s="274" t="str">
        <x:v>Approved</x:v>
      </x:c>
      <x:c r="R873" s="265" t="n">
        <x:v>100</x:v>
      </x:c>
      <x:c r="S873" s="253" t="str">
        <x:v>Yes</x:v>
      </x:c>
      <x:c r="T873" s="265" t="n">
        <x:v>40736</x:v>
      </x:c>
      <x:c r="U873" s="253" t="str">
        <x:f>IF(AND(S873="Yes",T873=0),"Yes","No")</x:f>
        <x:v>No</x:v>
      </x:c>
      <x:c r="V873" s="253" t="str">
        <x:v>Yes</x:v>
      </x:c>
      <x:c r="W873" s="253" t="str">
        <x:v>Yes</x:v>
      </x:c>
      <x:c r="X873" s="259" t="n">
        <x:v>46181.166666666664</x:v>
      </x:c>
      <x:c r="Y873" s="265" t="n">
        <x:v>7535</x:v>
      </x:c>
      <x:c r="Z873" s="265" t="n">
        <x:v>19925</x:v>
      </x:c>
      <x:c r="AA873" s="253" t="str">
        <x:f>IF(V873="No","Maturing",IF(AND(U873="Yes",Y873&gt;0),"Yes","No"))</x:f>
        <x:v>No</x:v>
      </x:c>
      <x:c r="AB873" s="253" t="str">
        <x:f>IF(W873="No","Maturing",IF(AND(U873="Yes",Z873&gt;0),"Yes","No"))</x:f>
        <x:v>No</x:v>
      </x:c>
      <x:c r="AC873" s="265" t="n">
        <x:v>-7636.27</x:v>
      </x:c>
      <x:c r="AD873" s="265" t="n">
        <x:v>-4095.77</x:v>
      </x:c>
      <x:c r="AE873" s="271" t="str"/>
      <x:c r="AF873" s="274" t="str">
        <x:v>Not validated - no control/holdout</x:v>
      </x:c>
      <x:c r="AG873" s="277" t="str">
        <x:v>Recovered execution only; assignment date and unclaimed-offer denominator unavailable</x:v>
      </x:c>
    </x:row>
    <x:row r="874">
      <x:c r="A874" s="252" t="str">
        <x:v>34529422</x:v>
      </x:c>
      <x:c r="B874" s="253" t="str">
        <x:v>WS1</x:v>
      </x:c>
      <x:c r="C874" s="253" t="str">
        <x:v>MB8</x:v>
      </x:c>
      <x:c r="D874" s="262" t="n">
        <x:v>46181.910532407404</x:v>
      </x:c>
      <x:c r="E874" s="259" t="n">
        <x:v>46181.166666666664</x:v>
      </x:c>
      <x:c r="F874" s="253" t="str">
        <x:v>521114</x:v>
      </x:c>
      <x:c r="G874" s="253" t="str">
        <x:v>Nzboss8181</x:v>
      </x:c>
      <x:c r="H874" s="253" t="str">
        <x:v>Yes</x:v>
      </x:c>
      <x:c r="I874" s="253" t="str">
        <x:v>Claire</x:v>
      </x:c>
      <x:c r="J874" s="253" t="str">
        <x:v>Claire</x:v>
      </x:c>
      <x:c r="K874" s="259" t="n">
        <x:v>45659.166666666664</x:v>
      </x:c>
      <x:c r="L874" s="268" t="str">
        <x:f>IFERROR(VLOOKUP(I874,'Handler-Team Map'!$A$7:$C$17,2,FALSE),"")</x:f>
      </x:c>
      <x:c r="M874" s="268" t="str">
        <x:f>IFERROR(VLOOKUP(I874,'Handler-Team Map'!$A$7:$C$17,3,FALSE),"")</x:f>
      </x:c>
      <x:c r="N874" s="274" t="str">
        <x:v>FT_VM_DEP1000_GET1000_1X</x:v>
      </x:c>
      <x:c r="O874" s="274" t="str">
        <x:v>VIP BONUS - Deposit 1000 Get 1000 - 1x TO</x:v>
      </x:c>
      <x:c r="P874" s="274" t="str">
        <x:v>DepositBonus</x:v>
      </x:c>
      <x:c r="Q874" s="274" t="str">
        <x:v>Approved</x:v>
      </x:c>
      <x:c r="R874" s="265" t="n">
        <x:v>1000</x:v>
      </x:c>
      <x:c r="S874" s="253" t="str">
        <x:v>Yes</x:v>
      </x:c>
      <x:c r="T874" s="265" t="n">
        <x:v>245400</x:v>
      </x:c>
      <x:c r="U874" s="253" t="str">
        <x:f>IF(AND(S874="Yes",T874=0),"Yes","No")</x:f>
        <x:v>No</x:v>
      </x:c>
      <x:c r="V874" s="253" t="str">
        <x:v>Yes</x:v>
      </x:c>
      <x:c r="W874" s="253" t="str">
        <x:v>Yes</x:v>
      </x:c>
      <x:c r="X874" s="259" t="n">
        <x:v>46181.166666666664</x:v>
      </x:c>
      <x:c r="Y874" s="265" t="n">
        <x:v>55200</x:v>
      </x:c>
      <x:c r="Z874" s="265" t="n">
        <x:v>116800</x:v>
      </x:c>
      <x:c r="AA874" s="253" t="str">
        <x:f>IF(V874="No","Maturing",IF(AND(U874="Yes",Y874&gt;0),"Yes","No"))</x:f>
        <x:v>No</x:v>
      </x:c>
      <x:c r="AB874" s="253" t="str">
        <x:f>IF(W874="No","Maturing",IF(AND(U874="Yes",Z874&gt;0),"Yes","No"))</x:f>
        <x:v>No</x:v>
      </x:c>
      <x:c r="AC874" s="265" t="n">
        <x:v>-32601.16</x:v>
      </x:c>
      <x:c r="AD874" s="265" t="n">
        <x:v>-47644.6</x:v>
      </x:c>
      <x:c r="AE874" s="271" t="str"/>
      <x:c r="AF874" s="274" t="str">
        <x:v>Not validated - no control/holdout</x:v>
      </x:c>
      <x:c r="AG874" s="277" t="str">
        <x:v>Recovered execution only; assignment date and unclaimed-offer denominator unavailable</x:v>
      </x:c>
    </x:row>
    <x:row r="875">
      <x:c r="A875" s="252" t="str">
        <x:v>34531651</x:v>
      </x:c>
      <x:c r="B875" s="253" t="str">
        <x:v>WS1</x:v>
      </x:c>
      <x:c r="C875" s="253" t="str">
        <x:v>MB8</x:v>
      </x:c>
      <x:c r="D875" s="262" t="n">
        <x:v>46182.02800925926</x:v>
      </x:c>
      <x:c r="E875" s="259" t="n">
        <x:v>46182.166666666664</x:v>
      </x:c>
      <x:c r="F875" s="253" t="str">
        <x:v>1153667</x:v>
      </x:c>
      <x:c r="G875" s="253" t="str">
        <x:v>fushigiguy</x:v>
      </x:c>
      <x:c r="H875" s="253" t="str">
        <x:v>Yes</x:v>
      </x:c>
      <x:c r="I875" s="253" t="str">
        <x:v>Elda</x:v>
      </x:c>
      <x:c r="J875" s="253" t="str">
        <x:v>Elda</x:v>
      </x:c>
      <x:c r="K875" s="259" t="n">
        <x:v>45659.166666666664</x:v>
      </x:c>
      <x:c r="L875" s="268" t="str">
        <x:f>IFERROR(VLOOKUP(I875,'Handler-Team Map'!$A$7:$C$17,2,FALSE),"")</x:f>
      </x:c>
      <x:c r="M875" s="268" t="str">
        <x:f>IFERROR(VLOOKUP(I875,'Handler-Team Map'!$A$7:$C$17,3,FALSE),"")</x:f>
      </x:c>
      <x:c r="N875" s="274" t="str">
        <x:v>FT_VM_DEP1000_GET500_5X</x:v>
      </x:c>
      <x:c r="O875" s="274" t="str">
        <x:v>VIP BONUS - Deposit 1000 Get 500 - 5x TO</x:v>
      </x:c>
      <x:c r="P875" s="274" t="str">
        <x:v>DepositBonus</x:v>
      </x:c>
      <x:c r="Q875" s="274" t="str">
        <x:v>Approved</x:v>
      </x:c>
      <x:c r="R875" s="265" t="n">
        <x:v>500</x:v>
      </x:c>
      <x:c r="S875" s="253" t="str">
        <x:v>Yes</x:v>
      </x:c>
      <x:c r="T875" s="265" t="n">
        <x:v>25500</x:v>
      </x:c>
      <x:c r="U875" s="253" t="str">
        <x:f>IF(AND(S875="Yes",T875=0),"Yes","No")</x:f>
        <x:v>No</x:v>
      </x:c>
      <x:c r="V875" s="253" t="str">
        <x:v>Yes</x:v>
      </x:c>
      <x:c r="W875" s="253" t="str">
        <x:v>Yes</x:v>
      </x:c>
      <x:c r="X875" s="259" t="n">
        <x:v>46182.166666666664</x:v>
      </x:c>
      <x:c r="Y875" s="265" t="n">
        <x:v>3500</x:v>
      </x:c>
      <x:c r="Z875" s="265" t="n">
        <x:v>4900</x:v>
      </x:c>
      <x:c r="AA875" s="253" t="str">
        <x:f>IF(V875="No","Maturing",IF(AND(U875="Yes",Y875&gt;0),"Yes","No"))</x:f>
        <x:v>No</x:v>
      </x:c>
      <x:c r="AB875" s="253" t="str">
        <x:f>IF(W875="No","Maturing",IF(AND(U875="Yes",Z875&gt;0),"Yes","No"))</x:f>
        <x:v>No</x:v>
      </x:c>
      <x:c r="AC875" s="265" t="n">
        <x:v>3500.84</x:v>
      </x:c>
      <x:c r="AD875" s="265" t="n">
        <x:v>4892.31</x:v>
      </x:c>
      <x:c r="AE875" s="271" t="str"/>
      <x:c r="AF875" s="274" t="str">
        <x:v>Not validated - no control/holdout</x:v>
      </x:c>
      <x:c r="AG875" s="277" t="str">
        <x:v>Recovered execution only; assignment date and unclaimed-offer denominator unavailable</x:v>
      </x:c>
    </x:row>
    <x:row r="876">
      <x:c r="A876" s="252" t="str">
        <x:v>34531728</x:v>
      </x:c>
      <x:c r="B876" s="253" t="str">
        <x:v>WS1</x:v>
      </x:c>
      <x:c r="C876" s="253" t="str">
        <x:v>MB8</x:v>
      </x:c>
      <x:c r="D876" s="262" t="n">
        <x:v>46182.031747685185</x:v>
      </x:c>
      <x:c r="E876" s="259" t="n">
        <x:v>46182.166666666664</x:v>
      </x:c>
      <x:c r="F876" s="253" t="str">
        <x:v>214016</x:v>
      </x:c>
      <x:c r="G876" s="253" t="str">
        <x:v>Eve1130</x:v>
      </x:c>
      <x:c r="H876" s="253" t="str">
        <x:v>Yes</x:v>
      </x:c>
      <x:c r="I876" s="253" t="str">
        <x:v>Elda</x:v>
      </x:c>
      <x:c r="J876" s="253" t="str">
        <x:v>Elda</x:v>
      </x:c>
      <x:c r="K876" s="259" t="n">
        <x:v>45790.166666666664</x:v>
      </x:c>
      <x:c r="L876" s="268" t="str">
        <x:f>IFERROR(VLOOKUP(I876,'Handler-Team Map'!$A$7:$C$17,2,FALSE),"")</x:f>
      </x:c>
      <x:c r="M876" s="268" t="str">
        <x:f>IFERROR(VLOOKUP(I876,'Handler-Team Map'!$A$7:$C$17,3,FALSE),"")</x:f>
      </x:c>
      <x:c r="N876" s="274" t="str">
        <x:v>FT_VM_DEP150_GET50_5X</x:v>
      </x:c>
      <x:c r="O876" s="274" t="str">
        <x:v>VIP BONUS - Deposit 150 Get 50 - 5x TO</x:v>
      </x:c>
      <x:c r="P876" s="274" t="str">
        <x:v>DepositBonus</x:v>
      </x:c>
      <x:c r="Q876" s="274" t="str">
        <x:v>Approved</x:v>
      </x:c>
      <x:c r="R876" s="265" t="n">
        <x:v>50</x:v>
      </x:c>
      <x:c r="S876" s="253" t="str">
        <x:v>Yes</x:v>
      </x:c>
      <x:c r="T876" s="265" t="n">
        <x:v>27210</x:v>
      </x:c>
      <x:c r="U876" s="253" t="str">
        <x:f>IF(AND(S876="Yes",T876=0),"Yes","No")</x:f>
        <x:v>No</x:v>
      </x:c>
      <x:c r="V876" s="253" t="str">
        <x:v>Yes</x:v>
      </x:c>
      <x:c r="W876" s="253" t="str">
        <x:v>Yes</x:v>
      </x:c>
      <x:c r="X876" s="259" t="n">
        <x:v>46182.166666666664</x:v>
      </x:c>
      <x:c r="Y876" s="265" t="n">
        <x:v>6000</x:v>
      </x:c>
      <x:c r="Z876" s="265" t="n">
        <x:v>7000</x:v>
      </x:c>
      <x:c r="AA876" s="253" t="str">
        <x:f>IF(V876="No","Maturing",IF(AND(U876="Yes",Y876&gt;0),"Yes","No"))</x:f>
        <x:v>No</x:v>
      </x:c>
      <x:c r="AB876" s="253" t="str">
        <x:f>IF(W876="No","Maturing",IF(AND(U876="Yes",Z876&gt;0),"Yes","No"))</x:f>
        <x:v>No</x:v>
      </x:c>
      <x:c r="AC876" s="265" t="n">
        <x:v>1194.71</x:v>
      </x:c>
      <x:c r="AD876" s="265" t="n">
        <x:v>1309.4</x:v>
      </x:c>
      <x:c r="AE876" s="271" t="str"/>
      <x:c r="AF876" s="274" t="str">
        <x:v>Not validated - no control/holdout</x:v>
      </x:c>
      <x:c r="AG876" s="277" t="str">
        <x:v>Recovered execution only; assignment date and unclaimed-offer denominator unavailable</x:v>
      </x:c>
    </x:row>
    <x:row r="877">
      <x:c r="A877" s="252" t="str">
        <x:v>34532739</x:v>
      </x:c>
      <x:c r="B877" s="253" t="str">
        <x:v>WS1</x:v>
      </x:c>
      <x:c r="C877" s="253" t="str">
        <x:v>MB8</x:v>
      </x:c>
      <x:c r="D877" s="262" t="n">
        <x:v>46182.09127314815</x:v>
      </x:c>
      <x:c r="E877" s="259" t="n">
        <x:v>46182.166666666664</x:v>
      </x:c>
      <x:c r="F877" s="253" t="str">
        <x:v>195813</x:v>
      </x:c>
      <x:c r="G877" s="253" t="str">
        <x:v>Veq5774</x:v>
      </x:c>
      <x:c r="H877" s="253" t="str">
        <x:v>Yes</x:v>
      </x:c>
      <x:c r="I877" s="253" t="str">
        <x:v>Elda</x:v>
      </x:c>
      <x:c r="J877" s="253" t="str">
        <x:v>Elda</x:v>
      </x:c>
      <x:c r="K877" s="259" t="n">
        <x:v>45659.166666666664</x:v>
      </x:c>
      <x:c r="L877" s="268" t="str">
        <x:f>IFERROR(VLOOKUP(I877,'Handler-Team Map'!$A$7:$C$17,2,FALSE),"")</x:f>
      </x:c>
      <x:c r="M877" s="268" t="str">
        <x:f>IFERROR(VLOOKUP(I877,'Handler-Team Map'!$A$7:$C$17,3,FALSE),"")</x:f>
      </x:c>
      <x:c r="N877" s="274" t="str">
        <x:v>FT_VM_DEP1000_GET1000_1X</x:v>
      </x:c>
      <x:c r="O877" s="274" t="str">
        <x:v>VIP BONUS - Deposit 1000 Get 1000 - 1x TO</x:v>
      </x:c>
      <x:c r="P877" s="274" t="str">
        <x:v>DepositBonus</x:v>
      </x:c>
      <x:c r="Q877" s="274" t="str">
        <x:v>Approved</x:v>
      </x:c>
      <x:c r="R877" s="265" t="n">
        <x:v>1000</x:v>
      </x:c>
      <x:c r="S877" s="253" t="str">
        <x:v>Yes</x:v>
      </x:c>
      <x:c r="T877" s="265" t="n">
        <x:v>296361</x:v>
      </x:c>
      <x:c r="U877" s="253" t="str">
        <x:f>IF(AND(S877="Yes",T877=0),"Yes","No")</x:f>
        <x:v>No</x:v>
      </x:c>
      <x:c r="V877" s="253" t="str">
        <x:v>Yes</x:v>
      </x:c>
      <x:c r="W877" s="253" t="str">
        <x:v>Yes</x:v>
      </x:c>
      <x:c r="X877" s="259" t="n">
        <x:v>46182.166666666664</x:v>
      </x:c>
      <x:c r="Y877" s="265" t="n">
        <x:v>69254</x:v>
      </x:c>
      <x:c r="Z877" s="265" t="n">
        <x:v>114724</x:v>
      </x:c>
      <x:c r="AA877" s="253" t="str">
        <x:f>IF(V877="No","Maturing",IF(AND(U877="Yes",Y877&gt;0),"Yes","No"))</x:f>
        <x:v>No</x:v>
      </x:c>
      <x:c r="AB877" s="253" t="str">
        <x:f>IF(W877="No","Maturing",IF(AND(U877="Yes",Z877&gt;0),"Yes","No"))</x:f>
        <x:v>No</x:v>
      </x:c>
      <x:c r="AC877" s="265" t="n">
        <x:v>18112.06</x:v>
      </x:c>
      <x:c r="AD877" s="265" t="n">
        <x:v>64552.64</x:v>
      </x:c>
      <x:c r="AE877" s="271" t="str"/>
      <x:c r="AF877" s="274" t="str">
        <x:v>Not validated - no control/holdout</x:v>
      </x:c>
      <x:c r="AG877" s="277" t="str">
        <x:v>Recovered execution only; assignment date and unclaimed-offer denominator unavailable</x:v>
      </x:c>
    </x:row>
    <x:row r="878">
      <x:c r="A878" s="252" t="str">
        <x:v>34534299</x:v>
      </x:c>
      <x:c r="B878" s="253" t="str">
        <x:v>WS1</x:v>
      </x:c>
      <x:c r="C878" s="253" t="str">
        <x:v>MB8</x:v>
      </x:c>
      <x:c r="D878" s="262" t="n">
        <x:v>46182.28649305556</x:v>
      </x:c>
      <x:c r="E878" s="259" t="n">
        <x:v>46182.166666666664</x:v>
      </x:c>
      <x:c r="F878" s="253" t="str">
        <x:v>476510</x:v>
      </x:c>
      <x:c r="G878" s="253" t="str">
        <x:v>giinshen</x:v>
      </x:c>
      <x:c r="H878" s="253" t="str">
        <x:v>Yes</x:v>
      </x:c>
      <x:c r="I878" s="253" t="str">
        <x:v>Claire</x:v>
      </x:c>
      <x:c r="J878" s="253" t="str">
        <x:v>Claire</x:v>
      </x:c>
      <x:c r="K878" s="259" t="n">
        <x:v>45659.166666666664</x:v>
      </x:c>
      <x:c r="L878" s="268" t="str">
        <x:f>IFERROR(VLOOKUP(I878,'Handler-Team Map'!$A$7:$C$17,2,FALSE),"")</x:f>
      </x:c>
      <x:c r="M878" s="268" t="str">
        <x:f>IFERROR(VLOOKUP(I878,'Handler-Team Map'!$A$7:$C$17,3,FALSE),"")</x:f>
      </x:c>
      <x:c r="N878" s="274" t="str">
        <x:v>FT_VM_DEP700_GET300_1X</x:v>
      </x:c>
      <x:c r="O878" s="274" t="str">
        <x:v>VIP BONUS - Deposit 700 Get 300 - 1x TO</x:v>
      </x:c>
      <x:c r="P878" s="274" t="str">
        <x:v>DepositBonus</x:v>
      </x:c>
      <x:c r="Q878" s="274" t="str">
        <x:v>Approved</x:v>
      </x:c>
      <x:c r="R878" s="265" t="n">
        <x:v>300</x:v>
      </x:c>
      <x:c r="S878" s="253" t="str">
        <x:v>Yes</x:v>
      </x:c>
      <x:c r="T878" s="265" t="n">
        <x:v>33750</x:v>
      </x:c>
      <x:c r="U878" s="253" t="str">
        <x:f>IF(AND(S878="Yes",T878=0),"Yes","No")</x:f>
        <x:v>No</x:v>
      </x:c>
      <x:c r="V878" s="253" t="str">
        <x:v>Yes</x:v>
      </x:c>
      <x:c r="W878" s="253" t="str">
        <x:v>Yes</x:v>
      </x:c>
      <x:c r="X878" s="259" t="n">
        <x:v>46182.166666666664</x:v>
      </x:c>
      <x:c r="Y878" s="265" t="n">
        <x:v>1700</x:v>
      </x:c>
      <x:c r="Z878" s="265" t="n">
        <x:v>16400</x:v>
      </x:c>
      <x:c r="AA878" s="253" t="str">
        <x:f>IF(V878="No","Maturing",IF(AND(U878="Yes",Y878&gt;0),"Yes","No"))</x:f>
        <x:v>No</x:v>
      </x:c>
      <x:c r="AB878" s="253" t="str">
        <x:f>IF(W878="No","Maturing",IF(AND(U878="Yes",Z878&gt;0),"Yes","No"))</x:f>
        <x:v>No</x:v>
      </x:c>
      <x:c r="AC878" s="265" t="n">
        <x:v>-1394.09</x:v>
      </x:c>
      <x:c r="AD878" s="265" t="n">
        <x:v>13306</x:v>
      </x:c>
      <x:c r="AE878" s="271" t="str"/>
      <x:c r="AF878" s="274" t="str">
        <x:v>Not validated - no control/holdout</x:v>
      </x:c>
      <x:c r="AG878" s="277" t="str">
        <x:v>Recovered execution only; assignment date and unclaimed-offer denominator unavailable</x:v>
      </x:c>
    </x:row>
    <x:row r="879">
      <x:c r="A879" s="252" t="str">
        <x:v>34534642</x:v>
      </x:c>
      <x:c r="B879" s="253" t="str">
        <x:v>WS1</x:v>
      </x:c>
      <x:c r="C879" s="253" t="str">
        <x:v>MB8</x:v>
      </x:c>
      <x:c r="D879" s="262" t="n">
        <x:v>46182.33844907407</x:v>
      </x:c>
      <x:c r="E879" s="259" t="n">
        <x:v>46182.166666666664</x:v>
      </x:c>
      <x:c r="F879" s="253" t="str">
        <x:v>274783</x:v>
      </x:c>
      <x:c r="G879" s="253" t="str">
        <x:v>Shamrock</x:v>
      </x:c>
      <x:c r="H879" s="253" t="str">
        <x:v>Yes</x:v>
      </x:c>
      <x:c r="I879" s="253" t="str">
        <x:v>Claire</x:v>
      </x:c>
      <x:c r="J879" s="253" t="str">
        <x:v>Claire</x:v>
      </x:c>
      <x:c r="K879" s="259" t="n">
        <x:v>45659.166666666664</x:v>
      </x:c>
      <x:c r="L879" s="268" t="str">
        <x:f>IFERROR(VLOOKUP(I879,'Handler-Team Map'!$A$7:$C$17,2,FALSE),"")</x:f>
      </x:c>
      <x:c r="M879" s="268" t="str">
        <x:f>IFERROR(VLOOKUP(I879,'Handler-Team Map'!$A$7:$C$17,3,FALSE),"")</x:f>
      </x:c>
      <x:c r="N879" s="274" t="str">
        <x:v>FT_VM_DEP700_GET300_1X</x:v>
      </x:c>
      <x:c r="O879" s="274" t="str">
        <x:v>VIP BONUS - Deposit 700 Get 300 - 1x TO</x:v>
      </x:c>
      <x:c r="P879" s="274" t="str">
        <x:v>DepositBonus</x:v>
      </x:c>
      <x:c r="Q879" s="274" t="str">
        <x:v>Approved</x:v>
      </x:c>
      <x:c r="R879" s="265" t="n">
        <x:v>300</x:v>
      </x:c>
      <x:c r="S879" s="253" t="str">
        <x:v>Yes</x:v>
      </x:c>
      <x:c r="T879" s="265" t="n">
        <x:v>65449</x:v>
      </x:c>
      <x:c r="U879" s="253" t="str">
        <x:f>IF(AND(S879="Yes",T879=0),"Yes","No")</x:f>
        <x:v>No</x:v>
      </x:c>
      <x:c r="V879" s="253" t="str">
        <x:v>Yes</x:v>
      </x:c>
      <x:c r="W879" s="253" t="str">
        <x:v>Yes</x:v>
      </x:c>
      <x:c r="X879" s="259" t="n">
        <x:v>46182.166666666664</x:v>
      </x:c>
      <x:c r="Y879" s="265" t="n">
        <x:v>14527</x:v>
      </x:c>
      <x:c r="Z879" s="265" t="n">
        <x:v>37173</x:v>
      </x:c>
      <x:c r="AA879" s="253" t="str">
        <x:f>IF(V879="No","Maturing",IF(AND(U879="Yes",Y879&gt;0),"Yes","No"))</x:f>
        <x:v>No</x:v>
      </x:c>
      <x:c r="AB879" s="253" t="str">
        <x:f>IF(W879="No","Maturing",IF(AND(U879="Yes",Z879&gt;0),"Yes","No"))</x:f>
        <x:v>No</x:v>
      </x:c>
      <x:c r="AC879" s="265" t="n">
        <x:v>-15254.01</x:v>
      </x:c>
      <x:c r="AD879" s="265" t="n">
        <x:v>-36636.19</x:v>
      </x:c>
      <x:c r="AE879" s="271" t="str"/>
      <x:c r="AF879" s="274" t="str">
        <x:v>Not validated - no control/holdout</x:v>
      </x:c>
      <x:c r="AG879" s="277" t="str">
        <x:v>Recovered execution only; assignment date and unclaimed-offer denominator unavailable</x:v>
      </x:c>
    </x:row>
    <x:row r="880">
      <x:c r="A880" s="252" t="str">
        <x:v>34534672</x:v>
      </x:c>
      <x:c r="B880" s="253" t="str">
        <x:v>WS1</x:v>
      </x:c>
      <x:c r="C880" s="253" t="str">
        <x:v>MB8</x:v>
      </x:c>
      <x:c r="D880" s="262" t="n">
        <x:v>46182.342199074075</x:v>
      </x:c>
      <x:c r="E880" s="259" t="n">
        <x:v>46182.166666666664</x:v>
      </x:c>
      <x:c r="F880" s="253" t="str">
        <x:v>532295</x:v>
      </x:c>
      <x:c r="G880" s="253" t="str">
        <x:v>tonyass</x:v>
      </x:c>
      <x:c r="H880" s="253" t="str">
        <x:v>Yes</x:v>
      </x:c>
      <x:c r="I880" s="253" t="str">
        <x:v>Elda</x:v>
      </x:c>
      <x:c r="J880" s="253" t="str">
        <x:v>Elda</x:v>
      </x:c>
      <x:c r="K880" s="259" t="n">
        <x:v>45659.166666666664</x:v>
      </x:c>
      <x:c r="L880" s="268" t="str">
        <x:f>IFERROR(VLOOKUP(I880,'Handler-Team Map'!$A$7:$C$17,2,FALSE),"")</x:f>
      </x:c>
      <x:c r="M880" s="268" t="str">
        <x:f>IFERROR(VLOOKUP(I880,'Handler-Team Map'!$A$7:$C$17,3,FALSE),"")</x:f>
      </x:c>
      <x:c r="N880" s="274" t="str">
        <x:v>FT_VM_DEP1000_GET500_5X</x:v>
      </x:c>
      <x:c r="O880" s="274" t="str">
        <x:v>VIP BONUS - Deposit 1000 Get 500 - 5x TO</x:v>
      </x:c>
      <x:c r="P880" s="274" t="str">
        <x:v>DepositBonus</x:v>
      </x:c>
      <x:c r="Q880" s="274" t="str">
        <x:v>Approved</x:v>
      </x:c>
      <x:c r="R880" s="265" t="n">
        <x:v>500</x:v>
      </x:c>
      <x:c r="S880" s="253" t="str">
        <x:v>Yes</x:v>
      </x:c>
      <x:c r="T880" s="265" t="n">
        <x:v>7650</x:v>
      </x:c>
      <x:c r="U880" s="253" t="str">
        <x:f>IF(AND(S880="Yes",T880=0),"Yes","No")</x:f>
        <x:v>No</x:v>
      </x:c>
      <x:c r="V880" s="253" t="str">
        <x:v>Yes</x:v>
      </x:c>
      <x:c r="W880" s="253" t="str">
        <x:v>Yes</x:v>
      </x:c>
      <x:c r="X880" s="259" t="n">
        <x:v>46182.166666666664</x:v>
      </x:c>
      <x:c r="Y880" s="265" t="n">
        <x:v>2000</x:v>
      </x:c>
      <x:c r="Z880" s="265" t="n">
        <x:v>4500</x:v>
      </x:c>
      <x:c r="AA880" s="253" t="str">
        <x:f>IF(V880="No","Maturing",IF(AND(U880="Yes",Y880&gt;0),"Yes","No"))</x:f>
        <x:v>No</x:v>
      </x:c>
      <x:c r="AB880" s="253" t="str">
        <x:f>IF(W880="No","Maturing",IF(AND(U880="Yes",Z880&gt;0),"Yes","No"))</x:f>
        <x:v>No</x:v>
      </x:c>
      <x:c r="AC880" s="265" t="n">
        <x:v>-1728.86</x:v>
      </x:c>
      <x:c r="AD880" s="265" t="n">
        <x:v>167.54</x:v>
      </x:c>
      <x:c r="AE880" s="271" t="str"/>
      <x:c r="AF880" s="274" t="str">
        <x:v>Not validated - no control/holdout</x:v>
      </x:c>
      <x:c r="AG880" s="277" t="str">
        <x:v>Recovered execution only; assignment date and unclaimed-offer denominator unavailable</x:v>
      </x:c>
    </x:row>
    <x:row r="881">
      <x:c r="A881" s="252" t="str">
        <x:v>34536279</x:v>
      </x:c>
      <x:c r="B881" s="253" t="str">
        <x:v>WS1</x:v>
      </x:c>
      <x:c r="C881" s="253" t="str">
        <x:v>MB8</x:v>
      </x:c>
      <x:c r="D881" s="262" t="n">
        <x:v>46182.513761574075</x:v>
      </x:c>
      <x:c r="E881" s="259" t="n">
        <x:v>46182.166666666664</x:v>
      </x:c>
      <x:c r="F881" s="253" t="str">
        <x:v>992918</x:v>
      </x:c>
      <x:c r="G881" s="253" t="str">
        <x:v>Sprema</x:v>
      </x:c>
      <x:c r="H881" s="253" t="str">
        <x:v>Yes</x:v>
      </x:c>
      <x:c r="I881" s="253" t="str"/>
      <x:c r="J881" s="253" t="str"/>
      <x:c r="K881" s="259"/>
      <x:c r="L881" s="268" t="str">
        <x:f>IFERROR(VLOOKUP(I881,'Handler-Team Map'!$A$7:$C$17,2,FALSE),"")</x:f>
      </x:c>
      <x:c r="M881" s="268" t="str">
        <x:f>IFERROR(VLOOKUP(I881,'Handler-Team Map'!$A$7:$C$17,3,FALSE),"")</x:f>
      </x:c>
      <x:c r="N881" s="274" t="str">
        <x:v>FT_VM_DEP1000_GET500_5X</x:v>
      </x:c>
      <x:c r="O881" s="274" t="str">
        <x:v>VIP BONUS - Deposit 1000 Get 500 - 5x TO</x:v>
      </x:c>
      <x:c r="P881" s="274" t="str">
        <x:v>DepositBonus</x:v>
      </x:c>
      <x:c r="Q881" s="274" t="str">
        <x:v>Approved</x:v>
      </x:c>
      <x:c r="R881" s="265" t="n">
        <x:v>500</x:v>
      </x:c>
      <x:c r="S881" s="253" t="str">
        <x:v>Yes</x:v>
      </x:c>
      <x:c r="T881" s="265" t="n">
        <x:v>6100</x:v>
      </x:c>
      <x:c r="U881" s="253" t="str">
        <x:f>IF(AND(S881="Yes",T881=0),"Yes","No")</x:f>
        <x:v>No</x:v>
      </x:c>
      <x:c r="V881" s="253" t="str">
        <x:v>Yes</x:v>
      </x:c>
      <x:c r="W881" s="253" t="str">
        <x:v>Yes</x:v>
      </x:c>
      <x:c r="X881" s="259" t="n">
        <x:v>46182.166666666664</x:v>
      </x:c>
      <x:c r="Y881" s="265" t="n">
        <x:v>1300</x:v>
      </x:c>
      <x:c r="Z881" s="265" t="n">
        <x:v>1800</x:v>
      </x:c>
      <x:c r="AA881" s="253" t="str">
        <x:f>IF(V881="No","Maturing",IF(AND(U881="Yes",Y881&gt;0),"Yes","No"))</x:f>
        <x:v>No</x:v>
      </x:c>
      <x:c r="AB881" s="253" t="str">
        <x:f>IF(W881="No","Maturing",IF(AND(U881="Yes",Z881&gt;0),"Yes","No"))</x:f>
        <x:v>No</x:v>
      </x:c>
      <x:c r="AC881" s="265" t="n">
        <x:v>1300.78</x:v>
      </x:c>
      <x:c r="AD881" s="265" t="n">
        <x:v>1800.7</x:v>
      </x:c>
      <x:c r="AE881" s="271" t="str"/>
      <x:c r="AF881" s="274" t="str">
        <x:v>Not validated - no control/holdout</x:v>
      </x:c>
      <x:c r="AG881" s="277" t="str">
        <x:v>Recovered execution only; assignment date and unclaimed-offer denominator unavailable</x:v>
      </x:c>
    </x:row>
    <x:row r="882">
      <x:c r="A882" s="252" t="str">
        <x:v>34536289</x:v>
      </x:c>
      <x:c r="B882" s="253" t="str">
        <x:v>WS1</x:v>
      </x:c>
      <x:c r="C882" s="253" t="str">
        <x:v>MB8</x:v>
      </x:c>
      <x:c r="D882" s="262" t="n">
        <x:v>46182.51629629629</x:v>
      </x:c>
      <x:c r="E882" s="259" t="n">
        <x:v>46182.166666666664</x:v>
      </x:c>
      <x:c r="F882" s="253" t="str">
        <x:v>772894</x:v>
      </x:c>
      <x:c r="G882" s="253" t="str">
        <x:v>anuar531</x:v>
      </x:c>
      <x:c r="H882" s="253" t="str">
        <x:v>Yes</x:v>
      </x:c>
      <x:c r="I882" s="253" t="str">
        <x:v>Claire</x:v>
      </x:c>
      <x:c r="J882" s="253" t="str">
        <x:v>Claire</x:v>
      </x:c>
      <x:c r="K882" s="259" t="n">
        <x:v>45659.166666666664</x:v>
      </x:c>
      <x:c r="L882" s="268" t="str">
        <x:f>IFERROR(VLOOKUP(I882,'Handler-Team Map'!$A$7:$C$17,2,FALSE),"")</x:f>
      </x:c>
      <x:c r="M882" s="268" t="str">
        <x:f>IFERROR(VLOOKUP(I882,'Handler-Team Map'!$A$7:$C$17,3,FALSE),"")</x:f>
      </x:c>
      <x:c r="N882" s="274" t="str">
        <x:v>FT_VM_DEP1000_GET800_2X</x:v>
      </x:c>
      <x:c r="O882" s="274" t="str">
        <x:v>VIP BONUS - Deposit 1000 Get 800 - 2x TO</x:v>
      </x:c>
      <x:c r="P882" s="274" t="str">
        <x:v>DepositBonus</x:v>
      </x:c>
      <x:c r="Q882" s="274" t="str">
        <x:v>Approved</x:v>
      </x:c>
      <x:c r="R882" s="265" t="n">
        <x:v>800</x:v>
      </x:c>
      <x:c r="S882" s="253" t="str">
        <x:v>Yes</x:v>
      </x:c>
      <x:c r="T882" s="265" t="n">
        <x:v>7198</x:v>
      </x:c>
      <x:c r="U882" s="253" t="str">
        <x:f>IF(AND(S882="Yes",T882=0),"Yes","No")</x:f>
        <x:v>No</x:v>
      </x:c>
      <x:c r="V882" s="253" t="str">
        <x:v>Yes</x:v>
      </x:c>
      <x:c r="W882" s="253" t="str">
        <x:v>Yes</x:v>
      </x:c>
      <x:c r="X882" s="259" t="n">
        <x:v>46182.166666666664</x:v>
      </x:c>
      <x:c r="Y882" s="265" t="n">
        <x:v>11182</x:v>
      </x:c>
      <x:c r="Z882" s="265" t="n">
        <x:v>11182</x:v>
      </x:c>
      <x:c r="AA882" s="253" t="str">
        <x:f>IF(V882="No","Maturing",IF(AND(U882="Yes",Y882&gt;0),"Yes","No"))</x:f>
        <x:v>No</x:v>
      </x:c>
      <x:c r="AB882" s="253" t="str">
        <x:f>IF(W882="No","Maturing",IF(AND(U882="Yes",Z882&gt;0),"Yes","No"))</x:f>
        <x:v>No</x:v>
      </x:c>
      <x:c r="AC882" s="265" t="n">
        <x:v>-487.66</x:v>
      </x:c>
      <x:c r="AD882" s="265" t="n">
        <x:v>-499.16</x:v>
      </x:c>
      <x:c r="AE882" s="271" t="str"/>
      <x:c r="AF882" s="274" t="str">
        <x:v>Not validated - no control/holdout</x:v>
      </x:c>
      <x:c r="AG882" s="277" t="str">
        <x:v>Recovered execution only; assignment date and unclaimed-offer denominator unavailable</x:v>
      </x:c>
    </x:row>
    <x:row r="883">
      <x:c r="A883" s="252" t="str">
        <x:v>34537881</x:v>
      </x:c>
      <x:c r="B883" s="253" t="str">
        <x:v>WS1</x:v>
      </x:c>
      <x:c r="C883" s="253" t="str">
        <x:v>MB8</x:v>
      </x:c>
      <x:c r="D883" s="262" t="n">
        <x:v>46182.66800925926</x:v>
      </x:c>
      <x:c r="E883" s="259" t="n">
        <x:v>46182.166666666664</x:v>
      </x:c>
      <x:c r="F883" s="253" t="str">
        <x:v>499979</x:v>
      </x:c>
      <x:c r="G883" s="253" t="str">
        <x:v>edmund6070</x:v>
      </x:c>
      <x:c r="H883" s="253" t="str">
        <x:v>Yes</x:v>
      </x:c>
      <x:c r="I883" s="253" t="str">
        <x:v>Elda</x:v>
      </x:c>
      <x:c r="J883" s="253" t="str">
        <x:v>Elda</x:v>
      </x:c>
      <x:c r="K883" s="259" t="n">
        <x:v>45659.166666666664</x:v>
      </x:c>
      <x:c r="L883" s="268" t="str">
        <x:f>IFERROR(VLOOKUP(I883,'Handler-Team Map'!$A$7:$C$17,2,FALSE),"")</x:f>
      </x:c>
      <x:c r="M883" s="268" t="str">
        <x:f>IFERROR(VLOOKUP(I883,'Handler-Team Map'!$A$7:$C$17,3,FALSE),"")</x:f>
      </x:c>
      <x:c r="N883" s="274" t="str">
        <x:v>FT_VM_DEP150_GET50_5X</x:v>
      </x:c>
      <x:c r="O883" s="274" t="str">
        <x:v>VIP BONUS - Deposit 150 Get 50 - 5x TO</x:v>
      </x:c>
      <x:c r="P883" s="274" t="str">
        <x:v>DepositBonus</x:v>
      </x:c>
      <x:c r="Q883" s="274" t="str">
        <x:v>Approved</x:v>
      </x:c>
      <x:c r="R883" s="265" t="n">
        <x:v>50</x:v>
      </x:c>
      <x:c r="S883" s="253" t="str">
        <x:v>Yes</x:v>
      </x:c>
      <x:c r="T883" s="265" t="n">
        <x:v>45481.06</x:v>
      </x:c>
      <x:c r="U883" s="253" t="str">
        <x:f>IF(AND(S883="Yes",T883=0),"Yes","No")</x:f>
        <x:v>No</x:v>
      </x:c>
      <x:c r="V883" s="253" t="str">
        <x:v>Yes</x:v>
      </x:c>
      <x:c r="W883" s="253" t="str">
        <x:v>Yes</x:v>
      </x:c>
      <x:c r="X883" s="259" t="n">
        <x:v>46182.166666666664</x:v>
      </x:c>
      <x:c r="Y883" s="265" t="n">
        <x:v>30107.96</x:v>
      </x:c>
      <x:c r="Z883" s="265" t="n">
        <x:v>46785.79</x:v>
      </x:c>
      <x:c r="AA883" s="253" t="str">
        <x:f>IF(V883="No","Maturing",IF(AND(U883="Yes",Y883&gt;0),"Yes","No"))</x:f>
        <x:v>No</x:v>
      </x:c>
      <x:c r="AB883" s="253" t="str">
        <x:f>IF(W883="No","Maturing",IF(AND(U883="Yes",Z883&gt;0),"Yes","No"))</x:f>
        <x:v>No</x:v>
      </x:c>
      <x:c r="AC883" s="265" t="n">
        <x:v>-11196.46</x:v>
      </x:c>
      <x:c r="AD883" s="265" t="n">
        <x:v>-1529.48</x:v>
      </x:c>
      <x:c r="AE883" s="271" t="str"/>
      <x:c r="AF883" s="274" t="str">
        <x:v>Not validated - no control/holdout</x:v>
      </x:c>
      <x:c r="AG883" s="277" t="str">
        <x:v>Recovered execution only; assignment date and unclaimed-offer denominator unavailable</x:v>
      </x:c>
    </x:row>
    <x:row r="884">
      <x:c r="A884" s="252" t="str">
        <x:v>34538552</x:v>
      </x:c>
      <x:c r="B884" s="253" t="str">
        <x:v>WS1</x:v>
      </x:c>
      <x:c r="C884" s="253" t="str">
        <x:v>MB8</x:v>
      </x:c>
      <x:c r="D884" s="262" t="n">
        <x:v>46182.72219907407</x:v>
      </x:c>
      <x:c r="E884" s="259" t="n">
        <x:v>46182.166666666664</x:v>
      </x:c>
      <x:c r="F884" s="253" t="str">
        <x:v>99213</x:v>
      </x:c>
      <x:c r="G884" s="253" t="str">
        <x:v>tony0722</x:v>
      </x:c>
      <x:c r="H884" s="253" t="str">
        <x:v>Yes</x:v>
      </x:c>
      <x:c r="I884" s="253" t="str">
        <x:v>Claire</x:v>
      </x:c>
      <x:c r="J884" s="253" t="str">
        <x:v>Claire</x:v>
      </x:c>
      <x:c r="K884" s="259" t="n">
        <x:v>45659.166666666664</x:v>
      </x:c>
      <x:c r="L884" s="268" t="str">
        <x:f>IFERROR(VLOOKUP(I884,'Handler-Team Map'!$A$7:$C$17,2,FALSE),"")</x:f>
      </x:c>
      <x:c r="M884" s="268" t="str">
        <x:f>IFERROR(VLOOKUP(I884,'Handler-Team Map'!$A$7:$C$17,3,FALSE),"")</x:f>
      </x:c>
      <x:c r="N884" s="274" t="str">
        <x:v>FT_VM_DEP1000_GET800_1X</x:v>
      </x:c>
      <x:c r="O884" s="274" t="str">
        <x:v>VIP BONUS - Deposit 1000 Get 800 - 1x TO</x:v>
      </x:c>
      <x:c r="P884" s="274" t="str">
        <x:v>DepositBonus</x:v>
      </x:c>
      <x:c r="Q884" s="274" t="str">
        <x:v>Approved</x:v>
      </x:c>
      <x:c r="R884" s="265" t="n">
        <x:v>800</x:v>
      </x:c>
      <x:c r="S884" s="253" t="str">
        <x:v>Yes</x:v>
      </x:c>
      <x:c r="T884" s="265" t="n">
        <x:v>208</x:v>
      </x:c>
      <x:c r="U884" s="253" t="str">
        <x:f>IF(AND(S884="Yes",T884=0),"Yes","No")</x:f>
        <x:v>No</x:v>
      </x:c>
      <x:c r="V884" s="253" t="str">
        <x:v>Yes</x:v>
      </x:c>
      <x:c r="W884" s="253" t="str">
        <x:v>Yes</x:v>
      </x:c>
      <x:c r="X884" s="259" t="n">
        <x:v>46182.166666666664</x:v>
      </x:c>
      <x:c r="Y884" s="265" t="n">
        <x:v>2000</x:v>
      </x:c>
      <x:c r="Z884" s="265" t="n">
        <x:v>2000</x:v>
      </x:c>
      <x:c r="AA884" s="253" t="str">
        <x:f>IF(V884="No","Maturing",IF(AND(U884="Yes",Y884&gt;0),"Yes","No"))</x:f>
        <x:v>No</x:v>
      </x:c>
      <x:c r="AB884" s="253" t="str">
        <x:f>IF(W884="No","Maturing",IF(AND(U884="Yes",Z884&gt;0),"Yes","No"))</x:f>
        <x:v>No</x:v>
      </x:c>
      <x:c r="AC884" s="265" t="n">
        <x:v>-1972.18</x:v>
      </x:c>
      <x:c r="AD884" s="265" t="n">
        <x:v>-1971.52</x:v>
      </x:c>
      <x:c r="AE884" s="271" t="str"/>
      <x:c r="AF884" s="274" t="str">
        <x:v>Not validated - no control/holdout</x:v>
      </x:c>
      <x:c r="AG884" s="277" t="str">
        <x:v>Recovered execution only; assignment date and unclaimed-offer denominator unavailable</x:v>
      </x:c>
    </x:row>
    <x:row r="885">
      <x:c r="A885" s="252" t="str">
        <x:v>34538810</x:v>
      </x:c>
      <x:c r="B885" s="253" t="str">
        <x:v>WS1</x:v>
      </x:c>
      <x:c r="C885" s="253" t="str">
        <x:v>MB8</x:v>
      </x:c>
      <x:c r="D885" s="262" t="n">
        <x:v>46182.74353009259</x:v>
      </x:c>
      <x:c r="E885" s="259" t="n">
        <x:v>46182.166666666664</x:v>
      </x:c>
      <x:c r="F885" s="253" t="str">
        <x:v>28125</x:v>
      </x:c>
      <x:c r="G885" s="253" t="str">
        <x:v>eriey89</x:v>
      </x:c>
      <x:c r="H885" s="253" t="str">
        <x:v>Yes</x:v>
      </x:c>
      <x:c r="I885" s="253" t="str">
        <x:v>Christy</x:v>
      </x:c>
      <x:c r="J885" s="253" t="str">
        <x:v>Christy</x:v>
      </x:c>
      <x:c r="K885" s="259" t="n">
        <x:v>45831.166666666664</x:v>
      </x:c>
      <x:c r="L885" s="268" t="str">
        <x:f>IFERROR(VLOOKUP(I885,'Handler-Team Map'!$A$7:$C$17,2,FALSE),"")</x:f>
      </x:c>
      <x:c r="M885" s="268" t="str">
        <x:f>IFERROR(VLOOKUP(I885,'Handler-Team Map'!$A$7:$C$17,3,FALSE),"")</x:f>
      </x:c>
      <x:c r="N885" s="274" t="str">
        <x:v>FT_VM_DEP800_GET400_2X</x:v>
      </x:c>
      <x:c r="O885" s="274" t="str">
        <x:v>VIP BONUS - Deposit 800 Get 400 - 2x TO</x:v>
      </x:c>
      <x:c r="P885" s="274" t="str">
        <x:v>DepositBonus</x:v>
      </x:c>
      <x:c r="Q885" s="274" t="str">
        <x:v>Approved</x:v>
      </x:c>
      <x:c r="R885" s="265" t="n">
        <x:v>400</x:v>
      </x:c>
      <x:c r="S885" s="253" t="str">
        <x:v>Yes</x:v>
      </x:c>
      <x:c r="T885" s="265" t="n">
        <x:v>60</x:v>
      </x:c>
      <x:c r="U885" s="253" t="str">
        <x:f>IF(AND(S885="Yes",T885=0),"Yes","No")</x:f>
        <x:v>No</x:v>
      </x:c>
      <x:c r="V885" s="253" t="str">
        <x:v>Yes</x:v>
      </x:c>
      <x:c r="W885" s="253" t="str">
        <x:v>Yes</x:v>
      </x:c>
      <x:c r="X885" s="259" t="n">
        <x:v>46182.166666666664</x:v>
      </x:c>
      <x:c r="Y885" s="265" t="n">
        <x:v>800</x:v>
      </x:c>
      <x:c r="Z885" s="265" t="n">
        <x:v>800</x:v>
      </x:c>
      <x:c r="AA885" s="253" t="str">
        <x:f>IF(V885="No","Maturing",IF(AND(U885="Yes",Y885&gt;0),"Yes","No"))</x:f>
        <x:v>No</x:v>
      </x:c>
      <x:c r="AB885" s="253" t="str">
        <x:f>IF(W885="No","Maturing",IF(AND(U885="Yes",Z885&gt;0),"Yes","No"))</x:f>
        <x:v>No</x:v>
      </x:c>
      <x:c r="AC885" s="265" t="n">
        <x:v>800</x:v>
      </x:c>
      <x:c r="AD885" s="265" t="n">
        <x:v>800</x:v>
      </x:c>
      <x:c r="AE885" s="271" t="str"/>
      <x:c r="AF885" s="274" t="str">
        <x:v>Not validated - no control/holdout</x:v>
      </x:c>
      <x:c r="AG885" s="277" t="str">
        <x:v>Recovered execution only; assignment date and unclaimed-offer denominator unavailable</x:v>
      </x:c>
    </x:row>
    <x:row r="886">
      <x:c r="A886" s="252" t="str">
        <x:v>34539247</x:v>
      </x:c>
      <x:c r="B886" s="253" t="str">
        <x:v>WS1</x:v>
      </x:c>
      <x:c r="C886" s="253" t="str">
        <x:v>MB8</x:v>
      </x:c>
      <x:c r="D886" s="262" t="n">
        <x:v>46182.779386574075</x:v>
      </x:c>
      <x:c r="E886" s="259" t="n">
        <x:v>46182.166666666664</x:v>
      </x:c>
      <x:c r="F886" s="253" t="str">
        <x:v>736061</x:v>
      </x:c>
      <x:c r="G886" s="253" t="str">
        <x:v>Leo67</x:v>
      </x:c>
      <x:c r="H886" s="253" t="str">
        <x:v>Yes</x:v>
      </x:c>
      <x:c r="I886" s="253" t="str">
        <x:v>Christy</x:v>
      </x:c>
      <x:c r="J886" s="253" t="str">
        <x:v>Christy</x:v>
      </x:c>
      <x:c r="K886" s="259" t="n">
        <x:v>45831.166666666664</x:v>
      </x:c>
      <x:c r="L886" s="268" t="str">
        <x:f>IFERROR(VLOOKUP(I886,'Handler-Team Map'!$A$7:$C$17,2,FALSE),"")</x:f>
      </x:c>
      <x:c r="M886" s="268" t="str">
        <x:f>IFERROR(VLOOKUP(I886,'Handler-Team Map'!$A$7:$C$17,3,FALSE),"")</x:f>
      </x:c>
      <x:c r="N886" s="274" t="str">
        <x:v>FT_VM_DEP150_GET50_5X</x:v>
      </x:c>
      <x:c r="O886" s="274" t="str">
        <x:v>VIP BONUS - Deposit 150 Get 50 - 5x TO</x:v>
      </x:c>
      <x:c r="P886" s="274" t="str">
        <x:v>DepositBonus</x:v>
      </x:c>
      <x:c r="Q886" s="274" t="str">
        <x:v>Approved</x:v>
      </x:c>
      <x:c r="R886" s="265" t="n">
        <x:v>50</x:v>
      </x:c>
      <x:c r="S886" s="253" t="str">
        <x:v>Yes</x:v>
      </x:c>
      <x:c r="T886" s="265" t="n">
        <x:v>21625</x:v>
      </x:c>
      <x:c r="U886" s="253" t="str">
        <x:f>IF(AND(S886="Yes",T886=0),"Yes","No")</x:f>
        <x:v>No</x:v>
      </x:c>
      <x:c r="V886" s="253" t="str">
        <x:v>Yes</x:v>
      </x:c>
      <x:c r="W886" s="253" t="str">
        <x:v>Yes</x:v>
      </x:c>
      <x:c r="X886" s="259" t="n">
        <x:v>46182.166666666664</x:v>
      </x:c>
      <x:c r="Y886" s="265" t="n">
        <x:v>13196.08</x:v>
      </x:c>
      <x:c r="Z886" s="265" t="n">
        <x:v>16326.08</x:v>
      </x:c>
      <x:c r="AA886" s="253" t="str">
        <x:f>IF(V886="No","Maturing",IF(AND(U886="Yes",Y886&gt;0),"Yes","No"))</x:f>
        <x:v>No</x:v>
      </x:c>
      <x:c r="AB886" s="253" t="str">
        <x:f>IF(W886="No","Maturing",IF(AND(U886="Yes",Z886&gt;0),"Yes","No"))</x:f>
        <x:v>No</x:v>
      </x:c>
      <x:c r="AC886" s="265" t="n">
        <x:v>1507.8</x:v>
      </x:c>
      <x:c r="AD886" s="265" t="n">
        <x:v>2812</x:v>
      </x:c>
      <x:c r="AE886" s="271" t="str"/>
      <x:c r="AF886" s="274" t="str">
        <x:v>Not validated - no control/holdout</x:v>
      </x:c>
      <x:c r="AG886" s="277" t="str">
        <x:v>Recovered execution only; assignment date and unclaimed-offer denominator unavailable</x:v>
      </x:c>
    </x:row>
    <x:row r="887">
      <x:c r="A887" s="252" t="str">
        <x:v>34539638</x:v>
      </x:c>
      <x:c r="B887" s="253" t="str">
        <x:v>WS1</x:v>
      </x:c>
      <x:c r="C887" s="253" t="str">
        <x:v>MB8</x:v>
      </x:c>
      <x:c r="D887" s="262" t="n">
        <x:v>46182.80818287037</x:v>
      </x:c>
      <x:c r="E887" s="259" t="n">
        <x:v>46182.166666666664</x:v>
      </x:c>
      <x:c r="F887" s="253" t="str">
        <x:v>378186</x:v>
      </x:c>
      <x:c r="G887" s="253" t="str">
        <x:v>rahman94</x:v>
      </x:c>
      <x:c r="H887" s="253" t="str">
        <x:v>Yes</x:v>
      </x:c>
      <x:c r="I887" s="253" t="str"/>
      <x:c r="J887" s="253" t="str"/>
      <x:c r="K887" s="259"/>
      <x:c r="L887" s="268" t="str">
        <x:f>IFERROR(VLOOKUP(I887,'Handler-Team Map'!$A$7:$C$17,2,FALSE),"")</x:f>
      </x:c>
      <x:c r="M887" s="268" t="str">
        <x:f>IFERROR(VLOOKUP(I887,'Handler-Team Map'!$A$7:$C$17,3,FALSE),"")</x:f>
      </x:c>
      <x:c r="N887" s="274" t="str">
        <x:v>FT_VM_DEP800_GET400_1X</x:v>
      </x:c>
      <x:c r="O887" s="274" t="str">
        <x:v>VIP BONUS - Deposit 800 Get 400 - 1x TO</x:v>
      </x:c>
      <x:c r="P887" s="274" t="str">
        <x:v>DepositBonus</x:v>
      </x:c>
      <x:c r="Q887" s="274" t="str">
        <x:v>Approved</x:v>
      </x:c>
      <x:c r="R887" s="265" t="n">
        <x:v>400</x:v>
      </x:c>
      <x:c r="S887" s="253" t="str">
        <x:v>Yes</x:v>
      </x:c>
      <x:c r="T887" s="265" t="n">
        <x:v>1000</x:v>
      </x:c>
      <x:c r="U887" s="253" t="str">
        <x:f>IF(AND(S887="Yes",T887=0),"Yes","No")</x:f>
        <x:v>No</x:v>
      </x:c>
      <x:c r="V887" s="253" t="str">
        <x:v>Yes</x:v>
      </x:c>
      <x:c r="W887" s="253" t="str">
        <x:v>Yes</x:v>
      </x:c>
      <x:c r="X887" s="259" t="n">
        <x:v>46182.166666666664</x:v>
      </x:c>
      <x:c r="Y887" s="265" t="n">
        <x:v>800</x:v>
      </x:c>
      <x:c r="Z887" s="265" t="n">
        <x:v>800</x:v>
      </x:c>
      <x:c r="AA887" s="253" t="str">
        <x:f>IF(V887="No","Maturing",IF(AND(U887="Yes",Y887&gt;0),"Yes","No"))</x:f>
        <x:v>No</x:v>
      </x:c>
      <x:c r="AB887" s="253" t="str">
        <x:f>IF(W887="No","Maturing",IF(AND(U887="Yes",Z887&gt;0),"Yes","No"))</x:f>
        <x:v>No</x:v>
      </x:c>
      <x:c r="AC887" s="265" t="n">
        <x:v>796</x:v>
      </x:c>
      <x:c r="AD887" s="265" t="n">
        <x:v>796</x:v>
      </x:c>
      <x:c r="AE887" s="271" t="str"/>
      <x:c r="AF887" s="274" t="str">
        <x:v>Not validated - no control/holdout</x:v>
      </x:c>
      <x:c r="AG887" s="277" t="str">
        <x:v>Recovered execution only; assignment date and unclaimed-offer denominator unavailable</x:v>
      </x:c>
    </x:row>
    <x:row r="888">
      <x:c r="A888" s="252" t="str">
        <x:v>34539800</x:v>
      </x:c>
      <x:c r="B888" s="253" t="str">
        <x:v>WS1</x:v>
      </x:c>
      <x:c r="C888" s="253" t="str">
        <x:v>MB8</x:v>
      </x:c>
      <x:c r="D888" s="262" t="n">
        <x:v>46182.81818287037</x:v>
      </x:c>
      <x:c r="E888" s="259" t="n">
        <x:v>46182.166666666664</x:v>
      </x:c>
      <x:c r="F888" s="253" t="str">
        <x:v>62892</x:v>
      </x:c>
      <x:c r="G888" s="253" t="str">
        <x:v>Prolakers97</x:v>
      </x:c>
      <x:c r="H888" s="253" t="str">
        <x:v>Yes</x:v>
      </x:c>
      <x:c r="I888" s="253" t="str"/>
      <x:c r="J888" s="253" t="str"/>
      <x:c r="K888" s="259"/>
      <x:c r="L888" s="268" t="str">
        <x:f>IFERROR(VLOOKUP(I888,'Handler-Team Map'!$A$7:$C$17,2,FALSE),"")</x:f>
      </x:c>
      <x:c r="M888" s="268" t="str">
        <x:f>IFERROR(VLOOKUP(I888,'Handler-Team Map'!$A$7:$C$17,3,FALSE),"")</x:f>
      </x:c>
      <x:c r="N888" s="274" t="str">
        <x:v>FT_VM_DEP700_GET300_2X</x:v>
      </x:c>
      <x:c r="O888" s="274" t="str">
        <x:v>VIP BONUS - Deposit 700 Get 300 - 2x TO</x:v>
      </x:c>
      <x:c r="P888" s="274" t="str">
        <x:v>DepositBonus</x:v>
      </x:c>
      <x:c r="Q888" s="274" t="str">
        <x:v>Approved</x:v>
      </x:c>
      <x:c r="R888" s="265" t="n">
        <x:v>300</x:v>
      </x:c>
      <x:c r="S888" s="253" t="str">
        <x:v>Yes</x:v>
      </x:c>
      <x:c r="T888" s="265" t="n">
        <x:v>1000</x:v>
      </x:c>
      <x:c r="U888" s="253" t="str">
        <x:f>IF(AND(S888="Yes",T888=0),"Yes","No")</x:f>
        <x:v>No</x:v>
      </x:c>
      <x:c r="V888" s="253" t="str">
        <x:v>Yes</x:v>
      </x:c>
      <x:c r="W888" s="253" t="str">
        <x:v>Yes</x:v>
      </x:c>
      <x:c r="X888" s="259" t="n">
        <x:v>46182.166666666664</x:v>
      </x:c>
      <x:c r="Y888" s="265" t="n">
        <x:v>1300</x:v>
      </x:c>
      <x:c r="Z888" s="265" t="n">
        <x:v>1300</x:v>
      </x:c>
      <x:c r="AA888" s="253" t="str">
        <x:f>IF(V888="No","Maturing",IF(AND(U888="Yes",Y888&gt;0),"Yes","No"))</x:f>
        <x:v>No</x:v>
      </x:c>
      <x:c r="AB888" s="253" t="str">
        <x:f>IF(W888="No","Maturing",IF(AND(U888="Yes",Z888&gt;0),"Yes","No"))</x:f>
        <x:v>No</x:v>
      </x:c>
      <x:c r="AC888" s="265" t="n">
        <x:v>-712.39</x:v>
      </x:c>
      <x:c r="AD888" s="265" t="n">
        <x:v>-703.92</x:v>
      </x:c>
      <x:c r="AE888" s="271" t="str"/>
      <x:c r="AF888" s="274" t="str">
        <x:v>Not validated - no control/holdout</x:v>
      </x:c>
      <x:c r="AG888" s="277" t="str">
        <x:v>Recovered execution only; assignment date and unclaimed-offer denominator unavailable</x:v>
      </x:c>
    </x:row>
    <x:row r="889">
      <x:c r="A889" s="252" t="str">
        <x:v>34540149</x:v>
      </x:c>
      <x:c r="B889" s="253" t="str">
        <x:v>WS1</x:v>
      </x:c>
      <x:c r="C889" s="253" t="str">
        <x:v>MB8</x:v>
      </x:c>
      <x:c r="D889" s="262" t="n">
        <x:v>46182.84216435185</x:v>
      </x:c>
      <x:c r="E889" s="259" t="n">
        <x:v>46182.166666666664</x:v>
      </x:c>
      <x:c r="F889" s="253" t="str">
        <x:v>401057</x:v>
      </x:c>
      <x:c r="G889" s="253" t="str">
        <x:v>discus71</x:v>
      </x:c>
      <x:c r="H889" s="253" t="str">
        <x:v>Yes</x:v>
      </x:c>
      <x:c r="I889" s="253" t="str">
        <x:v>zhen</x:v>
      </x:c>
      <x:c r="J889" s="253" t="str">
        <x:v>zhen</x:v>
      </x:c>
      <x:c r="K889" s="259" t="n">
        <x:v>45922.166666666664</x:v>
      </x:c>
      <x:c r="L889" s="268" t="str">
        <x:f>IFERROR(VLOOKUP(I889,'Handler-Team Map'!$A$7:$C$17,2,FALSE),"")</x:f>
      </x:c>
      <x:c r="M889" s="268" t="str">
        <x:f>IFERROR(VLOOKUP(I889,'Handler-Team Map'!$A$7:$C$17,3,FALSE),"")</x:f>
      </x:c>
      <x:c r="N889" s="274" t="str">
        <x:v>FT_VM_DEP1000_GET500_5X</x:v>
      </x:c>
      <x:c r="O889" s="274" t="str">
        <x:v>VIP BONUS - Deposit 1000 Get 500 - 5x TO</x:v>
      </x:c>
      <x:c r="P889" s="274" t="str">
        <x:v>DepositBonus</x:v>
      </x:c>
      <x:c r="Q889" s="274" t="str">
        <x:v>Approved</x:v>
      </x:c>
      <x:c r="R889" s="265" t="n">
        <x:v>500</x:v>
      </x:c>
      <x:c r="S889" s="253" t="str">
        <x:v>Yes</x:v>
      </x:c>
      <x:c r="T889" s="265" t="n">
        <x:v>2000</x:v>
      </x:c>
      <x:c r="U889" s="253" t="str">
        <x:f>IF(AND(S889="Yes",T889=0),"Yes","No")</x:f>
        <x:v>No</x:v>
      </x:c>
      <x:c r="V889" s="253" t="str">
        <x:v>Yes</x:v>
      </x:c>
      <x:c r="W889" s="253" t="str">
        <x:v>Yes</x:v>
      </x:c>
      <x:c r="X889" s="259" t="n">
        <x:v>46182.166666666664</x:v>
      </x:c>
      <x:c r="Y889" s="265" t="n">
        <x:v>1000</x:v>
      </x:c>
      <x:c r="Z889" s="265" t="n">
        <x:v>1000</x:v>
      </x:c>
      <x:c r="AA889" s="253" t="str">
        <x:f>IF(V889="No","Maturing",IF(AND(U889="Yes",Y889&gt;0),"Yes","No"))</x:f>
        <x:v>No</x:v>
      </x:c>
      <x:c r="AB889" s="253" t="str">
        <x:f>IF(W889="No","Maturing",IF(AND(U889="Yes",Z889&gt;0),"Yes","No"))</x:f>
        <x:v>No</x:v>
      </x:c>
      <x:c r="AC889" s="265" t="n">
        <x:v>-153.73</x:v>
      </x:c>
      <x:c r="AD889" s="265" t="n">
        <x:v>-150.31</x:v>
      </x:c>
      <x:c r="AE889" s="271" t="str"/>
      <x:c r="AF889" s="274" t="str">
        <x:v>Not validated - no control/holdout</x:v>
      </x:c>
      <x:c r="AG889" s="277" t="str">
        <x:v>Recovered execution only; assignment date and unclaimed-offer denominator unavailable</x:v>
      </x:c>
    </x:row>
    <x:row r="890">
      <x:c r="A890" s="252" t="str">
        <x:v>34540704</x:v>
      </x:c>
      <x:c r="B890" s="253" t="str">
        <x:v>WS1</x:v>
      </x:c>
      <x:c r="C890" s="253" t="str">
        <x:v>MB8</x:v>
      </x:c>
      <x:c r="D890" s="262" t="n">
        <x:v>46182.8822337963</x:v>
      </x:c>
      <x:c r="E890" s="259" t="n">
        <x:v>46182.166666666664</x:v>
      </x:c>
      <x:c r="F890" s="253" t="str">
        <x:v>392681</x:v>
      </x:c>
      <x:c r="G890" s="253" t="str">
        <x:v>Wanwangile</x:v>
      </x:c>
      <x:c r="H890" s="253" t="str">
        <x:v>Yes</x:v>
      </x:c>
      <x:c r="I890" s="253" t="str"/>
      <x:c r="J890" s="253" t="str"/>
      <x:c r="K890" s="259"/>
      <x:c r="L890" s="268" t="str">
        <x:f>IFERROR(VLOOKUP(I890,'Handler-Team Map'!$A$7:$C$17,2,FALSE),"")</x:f>
      </x:c>
      <x:c r="M890" s="268" t="str">
        <x:f>IFERROR(VLOOKUP(I890,'Handler-Team Map'!$A$7:$C$17,3,FALSE),"")</x:f>
      </x:c>
      <x:c r="N890" s="274" t="str">
        <x:v>FT_VM_DEP1000_GET500_1X</x:v>
      </x:c>
      <x:c r="O890" s="274" t="str">
        <x:v>VIP BONUS - Deposit 1000 Get 500 - 1x TO</x:v>
      </x:c>
      <x:c r="P890" s="274" t="str">
        <x:v>DepositBonus</x:v>
      </x:c>
      <x:c r="Q890" s="274" t="str">
        <x:v>Approved</x:v>
      </x:c>
      <x:c r="R890" s="265" t="n">
        <x:v>500</x:v>
      </x:c>
      <x:c r="S890" s="253" t="str">
        <x:v>Yes</x:v>
      </x:c>
      <x:c r="T890" s="265" t="n">
        <x:v>0</x:v>
      </x:c>
      <x:c r="U890" s="253" t="str">
        <x:f>IF(AND(S890="Yes",T890=0),"Yes","No")</x:f>
        <x:v>Yes</x:v>
      </x:c>
      <x:c r="V890" s="253" t="str">
        <x:v>Yes</x:v>
      </x:c>
      <x:c r="W890" s="253" t="str">
        <x:v>Yes</x:v>
      </x:c>
      <x:c r="X890" s="259" t="n">
        <x:v>46182.166666666664</x:v>
      </x:c>
      <x:c r="Y890" s="265" t="n">
        <x:v>1800</x:v>
      </x:c>
      <x:c r="Z890" s="265" t="n">
        <x:v>1800</x:v>
      </x:c>
      <x:c r="AA890" s="253" t="str">
        <x:f>IF(V890="No","Maturing",IF(AND(U890="Yes",Y890&gt;0),"Yes","No"))</x:f>
        <x:v>Yes</x:v>
      </x:c>
      <x:c r="AB890" s="253" t="str">
        <x:f>IF(W890="No","Maturing",IF(AND(U890="Yes",Z890&gt;0),"Yes","No"))</x:f>
        <x:v>Yes</x:v>
      </x:c>
      <x:c r="AC890" s="265" t="n">
        <x:v>-154.28</x:v>
      </x:c>
      <x:c r="AD890" s="265" t="n">
        <x:v>-154.24</x:v>
      </x:c>
      <x:c r="AE890" s="271" t="str"/>
      <x:c r="AF890" s="274" t="str">
        <x:v>Not validated - no control/holdout</x:v>
      </x:c>
      <x:c r="AG890" s="277" t="str">
        <x:v>Recovered execution only; assignment date and unclaimed-offer denominator unavailable</x:v>
      </x:c>
    </x:row>
    <x:row r="891">
      <x:c r="A891" s="252" t="str">
        <x:v>34540880</x:v>
      </x:c>
      <x:c r="B891" s="253" t="str">
        <x:v>WS1</x:v>
      </x:c>
      <x:c r="C891" s="253" t="str">
        <x:v>MB8</x:v>
      </x:c>
      <x:c r="D891" s="262" t="n">
        <x:v>46182.89251157407</x:v>
      </x:c>
      <x:c r="E891" s="259" t="n">
        <x:v>46182.166666666664</x:v>
      </x:c>
      <x:c r="F891" s="253" t="str">
        <x:v>676889</x:v>
      </x:c>
      <x:c r="G891" s="253" t="str">
        <x:v>Maths1</x:v>
      </x:c>
      <x:c r="H891" s="253" t="str">
        <x:v>Yes</x:v>
      </x:c>
      <x:c r="I891" s="253" t="str"/>
      <x:c r="J891" s="253" t="str"/>
      <x:c r="K891" s="259"/>
      <x:c r="L891" s="268" t="str">
        <x:f>IFERROR(VLOOKUP(I891,'Handler-Team Map'!$A$7:$C$17,2,FALSE),"")</x:f>
      </x:c>
      <x:c r="M891" s="268" t="str">
        <x:f>IFERROR(VLOOKUP(I891,'Handler-Team Map'!$A$7:$C$17,3,FALSE),"")</x:f>
      </x:c>
      <x:c r="N891" s="274" t="str">
        <x:v>FT_VM_DEP800_GET400_1X</x:v>
      </x:c>
      <x:c r="O891" s="274" t="str">
        <x:v>VIP BONUS - Deposit 800 Get 400 - 1x TO</x:v>
      </x:c>
      <x:c r="P891" s="274" t="str">
        <x:v>DepositBonus</x:v>
      </x:c>
      <x:c r="Q891" s="274" t="str">
        <x:v>Approved</x:v>
      </x:c>
      <x:c r="R891" s="265" t="n">
        <x:v>400</x:v>
      </x:c>
      <x:c r="S891" s="253" t="str">
        <x:v>Yes</x:v>
      </x:c>
      <x:c r="T891" s="265" t="n">
        <x:v>100</x:v>
      </x:c>
      <x:c r="U891" s="253" t="str">
        <x:f>IF(AND(S891="Yes",T891=0),"Yes","No")</x:f>
        <x:v>No</x:v>
      </x:c>
      <x:c r="V891" s="253" t="str">
        <x:v>Yes</x:v>
      </x:c>
      <x:c r="W891" s="253" t="str">
        <x:v>Yes</x:v>
      </x:c>
      <x:c r="X891" s="259" t="n">
        <x:v>46182.166666666664</x:v>
      </x:c>
      <x:c r="Y891" s="265" t="n">
        <x:v>1500</x:v>
      </x:c>
      <x:c r="Z891" s="265" t="n">
        <x:v>1500</x:v>
      </x:c>
      <x:c r="AA891" s="253" t="str">
        <x:f>IF(V891="No","Maturing",IF(AND(U891="Yes",Y891&gt;0),"Yes","No"))</x:f>
        <x:v>No</x:v>
      </x:c>
      <x:c r="AB891" s="253" t="str">
        <x:f>IF(W891="No","Maturing",IF(AND(U891="Yes",Z891&gt;0),"Yes","No"))</x:f>
        <x:v>No</x:v>
      </x:c>
      <x:c r="AC891" s="265" t="n">
        <x:v>-1531.15</x:v>
      </x:c>
      <x:c r="AD891" s="265" t="n">
        <x:v>-1531.15</x:v>
      </x:c>
      <x:c r="AE891" s="271" t="str"/>
      <x:c r="AF891" s="274" t="str">
        <x:v>Not validated - no control/holdout</x:v>
      </x:c>
      <x:c r="AG891" s="277" t="str">
        <x:v>Recovered execution only; assignment date and unclaimed-offer denominator unavailable</x:v>
      </x:c>
    </x:row>
    <x:row r="892">
      <x:c r="A892" s="252" t="str">
        <x:v>34541984</x:v>
      </x:c>
      <x:c r="B892" s="253" t="str">
        <x:v>WS1</x:v>
      </x:c>
      <x:c r="C892" s="253" t="str">
        <x:v>MB8</x:v>
      </x:c>
      <x:c r="D892" s="262" t="n">
        <x:v>46182.958449074074</x:v>
      </x:c>
      <x:c r="E892" s="259" t="n">
        <x:v>46182.166666666664</x:v>
      </x:c>
      <x:c r="F892" s="253" t="str">
        <x:v>529225</x:v>
      </x:c>
      <x:c r="G892" s="253" t="str">
        <x:v>frankylow86</x:v>
      </x:c>
      <x:c r="H892" s="253" t="str">
        <x:v>Yes</x:v>
      </x:c>
      <x:c r="I892" s="253" t="str">
        <x:v>Claire</x:v>
      </x:c>
      <x:c r="J892" s="253" t="str">
        <x:v>Claire</x:v>
      </x:c>
      <x:c r="K892" s="259" t="n">
        <x:v>45659.166666666664</x:v>
      </x:c>
      <x:c r="L892" s="268" t="str">
        <x:f>IFERROR(VLOOKUP(I892,'Handler-Team Map'!$A$7:$C$17,2,FALSE),"")</x:f>
      </x:c>
      <x:c r="M892" s="268" t="str">
        <x:f>IFERROR(VLOOKUP(I892,'Handler-Team Map'!$A$7:$C$17,3,FALSE),"")</x:f>
      </x:c>
      <x:c r="N892" s="274" t="str">
        <x:v>FT_VM_DEP600_GET200_2X</x:v>
      </x:c>
      <x:c r="O892" s="274" t="str">
        <x:v>VIP BONUS - Deposit 600 Get 200 - 2x TO</x:v>
      </x:c>
      <x:c r="P892" s="274" t="str">
        <x:v>DepositBonus</x:v>
      </x:c>
      <x:c r="Q892" s="274" t="str">
        <x:v>Approved</x:v>
      </x:c>
      <x:c r="R892" s="265" t="n">
        <x:v>200</x:v>
      </x:c>
      <x:c r="S892" s="253" t="str">
        <x:v>Yes</x:v>
      </x:c>
      <x:c r="T892" s="265" t="n">
        <x:v>14916</x:v>
      </x:c>
      <x:c r="U892" s="253" t="str">
        <x:f>IF(AND(S892="Yes",T892=0),"Yes","No")</x:f>
        <x:v>No</x:v>
      </x:c>
      <x:c r="V892" s="253" t="str">
        <x:v>Yes</x:v>
      </x:c>
      <x:c r="W892" s="253" t="str">
        <x:v>Yes</x:v>
      </x:c>
      <x:c r="X892" s="259" t="n">
        <x:v>46182.166666666664</x:v>
      </x:c>
      <x:c r="Y892" s="265" t="n">
        <x:v>16200</x:v>
      </x:c>
      <x:c r="Z892" s="265" t="n">
        <x:v>18790</x:v>
      </x:c>
      <x:c r="AA892" s="253" t="str">
        <x:f>IF(V892="No","Maturing",IF(AND(U892="Yes",Y892&gt;0),"Yes","No"))</x:f>
        <x:v>No</x:v>
      </x:c>
      <x:c r="AB892" s="253" t="str">
        <x:f>IF(W892="No","Maturing",IF(AND(U892="Yes",Z892&gt;0),"Yes","No"))</x:f>
        <x:v>No</x:v>
      </x:c>
      <x:c r="AC892" s="265" t="n">
        <x:v>-1800.09</x:v>
      </x:c>
      <x:c r="AD892" s="265" t="n">
        <x:v>789.93</x:v>
      </x:c>
      <x:c r="AE892" s="271" t="str"/>
      <x:c r="AF892" s="274" t="str">
        <x:v>Not validated - no control/holdout</x:v>
      </x:c>
      <x:c r="AG892" s="277" t="str">
        <x:v>Recovered execution only; assignment date and unclaimed-offer denominator unavailable</x:v>
      </x:c>
    </x:row>
    <x:row r="893">
      <x:c r="A893" s="252" t="str">
        <x:v>34543403</x:v>
      </x:c>
      <x:c r="B893" s="253" t="str">
        <x:v>WS1</x:v>
      </x:c>
      <x:c r="C893" s="253" t="str">
        <x:v>MB8</x:v>
      </x:c>
      <x:c r="D893" s="262" t="n">
        <x:v>46183.033483796295</x:v>
      </x:c>
      <x:c r="E893" s="259" t="n">
        <x:v>46183.166666666664</x:v>
      </x:c>
      <x:c r="F893" s="253" t="str">
        <x:v>660486</x:v>
      </x:c>
      <x:c r="G893" s="253" t="str">
        <x:v>jrao83</x:v>
      </x:c>
      <x:c r="H893" s="253" t="str">
        <x:v>Yes</x:v>
      </x:c>
      <x:c r="I893" s="253" t="str">
        <x:v>Kam</x:v>
      </x:c>
      <x:c r="J893" s="253" t="str">
        <x:v>Kam</x:v>
      </x:c>
      <x:c r="K893" s="259" t="n">
        <x:v>45951.166666666664</x:v>
      </x:c>
      <x:c r="L893" s="268" t="str">
        <x:f>IFERROR(VLOOKUP(I893,'Handler-Team Map'!$A$7:$C$17,2,FALSE),"")</x:f>
      </x:c>
      <x:c r="M893" s="268" t="str">
        <x:f>IFERROR(VLOOKUP(I893,'Handler-Team Map'!$A$7:$C$17,3,FALSE),"")</x:f>
      </x:c>
      <x:c r="N893" s="274" t="str">
        <x:v>FT_VM_DEP1000_GET900_1X</x:v>
      </x:c>
      <x:c r="O893" s="274" t="str">
        <x:v>VIP BONUS - Deposit 1000 Get 900 - 1x TO</x:v>
      </x:c>
      <x:c r="P893" s="274" t="str">
        <x:v>DepositBonus</x:v>
      </x:c>
      <x:c r="Q893" s="274" t="str">
        <x:v>Approved</x:v>
      </x:c>
      <x:c r="R893" s="265" t="n">
        <x:v>900</x:v>
      </x:c>
      <x:c r="S893" s="253" t="str">
        <x:v>Yes</x:v>
      </x:c>
      <x:c r="T893" s="265" t="n">
        <x:v>7000</x:v>
      </x:c>
      <x:c r="U893" s="253" t="str">
        <x:f>IF(AND(S893="Yes",T893=0),"Yes","No")</x:f>
        <x:v>No</x:v>
      </x:c>
      <x:c r="V893" s="253" t="str">
        <x:v>Yes</x:v>
      </x:c>
      <x:c r="W893" s="253" t="str">
        <x:v>Yes</x:v>
      </x:c>
      <x:c r="X893" s="259" t="n">
        <x:v>46183.166666666664</x:v>
      </x:c>
      <x:c r="Y893" s="265" t="n">
        <x:v>1400</x:v>
      </x:c>
      <x:c r="Z893" s="265" t="n">
        <x:v>9900</x:v>
      </x:c>
      <x:c r="AA893" s="253" t="str">
        <x:f>IF(V893="No","Maturing",IF(AND(U893="Yes",Y893&gt;0),"Yes","No"))</x:f>
        <x:v>No</x:v>
      </x:c>
      <x:c r="AB893" s="253" t="str">
        <x:f>IF(W893="No","Maturing",IF(AND(U893="Yes",Z893&gt;0),"Yes","No"))</x:f>
        <x:v>No</x:v>
      </x:c>
      <x:c r="AC893" s="265" t="n">
        <x:v>1411.37</x:v>
      </x:c>
      <x:c r="AD893" s="265" t="n">
        <x:v>7911.29</x:v>
      </x:c>
      <x:c r="AE893" s="271" t="str"/>
      <x:c r="AF893" s="274" t="str">
        <x:v>Not validated - no control/holdout</x:v>
      </x:c>
      <x:c r="AG893" s="277" t="str">
        <x:v>Recovered execution only; assignment date and unclaimed-offer denominator unavailable</x:v>
      </x:c>
    </x:row>
    <x:row r="894">
      <x:c r="A894" s="252" t="str">
        <x:v>34543642</x:v>
      </x:c>
      <x:c r="B894" s="253" t="str">
        <x:v>WS1</x:v>
      </x:c>
      <x:c r="C894" s="253" t="str">
        <x:v>MB8</x:v>
      </x:c>
      <x:c r="D894" s="262" t="n">
        <x:v>46183.04510416667</x:v>
      </x:c>
      <x:c r="E894" s="259" t="n">
        <x:v>46183.166666666664</x:v>
      </x:c>
      <x:c r="F894" s="253" t="str">
        <x:v>455013</x:v>
      </x:c>
      <x:c r="G894" s="253" t="str">
        <x:v>faridpuyed92</x:v>
      </x:c>
      <x:c r="H894" s="253" t="str">
        <x:v>Yes</x:v>
      </x:c>
      <x:c r="I894" s="253" t="str">
        <x:v>zhen</x:v>
      </x:c>
      <x:c r="J894" s="253" t="str">
        <x:v>zhen</x:v>
      </x:c>
      <x:c r="K894" s="259" t="n">
        <x:v>45880.166666666664</x:v>
      </x:c>
      <x:c r="L894" s="268" t="str">
        <x:f>IFERROR(VLOOKUP(I894,'Handler-Team Map'!$A$7:$C$17,2,FALSE),"")</x:f>
      </x:c>
      <x:c r="M894" s="268" t="str">
        <x:f>IFERROR(VLOOKUP(I894,'Handler-Team Map'!$A$7:$C$17,3,FALSE),"")</x:f>
      </x:c>
      <x:c r="N894" s="274" t="str">
        <x:v>FT_VM_DEP800_GET400_2X</x:v>
      </x:c>
      <x:c r="O894" s="274" t="str">
        <x:v>VIP BONUS - Deposit 800 Get 400 - 2x TO</x:v>
      </x:c>
      <x:c r="P894" s="274" t="str">
        <x:v>DepositBonus</x:v>
      </x:c>
      <x:c r="Q894" s="274" t="str">
        <x:v>Approved</x:v>
      </x:c>
      <x:c r="R894" s="265" t="n">
        <x:v>400</x:v>
      </x:c>
      <x:c r="S894" s="253" t="str">
        <x:v>Yes</x:v>
      </x:c>
      <x:c r="T894" s="265" t="n">
        <x:v>0</x:v>
      </x:c>
      <x:c r="U894" s="253" t="str">
        <x:f>IF(AND(S894="Yes",T894=0),"Yes","No")</x:f>
        <x:v>Yes</x:v>
      </x:c>
      <x:c r="V894" s="253" t="str">
        <x:v>Yes</x:v>
      </x:c>
      <x:c r="W894" s="253" t="str">
        <x:v>Yes</x:v>
      </x:c>
      <x:c r="X894" s="259" t="n">
        <x:v>46183.166666666664</x:v>
      </x:c>
      <x:c r="Y894" s="265" t="n">
        <x:v>800</x:v>
      </x:c>
      <x:c r="Z894" s="265" t="n">
        <x:v>800</x:v>
      </x:c>
      <x:c r="AA894" s="253" t="str">
        <x:f>IF(V894="No","Maturing",IF(AND(U894="Yes",Y894&gt;0),"Yes","No"))</x:f>
        <x:v>Yes</x:v>
      </x:c>
      <x:c r="AB894" s="253" t="str">
        <x:f>IF(W894="No","Maturing",IF(AND(U894="Yes",Z894&gt;0),"Yes","No"))</x:f>
        <x:v>Yes</x:v>
      </x:c>
      <x:c r="AC894" s="265" t="n">
        <x:v>800.18</x:v>
      </x:c>
      <x:c r="AD894" s="265" t="n">
        <x:v>800.11</x:v>
      </x:c>
      <x:c r="AE894" s="271" t="str"/>
      <x:c r="AF894" s="274" t="str">
        <x:v>Not validated - no control/holdout</x:v>
      </x:c>
      <x:c r="AG894" s="277" t="str">
        <x:v>Recovered execution only; assignment date and unclaimed-offer denominator unavailable</x:v>
      </x:c>
    </x:row>
    <x:row r="895">
      <x:c r="A895" s="252" t="str">
        <x:v>34545325</x:v>
      </x:c>
      <x:c r="B895" s="253" t="str">
        <x:v>WS1</x:v>
      </x:c>
      <x:c r="C895" s="253" t="str">
        <x:v>MB8</x:v>
      </x:c>
      <x:c r="D895" s="262" t="n">
        <x:v>46183.1937962963</x:v>
      </x:c>
      <x:c r="E895" s="259" t="n">
        <x:v>46183.166666666664</x:v>
      </x:c>
      <x:c r="F895" s="253" t="str">
        <x:v>599479</x:v>
      </x:c>
      <x:c r="G895" s="253" t="str">
        <x:v>Shaifuldin97</x:v>
      </x:c>
      <x:c r="H895" s="253" t="str">
        <x:v>Yes</x:v>
      </x:c>
      <x:c r="I895" s="253" t="str"/>
      <x:c r="J895" s="253" t="str"/>
      <x:c r="K895" s="259"/>
      <x:c r="L895" s="268" t="str">
        <x:f>IFERROR(VLOOKUP(I895,'Handler-Team Map'!$A$7:$C$17,2,FALSE),"")</x:f>
      </x:c>
      <x:c r="M895" s="268" t="str">
        <x:f>IFERROR(VLOOKUP(I895,'Handler-Team Map'!$A$7:$C$17,3,FALSE),"")</x:f>
      </x:c>
      <x:c r="N895" s="274" t="str">
        <x:v>FT_VM_DEP1000_GET700_1X</x:v>
      </x:c>
      <x:c r="O895" s="274" t="str">
        <x:v>VIP BONUS - Deposit 1000 Get 700 - 1x TO</x:v>
      </x:c>
      <x:c r="P895" s="274" t="str">
        <x:v>DepositBonus</x:v>
      </x:c>
      <x:c r="Q895" s="274" t="str">
        <x:v>Approved</x:v>
      </x:c>
      <x:c r="R895" s="265" t="n">
        <x:v>700</x:v>
      </x:c>
      <x:c r="S895" s="253" t="str">
        <x:v>Yes</x:v>
      </x:c>
      <x:c r="T895" s="265" t="n">
        <x:v>95</x:v>
      </x:c>
      <x:c r="U895" s="253" t="str">
        <x:f>IF(AND(S895="Yes",T895=0),"Yes","No")</x:f>
        <x:v>No</x:v>
      </x:c>
      <x:c r="V895" s="253" t="str">
        <x:v>Yes</x:v>
      </x:c>
      <x:c r="W895" s="253" t="str">
        <x:v>Yes</x:v>
      </x:c>
      <x:c r="X895" s="259" t="n">
        <x:v>46183.166666666664</x:v>
      </x:c>
      <x:c r="Y895" s="265" t="n">
        <x:v>3300</x:v>
      </x:c>
      <x:c r="Z895" s="265" t="n">
        <x:v>3300</x:v>
      </x:c>
      <x:c r="AA895" s="253" t="str">
        <x:f>IF(V895="No","Maturing",IF(AND(U895="Yes",Y895&gt;0),"Yes","No"))</x:f>
        <x:v>No</x:v>
      </x:c>
      <x:c r="AB895" s="253" t="str">
        <x:f>IF(W895="No","Maturing",IF(AND(U895="Yes",Z895&gt;0),"Yes","No"))</x:f>
        <x:v>No</x:v>
      </x:c>
      <x:c r="AC895" s="265" t="n">
        <x:v>-199.18</x:v>
      </x:c>
      <x:c r="AD895" s="265" t="n">
        <x:v>-199.43</x:v>
      </x:c>
      <x:c r="AE895" s="271" t="str"/>
      <x:c r="AF895" s="274" t="str">
        <x:v>Not validated - no control/holdout</x:v>
      </x:c>
      <x:c r="AG895" s="277" t="str">
        <x:v>Recovered execution only; assignment date and unclaimed-offer denominator unavailable</x:v>
      </x:c>
    </x:row>
    <x:row r="896">
      <x:c r="A896" s="252" t="str">
        <x:v>34545708</x:v>
      </x:c>
      <x:c r="B896" s="253" t="str">
        <x:v>WS1</x:v>
      </x:c>
      <x:c r="C896" s="253" t="str">
        <x:v>MB8</x:v>
      </x:c>
      <x:c r="D896" s="262" t="n">
        <x:v>46183.26819444444</x:v>
      </x:c>
      <x:c r="E896" s="259" t="n">
        <x:v>46183.166666666664</x:v>
      </x:c>
      <x:c r="F896" s="253" t="str">
        <x:v>779246</x:v>
      </x:c>
      <x:c r="G896" s="253" t="str">
        <x:v>hhhooi</x:v>
      </x:c>
      <x:c r="H896" s="253" t="str">
        <x:v>Yes</x:v>
      </x:c>
      <x:c r="I896" s="253" t="str">
        <x:v>Tammy</x:v>
      </x:c>
      <x:c r="J896" s="253" t="str">
        <x:v>Tammy</x:v>
      </x:c>
      <x:c r="K896" s="259" t="n">
        <x:v>46028.166666666664</x:v>
      </x:c>
      <x:c r="L896" s="268" t="str">
        <x:f>IFERROR(VLOOKUP(I896,'Handler-Team Map'!$A$7:$C$17,2,FALSE),"")</x:f>
      </x:c>
      <x:c r="M896" s="268" t="str">
        <x:f>IFERROR(VLOOKUP(I896,'Handler-Team Map'!$A$7:$C$17,3,FALSE),"")</x:f>
      </x:c>
      <x:c r="N896" s="274" t="str">
        <x:v>FT_VM_DEP1000_GET700_2X</x:v>
      </x:c>
      <x:c r="O896" s="274" t="str">
        <x:v>VIP BONUS - Deposit 1000 Get 700 - 2x TO</x:v>
      </x:c>
      <x:c r="P896" s="274" t="str">
        <x:v>DepositBonus</x:v>
      </x:c>
      <x:c r="Q896" s="274" t="str">
        <x:v>Approved</x:v>
      </x:c>
      <x:c r="R896" s="265" t="n">
        <x:v>700</x:v>
      </x:c>
      <x:c r="S896" s="253" t="str">
        <x:v>Yes</x:v>
      </x:c>
      <x:c r="T896" s="265" t="n">
        <x:v>1000</x:v>
      </x:c>
      <x:c r="U896" s="253" t="str">
        <x:f>IF(AND(S896="Yes",T896=0),"Yes","No")</x:f>
        <x:v>No</x:v>
      </x:c>
      <x:c r="V896" s="253" t="str">
        <x:v>Yes</x:v>
      </x:c>
      <x:c r="W896" s="253" t="str">
        <x:v>Yes</x:v>
      </x:c>
      <x:c r="X896" s="259" t="n">
        <x:v>46183.166666666664</x:v>
      </x:c>
      <x:c r="Y896" s="265" t="n">
        <x:v>1000</x:v>
      </x:c>
      <x:c r="Z896" s="265" t="n">
        <x:v>1000</x:v>
      </x:c>
      <x:c r="AA896" s="253" t="str">
        <x:f>IF(V896="No","Maturing",IF(AND(U896="Yes",Y896&gt;0),"Yes","No"))</x:f>
        <x:v>No</x:v>
      </x:c>
      <x:c r="AB896" s="253" t="str">
        <x:f>IF(W896="No","Maturing",IF(AND(U896="Yes",Z896&gt;0),"Yes","No"))</x:f>
        <x:v>No</x:v>
      </x:c>
      <x:c r="AC896" s="265" t="n">
        <x:v>1009.96</x:v>
      </x:c>
      <x:c r="AD896" s="265" t="n">
        <x:v>1009.96</x:v>
      </x:c>
      <x:c r="AE896" s="271" t="str"/>
      <x:c r="AF896" s="274" t="str">
        <x:v>Not validated - no control/holdout</x:v>
      </x:c>
      <x:c r="AG896" s="277" t="str">
        <x:v>Recovered execution only; assignment date and unclaimed-offer denominator unavailable</x:v>
      </x:c>
    </x:row>
    <x:row r="897">
      <x:c r="A897" s="252" t="str">
        <x:v>34546439</x:v>
      </x:c>
      <x:c r="B897" s="253" t="str">
        <x:v>WS1</x:v>
      </x:c>
      <x:c r="C897" s="253" t="str">
        <x:v>MB8</x:v>
      </x:c>
      <x:c r="D897" s="262" t="n">
        <x:v>46183.37087962963</x:v>
      </x:c>
      <x:c r="E897" s="259" t="n">
        <x:v>46183.166666666664</x:v>
      </x:c>
      <x:c r="F897" s="253" t="str">
        <x:v>536244</x:v>
      </x:c>
      <x:c r="G897" s="253" t="str">
        <x:v>rong888</x:v>
      </x:c>
      <x:c r="H897" s="253" t="str">
        <x:v>Yes</x:v>
      </x:c>
      <x:c r="I897" s="253" t="str"/>
      <x:c r="J897" s="253" t="str"/>
      <x:c r="K897" s="259"/>
      <x:c r="L897" s="268" t="str">
        <x:f>IFERROR(VLOOKUP(I897,'Handler-Team Map'!$A$7:$C$17,2,FALSE),"")</x:f>
      </x:c>
      <x:c r="M897" s="268" t="str">
        <x:f>IFERROR(VLOOKUP(I897,'Handler-Team Map'!$A$7:$C$17,3,FALSE),"")</x:f>
      </x:c>
      <x:c r="N897" s="274" t="str">
        <x:v>FT_VM_DEP1000_GET500_1X</x:v>
      </x:c>
      <x:c r="O897" s="274" t="str">
        <x:v>VIP BONUS - Deposit 1000 Get 500 - 1x TO</x:v>
      </x:c>
      <x:c r="P897" s="274" t="str">
        <x:v>DepositBonus</x:v>
      </x:c>
      <x:c r="Q897" s="274" t="str">
        <x:v>Approved</x:v>
      </x:c>
      <x:c r="R897" s="265" t="n">
        <x:v>500</x:v>
      </x:c>
      <x:c r="S897" s="253" t="str">
        <x:v>Yes</x:v>
      </x:c>
      <x:c r="T897" s="265" t="n">
        <x:v>0</x:v>
      </x:c>
      <x:c r="U897" s="253" t="str">
        <x:f>IF(AND(S897="Yes",T897=0),"Yes","No")</x:f>
        <x:v>Yes</x:v>
      </x:c>
      <x:c r="V897" s="253" t="str">
        <x:v>Yes</x:v>
      </x:c>
      <x:c r="W897" s="253" t="str">
        <x:v>Yes</x:v>
      </x:c>
      <x:c r="X897" s="259" t="n">
        <x:v>46183.166666666664</x:v>
      </x:c>
      <x:c r="Y897" s="265" t="n">
        <x:v>1200</x:v>
      </x:c>
      <x:c r="Z897" s="265" t="n">
        <x:v>1200</x:v>
      </x:c>
      <x:c r="AA897" s="253" t="str">
        <x:f>IF(V897="No","Maturing",IF(AND(U897="Yes",Y897&gt;0),"Yes","No"))</x:f>
        <x:v>Yes</x:v>
      </x:c>
      <x:c r="AB897" s="253" t="str">
        <x:f>IF(W897="No","Maturing",IF(AND(U897="Yes",Z897&gt;0),"Yes","No"))</x:f>
        <x:v>Yes</x:v>
      </x:c>
      <x:c r="AC897" s="265" t="n">
        <x:v>1040.14</x:v>
      </x:c>
      <x:c r="AD897" s="265" t="n">
        <x:v>1040.14</x:v>
      </x:c>
      <x:c r="AE897" s="271" t="str"/>
      <x:c r="AF897" s="274" t="str">
        <x:v>Not validated - no control/holdout</x:v>
      </x:c>
      <x:c r="AG897" s="277" t="str">
        <x:v>Recovered execution only; assignment date and unclaimed-offer denominator unavailable</x:v>
      </x:c>
    </x:row>
    <x:row r="898">
      <x:c r="A898" s="252" t="str">
        <x:v>34547956</x:v>
      </x:c>
      <x:c r="B898" s="253" t="str">
        <x:v>WS1</x:v>
      </x:c>
      <x:c r="C898" s="253" t="str">
        <x:v>MB8</x:v>
      </x:c>
      <x:c r="D898" s="262" t="n">
        <x:v>46183.541921296295</x:v>
      </x:c>
      <x:c r="E898" s="259" t="n">
        <x:v>46183.166666666664</x:v>
      </x:c>
      <x:c r="F898" s="253" t="str">
        <x:v>537631</x:v>
      </x:c>
      <x:c r="G898" s="253" t="str">
        <x:v>Thoney16</x:v>
      </x:c>
      <x:c r="H898" s="253" t="str">
        <x:v>Yes</x:v>
      </x:c>
      <x:c r="I898" s="253" t="str">
        <x:v>Claire</x:v>
      </x:c>
      <x:c r="J898" s="253" t="str">
        <x:v>Claire</x:v>
      </x:c>
      <x:c r="K898" s="259" t="n">
        <x:v>46090.166666666664</x:v>
      </x:c>
      <x:c r="L898" s="268" t="str">
        <x:f>IFERROR(VLOOKUP(I898,'Handler-Team Map'!$A$7:$C$17,2,FALSE),"")</x:f>
      </x:c>
      <x:c r="M898" s="268" t="str">
        <x:f>IFERROR(VLOOKUP(I898,'Handler-Team Map'!$A$7:$C$17,3,FALSE),"")</x:f>
      </x:c>
      <x:c r="N898" s="274" t="str">
        <x:v>FT_VM_DEP600_GET200_5X</x:v>
      </x:c>
      <x:c r="O898" s="274" t="str">
        <x:v>VIP BONUS - Deposit 600 Get 200 - 5x TO</x:v>
      </x:c>
      <x:c r="P898" s="274" t="str">
        <x:v>DepositBonus</x:v>
      </x:c>
      <x:c r="Q898" s="274" t="str">
        <x:v>Approved</x:v>
      </x:c>
      <x:c r="R898" s="265" t="n">
        <x:v>200</x:v>
      </x:c>
      <x:c r="S898" s="253" t="str">
        <x:v>Yes</x:v>
      </x:c>
      <x:c r="T898" s="265" t="n">
        <x:v>1499</x:v>
      </x:c>
      <x:c r="U898" s="253" t="str">
        <x:f>IF(AND(S898="Yes",T898=0),"Yes","No")</x:f>
        <x:v>No</x:v>
      </x:c>
      <x:c r="V898" s="253" t="str">
        <x:v>Yes</x:v>
      </x:c>
      <x:c r="W898" s="253" t="str">
        <x:v>Yes</x:v>
      </x:c>
      <x:c r="X898" s="259" t="n">
        <x:v>46183.166666666664</x:v>
      </x:c>
      <x:c r="Y898" s="265" t="n">
        <x:v>2090</x:v>
      </x:c>
      <x:c r="Z898" s="265" t="n">
        <x:v>2288</x:v>
      </x:c>
      <x:c r="AA898" s="253" t="str">
        <x:f>IF(V898="No","Maturing",IF(AND(U898="Yes",Y898&gt;0),"Yes","No"))</x:f>
        <x:v>No</x:v>
      </x:c>
      <x:c r="AB898" s="253" t="str">
        <x:f>IF(W898="No","Maturing",IF(AND(U898="Yes",Z898&gt;0),"Yes","No"))</x:f>
        <x:v>No</x:v>
      </x:c>
      <x:c r="AC898" s="265" t="n">
        <x:v>2232.59</x:v>
      </x:c>
      <x:c r="AD898" s="265" t="n">
        <x:v>2432.24</x:v>
      </x:c>
      <x:c r="AE898" s="271" t="str"/>
      <x:c r="AF898" s="274" t="str">
        <x:v>Not validated - no control/holdout</x:v>
      </x:c>
      <x:c r="AG898" s="277" t="str">
        <x:v>Recovered execution only; assignment date and unclaimed-offer denominator unavailable</x:v>
      </x:c>
    </x:row>
    <x:row r="899">
      <x:c r="A899" s="252" t="str">
        <x:v>34550527</x:v>
      </x:c>
      <x:c r="B899" s="253" t="str">
        <x:v>WS1</x:v>
      </x:c>
      <x:c r="C899" s="253" t="str">
        <x:v>MB8</x:v>
      </x:c>
      <x:c r="D899" s="262" t="n">
        <x:v>46183.738333333335</x:v>
      </x:c>
      <x:c r="E899" s="259" t="n">
        <x:v>46183.166666666664</x:v>
      </x:c>
      <x:c r="F899" s="253" t="str">
        <x:v>438623</x:v>
      </x:c>
      <x:c r="G899" s="253" t="str">
        <x:v>Allaxe88</x:v>
      </x:c>
      <x:c r="H899" s="253" t="str">
        <x:v>Yes</x:v>
      </x:c>
      <x:c r="I899" s="253" t="str">
        <x:v>Claire</x:v>
      </x:c>
      <x:c r="J899" s="253" t="str">
        <x:v>Claire</x:v>
      </x:c>
      <x:c r="K899" s="259" t="n">
        <x:v>46090.166666666664</x:v>
      </x:c>
      <x:c r="L899" s="268" t="str">
        <x:f>IFERROR(VLOOKUP(I899,'Handler-Team Map'!$A$7:$C$17,2,FALSE),"")</x:f>
      </x:c>
      <x:c r="M899" s="268" t="str">
        <x:f>IFERROR(VLOOKUP(I899,'Handler-Team Map'!$A$7:$C$17,3,FALSE),"")</x:f>
      </x:c>
      <x:c r="N899" s="274" t="str">
        <x:v>FT_VM_DEP1000_GET500_5X</x:v>
      </x:c>
      <x:c r="O899" s="274" t="str">
        <x:v>VIP BONUS - Deposit 1000 Get 500 - 5x TO</x:v>
      </x:c>
      <x:c r="P899" s="274" t="str">
        <x:v>DepositBonus</x:v>
      </x:c>
      <x:c r="Q899" s="274" t="str">
        <x:v>Approved</x:v>
      </x:c>
      <x:c r="R899" s="265" t="n">
        <x:v>500</x:v>
      </x:c>
      <x:c r="S899" s="253" t="str">
        <x:v>Yes</x:v>
      </x:c>
      <x:c r="T899" s="265" t="n">
        <x:v>7630</x:v>
      </x:c>
      <x:c r="U899" s="253" t="str">
        <x:f>IF(AND(S899="Yes",T899=0),"Yes","No")</x:f>
        <x:v>No</x:v>
      </x:c>
      <x:c r="V899" s="253" t="str">
        <x:v>Yes</x:v>
      </x:c>
      <x:c r="W899" s="253" t="str">
        <x:v>Yes</x:v>
      </x:c>
      <x:c r="X899" s="259" t="n">
        <x:v>46183.166666666664</x:v>
      </x:c>
      <x:c r="Y899" s="265" t="n">
        <x:v>1000</x:v>
      </x:c>
      <x:c r="Z899" s="265" t="n">
        <x:v>13600</x:v>
      </x:c>
      <x:c r="AA899" s="253" t="str">
        <x:f>IF(V899="No","Maturing",IF(AND(U899="Yes",Y899&gt;0),"Yes","No"))</x:f>
        <x:v>No</x:v>
      </x:c>
      <x:c r="AB899" s="253" t="str">
        <x:f>IF(W899="No","Maturing",IF(AND(U899="Yes",Z899&gt;0),"Yes","No"))</x:f>
        <x:v>No</x:v>
      </x:c>
      <x:c r="AC899" s="265" t="n">
        <x:v>-952.45</x:v>
      </x:c>
      <x:c r="AD899" s="265" t="n">
        <x:v>5970.29</x:v>
      </x:c>
      <x:c r="AE899" s="271" t="str"/>
      <x:c r="AF899" s="274" t="str">
        <x:v>Not validated - no control/holdout</x:v>
      </x:c>
      <x:c r="AG899" s="277" t="str">
        <x:v>Recovered execution only; assignment date and unclaimed-offer denominator unavailable</x:v>
      </x:c>
    </x:row>
    <x:row r="900">
      <x:c r="A900" s="252" t="str">
        <x:v>34551168</x:v>
      </x:c>
      <x:c r="B900" s="253" t="str">
        <x:v>WS1</x:v>
      </x:c>
      <x:c r="C900" s="253" t="str">
        <x:v>MB8</x:v>
      </x:c>
      <x:c r="D900" s="262" t="n">
        <x:v>46183.7791087963</x:v>
      </x:c>
      <x:c r="E900" s="259" t="n">
        <x:v>46183.166666666664</x:v>
      </x:c>
      <x:c r="F900" s="253" t="str">
        <x:v>560542</x:v>
      </x:c>
      <x:c r="G900" s="253" t="str">
        <x:v>johnptyew</x:v>
      </x:c>
      <x:c r="H900" s="253" t="str">
        <x:v>Yes</x:v>
      </x:c>
      <x:c r="I900" s="253" t="str">
        <x:v>Jiahui</x:v>
      </x:c>
      <x:c r="J900" s="253" t="str">
        <x:v>Jiahui</x:v>
      </x:c>
      <x:c r="K900" s="259" t="n">
        <x:v>46090.166666666664</x:v>
      </x:c>
      <x:c r="L900" s="268" t="str">
        <x:f>IFERROR(VLOOKUP(I900,'Handler-Team Map'!$A$7:$C$17,2,FALSE),"")</x:f>
      </x:c>
      <x:c r="M900" s="268" t="str">
        <x:f>IFERROR(VLOOKUP(I900,'Handler-Team Map'!$A$7:$C$17,3,FALSE),"")</x:f>
      </x:c>
      <x:c r="N900" s="274" t="str">
        <x:v>FT_VM_DEP600_GET200_5X</x:v>
      </x:c>
      <x:c r="O900" s="274" t="str">
        <x:v>VIP BONUS - Deposit 600 Get 200 - 5x TO</x:v>
      </x:c>
      <x:c r="P900" s="274" t="str">
        <x:v>DepositBonus</x:v>
      </x:c>
      <x:c r="Q900" s="274" t="str">
        <x:v>Approved</x:v>
      </x:c>
      <x:c r="R900" s="265" t="n">
        <x:v>200</x:v>
      </x:c>
      <x:c r="S900" s="253" t="str">
        <x:v>Yes</x:v>
      </x:c>
      <x:c r="T900" s="265" t="n">
        <x:v>66380</x:v>
      </x:c>
      <x:c r="U900" s="253" t="str">
        <x:f>IF(AND(S900="Yes",T900=0),"Yes","No")</x:f>
        <x:v>No</x:v>
      </x:c>
      <x:c r="V900" s="253" t="str">
        <x:v>Yes</x:v>
      </x:c>
      <x:c r="W900" s="253" t="str">
        <x:v>Yes</x:v>
      </x:c>
      <x:c r="X900" s="259" t="n">
        <x:v>46183.166666666664</x:v>
      </x:c>
      <x:c r="Y900" s="265" t="n">
        <x:v>17730</x:v>
      </x:c>
      <x:c r="Z900" s="265" t="n">
        <x:v>28360</x:v>
      </x:c>
      <x:c r="AA900" s="253" t="str">
        <x:f>IF(V900="No","Maturing",IF(AND(U900="Yes",Y900&gt;0),"Yes","No"))</x:f>
        <x:v>No</x:v>
      </x:c>
      <x:c r="AB900" s="253" t="str">
        <x:f>IF(W900="No","Maturing",IF(AND(U900="Yes",Z900&gt;0),"Yes","No"))</x:f>
        <x:v>No</x:v>
      </x:c>
      <x:c r="AC900" s="265" t="n">
        <x:v>-1643.64</x:v>
      </x:c>
      <x:c r="AD900" s="265" t="n">
        <x:v>-5422.17</x:v>
      </x:c>
      <x:c r="AE900" s="271" t="str"/>
      <x:c r="AF900" s="274" t="str">
        <x:v>Not validated - no control/holdout</x:v>
      </x:c>
      <x:c r="AG900" s="277" t="str">
        <x:v>Recovered execution only; assignment date and unclaimed-offer denominator unavailable</x:v>
      </x:c>
    </x:row>
    <x:row r="901">
      <x:c r="A901" s="252" t="str">
        <x:v>34551206</x:v>
      </x:c>
      <x:c r="B901" s="253" t="str">
        <x:v>WS1</x:v>
      </x:c>
      <x:c r="C901" s="253" t="str">
        <x:v>MB8</x:v>
      </x:c>
      <x:c r="D901" s="262" t="n">
        <x:v>46183.78204861111</x:v>
      </x:c>
      <x:c r="E901" s="259" t="n">
        <x:v>46183.166666666664</x:v>
      </x:c>
      <x:c r="F901" s="253" t="str">
        <x:v>108627</x:v>
      </x:c>
      <x:c r="G901" s="253" t="str">
        <x:v>aliceliang84</x:v>
      </x:c>
      <x:c r="H901" s="253" t="str">
        <x:v>Yes</x:v>
      </x:c>
      <x:c r="I901" s="253" t="str">
        <x:v>Serene</x:v>
      </x:c>
      <x:c r="J901" s="253" t="str">
        <x:v>Serene</x:v>
      </x:c>
      <x:c r="K901" s="259" t="n">
        <x:v>45831.166666666664</x:v>
      </x:c>
      <x:c r="L901" s="268" t="str">
        <x:f>IFERROR(VLOOKUP(I901,'Handler-Team Map'!$A$7:$C$17,2,FALSE),"")</x:f>
      </x:c>
      <x:c r="M901" s="268" t="str">
        <x:f>IFERROR(VLOOKUP(I901,'Handler-Team Map'!$A$7:$C$17,3,FALSE),"")</x:f>
      </x:c>
      <x:c r="N901" s="274" t="str">
        <x:v>FT_VM_DEP1000_GET900_1X</x:v>
      </x:c>
      <x:c r="O901" s="274" t="str">
        <x:v>VIP BONUS - Deposit 1000 Get 900 - 1x TO</x:v>
      </x:c>
      <x:c r="P901" s="274" t="str">
        <x:v>DepositBonus</x:v>
      </x:c>
      <x:c r="Q901" s="274" t="str">
        <x:v>Approved</x:v>
      </x:c>
      <x:c r="R901" s="265" t="n">
        <x:v>900</x:v>
      </x:c>
      <x:c r="S901" s="253" t="str">
        <x:v>Yes</x:v>
      </x:c>
      <x:c r="T901" s="265" t="n">
        <x:v>1000</x:v>
      </x:c>
      <x:c r="U901" s="253" t="str">
        <x:f>IF(AND(S901="Yes",T901=0),"Yes","No")</x:f>
        <x:v>No</x:v>
      </x:c>
      <x:c r="V901" s="253" t="str">
        <x:v>Yes</x:v>
      </x:c>
      <x:c r="W901" s="253" t="str">
        <x:v>Yes</x:v>
      </x:c>
      <x:c r="X901" s="259" t="n">
        <x:v>46183.166666666664</x:v>
      </x:c>
      <x:c r="Y901" s="265" t="n">
        <x:v>1000</x:v>
      </x:c>
      <x:c r="Z901" s="265" t="n">
        <x:v>1000</x:v>
      </x:c>
      <x:c r="AA901" s="253" t="str">
        <x:f>IF(V901="No","Maturing",IF(AND(U901="Yes",Y901&gt;0),"Yes","No"))</x:f>
        <x:v>No</x:v>
      </x:c>
      <x:c r="AB901" s="253" t="str">
        <x:f>IF(W901="No","Maturing",IF(AND(U901="Yes",Z901&gt;0),"Yes","No"))</x:f>
        <x:v>No</x:v>
      </x:c>
      <x:c r="AC901" s="265" t="n">
        <x:v>1061.18</x:v>
      </x:c>
      <x:c r="AD901" s="265" t="n">
        <x:v>1061.18</x:v>
      </x:c>
      <x:c r="AE901" s="271" t="str"/>
      <x:c r="AF901" s="274" t="str">
        <x:v>Not validated - no control/holdout</x:v>
      </x:c>
      <x:c r="AG901" s="277" t="str">
        <x:v>Recovered execution only; assignment date and unclaimed-offer denominator unavailable</x:v>
      </x:c>
    </x:row>
    <x:row r="902">
      <x:c r="A902" s="252" t="str">
        <x:v>34551211</x:v>
      </x:c>
      <x:c r="B902" s="253" t="str">
        <x:v>WS1</x:v>
      </x:c>
      <x:c r="C902" s="253" t="str">
        <x:v>MB8</x:v>
      </x:c>
      <x:c r="D902" s="262" t="n">
        <x:v>46183.7825</x:v>
      </x:c>
      <x:c r="E902" s="259" t="n">
        <x:v>46183.166666666664</x:v>
      </x:c>
      <x:c r="F902" s="253" t="str">
        <x:v>856604</x:v>
      </x:c>
      <x:c r="G902" s="253" t="str">
        <x:v>hwings79</x:v>
      </x:c>
      <x:c r="H902" s="253" t="str">
        <x:v>Yes</x:v>
      </x:c>
      <x:c r="I902" s="253" t="str">
        <x:v>Claire</x:v>
      </x:c>
      <x:c r="J902" s="253" t="str">
        <x:v>Claire</x:v>
      </x:c>
      <x:c r="K902" s="259" t="n">
        <x:v>45887.166666666664</x:v>
      </x:c>
      <x:c r="L902" s="268" t="str">
        <x:f>IFERROR(VLOOKUP(I902,'Handler-Team Map'!$A$7:$C$17,2,FALSE),"")</x:f>
      </x:c>
      <x:c r="M902" s="268" t="str">
        <x:f>IFERROR(VLOOKUP(I902,'Handler-Team Map'!$A$7:$C$17,3,FALSE),"")</x:f>
      </x:c>
      <x:c r="N902" s="274" t="str">
        <x:v>FT_VM_DEP1000_GET500_5X</x:v>
      </x:c>
      <x:c r="O902" s="274" t="str">
        <x:v>VIP BONUS - Deposit 1000 Get 500 - 5x TO</x:v>
      </x:c>
      <x:c r="P902" s="274" t="str">
        <x:v>DepositBonus</x:v>
      </x:c>
      <x:c r="Q902" s="274" t="str">
        <x:v>Approved</x:v>
      </x:c>
      <x:c r="R902" s="265" t="n">
        <x:v>500</x:v>
      </x:c>
      <x:c r="S902" s="253" t="str">
        <x:v>Yes</x:v>
      </x:c>
      <x:c r="T902" s="265" t="n">
        <x:v>3750</x:v>
      </x:c>
      <x:c r="U902" s="253" t="str">
        <x:f>IF(AND(S902="Yes",T902=0),"Yes","No")</x:f>
        <x:v>No</x:v>
      </x:c>
      <x:c r="V902" s="253" t="str">
        <x:v>Yes</x:v>
      </x:c>
      <x:c r="W902" s="253" t="str">
        <x:v>Yes</x:v>
      </x:c>
      <x:c r="X902" s="259" t="n">
        <x:v>46183.166666666664</x:v>
      </x:c>
      <x:c r="Y902" s="265" t="n">
        <x:v>5900</x:v>
      </x:c>
      <x:c r="Z902" s="265" t="n">
        <x:v>6680</x:v>
      </x:c>
      <x:c r="AA902" s="253" t="str">
        <x:f>IF(V902="No","Maturing",IF(AND(U902="Yes",Y902&gt;0),"Yes","No"))</x:f>
        <x:v>No</x:v>
      </x:c>
      <x:c r="AB902" s="253" t="str">
        <x:f>IF(W902="No","Maturing",IF(AND(U902="Yes",Z902&gt;0),"Yes","No"))</x:f>
        <x:v>No</x:v>
      </x:c>
      <x:c r="AC902" s="265" t="n">
        <x:v>3615.18</x:v>
      </x:c>
      <x:c r="AD902" s="265" t="n">
        <x:v>4783.76</x:v>
      </x:c>
      <x:c r="AE902" s="271" t="str"/>
      <x:c r="AF902" s="274" t="str">
        <x:v>Not validated - no control/holdout</x:v>
      </x:c>
      <x:c r="AG902" s="277" t="str">
        <x:v>Recovered execution only; assignment date and unclaimed-offer denominator unavailable</x:v>
      </x:c>
    </x:row>
    <x:row r="903">
      <x:c r="A903" s="252" t="str">
        <x:v>34551575</x:v>
      </x:c>
      <x:c r="B903" s="253" t="str">
        <x:v>WS1</x:v>
      </x:c>
      <x:c r="C903" s="253" t="str">
        <x:v>MB8</x:v>
      </x:c>
      <x:c r="D903" s="262" t="n">
        <x:v>46183.81239583333</x:v>
      </x:c>
      <x:c r="E903" s="259" t="n">
        <x:v>46183.166666666664</x:v>
      </x:c>
      <x:c r="F903" s="253" t="str">
        <x:v>627212</x:v>
      </x:c>
      <x:c r="G903" s="253" t="str">
        <x:v>Saddam19</x:v>
      </x:c>
      <x:c r="H903" s="253" t="str">
        <x:v>Yes</x:v>
      </x:c>
      <x:c r="I903" s="253" t="str">
        <x:v>Christy</x:v>
      </x:c>
      <x:c r="J903" s="253" t="str">
        <x:v>Christy</x:v>
      </x:c>
      <x:c r="K903" s="259" t="n">
        <x:v>45831.166666666664</x:v>
      </x:c>
      <x:c r="L903" s="268" t="str">
        <x:f>IFERROR(VLOOKUP(I903,'Handler-Team Map'!$A$7:$C$17,2,FALSE),"")</x:f>
      </x:c>
      <x:c r="M903" s="268" t="str">
        <x:f>IFERROR(VLOOKUP(I903,'Handler-Team Map'!$A$7:$C$17,3,FALSE),"")</x:f>
      </x:c>
      <x:c r="N903" s="274" t="str">
        <x:v>FT_VM_DEP800_GET400_1X</x:v>
      </x:c>
      <x:c r="O903" s="274" t="str">
        <x:v>VIP BONUS - Deposit 800 Get 400 - 1x TO</x:v>
      </x:c>
      <x:c r="P903" s="274" t="str">
        <x:v>DepositBonus</x:v>
      </x:c>
      <x:c r="Q903" s="274" t="str">
        <x:v>Approved</x:v>
      </x:c>
      <x:c r="R903" s="265" t="n">
        <x:v>400</x:v>
      </x:c>
      <x:c r="S903" s="253" t="str">
        <x:v>Yes</x:v>
      </x:c>
      <x:c r="T903" s="265" t="n">
        <x:v>0</x:v>
      </x:c>
      <x:c r="U903" s="253" t="str">
        <x:f>IF(AND(S903="Yes",T903=0),"Yes","No")</x:f>
        <x:v>Yes</x:v>
      </x:c>
      <x:c r="V903" s="253" t="str">
        <x:v>Yes</x:v>
      </x:c>
      <x:c r="W903" s="253" t="str">
        <x:v>Yes</x:v>
      </x:c>
      <x:c r="X903" s="259" t="n">
        <x:v>46183.166666666664</x:v>
      </x:c>
      <x:c r="Y903" s="265" t="n">
        <x:v>800</x:v>
      </x:c>
      <x:c r="Z903" s="265" t="n">
        <x:v>800</x:v>
      </x:c>
      <x:c r="AA903" s="253" t="str">
        <x:f>IF(V903="No","Maturing",IF(AND(U903="Yes",Y903&gt;0),"Yes","No"))</x:f>
        <x:v>Yes</x:v>
      </x:c>
      <x:c r="AB903" s="253" t="str">
        <x:f>IF(W903="No","Maturing",IF(AND(U903="Yes",Z903&gt;0),"Yes","No"))</x:f>
        <x:v>Yes</x:v>
      </x:c>
      <x:c r="AC903" s="265" t="n">
        <x:v>-1000.2</x:v>
      </x:c>
      <x:c r="AD903" s="265" t="n">
        <x:v>-1000.19</x:v>
      </x:c>
      <x:c r="AE903" s="271" t="str"/>
      <x:c r="AF903" s="274" t="str">
        <x:v>Not validated - no control/holdout</x:v>
      </x:c>
      <x:c r="AG903" s="277" t="str">
        <x:v>Recovered execution only; assignment date and unclaimed-offer denominator unavailable</x:v>
      </x:c>
    </x:row>
    <x:row r="904">
      <x:c r="A904" s="252" t="str">
        <x:v>34551583</x:v>
      </x:c>
      <x:c r="B904" s="253" t="str">
        <x:v>WS1</x:v>
      </x:c>
      <x:c r="C904" s="253" t="str">
        <x:v>MB8</x:v>
      </x:c>
      <x:c r="D904" s="262" t="n">
        <x:v>46183.81324074074</x:v>
      </x:c>
      <x:c r="E904" s="259" t="n">
        <x:v>46183.166666666664</x:v>
      </x:c>
      <x:c r="F904" s="253" t="str">
        <x:v>134534</x:v>
      </x:c>
      <x:c r="G904" s="253" t="str">
        <x:v>Deedee2102</x:v>
      </x:c>
      <x:c r="H904" s="253" t="str">
        <x:v>Yes</x:v>
      </x:c>
      <x:c r="I904" s="253" t="str">
        <x:v>zhen</x:v>
      </x:c>
      <x:c r="J904" s="253" t="str">
        <x:v>zhen</x:v>
      </x:c>
      <x:c r="K904" s="259" t="n">
        <x:v>45880.166666666664</x:v>
      </x:c>
      <x:c r="L904" s="268" t="str">
        <x:f>IFERROR(VLOOKUP(I904,'Handler-Team Map'!$A$7:$C$17,2,FALSE),"")</x:f>
      </x:c>
      <x:c r="M904" s="268" t="str">
        <x:f>IFERROR(VLOOKUP(I904,'Handler-Team Map'!$A$7:$C$17,3,FALSE),"")</x:f>
      </x:c>
      <x:c r="N904" s="274" t="str">
        <x:v>FT_VM_DEP1000_GET900_1X</x:v>
      </x:c>
      <x:c r="O904" s="274" t="str">
        <x:v>VIP BONUS - Deposit 1000 Get 900 - 1x TO</x:v>
      </x:c>
      <x:c r="P904" s="274" t="str">
        <x:v>DepositBonus</x:v>
      </x:c>
      <x:c r="Q904" s="274" t="str">
        <x:v>Approved</x:v>
      </x:c>
      <x:c r="R904" s="265" t="n">
        <x:v>900</x:v>
      </x:c>
      <x:c r="S904" s="253" t="str">
        <x:v>Yes</x:v>
      </x:c>
      <x:c r="T904" s="265" t="n">
        <x:v>0</x:v>
      </x:c>
      <x:c r="U904" s="253" t="str">
        <x:f>IF(AND(S904="Yes",T904=0),"Yes","No")</x:f>
        <x:v>Yes</x:v>
      </x:c>
      <x:c r="V904" s="253" t="str">
        <x:v>Yes</x:v>
      </x:c>
      <x:c r="W904" s="253" t="str">
        <x:v>Yes</x:v>
      </x:c>
      <x:c r="X904" s="259" t="n">
        <x:v>46183.166666666664</x:v>
      </x:c>
      <x:c r="Y904" s="265" t="n">
        <x:v>1000</x:v>
      </x:c>
      <x:c r="Z904" s="265" t="n">
        <x:v>1300</x:v>
      </x:c>
      <x:c r="AA904" s="253" t="str">
        <x:f>IF(V904="No","Maturing",IF(AND(U904="Yes",Y904&gt;0),"Yes","No"))</x:f>
        <x:v>Yes</x:v>
      </x:c>
      <x:c r="AB904" s="253" t="str">
        <x:f>IF(W904="No","Maturing",IF(AND(U904="Yes",Z904&gt;0),"Yes","No"))</x:f>
        <x:v>Yes</x:v>
      </x:c>
      <x:c r="AC904" s="265" t="n">
        <x:v>-1497.52</x:v>
      </x:c>
      <x:c r="AD904" s="265" t="n">
        <x:v>-1609.08</x:v>
      </x:c>
      <x:c r="AE904" s="271" t="str"/>
      <x:c r="AF904" s="274" t="str">
        <x:v>Not validated - no control/holdout</x:v>
      </x:c>
      <x:c r="AG904" s="277" t="str">
        <x:v>Recovered execution only; assignment date and unclaimed-offer denominator unavailable</x:v>
      </x:c>
    </x:row>
    <x:row r="905">
      <x:c r="A905" s="252" t="str">
        <x:v>34552119</x:v>
      </x:c>
      <x:c r="B905" s="253" t="str">
        <x:v>WS1</x:v>
      </x:c>
      <x:c r="C905" s="253" t="str">
        <x:v>MB8</x:v>
      </x:c>
      <x:c r="D905" s="262" t="n">
        <x:v>46183.85221064815</x:v>
      </x:c>
      <x:c r="E905" s="259" t="n">
        <x:v>46183.166666666664</x:v>
      </x:c>
      <x:c r="F905" s="253" t="str">
        <x:v>564867</x:v>
      </x:c>
      <x:c r="G905" s="253" t="str">
        <x:v>Nageen</x:v>
      </x:c>
      <x:c r="H905" s="253" t="str">
        <x:v>Yes</x:v>
      </x:c>
      <x:c r="I905" s="253" t="str">
        <x:v>Claire</x:v>
      </x:c>
      <x:c r="J905" s="253" t="str">
        <x:v>Claire</x:v>
      </x:c>
      <x:c r="K905" s="259" t="n">
        <x:v>45659.166666666664</x:v>
      </x:c>
      <x:c r="L905" s="268" t="str">
        <x:f>IFERROR(VLOOKUP(I905,'Handler-Team Map'!$A$7:$C$17,2,FALSE),"")</x:f>
      </x:c>
      <x:c r="M905" s="268" t="str">
        <x:f>IFERROR(VLOOKUP(I905,'Handler-Team Map'!$A$7:$C$17,3,FALSE),"")</x:f>
      </x:c>
      <x:c r="N905" s="274" t="str">
        <x:v>FT_VM_DEP700_GET300_2X</x:v>
      </x:c>
      <x:c r="O905" s="274" t="str">
        <x:v>VIP BONUS - Deposit 700 Get 300 - 2x TO</x:v>
      </x:c>
      <x:c r="P905" s="274" t="str">
        <x:v>DepositBonus</x:v>
      </x:c>
      <x:c r="Q905" s="274" t="str">
        <x:v>Approved</x:v>
      </x:c>
      <x:c r="R905" s="265" t="n">
        <x:v>300</x:v>
      </x:c>
      <x:c r="S905" s="253" t="str">
        <x:v>Yes</x:v>
      </x:c>
      <x:c r="T905" s="265" t="n">
        <x:v>70642.31</x:v>
      </x:c>
      <x:c r="U905" s="253" t="str">
        <x:f>IF(AND(S905="Yes",T905=0),"Yes","No")</x:f>
        <x:v>No</x:v>
      </x:c>
      <x:c r="V905" s="253" t="str">
        <x:v>Yes</x:v>
      </x:c>
      <x:c r="W905" s="253" t="str">
        <x:v>Yes</x:v>
      </x:c>
      <x:c r="X905" s="259" t="n">
        <x:v>46183.166666666664</x:v>
      </x:c>
      <x:c r="Y905" s="265" t="n">
        <x:v>23229.3</x:v>
      </x:c>
      <x:c r="Z905" s="265" t="n">
        <x:v>44315.35</x:v>
      </x:c>
      <x:c r="AA905" s="253" t="str">
        <x:f>IF(V905="No","Maturing",IF(AND(U905="Yes",Y905&gt;0),"Yes","No"))</x:f>
        <x:v>No</x:v>
      </x:c>
      <x:c r="AB905" s="253" t="str">
        <x:f>IF(W905="No","Maturing",IF(AND(U905="Yes",Z905&gt;0),"Yes","No"))</x:f>
        <x:v>No</x:v>
      </x:c>
      <x:c r="AC905" s="265" t="n">
        <x:v>16200.46</x:v>
      </x:c>
      <x:c r="AD905" s="265" t="n">
        <x:v>26579.96</x:v>
      </x:c>
      <x:c r="AE905" s="271" t="str"/>
      <x:c r="AF905" s="274" t="str">
        <x:v>Not validated - no control/holdout</x:v>
      </x:c>
      <x:c r="AG905" s="277" t="str">
        <x:v>Recovered execution only; assignment date and unclaimed-offer denominator unavailable</x:v>
      </x:c>
    </x:row>
    <x:row r="906">
      <x:c r="A906" s="252" t="str">
        <x:v>34552632</x:v>
      </x:c>
      <x:c r="B906" s="253" t="str">
        <x:v>WS1</x:v>
      </x:c>
      <x:c r="C906" s="253" t="str">
        <x:v>MB8</x:v>
      </x:c>
      <x:c r="D906" s="262" t="n">
        <x:v>46183.890868055554</x:v>
      </x:c>
      <x:c r="E906" s="259" t="n">
        <x:v>46183.166666666664</x:v>
      </x:c>
      <x:c r="F906" s="253" t="str">
        <x:v>1199122</x:v>
      </x:c>
      <x:c r="G906" s="253" t="str">
        <x:v>ROMI18</x:v>
      </x:c>
      <x:c r="H906" s="253" t="str">
        <x:v>Yes</x:v>
      </x:c>
      <x:c r="I906" s="253" t="str"/>
      <x:c r="J906" s="253" t="str"/>
      <x:c r="K906" s="259"/>
      <x:c r="L906" s="268" t="str">
        <x:f>IFERROR(VLOOKUP(I906,'Handler-Team Map'!$A$7:$C$17,2,FALSE),"")</x:f>
      </x:c>
      <x:c r="M906" s="268" t="str">
        <x:f>IFERROR(VLOOKUP(I906,'Handler-Team Map'!$A$7:$C$17,3,FALSE),"")</x:f>
      </x:c>
      <x:c r="N906" s="274" t="str">
        <x:v>FT_VM_DEP1000_GET500_2X</x:v>
      </x:c>
      <x:c r="O906" s="274" t="str">
        <x:v>VIP BONUS - Deposit 1000 Get 500 - 2x TO</x:v>
      </x:c>
      <x:c r="P906" s="274" t="str">
        <x:v>DepositBonus</x:v>
      </x:c>
      <x:c r="Q906" s="274" t="str">
        <x:v>Approved</x:v>
      </x:c>
      <x:c r="R906" s="265" t="n">
        <x:v>500</x:v>
      </x:c>
      <x:c r="S906" s="253" t="str">
        <x:v>Yes</x:v>
      </x:c>
      <x:c r="T906" s="265" t="n">
        <x:v>1466.64</x:v>
      </x:c>
      <x:c r="U906" s="253" t="str">
        <x:f>IF(AND(S906="Yes",T906=0),"Yes","No")</x:f>
        <x:v>No</x:v>
      </x:c>
      <x:c r="V906" s="253" t="str">
        <x:v>Yes</x:v>
      </x:c>
      <x:c r="W906" s="253" t="str">
        <x:v>Yes</x:v>
      </x:c>
      <x:c r="X906" s="259" t="n">
        <x:v>46183.166666666664</x:v>
      </x:c>
      <x:c r="Y906" s="265" t="n">
        <x:v>2000</x:v>
      </x:c>
      <x:c r="Z906" s="265" t="n">
        <x:v>2000</x:v>
      </x:c>
      <x:c r="AA906" s="253" t="str">
        <x:f>IF(V906="No","Maturing",IF(AND(U906="Yes",Y906&gt;0),"Yes","No"))</x:f>
        <x:v>No</x:v>
      </x:c>
      <x:c r="AB906" s="253" t="str">
        <x:f>IF(W906="No","Maturing",IF(AND(U906="Yes",Z906&gt;0),"Yes","No"))</x:f>
        <x:v>No</x:v>
      </x:c>
      <x:c r="AC906" s="265" t="n">
        <x:v>1999.93</x:v>
      </x:c>
      <x:c r="AD906" s="265" t="n">
        <x:v>1999.93</x:v>
      </x:c>
      <x:c r="AE906" s="271" t="str"/>
      <x:c r="AF906" s="274" t="str">
        <x:v>Not validated - no control/holdout</x:v>
      </x:c>
      <x:c r="AG906" s="277" t="str">
        <x:v>Recovered execution only; assignment date and unclaimed-offer denominator unavailable</x:v>
      </x:c>
    </x:row>
    <x:row r="907">
      <x:c r="A907" s="252" t="str">
        <x:v>34553308</x:v>
      </x:c>
      <x:c r="B907" s="253" t="str">
        <x:v>WS1</x:v>
      </x:c>
      <x:c r="C907" s="253" t="str">
        <x:v>MB8</x:v>
      </x:c>
      <x:c r="D907" s="262" t="n">
        <x:v>46183.929560185185</x:v>
      </x:c>
      <x:c r="E907" s="259" t="n">
        <x:v>46183.166666666664</x:v>
      </x:c>
      <x:c r="F907" s="253" t="str">
        <x:v>977657</x:v>
      </x:c>
      <x:c r="G907" s="253" t="str">
        <x:v>CSS8897</x:v>
      </x:c>
      <x:c r="H907" s="253" t="str">
        <x:v>Yes</x:v>
      </x:c>
      <x:c r="I907" s="253" t="str">
        <x:v>zhen</x:v>
      </x:c>
      <x:c r="J907" s="253" t="str">
        <x:v>zhen</x:v>
      </x:c>
      <x:c r="K907" s="259" t="n">
        <x:v>45922.166666666664</x:v>
      </x:c>
      <x:c r="L907" s="268" t="str">
        <x:f>IFERROR(VLOOKUP(I907,'Handler-Team Map'!$A$7:$C$17,2,FALSE),"")</x:f>
      </x:c>
      <x:c r="M907" s="268" t="str">
        <x:f>IFERROR(VLOOKUP(I907,'Handler-Team Map'!$A$7:$C$17,3,FALSE),"")</x:f>
      </x:c>
      <x:c r="N907" s="274" t="str">
        <x:v>FT_VM_DEP1000_GET500_5X</x:v>
      </x:c>
      <x:c r="O907" s="274" t="str">
        <x:v>VIP BONUS - Deposit 1000 Get 500 - 5x TO</x:v>
      </x:c>
      <x:c r="P907" s="274" t="str">
        <x:v>DepositBonus</x:v>
      </x:c>
      <x:c r="Q907" s="274" t="str">
        <x:v>Approved</x:v>
      </x:c>
      <x:c r="R907" s="265" t="n">
        <x:v>500</x:v>
      </x:c>
      <x:c r="S907" s="253" t="str">
        <x:v>Yes</x:v>
      </x:c>
      <x:c r="T907" s="265" t="n">
        <x:v>3000</x:v>
      </x:c>
      <x:c r="U907" s="253" t="str">
        <x:f>IF(AND(S907="Yes",T907=0),"Yes","No")</x:f>
        <x:v>No</x:v>
      </x:c>
      <x:c r="V907" s="253" t="str">
        <x:v>Yes</x:v>
      </x:c>
      <x:c r="W907" s="253" t="str">
        <x:v>Yes</x:v>
      </x:c>
      <x:c r="X907" s="259" t="n">
        <x:v>46183.166666666664</x:v>
      </x:c>
      <x:c r="Y907" s="265" t="n">
        <x:v>2000</x:v>
      </x:c>
      <x:c r="Z907" s="265" t="n">
        <x:v>2000</x:v>
      </x:c>
      <x:c r="AA907" s="253" t="str">
        <x:f>IF(V907="No","Maturing",IF(AND(U907="Yes",Y907&gt;0),"Yes","No"))</x:f>
        <x:v>No</x:v>
      </x:c>
      <x:c r="AB907" s="253" t="str">
        <x:f>IF(W907="No","Maturing",IF(AND(U907="Yes",Z907&gt;0),"Yes","No"))</x:f>
        <x:v>No</x:v>
      </x:c>
      <x:c r="AC907" s="265" t="n">
        <x:v>782.84</x:v>
      </x:c>
      <x:c r="AD907" s="265" t="n">
        <x:v>782.84</x:v>
      </x:c>
      <x:c r="AE907" s="271" t="str"/>
      <x:c r="AF907" s="274" t="str">
        <x:v>Not validated - no control/holdout</x:v>
      </x:c>
      <x:c r="AG907" s="277" t="str">
        <x:v>Recovered execution only; assignment date and unclaimed-offer denominator unavailable</x:v>
      </x:c>
    </x:row>
    <x:row r="908">
      <x:c r="A908" s="252" t="str">
        <x:v>34553348</x:v>
      </x:c>
      <x:c r="B908" s="253" t="str">
        <x:v>WS1</x:v>
      </x:c>
      <x:c r="C908" s="253" t="str">
        <x:v>MB8</x:v>
      </x:c>
      <x:c r="D908" s="262" t="n">
        <x:v>46183.93150462963</x:v>
      </x:c>
      <x:c r="E908" s="259" t="n">
        <x:v>46183.166666666664</x:v>
      </x:c>
      <x:c r="F908" s="253" t="str">
        <x:v>601544</x:v>
      </x:c>
      <x:c r="G908" s="253" t="str">
        <x:v>norshasha156</x:v>
      </x:c>
      <x:c r="H908" s="253" t="str">
        <x:v>Yes</x:v>
      </x:c>
      <x:c r="I908" s="253" t="str"/>
      <x:c r="J908" s="253" t="str"/>
      <x:c r="K908" s="259"/>
      <x:c r="L908" s="268" t="str">
        <x:f>IFERROR(VLOOKUP(I908,'Handler-Team Map'!$A$7:$C$17,2,FALSE),"")</x:f>
      </x:c>
      <x:c r="M908" s="268" t="str">
        <x:f>IFERROR(VLOOKUP(I908,'Handler-Team Map'!$A$7:$C$17,3,FALSE),"")</x:f>
      </x:c>
      <x:c r="N908" s="274" t="str">
        <x:v>FT_VM_DEP1000_GET500_1X</x:v>
      </x:c>
      <x:c r="O908" s="274" t="str">
        <x:v>VIP BONUS - Deposit 1000 Get 500 - 1x TO</x:v>
      </x:c>
      <x:c r="P908" s="274" t="str">
        <x:v>DepositBonus</x:v>
      </x:c>
      <x:c r="Q908" s="274" t="str">
        <x:v>Approved</x:v>
      </x:c>
      <x:c r="R908" s="265" t="n">
        <x:v>500</x:v>
      </x:c>
      <x:c r="S908" s="253" t="str">
        <x:v>Yes</x:v>
      </x:c>
      <x:c r="T908" s="265" t="n">
        <x:v>1000</x:v>
      </x:c>
      <x:c r="U908" s="253" t="str">
        <x:f>IF(AND(S908="Yes",T908=0),"Yes","No")</x:f>
        <x:v>No</x:v>
      </x:c>
      <x:c r="V908" s="253" t="str">
        <x:v>Yes</x:v>
      </x:c>
      <x:c r="W908" s="253" t="str">
        <x:v>Yes</x:v>
      </x:c>
      <x:c r="X908" s="259" t="n">
        <x:v>46183.166666666664</x:v>
      </x:c>
      <x:c r="Y908" s="265" t="n">
        <x:v>2000</x:v>
      </x:c>
      <x:c r="Z908" s="265" t="n">
        <x:v>2000</x:v>
      </x:c>
      <x:c r="AA908" s="253" t="str">
        <x:f>IF(V908="No","Maturing",IF(AND(U908="Yes",Y908&gt;0),"Yes","No"))</x:f>
        <x:v>No</x:v>
      </x:c>
      <x:c r="AB908" s="253" t="str">
        <x:f>IF(W908="No","Maturing",IF(AND(U908="Yes",Z908&gt;0),"Yes","No"))</x:f>
        <x:v>No</x:v>
      </x:c>
      <x:c r="AC908" s="265" t="n">
        <x:v>-1499.63</x:v>
      </x:c>
      <x:c r="AD908" s="265" t="n">
        <x:v>-1499.62</x:v>
      </x:c>
      <x:c r="AE908" s="271" t="str"/>
      <x:c r="AF908" s="274" t="str">
        <x:v>Not validated - no control/holdout</x:v>
      </x:c>
      <x:c r="AG908" s="277" t="str">
        <x:v>Recovered execution only; assignment date and unclaimed-offer denominator unavailable</x:v>
      </x:c>
    </x:row>
    <x:row r="909">
      <x:c r="A909" s="252" t="str">
        <x:v>34553764</x:v>
      </x:c>
      <x:c r="B909" s="253" t="str">
        <x:v>WS1</x:v>
      </x:c>
      <x:c r="C909" s="253" t="str">
        <x:v>MB8</x:v>
      </x:c>
      <x:c r="D909" s="262" t="n">
        <x:v>46183.9558912037</x:v>
      </x:c>
      <x:c r="E909" s="259" t="n">
        <x:v>46183.166666666664</x:v>
      </x:c>
      <x:c r="F909" s="253" t="str">
        <x:v>1199122</x:v>
      </x:c>
      <x:c r="G909" s="253" t="str">
        <x:v>ROMI18</x:v>
      </x:c>
      <x:c r="H909" s="253" t="str">
        <x:v>Yes</x:v>
      </x:c>
      <x:c r="I909" s="253" t="str"/>
      <x:c r="J909" s="253" t="str"/>
      <x:c r="K909" s="259"/>
      <x:c r="L909" s="268" t="str">
        <x:f>IFERROR(VLOOKUP(I909,'Handler-Team Map'!$A$7:$C$17,2,FALSE),"")</x:f>
      </x:c>
      <x:c r="M909" s="268" t="str">
        <x:f>IFERROR(VLOOKUP(I909,'Handler-Team Map'!$A$7:$C$17,3,FALSE),"")</x:f>
      </x:c>
      <x:c r="N909" s="274" t="str">
        <x:v>FT_VM_DEP1000_GET500_5X</x:v>
      </x:c>
      <x:c r="O909" s="274" t="str">
        <x:v>VIP BONUS - Deposit 1000 Get 500 - 5x TO</x:v>
      </x:c>
      <x:c r="P909" s="274" t="str">
        <x:v>DepositBonus</x:v>
      </x:c>
      <x:c r="Q909" s="274" t="str">
        <x:v>Approved</x:v>
      </x:c>
      <x:c r="R909" s="265" t="n">
        <x:v>500</x:v>
      </x:c>
      <x:c r="S909" s="253" t="str">
        <x:v>Yes</x:v>
      </x:c>
      <x:c r="T909" s="265" t="n">
        <x:v>1466.64</x:v>
      </x:c>
      <x:c r="U909" s="253" t="str">
        <x:f>IF(AND(S909="Yes",T909=0),"Yes","No")</x:f>
        <x:v>No</x:v>
      </x:c>
      <x:c r="V909" s="253" t="str">
        <x:v>Yes</x:v>
      </x:c>
      <x:c r="W909" s="253" t="str">
        <x:v>Yes</x:v>
      </x:c>
      <x:c r="X909" s="259" t="n">
        <x:v>46183.166666666664</x:v>
      </x:c>
      <x:c r="Y909" s="265" t="n">
        <x:v>2000</x:v>
      </x:c>
      <x:c r="Z909" s="265" t="n">
        <x:v>2000</x:v>
      </x:c>
      <x:c r="AA909" s="253" t="str">
        <x:f>IF(V909="No","Maturing",IF(AND(U909="Yes",Y909&gt;0),"Yes","No"))</x:f>
        <x:v>No</x:v>
      </x:c>
      <x:c r="AB909" s="253" t="str">
        <x:f>IF(W909="No","Maturing",IF(AND(U909="Yes",Z909&gt;0),"Yes","No"))</x:f>
        <x:v>No</x:v>
      </x:c>
      <x:c r="AC909" s="265" t="n">
        <x:v>1999.93</x:v>
      </x:c>
      <x:c r="AD909" s="265" t="n">
        <x:v>1999.93</x:v>
      </x:c>
      <x:c r="AE909" s="271" t="str"/>
      <x:c r="AF909" s="274" t="str">
        <x:v>Not validated - no control/holdout</x:v>
      </x:c>
      <x:c r="AG909" s="277" t="str">
        <x:v>Recovered execution only; assignment date and unclaimed-offer denominator unavailable</x:v>
      </x:c>
    </x:row>
    <x:row r="910">
      <x:c r="A910" s="252" t="str">
        <x:v>34553967</x:v>
      </x:c>
      <x:c r="B910" s="253" t="str">
        <x:v>WS1</x:v>
      </x:c>
      <x:c r="C910" s="253" t="str">
        <x:v>MB8</x:v>
      </x:c>
      <x:c r="D910" s="262" t="n">
        <x:v>46183.965844907405</x:v>
      </x:c>
      <x:c r="E910" s="259" t="n">
        <x:v>46183.166666666664</x:v>
      </x:c>
      <x:c r="F910" s="253" t="str">
        <x:v>32407</x:v>
      </x:c>
      <x:c r="G910" s="253" t="str">
        <x:v>Arechoy79</x:v>
      </x:c>
      <x:c r="H910" s="253" t="str">
        <x:v>Yes</x:v>
      </x:c>
      <x:c r="I910" s="253" t="str">
        <x:v>Kam</x:v>
      </x:c>
      <x:c r="J910" s="253" t="str">
        <x:v>Kam</x:v>
      </x:c>
      <x:c r="K910" s="259" t="n">
        <x:v>45817.166666666664</x:v>
      </x:c>
      <x:c r="L910" s="268" t="str">
        <x:f>IFERROR(VLOOKUP(I910,'Handler-Team Map'!$A$7:$C$17,2,FALSE),"")</x:f>
      </x:c>
      <x:c r="M910" s="268" t="str">
        <x:f>IFERROR(VLOOKUP(I910,'Handler-Team Map'!$A$7:$C$17,3,FALSE),"")</x:f>
      </x:c>
      <x:c r="N910" s="274" t="str">
        <x:v>FT_VM_DEP1000_GET500_5X</x:v>
      </x:c>
      <x:c r="O910" s="274" t="str">
        <x:v>VIP BONUS - Deposit 1000 Get 500 - 5x TO</x:v>
      </x:c>
      <x:c r="P910" s="274" t="str">
        <x:v>DepositBonus</x:v>
      </x:c>
      <x:c r="Q910" s="274" t="str">
        <x:v>Approved</x:v>
      </x:c>
      <x:c r="R910" s="265" t="n">
        <x:v>500</x:v>
      </x:c>
      <x:c r="S910" s="253" t="str">
        <x:v>Yes</x:v>
      </x:c>
      <x:c r="T910" s="265" t="n">
        <x:v>1450</x:v>
      </x:c>
      <x:c r="U910" s="253" t="str">
        <x:f>IF(AND(S910="Yes",T910=0),"Yes","No")</x:f>
        <x:v>No</x:v>
      </x:c>
      <x:c r="V910" s="253" t="str">
        <x:v>Yes</x:v>
      </x:c>
      <x:c r="W910" s="253" t="str">
        <x:v>Yes</x:v>
      </x:c>
      <x:c r="X910" s="259" t="n">
        <x:v>46183.166666666664</x:v>
      </x:c>
      <x:c r="Y910" s="265" t="n">
        <x:v>1000</x:v>
      </x:c>
      <x:c r="Z910" s="265" t="n">
        <x:v>1000</x:v>
      </x:c>
      <x:c r="AA910" s="253" t="str">
        <x:f>IF(V910="No","Maturing",IF(AND(U910="Yes",Y910&gt;0),"Yes","No"))</x:f>
        <x:v>No</x:v>
      </x:c>
      <x:c r="AB910" s="253" t="str">
        <x:f>IF(W910="No","Maturing",IF(AND(U910="Yes",Z910&gt;0),"Yes","No"))</x:f>
        <x:v>No</x:v>
      </x:c>
      <x:c r="AC910" s="265" t="n">
        <x:v>1000.02</x:v>
      </x:c>
      <x:c r="AD910" s="265" t="n">
        <x:v>1000.02</x:v>
      </x:c>
      <x:c r="AE910" s="271" t="str"/>
      <x:c r="AF910" s="274" t="str">
        <x:v>Not validated - no control/holdout</x:v>
      </x:c>
      <x:c r="AG910" s="277" t="str">
        <x:v>Recovered execution only; assignment date and unclaimed-offer denominator unavailable</x:v>
      </x:c>
    </x:row>
    <x:row r="911">
      <x:c r="A911" s="252" t="str">
        <x:v>34554171</x:v>
      </x:c>
      <x:c r="B911" s="253" t="str">
        <x:v>WS1</x:v>
      </x:c>
      <x:c r="C911" s="253" t="str">
        <x:v>MB8</x:v>
      </x:c>
      <x:c r="D911" s="262" t="n">
        <x:v>46183.97619212963</x:v>
      </x:c>
      <x:c r="E911" s="259" t="n">
        <x:v>46183.166666666664</x:v>
      </x:c>
      <x:c r="F911" s="253" t="str">
        <x:v>689605</x:v>
      </x:c>
      <x:c r="G911" s="253" t="str">
        <x:v>Hoe91</x:v>
      </x:c>
      <x:c r="H911" s="253" t="str">
        <x:v>Yes</x:v>
      </x:c>
      <x:c r="I911" s="253" t="str"/>
      <x:c r="J911" s="253" t="str"/>
      <x:c r="K911" s="259"/>
      <x:c r="L911" s="268" t="str">
        <x:f>IFERROR(VLOOKUP(I911,'Handler-Team Map'!$A$7:$C$17,2,FALSE),"")</x:f>
      </x:c>
      <x:c r="M911" s="268" t="str">
        <x:f>IFERROR(VLOOKUP(I911,'Handler-Team Map'!$A$7:$C$17,3,FALSE),"")</x:f>
      </x:c>
      <x:c r="N911" s="274" t="str">
        <x:v>FT_VM_DEP1000_GET900_1X</x:v>
      </x:c>
      <x:c r="O911" s="274" t="str">
        <x:v>VIP BONUS - Deposit 1000 Get 900 - 1x TO</x:v>
      </x:c>
      <x:c r="P911" s="274" t="str">
        <x:v>DepositBonus</x:v>
      </x:c>
      <x:c r="Q911" s="274" t="str">
        <x:v>Approved</x:v>
      </x:c>
      <x:c r="R911" s="265" t="n">
        <x:v>900</x:v>
      </x:c>
      <x:c r="S911" s="253" t="str">
        <x:v>Yes</x:v>
      </x:c>
      <x:c r="T911" s="265" t="n">
        <x:v>0</x:v>
      </x:c>
      <x:c r="U911" s="253" t="str">
        <x:f>IF(AND(S911="Yes",T911=0),"Yes","No")</x:f>
        <x:v>Yes</x:v>
      </x:c>
      <x:c r="V911" s="253" t="str">
        <x:v>Yes</x:v>
      </x:c>
      <x:c r="W911" s="253" t="str">
        <x:v>Yes</x:v>
      </x:c>
      <x:c r="X911" s="259" t="n">
        <x:v>46183.166666666664</x:v>
      </x:c>
      <x:c r="Y911" s="265" t="n">
        <x:v>3650</x:v>
      </x:c>
      <x:c r="Z911" s="265" t="n">
        <x:v>3650</x:v>
      </x:c>
      <x:c r="AA911" s="253" t="str">
        <x:f>IF(V911="No","Maturing",IF(AND(U911="Yes",Y911&gt;0),"Yes","No"))</x:f>
        <x:v>Yes</x:v>
      </x:c>
      <x:c r="AB911" s="253" t="str">
        <x:f>IF(W911="No","Maturing",IF(AND(U911="Yes",Z911&gt;0),"Yes","No"))</x:f>
        <x:v>Yes</x:v>
      </x:c>
      <x:c r="AC911" s="265" t="n">
        <x:v>-1250.28</x:v>
      </x:c>
      <x:c r="AD911" s="265" t="n">
        <x:v>-1258.28</x:v>
      </x:c>
      <x:c r="AE911" s="271" t="str"/>
      <x:c r="AF911" s="274" t="str">
        <x:v>Not validated - no control/holdout</x:v>
      </x:c>
      <x:c r="AG911" s="277" t="str">
        <x:v>Recovered execution only; assignment date and unclaimed-offer denominator unavailable</x:v>
      </x:c>
    </x:row>
    <x:row r="912">
      <x:c r="A912" s="252" t="str">
        <x:v>34554360</x:v>
      </x:c>
      <x:c r="B912" s="253" t="str">
        <x:v>WS1</x:v>
      </x:c>
      <x:c r="C912" s="253" t="str">
        <x:v>MB8</x:v>
      </x:c>
      <x:c r="D912" s="262" t="n">
        <x:v>46183.98501157408</x:v>
      </x:c>
      <x:c r="E912" s="259" t="n">
        <x:v>46183.166666666664</x:v>
      </x:c>
      <x:c r="F912" s="253" t="str">
        <x:v>573440</x:v>
      </x:c>
      <x:c r="G912" s="253" t="str">
        <x:v>Rizuanraflis</x:v>
      </x:c>
      <x:c r="H912" s="253" t="str">
        <x:v>Yes</x:v>
      </x:c>
      <x:c r="I912" s="253" t="str">
        <x:v>zhen</x:v>
      </x:c>
      <x:c r="J912" s="253" t="str">
        <x:v>zhen</x:v>
      </x:c>
      <x:c r="K912" s="259" t="n">
        <x:v>46090.166666666664</x:v>
      </x:c>
      <x:c r="L912" s="268" t="str">
        <x:f>IFERROR(VLOOKUP(I912,'Handler-Team Map'!$A$7:$C$17,2,FALSE),"")</x:f>
      </x:c>
      <x:c r="M912" s="268" t="str">
        <x:f>IFERROR(VLOOKUP(I912,'Handler-Team Map'!$A$7:$C$17,3,FALSE),"")</x:f>
      </x:c>
      <x:c r="N912" s="274" t="str">
        <x:v>FT_VM_DEP1000_GET800_2X</x:v>
      </x:c>
      <x:c r="O912" s="274" t="str">
        <x:v>VIP BONUS - Deposit 1000 Get 800 - 2x TO</x:v>
      </x:c>
      <x:c r="P912" s="274" t="str">
        <x:v>DepositBonus</x:v>
      </x:c>
      <x:c r="Q912" s="274" t="str">
        <x:v>Approved</x:v>
      </x:c>
      <x:c r="R912" s="265" t="n">
        <x:v>800</x:v>
      </x:c>
      <x:c r="S912" s="253" t="str">
        <x:v>Yes</x:v>
      </x:c>
      <x:c r="T912" s="265" t="n">
        <x:v>7600</x:v>
      </x:c>
      <x:c r="U912" s="253" t="str">
        <x:f>IF(AND(S912="Yes",T912=0),"Yes","No")</x:f>
        <x:v>No</x:v>
      </x:c>
      <x:c r="V912" s="253" t="str">
        <x:v>Yes</x:v>
      </x:c>
      <x:c r="W912" s="253" t="str">
        <x:v>Yes</x:v>
      </x:c>
      <x:c r="X912" s="259" t="n">
        <x:v>46183.166666666664</x:v>
      </x:c>
      <x:c r="Y912" s="265" t="n">
        <x:v>1850</x:v>
      </x:c>
      <x:c r="Z912" s="265" t="n">
        <x:v>3650</x:v>
      </x:c>
      <x:c r="AA912" s="253" t="str">
        <x:f>IF(V912="No","Maturing",IF(AND(U912="Yes",Y912&gt;0),"Yes","No"))</x:f>
        <x:v>No</x:v>
      </x:c>
      <x:c r="AB912" s="253" t="str">
        <x:f>IF(W912="No","Maturing",IF(AND(U912="Yes",Z912&gt;0),"Yes","No"))</x:f>
        <x:v>No</x:v>
      </x:c>
      <x:c r="AC912" s="265" t="n">
        <x:v>1851.21</x:v>
      </x:c>
      <x:c r="AD912" s="265" t="n">
        <x:v>3637.96</x:v>
      </x:c>
      <x:c r="AE912" s="271" t="str"/>
      <x:c r="AF912" s="274" t="str">
        <x:v>Not validated - no control/holdout</x:v>
      </x:c>
      <x:c r="AG912" s="277" t="str">
        <x:v>Recovered execution only; assignment date and unclaimed-offer denominator unavailable</x:v>
      </x:c>
    </x:row>
    <x:row r="913">
      <x:c r="A913" s="252" t="str">
        <x:v>34555382</x:v>
      </x:c>
      <x:c r="B913" s="253" t="str">
        <x:v>WS1</x:v>
      </x:c>
      <x:c r="C913" s="253" t="str">
        <x:v>MB8</x:v>
      </x:c>
      <x:c r="D913" s="262" t="n">
        <x:v>46184.04460648148</x:v>
      </x:c>
      <x:c r="E913" s="259" t="n">
        <x:v>46184.166666666664</x:v>
      </x:c>
      <x:c r="F913" s="253" t="str">
        <x:v>937035</x:v>
      </x:c>
      <x:c r="G913" s="253" t="str">
        <x:v>Ivyweiii</x:v>
      </x:c>
      <x:c r="H913" s="253" t="str">
        <x:v>Yes</x:v>
      </x:c>
      <x:c r="I913" s="253" t="str"/>
      <x:c r="J913" s="253" t="str"/>
      <x:c r="K913" s="259"/>
      <x:c r="L913" s="268" t="str">
        <x:f>IFERROR(VLOOKUP(I913,'Handler-Team Map'!$A$7:$C$17,2,FALSE),"")</x:f>
      </x:c>
      <x:c r="M913" s="268" t="str">
        <x:f>IFERROR(VLOOKUP(I913,'Handler-Team Map'!$A$7:$C$17,3,FALSE),"")</x:f>
      </x:c>
      <x:c r="N913" s="274" t="str">
        <x:v>FT_VM_DEP600_GET200_5X</x:v>
      </x:c>
      <x:c r="O913" s="274" t="str">
        <x:v>VIP BONUS - Deposit 600 Get 200 - 5x TO</x:v>
      </x:c>
      <x:c r="P913" s="274" t="str">
        <x:v>DepositBonus</x:v>
      </x:c>
      <x:c r="Q913" s="274" t="str">
        <x:v>Approved</x:v>
      </x:c>
      <x:c r="R913" s="265" t="n">
        <x:v>200</x:v>
      </x:c>
      <x:c r="S913" s="253" t="str">
        <x:v>Yes</x:v>
      </x:c>
      <x:c r="T913" s="265" t="n">
        <x:v>3200</x:v>
      </x:c>
      <x:c r="U913" s="253" t="str">
        <x:f>IF(AND(S913="Yes",T913=0),"Yes","No")</x:f>
        <x:v>No</x:v>
      </x:c>
      <x:c r="V913" s="253" t="str">
        <x:v>Yes</x:v>
      </x:c>
      <x:c r="W913" s="253" t="str">
        <x:v>Yes</x:v>
      </x:c>
      <x:c r="X913" s="259" t="n">
        <x:v>46184.166666666664</x:v>
      </x:c>
      <x:c r="Y913" s="265" t="n">
        <x:v>600</x:v>
      </x:c>
      <x:c r="Z913" s="265" t="n">
        <x:v>600</x:v>
      </x:c>
      <x:c r="AA913" s="253" t="str">
        <x:f>IF(V913="No","Maturing",IF(AND(U913="Yes",Y913&gt;0),"Yes","No"))</x:f>
        <x:v>No</x:v>
      </x:c>
      <x:c r="AB913" s="253" t="str">
        <x:f>IF(W913="No","Maturing",IF(AND(U913="Yes",Z913&gt;0),"Yes","No"))</x:f>
        <x:v>No</x:v>
      </x:c>
      <x:c r="AC913" s="265" t="n">
        <x:v>600.86</x:v>
      </x:c>
      <x:c r="AD913" s="265" t="n">
        <x:v>600.86</x:v>
      </x:c>
      <x:c r="AE913" s="271" t="str"/>
      <x:c r="AF913" s="274" t="str">
        <x:v>Not validated - no control/holdout</x:v>
      </x:c>
      <x:c r="AG913" s="277" t="str">
        <x:v>Recovered execution only; assignment date and unclaimed-offer denominator unavailable</x:v>
      </x:c>
    </x:row>
    <x:row r="914">
      <x:c r="A914" s="252" t="str">
        <x:v>34558796</x:v>
      </x:c>
      <x:c r="B914" s="253" t="str">
        <x:v>WS1</x:v>
      </x:c>
      <x:c r="C914" s="253" t="str">
        <x:v>MB8</x:v>
      </x:c>
      <x:c r="D914" s="262" t="n">
        <x:v>46184.491319444445</x:v>
      </x:c>
      <x:c r="E914" s="259" t="n">
        <x:v>46184.166666666664</x:v>
      </x:c>
      <x:c r="F914" s="253" t="str">
        <x:v>601544</x:v>
      </x:c>
      <x:c r="G914" s="253" t="str">
        <x:v>norshasha156</x:v>
      </x:c>
      <x:c r="H914" s="253" t="str">
        <x:v>Yes</x:v>
      </x:c>
      <x:c r="I914" s="253" t="str"/>
      <x:c r="J914" s="253" t="str"/>
      <x:c r="K914" s="259"/>
      <x:c r="L914" s="268" t="str">
        <x:f>IFERROR(VLOOKUP(I914,'Handler-Team Map'!$A$7:$C$17,2,FALSE),"")</x:f>
      </x:c>
      <x:c r="M914" s="268" t="str">
        <x:f>IFERROR(VLOOKUP(I914,'Handler-Team Map'!$A$7:$C$17,3,FALSE),"")</x:f>
      </x:c>
      <x:c r="N914" s="274" t="str">
        <x:v>FT_VM_DEP800_GET400_2X</x:v>
      </x:c>
      <x:c r="O914" s="274" t="str">
        <x:v>VIP BONUS - Deposit 800 Get 400 - 2x TO</x:v>
      </x:c>
      <x:c r="P914" s="274" t="str">
        <x:v>DepositBonus</x:v>
      </x:c>
      <x:c r="Q914" s="274" t="str">
        <x:v>Approved</x:v>
      </x:c>
      <x:c r="R914" s="265" t="n">
        <x:v>400</x:v>
      </x:c>
      <x:c r="S914" s="253" t="str">
        <x:v>Yes</x:v>
      </x:c>
      <x:c r="T914" s="265" t="n">
        <x:v>2000</x:v>
      </x:c>
      <x:c r="U914" s="253" t="str">
        <x:f>IF(AND(S914="Yes",T914=0),"Yes","No")</x:f>
        <x:v>No</x:v>
      </x:c>
      <x:c r="V914" s="253" t="str">
        <x:v>Yes</x:v>
      </x:c>
      <x:c r="W914" s="253" t="str">
        <x:v>Yes</x:v>
      </x:c>
      <x:c r="X914" s="259" t="n">
        <x:v>46184.166666666664</x:v>
      </x:c>
      <x:c r="Y914" s="265" t="n">
        <x:v>1000</x:v>
      </x:c>
      <x:c r="Z914" s="265" t="n">
        <x:v>1000</x:v>
      </x:c>
      <x:c r="AA914" s="253" t="str">
        <x:f>IF(V914="No","Maturing",IF(AND(U914="Yes",Y914&gt;0),"Yes","No"))</x:f>
        <x:v>No</x:v>
      </x:c>
      <x:c r="AB914" s="253" t="str">
        <x:f>IF(W914="No","Maturing",IF(AND(U914="Yes",Z914&gt;0),"Yes","No"))</x:f>
        <x:v>No</x:v>
      </x:c>
      <x:c r="AC914" s="265" t="n">
        <x:v>-1159.04</x:v>
      </x:c>
      <x:c r="AD914" s="265" t="n">
        <x:v>-1159.03</x:v>
      </x:c>
      <x:c r="AE914" s="271" t="str"/>
      <x:c r="AF914" s="274" t="str">
        <x:v>Not validated - no control/holdout</x:v>
      </x:c>
      <x:c r="AG914" s="277" t="str">
        <x:v>Recovered execution only; assignment date and unclaimed-offer denominator unavailable</x:v>
      </x:c>
    </x:row>
    <x:row r="915">
      <x:c r="A915" s="252" t="str">
        <x:v>34559630</x:v>
      </x:c>
      <x:c r="B915" s="253" t="str">
        <x:v>WS1</x:v>
      </x:c>
      <x:c r="C915" s="253" t="str">
        <x:v>MB8</x:v>
      </x:c>
      <x:c r="D915" s="262" t="n">
        <x:v>46184.576469907406</x:v>
      </x:c>
      <x:c r="E915" s="259" t="n">
        <x:v>46184.166666666664</x:v>
      </x:c>
      <x:c r="F915" s="253" t="str">
        <x:v>380888</x:v>
      </x:c>
      <x:c r="G915" s="253" t="str">
        <x:v>andy9790</x:v>
      </x:c>
      <x:c r="H915" s="253" t="str">
        <x:v>Yes</x:v>
      </x:c>
      <x:c r="I915" s="253" t="str">
        <x:v>Serene</x:v>
      </x:c>
      <x:c r="J915" s="253" t="str">
        <x:v>Serene</x:v>
      </x:c>
      <x:c r="K915" s="259" t="n">
        <x:v>45859.166666666664</x:v>
      </x:c>
      <x:c r="L915" s="268" t="str">
        <x:f>IFERROR(VLOOKUP(I915,'Handler-Team Map'!$A$7:$C$17,2,FALSE),"")</x:f>
      </x:c>
      <x:c r="M915" s="268" t="str">
        <x:f>IFERROR(VLOOKUP(I915,'Handler-Team Map'!$A$7:$C$17,3,FALSE),"")</x:f>
      </x:c>
      <x:c r="N915" s="274" t="str">
        <x:v>FT_VM_DEP700_GET300_2X</x:v>
      </x:c>
      <x:c r="O915" s="274" t="str">
        <x:v>VIP BONUS - Deposit 700 Get 300 - 2x TO</x:v>
      </x:c>
      <x:c r="P915" s="274" t="str">
        <x:v>DepositBonus</x:v>
      </x:c>
      <x:c r="Q915" s="274" t="str">
        <x:v>Approved</x:v>
      </x:c>
      <x:c r="R915" s="265" t="n">
        <x:v>300</x:v>
      </x:c>
      <x:c r="S915" s="253" t="str">
        <x:v>Yes</x:v>
      </x:c>
      <x:c r="T915" s="265" t="n">
        <x:v>700</x:v>
      </x:c>
      <x:c r="U915" s="253" t="str">
        <x:f>IF(AND(S915="Yes",T915=0),"Yes","No")</x:f>
        <x:v>No</x:v>
      </x:c>
      <x:c r="V915" s="253" t="str">
        <x:v>Yes</x:v>
      </x:c>
      <x:c r="W915" s="253" t="str">
        <x:v>Yes</x:v>
      </x:c>
      <x:c r="X915" s="259" t="n">
        <x:v>46184.166666666664</x:v>
      </x:c>
      <x:c r="Y915" s="265" t="n">
        <x:v>700</x:v>
      </x:c>
      <x:c r="Z915" s="265" t="n">
        <x:v>700</x:v>
      </x:c>
      <x:c r="AA915" s="253" t="str">
        <x:f>IF(V915="No","Maturing",IF(AND(U915="Yes",Y915&gt;0),"Yes","No"))</x:f>
        <x:v>No</x:v>
      </x:c>
      <x:c r="AB915" s="253" t="str">
        <x:f>IF(W915="No","Maturing",IF(AND(U915="Yes",Z915&gt;0),"Yes","No"))</x:f>
        <x:v>No</x:v>
      </x:c>
      <x:c r="AC915" s="265" t="n">
        <x:v>-8524.16</x:v>
      </x:c>
      <x:c r="AD915" s="265" t="n">
        <x:v>-8524.16</x:v>
      </x:c>
      <x:c r="AE915" s="271" t="str"/>
      <x:c r="AF915" s="274" t="str">
        <x:v>Not validated - no control/holdout</x:v>
      </x:c>
      <x:c r="AG915" s="277" t="str">
        <x:v>Recovered execution only; assignment date and unclaimed-offer denominator unavailable</x:v>
      </x:c>
    </x:row>
    <x:row r="916">
      <x:c r="A916" s="252" t="str">
        <x:v>34559830</x:v>
      </x:c>
      <x:c r="B916" s="253" t="str">
        <x:v>WS1</x:v>
      </x:c>
      <x:c r="C916" s="253" t="str">
        <x:v>MB8</x:v>
      </x:c>
      <x:c r="D916" s="262" t="n">
        <x:v>46184.597708333335</x:v>
      </x:c>
      <x:c r="E916" s="259" t="n">
        <x:v>46184.166666666664</x:v>
      </x:c>
      <x:c r="F916" s="253" t="str">
        <x:v>481857</x:v>
      </x:c>
      <x:c r="G916" s="253" t="str">
        <x:v>mybet9888</x:v>
      </x:c>
      <x:c r="H916" s="253" t="str">
        <x:v>Yes</x:v>
      </x:c>
      <x:c r="I916" s="253" t="str">
        <x:v>Claire</x:v>
      </x:c>
      <x:c r="J916" s="253" t="str">
        <x:v>Claire</x:v>
      </x:c>
      <x:c r="K916" s="259" t="n">
        <x:v>45659.166666666664</x:v>
      </x:c>
      <x:c r="L916" s="268" t="str">
        <x:f>IFERROR(VLOOKUP(I916,'Handler-Team Map'!$A$7:$C$17,2,FALSE),"")</x:f>
      </x:c>
      <x:c r="M916" s="268" t="str">
        <x:f>IFERROR(VLOOKUP(I916,'Handler-Team Map'!$A$7:$C$17,3,FALSE),"")</x:f>
      </x:c>
      <x:c r="N916" s="274" t="str">
        <x:v>FT_VM_DEP1000_GET800_2X</x:v>
      </x:c>
      <x:c r="O916" s="274" t="str">
        <x:v>VIP BONUS - Deposit 1000 Get 800 - 2x TO</x:v>
      </x:c>
      <x:c r="P916" s="274" t="str">
        <x:v>DepositBonus</x:v>
      </x:c>
      <x:c r="Q916" s="274" t="str">
        <x:v>Approved</x:v>
      </x:c>
      <x:c r="R916" s="265" t="n">
        <x:v>800</x:v>
      </x:c>
      <x:c r="S916" s="253" t="str">
        <x:v>Yes</x:v>
      </x:c>
      <x:c r="T916" s="265" t="n">
        <x:v>8080</x:v>
      </x:c>
      <x:c r="U916" s="253" t="str">
        <x:f>IF(AND(S916="Yes",T916=0),"Yes","No")</x:f>
        <x:v>No</x:v>
      </x:c>
      <x:c r="V916" s="253" t="str">
        <x:v>Yes</x:v>
      </x:c>
      <x:c r="W916" s="253" t="str">
        <x:v>Yes</x:v>
      </x:c>
      <x:c r="X916" s="259" t="n">
        <x:v>46184.166666666664</x:v>
      </x:c>
      <x:c r="Y916" s="265" t="n">
        <x:v>1100</x:v>
      </x:c>
      <x:c r="Z916" s="265" t="n">
        <x:v>1100</x:v>
      </x:c>
      <x:c r="AA916" s="253" t="str">
        <x:f>IF(V916="No","Maturing",IF(AND(U916="Yes",Y916&gt;0),"Yes","No"))</x:f>
        <x:v>No</x:v>
      </x:c>
      <x:c r="AB916" s="253" t="str">
        <x:f>IF(W916="No","Maturing",IF(AND(U916="Yes",Z916&gt;0),"Yes","No"))</x:f>
        <x:v>No</x:v>
      </x:c>
      <x:c r="AC916" s="265" t="n">
        <x:v>-1021.92</x:v>
      </x:c>
      <x:c r="AD916" s="265" t="n">
        <x:v>-1021.92</x:v>
      </x:c>
      <x:c r="AE916" s="271" t="str"/>
      <x:c r="AF916" s="274" t="str">
        <x:v>Not validated - no control/holdout</x:v>
      </x:c>
      <x:c r="AG916" s="277" t="str">
        <x:v>Recovered execution only; assignment date and unclaimed-offer denominator unavailable</x:v>
      </x:c>
    </x:row>
    <x:row r="917">
      <x:c r="A917" s="252" t="str">
        <x:v>34560057</x:v>
      </x:c>
      <x:c r="B917" s="253" t="str">
        <x:v>WS1</x:v>
      </x:c>
      <x:c r="C917" s="253" t="str">
        <x:v>MB8</x:v>
      </x:c>
      <x:c r="D917" s="262" t="n">
        <x:v>46184.62</x:v>
      </x:c>
      <x:c r="E917" s="259" t="n">
        <x:v>46184.166666666664</x:v>
      </x:c>
      <x:c r="F917" s="253" t="str">
        <x:v>1192068</x:v>
      </x:c>
      <x:c r="G917" s="253" t="str">
        <x:v>mdabdulaw0233</x:v>
      </x:c>
      <x:c r="H917" s="253" t="str">
        <x:v>Yes</x:v>
      </x:c>
      <x:c r="I917" s="253" t="str"/>
      <x:c r="J917" s="253" t="str"/>
      <x:c r="K917" s="259"/>
      <x:c r="L917" s="268" t="str">
        <x:f>IFERROR(VLOOKUP(I917,'Handler-Team Map'!$A$7:$C$17,2,FALSE),"")</x:f>
      </x:c>
      <x:c r="M917" s="268" t="str">
        <x:f>IFERROR(VLOOKUP(I917,'Handler-Team Map'!$A$7:$C$17,3,FALSE),"")</x:f>
      </x:c>
      <x:c r="N917" s="274" t="str">
        <x:v>FT_VM_DEP1000_GET500_1X</x:v>
      </x:c>
      <x:c r="O917" s="274" t="str">
        <x:v>VIP BONUS - Deposit 1000 Get 500 - 1x TO</x:v>
      </x:c>
      <x:c r="P917" s="274" t="str">
        <x:v>DepositBonus</x:v>
      </x:c>
      <x:c r="Q917" s="274" t="str">
        <x:v>Approved</x:v>
      </x:c>
      <x:c r="R917" s="265" t="n">
        <x:v>500</x:v>
      </x:c>
      <x:c r="S917" s="253" t="str">
        <x:v>Yes</x:v>
      </x:c>
      <x:c r="T917" s="265" t="n">
        <x:v>190</x:v>
      </x:c>
      <x:c r="U917" s="253" t="str">
        <x:f>IF(AND(S917="Yes",T917=0),"Yes","No")</x:f>
        <x:v>No</x:v>
      </x:c>
      <x:c r="V917" s="253" t="str">
        <x:v>Yes</x:v>
      </x:c>
      <x:c r="W917" s="253" t="str">
        <x:v>Yes</x:v>
      </x:c>
      <x:c r="X917" s="259" t="n">
        <x:v>46184.166666666664</x:v>
      </x:c>
      <x:c r="Y917" s="265" t="n">
        <x:v>1000</x:v>
      </x:c>
      <x:c r="Z917" s="265" t="n">
        <x:v>1100</x:v>
      </x:c>
      <x:c r="AA917" s="253" t="str">
        <x:f>IF(V917="No","Maturing",IF(AND(U917="Yes",Y917&gt;0),"Yes","No"))</x:f>
        <x:v>No</x:v>
      </x:c>
      <x:c r="AB917" s="253" t="str">
        <x:f>IF(W917="No","Maturing",IF(AND(U917="Yes",Z917&gt;0),"Yes","No"))</x:f>
        <x:v>No</x:v>
      </x:c>
      <x:c r="AC917" s="265" t="n">
        <x:v>-929.35</x:v>
      </x:c>
      <x:c r="AD917" s="265" t="n">
        <x:v>-829.26</x:v>
      </x:c>
      <x:c r="AE917" s="271" t="str"/>
      <x:c r="AF917" s="274" t="str">
        <x:v>Not validated - no control/holdout</x:v>
      </x:c>
      <x:c r="AG917" s="277" t="str">
        <x:v>Recovered execution only; assignment date and unclaimed-offer denominator unavailable</x:v>
      </x:c>
    </x:row>
    <x:row r="918">
      <x:c r="A918" s="252" t="str">
        <x:v>34560601</x:v>
      </x:c>
      <x:c r="B918" s="253" t="str">
        <x:v>WS1</x:v>
      </x:c>
      <x:c r="C918" s="253" t="str">
        <x:v>MB8</x:v>
      </x:c>
      <x:c r="D918" s="262" t="n">
        <x:v>46184.669444444444</x:v>
      </x:c>
      <x:c r="E918" s="259" t="n">
        <x:v>46184.166666666664</x:v>
      </x:c>
      <x:c r="F918" s="253" t="str">
        <x:v>218256</x:v>
      </x:c>
      <x:c r="G918" s="253" t="str">
        <x:v>Bobby2626</x:v>
      </x:c>
      <x:c r="H918" s="253" t="str">
        <x:v>Yes</x:v>
      </x:c>
      <x:c r="I918" s="253" t="str">
        <x:v>Elda</x:v>
      </x:c>
      <x:c r="J918" s="253" t="str">
        <x:v>Elda</x:v>
      </x:c>
      <x:c r="K918" s="259" t="n">
        <x:v>45659.166666666664</x:v>
      </x:c>
      <x:c r="L918" s="268" t="str">
        <x:f>IFERROR(VLOOKUP(I918,'Handler-Team Map'!$A$7:$C$17,2,FALSE),"")</x:f>
      </x:c>
      <x:c r="M918" s="268" t="str">
        <x:f>IFERROR(VLOOKUP(I918,'Handler-Team Map'!$A$7:$C$17,3,FALSE),"")</x:f>
      </x:c>
      <x:c r="N918" s="274" t="str">
        <x:v>FT_VM_DEP600_GET200_5X</x:v>
      </x:c>
      <x:c r="O918" s="274" t="str">
        <x:v>VIP BONUS - Deposit 600 Get 200 - 5x TO</x:v>
      </x:c>
      <x:c r="P918" s="274" t="str">
        <x:v>DepositBonus</x:v>
      </x:c>
      <x:c r="Q918" s="274" t="str">
        <x:v>Approved</x:v>
      </x:c>
      <x:c r="R918" s="265" t="n">
        <x:v>200</x:v>
      </x:c>
      <x:c r="S918" s="253" t="str">
        <x:v>Yes</x:v>
      </x:c>
      <x:c r="T918" s="265" t="n">
        <x:v>88200</x:v>
      </x:c>
      <x:c r="U918" s="253" t="str">
        <x:f>IF(AND(S918="Yes",T918=0),"Yes","No")</x:f>
        <x:v>No</x:v>
      </x:c>
      <x:c r="V918" s="253" t="str">
        <x:v>Yes</x:v>
      </x:c>
      <x:c r="W918" s="253" t="str">
        <x:v>Yes</x:v>
      </x:c>
      <x:c r="X918" s="259" t="n">
        <x:v>46184.166666666664</x:v>
      </x:c>
      <x:c r="Y918" s="265" t="n">
        <x:v>17100</x:v>
      </x:c>
      <x:c r="Z918" s="265" t="n">
        <x:v>24600</x:v>
      </x:c>
      <x:c r="AA918" s="253" t="str">
        <x:f>IF(V918="No","Maturing",IF(AND(U918="Yes",Y918&gt;0),"Yes","No"))</x:f>
        <x:v>No</x:v>
      </x:c>
      <x:c r="AB918" s="253" t="str">
        <x:f>IF(W918="No","Maturing",IF(AND(U918="Yes",Z918&gt;0),"Yes","No"))</x:f>
        <x:v>No</x:v>
      </x:c>
      <x:c r="AC918" s="265" t="n">
        <x:v>-76327.5</x:v>
      </x:c>
      <x:c r="AD918" s="265" t="n">
        <x:v>-144440.45</x:v>
      </x:c>
      <x:c r="AE918" s="271" t="str"/>
      <x:c r="AF918" s="274" t="str">
        <x:v>Not validated - no control/holdout</x:v>
      </x:c>
      <x:c r="AG918" s="277" t="str">
        <x:v>Recovered execution only; assignment date and unclaimed-offer denominator unavailable</x:v>
      </x:c>
    </x:row>
    <x:row r="919">
      <x:c r="A919" s="252" t="str">
        <x:v>34562815</x:v>
      </x:c>
      <x:c r="B919" s="253" t="str">
        <x:v>WS1</x:v>
      </x:c>
      <x:c r="C919" s="253" t="str">
        <x:v>MB8</x:v>
      </x:c>
      <x:c r="D919" s="262" t="n">
        <x:v>46184.84295138889</x:v>
      </x:c>
      <x:c r="E919" s="259" t="n">
        <x:v>46184.166666666664</x:v>
      </x:c>
      <x:c r="F919" s="253" t="str">
        <x:v>1153667</x:v>
      </x:c>
      <x:c r="G919" s="253" t="str">
        <x:v>fushigiguy</x:v>
      </x:c>
      <x:c r="H919" s="253" t="str">
        <x:v>Yes</x:v>
      </x:c>
      <x:c r="I919" s="253" t="str">
        <x:v>Elda</x:v>
      </x:c>
      <x:c r="J919" s="253" t="str">
        <x:v>Elda</x:v>
      </x:c>
      <x:c r="K919" s="259" t="n">
        <x:v>45659.166666666664</x:v>
      </x:c>
      <x:c r="L919" s="268" t="str">
        <x:f>IFERROR(VLOOKUP(I919,'Handler-Team Map'!$A$7:$C$17,2,FALSE),"")</x:f>
      </x:c>
      <x:c r="M919" s="268" t="str">
        <x:f>IFERROR(VLOOKUP(I919,'Handler-Team Map'!$A$7:$C$17,3,FALSE),"")</x:f>
      </x:c>
      <x:c r="N919" s="274" t="str">
        <x:v>FT_VM_DEP1000_GET800_2X</x:v>
      </x:c>
      <x:c r="O919" s="274" t="str">
        <x:v>VIP BONUS - Deposit 1000 Get 800 - 2x TO</x:v>
      </x:c>
      <x:c r="P919" s="274" t="str">
        <x:v>DepositBonus</x:v>
      </x:c>
      <x:c r="Q919" s="274" t="str">
        <x:v>Approved</x:v>
      </x:c>
      <x:c r="R919" s="265" t="n">
        <x:v>800</x:v>
      </x:c>
      <x:c r="S919" s="253" t="str">
        <x:v>Yes</x:v>
      </x:c>
      <x:c r="T919" s="265" t="n">
        <x:v>26500</x:v>
      </x:c>
      <x:c r="U919" s="253" t="str">
        <x:f>IF(AND(S919="Yes",T919=0),"Yes","No")</x:f>
        <x:v>No</x:v>
      </x:c>
      <x:c r="V919" s="253" t="str">
        <x:v>Yes</x:v>
      </x:c>
      <x:c r="W919" s="253" t="str">
        <x:v>Yes</x:v>
      </x:c>
      <x:c r="X919" s="259" t="n">
        <x:v>46184.166666666664</x:v>
      </x:c>
      <x:c r="Y919" s="265" t="n">
        <x:v>3000</x:v>
      </x:c>
      <x:c r="Z919" s="265" t="n">
        <x:v>3900</x:v>
      </x:c>
      <x:c r="AA919" s="253" t="str">
        <x:f>IF(V919="No","Maturing",IF(AND(U919="Yes",Y919&gt;0),"Yes","No"))</x:f>
        <x:v>No</x:v>
      </x:c>
      <x:c r="AB919" s="253" t="str">
        <x:f>IF(W919="No","Maturing",IF(AND(U919="Yes",Z919&gt;0),"Yes","No"))</x:f>
        <x:v>No</x:v>
      </x:c>
      <x:c r="AC919" s="265" t="n">
        <x:v>2484.63</x:v>
      </x:c>
      <x:c r="AD919" s="265" t="n">
        <x:v>4079.36</x:v>
      </x:c>
      <x:c r="AE919" s="271" t="str"/>
      <x:c r="AF919" s="274" t="str">
        <x:v>Not validated - no control/holdout</x:v>
      </x:c>
      <x:c r="AG919" s="277" t="str">
        <x:v>Recovered execution only; assignment date and unclaimed-offer denominator unavailable</x:v>
      </x:c>
    </x:row>
    <x:row r="920">
      <x:c r="A920" s="252" t="str">
        <x:v>34562943</x:v>
      </x:c>
      <x:c r="B920" s="253" t="str">
        <x:v>WS1</x:v>
      </x:c>
      <x:c r="C920" s="253" t="str">
        <x:v>MB8</x:v>
      </x:c>
      <x:c r="D920" s="262" t="n">
        <x:v>46184.854479166665</x:v>
      </x:c>
      <x:c r="E920" s="259" t="n">
        <x:v>46184.166666666664</x:v>
      </x:c>
      <x:c r="F920" s="253" t="str">
        <x:v>534007</x:v>
      </x:c>
      <x:c r="G920" s="253" t="str">
        <x:v>sahilyar15</x:v>
      </x:c>
      <x:c r="H920" s="253" t="str">
        <x:v>Yes</x:v>
      </x:c>
      <x:c r="I920" s="253" t="str">
        <x:v>Tammy</x:v>
      </x:c>
      <x:c r="J920" s="253" t="str">
        <x:v>Tammy</x:v>
      </x:c>
      <x:c r="K920" s="259" t="n">
        <x:v>45951.166666666664</x:v>
      </x:c>
      <x:c r="L920" s="268" t="str">
        <x:f>IFERROR(VLOOKUP(I920,'Handler-Team Map'!$A$7:$C$17,2,FALSE),"")</x:f>
      </x:c>
      <x:c r="M920" s="268" t="str">
        <x:f>IFERROR(VLOOKUP(I920,'Handler-Team Map'!$A$7:$C$17,3,FALSE),"")</x:f>
      </x:c>
      <x:c r="N920" s="274" t="str">
        <x:v>FT_VM_DEP1000_GET500_5X</x:v>
      </x:c>
      <x:c r="O920" s="274" t="str">
        <x:v>VIP BONUS - Deposit 1000 Get 500 - 5x TO</x:v>
      </x:c>
      <x:c r="P920" s="274" t="str">
        <x:v>DepositBonus</x:v>
      </x:c>
      <x:c r="Q920" s="274" t="str">
        <x:v>Approved</x:v>
      </x:c>
      <x:c r="R920" s="265" t="n">
        <x:v>500</x:v>
      </x:c>
      <x:c r="S920" s="253" t="str">
        <x:v>Yes</x:v>
      </x:c>
      <x:c r="T920" s="265" t="n">
        <x:v>6780</x:v>
      </x:c>
      <x:c r="U920" s="253" t="str">
        <x:f>IF(AND(S920="Yes",T920=0),"Yes","No")</x:f>
        <x:v>No</x:v>
      </x:c>
      <x:c r="V920" s="253" t="str">
        <x:v>Yes</x:v>
      </x:c>
      <x:c r="W920" s="253" t="str">
        <x:v>Yes</x:v>
      </x:c>
      <x:c r="X920" s="259" t="n">
        <x:v>46184.166666666664</x:v>
      </x:c>
      <x:c r="Y920" s="265" t="n">
        <x:v>4045</x:v>
      </x:c>
      <x:c r="Z920" s="265" t="n">
        <x:v>4045</x:v>
      </x:c>
      <x:c r="AA920" s="253" t="str">
        <x:f>IF(V920="No","Maturing",IF(AND(U920="Yes",Y920&gt;0),"Yes","No"))</x:f>
        <x:v>No</x:v>
      </x:c>
      <x:c r="AB920" s="253" t="str">
        <x:f>IF(W920="No","Maturing",IF(AND(U920="Yes",Z920&gt;0),"Yes","No"))</x:f>
        <x:v>No</x:v>
      </x:c>
      <x:c r="AC920" s="265" t="n">
        <x:v>1644.21</x:v>
      </x:c>
      <x:c r="AD920" s="265" t="n">
        <x:v>1645.6</x:v>
      </x:c>
      <x:c r="AE920" s="271" t="str"/>
      <x:c r="AF920" s="274" t="str">
        <x:v>Not validated - no control/holdout</x:v>
      </x:c>
      <x:c r="AG920" s="277" t="str">
        <x:v>Recovered execution only; assignment date and unclaimed-offer denominator unavailable</x:v>
      </x:c>
    </x:row>
    <x:row r="921">
      <x:c r="A921" s="252" t="str">
        <x:v>34563520</x:v>
      </x:c>
      <x:c r="B921" s="253" t="str">
        <x:v>WS1</x:v>
      </x:c>
      <x:c r="C921" s="253" t="str">
        <x:v>MB8</x:v>
      </x:c>
      <x:c r="D921" s="262" t="n">
        <x:v>46184.896828703706</x:v>
      </x:c>
      <x:c r="E921" s="259" t="n">
        <x:v>46184.166666666664</x:v>
      </x:c>
      <x:c r="F921" s="253" t="str">
        <x:v>1025832</x:v>
      </x:c>
      <x:c r="G921" s="253" t="str">
        <x:v>Kenyongwk</x:v>
      </x:c>
      <x:c r="H921" s="253" t="str">
        <x:v>Yes</x:v>
      </x:c>
      <x:c r="I921" s="253" t="str">
        <x:v>zhen</x:v>
      </x:c>
      <x:c r="J921" s="253" t="str">
        <x:v>zhen</x:v>
      </x:c>
      <x:c r="K921" s="259" t="n">
        <x:v>45985.166666666664</x:v>
      </x:c>
      <x:c r="L921" s="268" t="str">
        <x:f>IFERROR(VLOOKUP(I921,'Handler-Team Map'!$A$7:$C$17,2,FALSE),"")</x:f>
      </x:c>
      <x:c r="M921" s="268" t="str">
        <x:f>IFERROR(VLOOKUP(I921,'Handler-Team Map'!$A$7:$C$17,3,FALSE),"")</x:f>
      </x:c>
      <x:c r="N921" s="274" t="str">
        <x:v>FT_VM_DEP300_GET100_5X</x:v>
      </x:c>
      <x:c r="O921" s="274" t="str">
        <x:v>VIP BONUS - Deposit 300 Get 100 - 5x TO</x:v>
      </x:c>
      <x:c r="P921" s="274" t="str">
        <x:v>DepositBonus</x:v>
      </x:c>
      <x:c r="Q921" s="274" t="str">
        <x:v>Approved</x:v>
      </x:c>
      <x:c r="R921" s="265" t="n">
        <x:v>100</x:v>
      </x:c>
      <x:c r="S921" s="253" t="str">
        <x:v>Yes</x:v>
      </x:c>
      <x:c r="T921" s="265" t="n">
        <x:v>51000</x:v>
      </x:c>
      <x:c r="U921" s="253" t="str">
        <x:f>IF(AND(S921="Yes",T921=0),"Yes","No")</x:f>
        <x:v>No</x:v>
      </x:c>
      <x:c r="V921" s="253" t="str">
        <x:v>Yes</x:v>
      </x:c>
      <x:c r="W921" s="253" t="str">
        <x:v>Yes</x:v>
      </x:c>
      <x:c r="X921" s="259" t="n">
        <x:v>46184.166666666664</x:v>
      </x:c>
      <x:c r="Y921" s="265" t="n">
        <x:v>19600</x:v>
      </x:c>
      <x:c r="Z921" s="265" t="n">
        <x:v>30600</x:v>
      </x:c>
      <x:c r="AA921" s="253" t="str">
        <x:f>IF(V921="No","Maturing",IF(AND(U921="Yes",Y921&gt;0),"Yes","No"))</x:f>
        <x:v>No</x:v>
      </x:c>
      <x:c r="AB921" s="253" t="str">
        <x:f>IF(W921="No","Maturing",IF(AND(U921="Yes",Z921&gt;0),"Yes","No"))</x:f>
        <x:v>No</x:v>
      </x:c>
      <x:c r="AC921" s="265" t="n">
        <x:v>10406.12</x:v>
      </x:c>
      <x:c r="AD921" s="265" t="n">
        <x:v>18101.22</x:v>
      </x:c>
      <x:c r="AE921" s="271" t="str"/>
      <x:c r="AF921" s="274" t="str">
        <x:v>Not validated - no control/holdout</x:v>
      </x:c>
      <x:c r="AG921" s="277" t="str">
        <x:v>Recovered execution only; assignment date and unclaimed-offer denominator unavailable</x:v>
      </x:c>
    </x:row>
    <x:row r="922">
      <x:c r="A922" s="252" t="str">
        <x:v>34563688</x:v>
      </x:c>
      <x:c r="B922" s="253" t="str">
        <x:v>WS1</x:v>
      </x:c>
      <x:c r="C922" s="253" t="str">
        <x:v>MB8</x:v>
      </x:c>
      <x:c r="D922" s="262" t="n">
        <x:v>46184.90775462963</x:v>
      </x:c>
      <x:c r="E922" s="259" t="n">
        <x:v>46184.166666666664</x:v>
      </x:c>
      <x:c r="F922" s="253" t="str">
        <x:v>291167</x:v>
      </x:c>
      <x:c r="G922" s="253" t="str">
        <x:v>CCPP10</x:v>
      </x:c>
      <x:c r="H922" s="253" t="str">
        <x:v>Yes</x:v>
      </x:c>
      <x:c r="I922" s="253" t="str">
        <x:v>zhen</x:v>
      </x:c>
      <x:c r="J922" s="253" t="str">
        <x:v>zhen</x:v>
      </x:c>
      <x:c r="K922" s="259" t="n">
        <x:v>46090.166666666664</x:v>
      </x:c>
      <x:c r="L922" s="268" t="str">
        <x:f>IFERROR(VLOOKUP(I922,'Handler-Team Map'!$A$7:$C$17,2,FALSE),"")</x:f>
      </x:c>
      <x:c r="M922" s="268" t="str">
        <x:f>IFERROR(VLOOKUP(I922,'Handler-Team Map'!$A$7:$C$17,3,FALSE),"")</x:f>
      </x:c>
      <x:c r="N922" s="274" t="str">
        <x:v>FT_VM_DEP1000_GET500_5X</x:v>
      </x:c>
      <x:c r="O922" s="274" t="str">
        <x:v>VIP BONUS - Deposit 1000 Get 500 - 5x TO</x:v>
      </x:c>
      <x:c r="P922" s="274" t="str">
        <x:v>DepositBonus</x:v>
      </x:c>
      <x:c r="Q922" s="274" t="str">
        <x:v>Approved</x:v>
      </x:c>
      <x:c r="R922" s="265" t="n">
        <x:v>500</x:v>
      </x:c>
      <x:c r="S922" s="253" t="str">
        <x:v>Yes</x:v>
      </x:c>
      <x:c r="T922" s="265" t="n">
        <x:v>1202</x:v>
      </x:c>
      <x:c r="U922" s="253" t="str">
        <x:f>IF(AND(S922="Yes",T922=0),"Yes","No")</x:f>
        <x:v>No</x:v>
      </x:c>
      <x:c r="V922" s="253" t="str">
        <x:v>Yes</x:v>
      </x:c>
      <x:c r="W922" s="253" t="str">
        <x:v>Yes</x:v>
      </x:c>
      <x:c r="X922" s="259" t="n">
        <x:v>46184.166666666664</x:v>
      </x:c>
      <x:c r="Y922" s="265" t="n">
        <x:v>1200</x:v>
      </x:c>
      <x:c r="Z922" s="265" t="n">
        <x:v>1530</x:v>
      </x:c>
      <x:c r="AA922" s="253" t="str">
        <x:f>IF(V922="No","Maturing",IF(AND(U922="Yes",Y922&gt;0),"Yes","No"))</x:f>
        <x:v>No</x:v>
      </x:c>
      <x:c r="AB922" s="253" t="str">
        <x:f>IF(W922="No","Maturing",IF(AND(U922="Yes",Z922&gt;0),"Yes","No"))</x:f>
        <x:v>No</x:v>
      </x:c>
      <x:c r="AC922" s="265" t="n">
        <x:v>1199.64</x:v>
      </x:c>
      <x:c r="AD922" s="265" t="n">
        <x:v>-833.13</x:v>
      </x:c>
      <x:c r="AE922" s="271" t="str"/>
      <x:c r="AF922" s="274" t="str">
        <x:v>Not validated - no control/holdout</x:v>
      </x:c>
      <x:c r="AG922" s="277" t="str">
        <x:v>Recovered execution only; assignment date and unclaimed-offer denominator unavailable</x:v>
      </x:c>
    </x:row>
    <x:row r="923">
      <x:c r="A923" s="252" t="str">
        <x:v>34563822</x:v>
      </x:c>
      <x:c r="B923" s="253" t="str">
        <x:v>WS1</x:v>
      </x:c>
      <x:c r="C923" s="253" t="str">
        <x:v>MB8</x:v>
      </x:c>
      <x:c r="D923" s="262" t="n">
        <x:v>46184.914826388886</x:v>
      </x:c>
      <x:c r="E923" s="259" t="n">
        <x:v>46184.166666666664</x:v>
      </x:c>
      <x:c r="F923" s="253" t="str">
        <x:v>435109</x:v>
      </x:c>
      <x:c r="G923" s="253" t="str">
        <x:v>60126250813</x:v>
      </x:c>
      <x:c r="H923" s="253" t="str">
        <x:v>Yes</x:v>
      </x:c>
      <x:c r="I923" s="253" t="str">
        <x:v>zhen</x:v>
      </x:c>
      <x:c r="J923" s="253" t="str">
        <x:v>zhen</x:v>
      </x:c>
      <x:c r="K923" s="259" t="n">
        <x:v>45880.166666666664</x:v>
      </x:c>
      <x:c r="L923" s="268" t="str">
        <x:f>IFERROR(VLOOKUP(I923,'Handler-Team Map'!$A$7:$C$17,2,FALSE),"")</x:f>
      </x:c>
      <x:c r="M923" s="268" t="str">
        <x:f>IFERROR(VLOOKUP(I923,'Handler-Team Map'!$A$7:$C$17,3,FALSE),"")</x:f>
      </x:c>
      <x:c r="N923" s="274" t="str">
        <x:v>FT_VM_DEP700_GET300_2X</x:v>
      </x:c>
      <x:c r="O923" s="274" t="str">
        <x:v>VIP BONUS - Deposit 700 Get 300 - 2x TO</x:v>
      </x:c>
      <x:c r="P923" s="274" t="str">
        <x:v>DepositBonus</x:v>
      </x:c>
      <x:c r="Q923" s="274" t="str">
        <x:v>Approved</x:v>
      </x:c>
      <x:c r="R923" s="265" t="n">
        <x:v>300</x:v>
      </x:c>
      <x:c r="S923" s="253" t="str">
        <x:v>Yes</x:v>
      </x:c>
      <x:c r="T923" s="265" t="n">
        <x:v>700</x:v>
      </x:c>
      <x:c r="U923" s="253" t="str">
        <x:f>IF(AND(S923="Yes",T923=0),"Yes","No")</x:f>
        <x:v>No</x:v>
      </x:c>
      <x:c r="V923" s="253" t="str">
        <x:v>Yes</x:v>
      </x:c>
      <x:c r="W923" s="253" t="str">
        <x:v>Yes</x:v>
      </x:c>
      <x:c r="X923" s="259" t="n">
        <x:v>46184.166666666664</x:v>
      </x:c>
      <x:c r="Y923" s="265" t="n">
        <x:v>2900</x:v>
      </x:c>
      <x:c r="Z923" s="265" t="n">
        <x:v>4300</x:v>
      </x:c>
      <x:c r="AA923" s="253" t="str">
        <x:f>IF(V923="No","Maturing",IF(AND(U923="Yes",Y923&gt;0),"Yes","No"))</x:f>
        <x:v>No</x:v>
      </x:c>
      <x:c r="AB923" s="253" t="str">
        <x:f>IF(W923="No","Maturing",IF(AND(U923="Yes",Z923&gt;0),"Yes","No"))</x:f>
        <x:v>No</x:v>
      </x:c>
      <x:c r="AC923" s="265" t="n">
        <x:v>-298.35</x:v>
      </x:c>
      <x:c r="AD923" s="265" t="n">
        <x:v>-1225.43</x:v>
      </x:c>
      <x:c r="AE923" s="271" t="str"/>
      <x:c r="AF923" s="274" t="str">
        <x:v>Not validated - no control/holdout</x:v>
      </x:c>
      <x:c r="AG923" s="277" t="str">
        <x:v>Recovered execution only; assignment date and unclaimed-offer denominator unavailable</x:v>
      </x:c>
    </x:row>
    <x:row r="924">
      <x:c r="A924" s="252" t="str">
        <x:v>34567856</x:v>
      </x:c>
      <x:c r="B924" s="253" t="str">
        <x:v>WS1</x:v>
      </x:c>
      <x:c r="C924" s="253" t="str">
        <x:v>MB8</x:v>
      </x:c>
      <x:c r="D924" s="262" t="n">
        <x:v>46185.17822916667</x:v>
      </x:c>
      <x:c r="E924" s="259" t="n">
        <x:v>46185.166666666664</x:v>
      </x:c>
      <x:c r="F924" s="253" t="str">
        <x:v>685809</x:v>
      </x:c>
      <x:c r="G924" s="253" t="str">
        <x:v>Naz85</x:v>
      </x:c>
      <x:c r="H924" s="253" t="str">
        <x:v>Yes</x:v>
      </x:c>
      <x:c r="I924" s="253" t="str">
        <x:v>Elda</x:v>
      </x:c>
      <x:c r="J924" s="253" t="str">
        <x:v>Elda</x:v>
      </x:c>
      <x:c r="K924" s="259" t="n">
        <x:v>45790.166666666664</x:v>
      </x:c>
      <x:c r="L924" s="268" t="str">
        <x:f>IFERROR(VLOOKUP(I924,'Handler-Team Map'!$A$7:$C$17,2,FALSE),"")</x:f>
      </x:c>
      <x:c r="M924" s="268" t="str">
        <x:f>IFERROR(VLOOKUP(I924,'Handler-Team Map'!$A$7:$C$17,3,FALSE),"")</x:f>
      </x:c>
      <x:c r="N924" s="274" t="str">
        <x:v>FT_VM_DEP700_GET300_2X</x:v>
      </x:c>
      <x:c r="O924" s="274" t="str">
        <x:v>VIP BONUS - Deposit 700 Get 300 - 2x TO</x:v>
      </x:c>
      <x:c r="P924" s="274" t="str">
        <x:v>DepositBonus</x:v>
      </x:c>
      <x:c r="Q924" s="274" t="str">
        <x:v>Approved</x:v>
      </x:c>
      <x:c r="R924" s="265" t="n">
        <x:v>300</x:v>
      </x:c>
      <x:c r="S924" s="253" t="str">
        <x:v>Yes</x:v>
      </x:c>
      <x:c r="T924" s="265" t="n">
        <x:v>2700</x:v>
      </x:c>
      <x:c r="U924" s="253" t="str">
        <x:f>IF(AND(S924="Yes",T924=0),"Yes","No")</x:f>
        <x:v>No</x:v>
      </x:c>
      <x:c r="V924" s="253" t="str">
        <x:v>Yes</x:v>
      </x:c>
      <x:c r="W924" s="253" t="str">
        <x:v>Yes</x:v>
      </x:c>
      <x:c r="X924" s="259" t="n">
        <x:v>46185.166666666664</x:v>
      </x:c>
      <x:c r="Y924" s="265" t="n">
        <x:v>7700</x:v>
      </x:c>
      <x:c r="Z924" s="265" t="n">
        <x:v>7700</x:v>
      </x:c>
      <x:c r="AA924" s="253" t="str">
        <x:f>IF(V924="No","Maturing",IF(AND(U924="Yes",Y924&gt;0),"Yes","No"))</x:f>
        <x:v>No</x:v>
      </x:c>
      <x:c r="AB924" s="253" t="str">
        <x:f>IF(W924="No","Maturing",IF(AND(U924="Yes",Z924&gt;0),"Yes","No"))</x:f>
        <x:v>No</x:v>
      </x:c>
      <x:c r="AC924" s="265" t="n">
        <x:v>-16500.19</x:v>
      </x:c>
      <x:c r="AD924" s="265" t="n">
        <x:v>-16615.4</x:v>
      </x:c>
      <x:c r="AE924" s="271" t="str"/>
      <x:c r="AF924" s="274" t="str">
        <x:v>Not validated - no control/holdout</x:v>
      </x:c>
      <x:c r="AG924" s="277" t="str">
        <x:v>Recovered execution only; assignment date and unclaimed-offer denominator unavailable</x:v>
      </x:c>
    </x:row>
    <x:row r="925">
      <x:c r="A925" s="252" t="str">
        <x:v>34569208</x:v>
      </x:c>
      <x:c r="B925" s="253" t="str">
        <x:v>WS1</x:v>
      </x:c>
      <x:c r="C925" s="253" t="str">
        <x:v>MB8</x:v>
      </x:c>
      <x:c r="D925" s="262" t="n">
        <x:v>46185.393599537034</x:v>
      </x:c>
      <x:c r="E925" s="259" t="n">
        <x:v>46185.166666666664</x:v>
      </x:c>
      <x:c r="F925" s="253" t="str">
        <x:v>91111</x:v>
      </x:c>
      <x:c r="G925" s="253" t="str">
        <x:v>wan6427</x:v>
      </x:c>
      <x:c r="H925" s="253" t="str">
        <x:v>Yes</x:v>
      </x:c>
      <x:c r="I925" s="253" t="str">
        <x:v>Serene</x:v>
      </x:c>
      <x:c r="J925" s="253" t="str">
        <x:v>Serene</x:v>
      </x:c>
      <x:c r="K925" s="259" t="n">
        <x:v>45859.166666666664</x:v>
      </x:c>
      <x:c r="L925" s="268" t="str">
        <x:f>IFERROR(VLOOKUP(I925,'Handler-Team Map'!$A$7:$C$17,2,FALSE),"")</x:f>
      </x:c>
      <x:c r="M925" s="268" t="str">
        <x:f>IFERROR(VLOOKUP(I925,'Handler-Team Map'!$A$7:$C$17,3,FALSE),"")</x:f>
      </x:c>
      <x:c r="N925" s="274" t="str">
        <x:v>FT_VM_DEP300_GET100_5X</x:v>
      </x:c>
      <x:c r="O925" s="274" t="str">
        <x:v>VIP BONUS - Deposit 300 Get 100 - 5x TO</x:v>
      </x:c>
      <x:c r="P925" s="274" t="str">
        <x:v>DepositBonus</x:v>
      </x:c>
      <x:c r="Q925" s="274" t="str">
        <x:v>Approved</x:v>
      </x:c>
      <x:c r="R925" s="265" t="n">
        <x:v>100</x:v>
      </x:c>
      <x:c r="S925" s="253" t="str">
        <x:v>Yes</x:v>
      </x:c>
      <x:c r="T925" s="265" t="n">
        <x:v>68362</x:v>
      </x:c>
      <x:c r="U925" s="253" t="str">
        <x:f>IF(AND(S925="Yes",T925=0),"Yes","No")</x:f>
        <x:v>No</x:v>
      </x:c>
      <x:c r="V925" s="253" t="str">
        <x:v>Yes</x:v>
      </x:c>
      <x:c r="W925" s="253" t="str">
        <x:v>Yes</x:v>
      </x:c>
      <x:c r="X925" s="259" t="n">
        <x:v>46185.166666666664</x:v>
      </x:c>
      <x:c r="Y925" s="265" t="n">
        <x:v>7600</x:v>
      </x:c>
      <x:c r="Z925" s="265" t="n">
        <x:v>38834</x:v>
      </x:c>
      <x:c r="AA925" s="253" t="str">
        <x:f>IF(V925="No","Maturing",IF(AND(U925="Yes",Y925&gt;0),"Yes","No"))</x:f>
        <x:v>No</x:v>
      </x:c>
      <x:c r="AB925" s="253" t="str">
        <x:f>IF(W925="No","Maturing",IF(AND(U925="Yes",Z925&gt;0),"Yes","No"))</x:f>
        <x:v>No</x:v>
      </x:c>
      <x:c r="AC925" s="265" t="n">
        <x:v>-1295.57</x:v>
      </x:c>
      <x:c r="AD925" s="265" t="n">
        <x:v>12968.58</x:v>
      </x:c>
      <x:c r="AE925" s="271" t="str"/>
      <x:c r="AF925" s="274" t="str">
        <x:v>Not validated - no control/holdout</x:v>
      </x:c>
      <x:c r="AG925" s="277" t="str">
        <x:v>Recovered execution only; assignment date and unclaimed-offer denominator unavailable</x:v>
      </x:c>
    </x:row>
    <x:row r="926">
      <x:c r="A926" s="252" t="str">
        <x:v>34570232</x:v>
      </x:c>
      <x:c r="B926" s="253" t="str">
        <x:v>WS1</x:v>
      </x:c>
      <x:c r="C926" s="253" t="str">
        <x:v>MB8</x:v>
      </x:c>
      <x:c r="D926" s="262" t="n">
        <x:v>46185.51184027778</x:v>
      </x:c>
      <x:c r="E926" s="259" t="n">
        <x:v>46185.166666666664</x:v>
      </x:c>
      <x:c r="F926" s="253" t="str">
        <x:v>444646</x:v>
      </x:c>
      <x:c r="G926" s="253" t="str">
        <x:v>JT0128381168</x:v>
      </x:c>
      <x:c r="H926" s="253" t="str">
        <x:v>Yes</x:v>
      </x:c>
      <x:c r="I926" s="253" t="str">
        <x:v>zhen</x:v>
      </x:c>
      <x:c r="J926" s="253" t="str">
        <x:v>zhen</x:v>
      </x:c>
      <x:c r="K926" s="259" t="n">
        <x:v>45985.166666666664</x:v>
      </x:c>
      <x:c r="L926" s="268" t="str">
        <x:f>IFERROR(VLOOKUP(I926,'Handler-Team Map'!$A$7:$C$17,2,FALSE),"")</x:f>
      </x:c>
      <x:c r="M926" s="268" t="str">
        <x:f>IFERROR(VLOOKUP(I926,'Handler-Team Map'!$A$7:$C$17,3,FALSE),"")</x:f>
      </x:c>
      <x:c r="N926" s="274" t="str">
        <x:v>FT_VM_DEP1000_GET900_1X</x:v>
      </x:c>
      <x:c r="O926" s="274" t="str">
        <x:v>VIP BONUS - Deposit 1000 Get 900 - 1x TO</x:v>
      </x:c>
      <x:c r="P926" s="274" t="str">
        <x:v>DepositBonus</x:v>
      </x:c>
      <x:c r="Q926" s="274" t="str">
        <x:v>Approved</x:v>
      </x:c>
      <x:c r="R926" s="265" t="n">
        <x:v>900</x:v>
      </x:c>
      <x:c r="S926" s="253" t="str">
        <x:v>Yes</x:v>
      </x:c>
      <x:c r="T926" s="265" t="n">
        <x:v>3150</x:v>
      </x:c>
      <x:c r="U926" s="253" t="str">
        <x:f>IF(AND(S926="Yes",T926=0),"Yes","No")</x:f>
        <x:v>No</x:v>
      </x:c>
      <x:c r="V926" s="253" t="str">
        <x:v>Yes</x:v>
      </x:c>
      <x:c r="W926" s="253" t="str">
        <x:v>Yes</x:v>
      </x:c>
      <x:c r="X926" s="259" t="n">
        <x:v>46185.166666666664</x:v>
      </x:c>
      <x:c r="Y926" s="265" t="n">
        <x:v>4000</x:v>
      </x:c>
      <x:c r="Z926" s="265" t="n">
        <x:v>6300</x:v>
      </x:c>
      <x:c r="AA926" s="253" t="str">
        <x:f>IF(V926="No","Maturing",IF(AND(U926="Yes",Y926&gt;0),"Yes","No"))</x:f>
        <x:v>No</x:v>
      </x:c>
      <x:c r="AB926" s="253" t="str">
        <x:f>IF(W926="No","Maturing",IF(AND(U926="Yes",Z926&gt;0),"Yes","No"))</x:f>
        <x:v>No</x:v>
      </x:c>
      <x:c r="AC926" s="265" t="n">
        <x:v>-1247.53</x:v>
      </x:c>
      <x:c r="AD926" s="265" t="n">
        <x:v>1301.55</x:v>
      </x:c>
      <x:c r="AE926" s="271" t="str"/>
      <x:c r="AF926" s="274" t="str">
        <x:v>Not validated - no control/holdout</x:v>
      </x:c>
      <x:c r="AG926" s="277" t="str">
        <x:v>Recovered execution only; assignment date and unclaimed-offer denominator unavailable</x:v>
      </x:c>
    </x:row>
    <x:row r="927">
      <x:c r="A927" s="252" t="str">
        <x:v>34570770</x:v>
      </x:c>
      <x:c r="B927" s="253" t="str">
        <x:v>WS1</x:v>
      </x:c>
      <x:c r="C927" s="253" t="str">
        <x:v>MB8</x:v>
      </x:c>
      <x:c r="D927" s="262" t="n">
        <x:v>46185.561956018515</x:v>
      </x:c>
      <x:c r="E927" s="259" t="n">
        <x:v>46185.166666666664</x:v>
      </x:c>
      <x:c r="F927" s="253" t="str">
        <x:v>1089063</x:v>
      </x:c>
      <x:c r="G927" s="253" t="str">
        <x:v>salehudink</x:v>
      </x:c>
      <x:c r="H927" s="253" t="str">
        <x:v>Yes</x:v>
      </x:c>
      <x:c r="I927" s="253" t="str">
        <x:v>Serene</x:v>
      </x:c>
      <x:c r="J927" s="253" t="str">
        <x:v>Serene</x:v>
      </x:c>
      <x:c r="K927" s="259" t="n">
        <x:v>45859.166666666664</x:v>
      </x:c>
      <x:c r="L927" s="268" t="str">
        <x:f>IFERROR(VLOOKUP(I927,'Handler-Team Map'!$A$7:$C$17,2,FALSE),"")</x:f>
      </x:c>
      <x:c r="M927" s="268" t="str">
        <x:f>IFERROR(VLOOKUP(I927,'Handler-Team Map'!$A$7:$C$17,3,FALSE),"")</x:f>
      </x:c>
      <x:c r="N927" s="274" t="str">
        <x:v>FT_VM_DEP700_GET300_2X</x:v>
      </x:c>
      <x:c r="O927" s="274" t="str">
        <x:v>VIP BONUS - Deposit 700 Get 300 - 2x TO</x:v>
      </x:c>
      <x:c r="P927" s="274" t="str">
        <x:v>DepositBonus</x:v>
      </x:c>
      <x:c r="Q927" s="274" t="str">
        <x:v>Approved</x:v>
      </x:c>
      <x:c r="R927" s="265" t="n">
        <x:v>300</x:v>
      </x:c>
      <x:c r="S927" s="253" t="str">
        <x:v>Yes</x:v>
      </x:c>
      <x:c r="T927" s="265" t="n">
        <x:v>158850</x:v>
      </x:c>
      <x:c r="U927" s="253" t="str">
        <x:f>IF(AND(S927="Yes",T927=0),"Yes","No")</x:f>
        <x:v>No</x:v>
      </x:c>
      <x:c r="V927" s="253" t="str">
        <x:v>Yes</x:v>
      </x:c>
      <x:c r="W927" s="253" t="str">
        <x:v>Yes</x:v>
      </x:c>
      <x:c r="X927" s="259" t="n">
        <x:v>46185.166666666664</x:v>
      </x:c>
      <x:c r="Y927" s="265" t="n">
        <x:v>53800</x:v>
      </x:c>
      <x:c r="Z927" s="265" t="n">
        <x:v>121700</x:v>
      </x:c>
      <x:c r="AA927" s="253" t="str">
        <x:f>IF(V927="No","Maturing",IF(AND(U927="Yes",Y927&gt;0),"Yes","No"))</x:f>
        <x:v>No</x:v>
      </x:c>
      <x:c r="AB927" s="253" t="str">
        <x:f>IF(W927="No","Maturing",IF(AND(U927="Yes",Z927&gt;0),"Yes","No"))</x:f>
        <x:v>No</x:v>
      </x:c>
      <x:c r="AC927" s="265" t="n">
        <x:v>-59251.52</x:v>
      </x:c>
      <x:c r="AD927" s="265" t="n">
        <x:v>-48331.44</x:v>
      </x:c>
      <x:c r="AE927" s="271" t="str"/>
      <x:c r="AF927" s="274" t="str">
        <x:v>Not validated - no control/holdout</x:v>
      </x:c>
      <x:c r="AG927" s="277" t="str">
        <x:v>Recovered execution only; assignment date and unclaimed-offer denominator unavailable</x:v>
      </x:c>
    </x:row>
    <x:row r="928">
      <x:c r="A928" s="252" t="str">
        <x:v>34571790</x:v>
      </x:c>
      <x:c r="B928" s="253" t="str">
        <x:v>WS1</x:v>
      </x:c>
      <x:c r="C928" s="253" t="str">
        <x:v>MB8</x:v>
      </x:c>
      <x:c r="D928" s="262" t="n">
        <x:v>46185.647569444445</x:v>
      </x:c>
      <x:c r="E928" s="259" t="n">
        <x:v>46185.166666666664</x:v>
      </x:c>
      <x:c r="F928" s="253" t="str">
        <x:v>203767</x:v>
      </x:c>
      <x:c r="G928" s="253" t="str">
        <x:v>Surewin999</x:v>
      </x:c>
      <x:c r="H928" s="253" t="str">
        <x:v>Yes</x:v>
      </x:c>
      <x:c r="I928" s="253" t="str">
        <x:v>Tammy</x:v>
      </x:c>
      <x:c r="J928" s="253" t="str">
        <x:v>Tammy</x:v>
      </x:c>
      <x:c r="K928" s="259" t="n">
        <x:v>45951.166666666664</x:v>
      </x:c>
      <x:c r="L928" s="268" t="str">
        <x:f>IFERROR(VLOOKUP(I928,'Handler-Team Map'!$A$7:$C$17,2,FALSE),"")</x:f>
      </x:c>
      <x:c r="M928" s="268" t="str">
        <x:f>IFERROR(VLOOKUP(I928,'Handler-Team Map'!$A$7:$C$17,3,FALSE),"")</x:f>
      </x:c>
      <x:c r="N928" s="274" t="str">
        <x:v>FT_VM_DEP1000_GET500_5X</x:v>
      </x:c>
      <x:c r="O928" s="274" t="str">
        <x:v>VIP BONUS - Deposit 1000 Get 500 - 5x TO</x:v>
      </x:c>
      <x:c r="P928" s="274" t="str">
        <x:v>DepositBonus</x:v>
      </x:c>
      <x:c r="Q928" s="274" t="str">
        <x:v>Approved</x:v>
      </x:c>
      <x:c r="R928" s="265" t="n">
        <x:v>500</x:v>
      </x:c>
      <x:c r="S928" s="253" t="str">
        <x:v>Yes</x:v>
      </x:c>
      <x:c r="T928" s="265" t="n">
        <x:v>900</x:v>
      </x:c>
      <x:c r="U928" s="253" t="str">
        <x:f>IF(AND(S928="Yes",T928=0),"Yes","No")</x:f>
        <x:v>No</x:v>
      </x:c>
      <x:c r="V928" s="253" t="str">
        <x:v>Yes</x:v>
      </x:c>
      <x:c r="W928" s="253" t="str">
        <x:v>Yes</x:v>
      </x:c>
      <x:c r="X928" s="259" t="n">
        <x:v>46185.166666666664</x:v>
      </x:c>
      <x:c r="Y928" s="265" t="n">
        <x:v>1000</x:v>
      </x:c>
      <x:c r="Z928" s="265" t="n">
        <x:v>1600</x:v>
      </x:c>
      <x:c r="AA928" s="253" t="str">
        <x:f>IF(V928="No","Maturing",IF(AND(U928="Yes",Y928&gt;0),"Yes","No"))</x:f>
        <x:v>No</x:v>
      </x:c>
      <x:c r="AB928" s="253" t="str">
        <x:f>IF(W928="No","Maturing",IF(AND(U928="Yes",Z928&gt;0),"Yes","No"))</x:f>
        <x:v>No</x:v>
      </x:c>
      <x:c r="AC928" s="265" t="n">
        <x:v>-995.89</x:v>
      </x:c>
      <x:c r="AD928" s="265" t="n">
        <x:v>-9393.03</x:v>
      </x:c>
      <x:c r="AE928" s="271" t="str"/>
      <x:c r="AF928" s="274" t="str">
        <x:v>Not validated - no control/holdout</x:v>
      </x:c>
      <x:c r="AG928" s="277" t="str">
        <x:v>Recovered execution only; assignment date and unclaimed-offer denominator unavailable</x:v>
      </x:c>
    </x:row>
    <x:row r="929">
      <x:c r="A929" s="252" t="str">
        <x:v>34574227</x:v>
      </x:c>
      <x:c r="B929" s="253" t="str">
        <x:v>WS1</x:v>
      </x:c>
      <x:c r="C929" s="253" t="str">
        <x:v>MB8</x:v>
      </x:c>
      <x:c r="D929" s="262" t="n">
        <x:v>46185.837372685186</x:v>
      </x:c>
      <x:c r="E929" s="259" t="n">
        <x:v>46185.166666666664</x:v>
      </x:c>
      <x:c r="F929" s="253" t="str">
        <x:v>113180</x:v>
      </x:c>
      <x:c r="G929" s="253" t="str">
        <x:v>Hazel</x:v>
      </x:c>
      <x:c r="H929" s="253" t="str">
        <x:v>Yes</x:v>
      </x:c>
      <x:c r="I929" s="253" t="str">
        <x:v>Serene</x:v>
      </x:c>
      <x:c r="J929" s="253" t="str">
        <x:v>Serene</x:v>
      </x:c>
      <x:c r="K929" s="259" t="n">
        <x:v>45831.166666666664</x:v>
      </x:c>
      <x:c r="L929" s="268" t="str">
        <x:f>IFERROR(VLOOKUP(I929,'Handler-Team Map'!$A$7:$C$17,2,FALSE),"")</x:f>
      </x:c>
      <x:c r="M929" s="268" t="str">
        <x:f>IFERROR(VLOOKUP(I929,'Handler-Team Map'!$A$7:$C$17,3,FALSE),"")</x:f>
      </x:c>
      <x:c r="N929" s="274" t="str">
        <x:v>FT_VM_DEP1000_GET500_5X</x:v>
      </x:c>
      <x:c r="O929" s="274" t="str">
        <x:v>VIP BONUS - Deposit 1000 Get 500 - 5x TO</x:v>
      </x:c>
      <x:c r="P929" s="274" t="str">
        <x:v>DepositBonus</x:v>
      </x:c>
      <x:c r="Q929" s="274" t="str">
        <x:v>Approved</x:v>
      </x:c>
      <x:c r="R929" s="265" t="n">
        <x:v>500</x:v>
      </x:c>
      <x:c r="S929" s="253" t="str">
        <x:v>Yes</x:v>
      </x:c>
      <x:c r="T929" s="265" t="n">
        <x:v>7085</x:v>
      </x:c>
      <x:c r="U929" s="253" t="str">
        <x:f>IF(AND(S929="Yes",T929=0),"Yes","No")</x:f>
        <x:v>No</x:v>
      </x:c>
      <x:c r="V929" s="253" t="str">
        <x:v>Yes</x:v>
      </x:c>
      <x:c r="W929" s="253" t="str">
        <x:v>Yes</x:v>
      </x:c>
      <x:c r="X929" s="259" t="n">
        <x:v>46185.166666666664</x:v>
      </x:c>
      <x:c r="Y929" s="265" t="n">
        <x:v>2000</x:v>
      </x:c>
      <x:c r="Z929" s="265" t="n">
        <x:v>2030</x:v>
      </x:c>
      <x:c r="AA929" s="253" t="str">
        <x:f>IF(V929="No","Maturing",IF(AND(U929="Yes",Y929&gt;0),"Yes","No"))</x:f>
        <x:v>No</x:v>
      </x:c>
      <x:c r="AB929" s="253" t="str">
        <x:f>IF(W929="No","Maturing",IF(AND(U929="Yes",Z929&gt;0),"Yes","No"))</x:f>
        <x:v>No</x:v>
      </x:c>
      <x:c r="AC929" s="265" t="n">
        <x:v>-530.26</x:v>
      </x:c>
      <x:c r="AD929" s="265" t="n">
        <x:v>177.63</x:v>
      </x:c>
      <x:c r="AE929" s="271" t="str"/>
      <x:c r="AF929" s="274" t="str">
        <x:v>Not validated - no control/holdout</x:v>
      </x:c>
      <x:c r="AG929" s="277" t="str">
        <x:v>Recovered execution only; assignment date and unclaimed-offer denominator unavailable</x:v>
      </x:c>
    </x:row>
    <x:row r="930">
      <x:c r="A930" s="252" t="str">
        <x:v>34576185</x:v>
      </x:c>
      <x:c r="B930" s="253" t="str">
        <x:v>WS1</x:v>
      </x:c>
      <x:c r="C930" s="253" t="str">
        <x:v>MB8</x:v>
      </x:c>
      <x:c r="D930" s="262" t="n">
        <x:v>46185.963217592594</x:v>
      </x:c>
      <x:c r="E930" s="259" t="n">
        <x:v>46185.166666666664</x:v>
      </x:c>
      <x:c r="F930" s="253" t="str">
        <x:v>831354</x:v>
      </x:c>
      <x:c r="G930" s="253" t="str">
        <x:v>jattnjuliet</x:v>
      </x:c>
      <x:c r="H930" s="253" t="str">
        <x:v>Yes</x:v>
      </x:c>
      <x:c r="I930" s="253" t="str"/>
      <x:c r="J930" s="253" t="str"/>
      <x:c r="K930" s="259"/>
      <x:c r="L930" s="268" t="str">
        <x:f>IFERROR(VLOOKUP(I930,'Handler-Team Map'!$A$7:$C$17,2,FALSE),"")</x:f>
      </x:c>
      <x:c r="M930" s="268" t="str">
        <x:f>IFERROR(VLOOKUP(I930,'Handler-Team Map'!$A$7:$C$17,3,FALSE),"")</x:f>
      </x:c>
      <x:c r="N930" s="274" t="str">
        <x:v>FT_VM_DEP1000_GET500_1X</x:v>
      </x:c>
      <x:c r="O930" s="274" t="str">
        <x:v>VIP BONUS - Deposit 1000 Get 500 - 1x TO</x:v>
      </x:c>
      <x:c r="P930" s="274" t="str">
        <x:v>DepositBonus</x:v>
      </x:c>
      <x:c r="Q930" s="274" t="str">
        <x:v>Approved</x:v>
      </x:c>
      <x:c r="R930" s="265" t="n">
        <x:v>500</x:v>
      </x:c>
      <x:c r="S930" s="253" t="str">
        <x:v>Yes</x:v>
      </x:c>
      <x:c r="T930" s="265" t="n">
        <x:v>0</x:v>
      </x:c>
      <x:c r="U930" s="253" t="str">
        <x:f>IF(AND(S930="Yes",T930=0),"Yes","No")</x:f>
        <x:v>Yes</x:v>
      </x:c>
      <x:c r="V930" s="253" t="str">
        <x:v>Yes</x:v>
      </x:c>
      <x:c r="W930" s="253" t="str">
        <x:v>Yes</x:v>
      </x:c>
      <x:c r="X930" s="259" t="n">
        <x:v>46185.166666666664</x:v>
      </x:c>
      <x:c r="Y930" s="265" t="n">
        <x:v>1400</x:v>
      </x:c>
      <x:c r="Z930" s="265" t="n">
        <x:v>1400</x:v>
      </x:c>
      <x:c r="AA930" s="253" t="str">
        <x:f>IF(V930="No","Maturing",IF(AND(U930="Yes",Y930&gt;0),"Yes","No"))</x:f>
        <x:v>Yes</x:v>
      </x:c>
      <x:c r="AB930" s="253" t="str">
        <x:f>IF(W930="No","Maturing",IF(AND(U930="Yes",Z930&gt;0),"Yes","No"))</x:f>
        <x:v>Yes</x:v>
      </x:c>
      <x:c r="AC930" s="265" t="n">
        <x:v>1387.09</x:v>
      </x:c>
      <x:c r="AD930" s="265" t="n">
        <x:v>1396.04</x:v>
      </x:c>
      <x:c r="AE930" s="271" t="str"/>
      <x:c r="AF930" s="274" t="str">
        <x:v>Not validated - no control/holdout</x:v>
      </x:c>
      <x:c r="AG930" s="277" t="str">
        <x:v>Recovered execution only; assignment date and unclaimed-offer denominator unavailable</x:v>
      </x:c>
    </x:row>
    <x:row r="931">
      <x:c r="A931" s="252" t="str">
        <x:v>34581097</x:v>
      </x:c>
      <x:c r="B931" s="253" t="str">
        <x:v>WS1</x:v>
      </x:c>
      <x:c r="C931" s="253" t="str">
        <x:v>MB8</x:v>
      </x:c>
      <x:c r="D931" s="262" t="n">
        <x:v>46186.43243055556</x:v>
      </x:c>
      <x:c r="E931" s="259" t="n">
        <x:v>46186.166666666664</x:v>
      </x:c>
      <x:c r="F931" s="253" t="str">
        <x:v>253300</x:v>
      </x:c>
      <x:c r="G931" s="253" t="str">
        <x:v>anditheman88</x:v>
      </x:c>
      <x:c r="H931" s="253" t="str">
        <x:v>Yes</x:v>
      </x:c>
      <x:c r="I931" s="253" t="str"/>
      <x:c r="J931" s="253" t="str"/>
      <x:c r="K931" s="259"/>
      <x:c r="L931" s="268" t="str">
        <x:f>IFERROR(VLOOKUP(I931,'Handler-Team Map'!$A$7:$C$17,2,FALSE),"")</x:f>
      </x:c>
      <x:c r="M931" s="268" t="str">
        <x:f>IFERROR(VLOOKUP(I931,'Handler-Team Map'!$A$7:$C$17,3,FALSE),"")</x:f>
      </x:c>
      <x:c r="N931" s="274" t="str">
        <x:v>FT_VM_DEP800_GET400_1X</x:v>
      </x:c>
      <x:c r="O931" s="274" t="str">
        <x:v>VIP BONUS - Deposit 800 Get 400 - 1x TO</x:v>
      </x:c>
      <x:c r="P931" s="274" t="str">
        <x:v>DepositBonus</x:v>
      </x:c>
      <x:c r="Q931" s="274" t="str">
        <x:v>Approved</x:v>
      </x:c>
      <x:c r="R931" s="265" t="n">
        <x:v>400</x:v>
      </x:c>
      <x:c r="S931" s="253" t="str">
        <x:v>Yes</x:v>
      </x:c>
      <x:c r="T931" s="265" t="n">
        <x:v>300</x:v>
      </x:c>
      <x:c r="U931" s="253" t="str">
        <x:f>IF(AND(S931="Yes",T931=0),"Yes","No")</x:f>
        <x:v>No</x:v>
      </x:c>
      <x:c r="V931" s="253" t="str">
        <x:v>Yes</x:v>
      </x:c>
      <x:c r="W931" s="253" t="str">
        <x:v>Yes</x:v>
      </x:c>
      <x:c r="X931" s="259" t="n">
        <x:v>46186.166666666664</x:v>
      </x:c>
      <x:c r="Y931" s="265" t="n">
        <x:v>1800</x:v>
      </x:c>
      <x:c r="Z931" s="265" t="n">
        <x:v>1800</x:v>
      </x:c>
      <x:c r="AA931" s="253" t="str">
        <x:f>IF(V931="No","Maturing",IF(AND(U931="Yes",Y931&gt;0),"Yes","No"))</x:f>
        <x:v>No</x:v>
      </x:c>
      <x:c r="AB931" s="253" t="str">
        <x:f>IF(W931="No","Maturing",IF(AND(U931="Yes",Z931&gt;0),"Yes","No"))</x:f>
        <x:v>No</x:v>
      </x:c>
      <x:c r="AC931" s="265" t="n">
        <x:v>2671.08</x:v>
      </x:c>
      <x:c r="AD931" s="265" t="n">
        <x:v>2671.08</x:v>
      </x:c>
      <x:c r="AE931" s="271" t="str"/>
      <x:c r="AF931" s="274" t="str">
        <x:v>Not validated - no control/holdout</x:v>
      </x:c>
      <x:c r="AG931" s="277" t="str">
        <x:v>Recovered execution only; assignment date and unclaimed-offer denominator unavailable</x:v>
      </x:c>
    </x:row>
    <x:row r="932">
      <x:c r="A932" s="252" t="str">
        <x:v>34581646</x:v>
      </x:c>
      <x:c r="B932" s="253" t="str">
        <x:v>WS1</x:v>
      </x:c>
      <x:c r="C932" s="253" t="str">
        <x:v>MB8</x:v>
      </x:c>
      <x:c r="D932" s="262" t="n">
        <x:v>46186.49199074074</x:v>
      </x:c>
      <x:c r="E932" s="259" t="n">
        <x:v>46186.166666666664</x:v>
      </x:c>
      <x:c r="F932" s="253" t="str">
        <x:v>598308</x:v>
      </x:c>
      <x:c r="G932" s="253" t="str">
        <x:v>parampun01</x:v>
      </x:c>
      <x:c r="H932" s="253" t="str">
        <x:v>Yes</x:v>
      </x:c>
      <x:c r="I932" s="253" t="str"/>
      <x:c r="J932" s="253" t="str"/>
      <x:c r="K932" s="259"/>
      <x:c r="L932" s="268" t="str">
        <x:f>IFERROR(VLOOKUP(I932,'Handler-Team Map'!$A$7:$C$17,2,FALSE),"")</x:f>
      </x:c>
      <x:c r="M932" s="268" t="str">
        <x:f>IFERROR(VLOOKUP(I932,'Handler-Team Map'!$A$7:$C$17,3,FALSE),"")</x:f>
      </x:c>
      <x:c r="N932" s="274" t="str">
        <x:v>FT_VM_DEP800_GET400_1X</x:v>
      </x:c>
      <x:c r="O932" s="274" t="str">
        <x:v>VIP BONUS - Deposit 800 Get 400 - 1x TO</x:v>
      </x:c>
      <x:c r="P932" s="274" t="str">
        <x:v>DepositBonus</x:v>
      </x:c>
      <x:c r="Q932" s="274" t="str">
        <x:v>Approved</x:v>
      </x:c>
      <x:c r="R932" s="265" t="n">
        <x:v>400</x:v>
      </x:c>
      <x:c r="S932" s="253" t="str">
        <x:v>Yes</x:v>
      </x:c>
      <x:c r="T932" s="265" t="n">
        <x:v>30</x:v>
      </x:c>
      <x:c r="U932" s="253" t="str">
        <x:f>IF(AND(S932="Yes",T932=0),"Yes","No")</x:f>
        <x:v>No</x:v>
      </x:c>
      <x:c r="V932" s="253" t="str">
        <x:v>Yes</x:v>
      </x:c>
      <x:c r="W932" s="253" t="str">
        <x:v>Yes</x:v>
      </x:c>
      <x:c r="X932" s="259" t="n">
        <x:v>46186.166666666664</x:v>
      </x:c>
      <x:c r="Y932" s="265" t="n">
        <x:v>900</x:v>
      </x:c>
      <x:c r="Z932" s="265" t="n">
        <x:v>900</x:v>
      </x:c>
      <x:c r="AA932" s="253" t="str">
        <x:f>IF(V932="No","Maturing",IF(AND(U932="Yes",Y932&gt;0),"Yes","No"))</x:f>
        <x:v>No</x:v>
      </x:c>
      <x:c r="AB932" s="253" t="str">
        <x:f>IF(W932="No","Maturing",IF(AND(U932="Yes",Z932&gt;0),"Yes","No"))</x:f>
        <x:v>No</x:v>
      </x:c>
      <x:c r="AC932" s="265" t="n">
        <x:v>44.7</x:v>
      </x:c>
      <x:c r="AD932" s="265" t="n">
        <x:v>50.01</x:v>
      </x:c>
      <x:c r="AE932" s="271" t="str"/>
      <x:c r="AF932" s="274" t="str">
        <x:v>Not validated - no control/holdout</x:v>
      </x:c>
      <x:c r="AG932" s="277" t="str">
        <x:v>Recovered execution only; assignment date and unclaimed-offer denominator unavailable</x:v>
      </x:c>
    </x:row>
    <x:row r="933">
      <x:c r="A933" s="252" t="str">
        <x:v>34586285</x:v>
      </x:c>
      <x:c r="B933" s="253" t="str">
        <x:v>WS1</x:v>
      </x:c>
      <x:c r="C933" s="253" t="str">
        <x:v>MB8</x:v>
      </x:c>
      <x:c r="D933" s="262" t="n">
        <x:v>46186.88731481481</x:v>
      </x:c>
      <x:c r="E933" s="259" t="n">
        <x:v>46186.166666666664</x:v>
      </x:c>
      <x:c r="F933" s="253" t="str">
        <x:v>120505</x:v>
      </x:c>
      <x:c r="G933" s="253" t="str">
        <x:v>Johnyeeong</x:v>
      </x:c>
      <x:c r="H933" s="253" t="str">
        <x:v>Yes</x:v>
      </x:c>
      <x:c r="I933" s="253" t="str"/>
      <x:c r="J933" s="253" t="str"/>
      <x:c r="K933" s="259"/>
      <x:c r="L933" s="268" t="str">
        <x:f>IFERROR(VLOOKUP(I933,'Handler-Team Map'!$A$7:$C$17,2,FALSE),"")</x:f>
      </x:c>
      <x:c r="M933" s="268" t="str">
        <x:f>IFERROR(VLOOKUP(I933,'Handler-Team Map'!$A$7:$C$17,3,FALSE),"")</x:f>
      </x:c>
      <x:c r="N933" s="274" t="str">
        <x:v>FT_VM_DEP700_GET300_2X</x:v>
      </x:c>
      <x:c r="O933" s="274" t="str">
        <x:v>VIP BONUS - Deposit 700 Get 300 - 2x TO</x:v>
      </x:c>
      <x:c r="P933" s="274" t="str">
        <x:v>DepositBonus</x:v>
      </x:c>
      <x:c r="Q933" s="274" t="str">
        <x:v>Approved</x:v>
      </x:c>
      <x:c r="R933" s="265" t="n">
        <x:v>300</x:v>
      </x:c>
      <x:c r="S933" s="253" t="str">
        <x:v>Yes</x:v>
      </x:c>
      <x:c r="T933" s="265" t="n">
        <x:v>0</x:v>
      </x:c>
      <x:c r="U933" s="253" t="str">
        <x:f>IF(AND(S933="Yes",T933=0),"Yes","No")</x:f>
        <x:v>Yes</x:v>
      </x:c>
      <x:c r="V933" s="253" t="str">
        <x:v>Yes</x:v>
      </x:c>
      <x:c r="W933" s="253" t="str">
        <x:v>Yes</x:v>
      </x:c>
      <x:c r="X933" s="259" t="n">
        <x:v>46186.166666666664</x:v>
      </x:c>
      <x:c r="Y933" s="265" t="n">
        <x:v>700</x:v>
      </x:c>
      <x:c r="Z933" s="265" t="n">
        <x:v>700</x:v>
      </x:c>
      <x:c r="AA933" s="253" t="str">
        <x:f>IF(V933="No","Maturing",IF(AND(U933="Yes",Y933&gt;0),"Yes","No"))</x:f>
        <x:v>Yes</x:v>
      </x:c>
      <x:c r="AB933" s="253" t="str">
        <x:f>IF(W933="No","Maturing",IF(AND(U933="Yes",Z933&gt;0),"Yes","No"))</x:f>
        <x:v>Yes</x:v>
      </x:c>
      <x:c r="AC933" s="265" t="n">
        <x:v>688.38</x:v>
      </x:c>
      <x:c r="AD933" s="265" t="n">
        <x:v>688.38</x:v>
      </x:c>
      <x:c r="AE933" s="271" t="str"/>
      <x:c r="AF933" s="274" t="str">
        <x:v>Not validated - no control/holdout</x:v>
      </x:c>
      <x:c r="AG933" s="277" t="str">
        <x:v>Recovered execution only; assignment date and unclaimed-offer denominator unavailable</x:v>
      </x:c>
    </x:row>
    <x:row r="934">
      <x:c r="A934" s="252" t="str">
        <x:v>34587981</x:v>
      </x:c>
      <x:c r="B934" s="253" t="str">
        <x:v>WS1</x:v>
      </x:c>
      <x:c r="C934" s="253" t="str">
        <x:v>MB8</x:v>
      </x:c>
      <x:c r="D934" s="262" t="n">
        <x:v>46186.99327546296</x:v>
      </x:c>
      <x:c r="E934" s="259" t="n">
        <x:v>46186.166666666664</x:v>
      </x:c>
      <x:c r="F934" s="253" t="str">
        <x:v>706405</x:v>
      </x:c>
      <x:c r="G934" s="253" t="str">
        <x:v>Mangal123</x:v>
      </x:c>
      <x:c r="H934" s="253" t="str">
        <x:v>Yes</x:v>
      </x:c>
      <x:c r="I934" s="253" t="str"/>
      <x:c r="J934" s="253" t="str"/>
      <x:c r="K934" s="259"/>
      <x:c r="L934" s="268" t="str">
        <x:f>IFERROR(VLOOKUP(I934,'Handler-Team Map'!$A$7:$C$17,2,FALSE),"")</x:f>
      </x:c>
      <x:c r="M934" s="268" t="str">
        <x:f>IFERROR(VLOOKUP(I934,'Handler-Team Map'!$A$7:$C$17,3,FALSE),"")</x:f>
      </x:c>
      <x:c r="N934" s="274" t="str">
        <x:v>FT_VM_DEP700_GET300_2X</x:v>
      </x:c>
      <x:c r="O934" s="274" t="str">
        <x:v>VIP BONUS - Deposit 700 Get 300 - 2x TO</x:v>
      </x:c>
      <x:c r="P934" s="274" t="str">
        <x:v>DepositBonus</x:v>
      </x:c>
      <x:c r="Q934" s="274" t="str">
        <x:v>Approved</x:v>
      </x:c>
      <x:c r="R934" s="265" t="n">
        <x:v>300</x:v>
      </x:c>
      <x:c r="S934" s="253" t="str">
        <x:v>Yes</x:v>
      </x:c>
      <x:c r="T934" s="265" t="n">
        <x:v>900</x:v>
      </x:c>
      <x:c r="U934" s="253" t="str">
        <x:f>IF(AND(S934="Yes",T934=0),"Yes","No")</x:f>
        <x:v>No</x:v>
      </x:c>
      <x:c r="V934" s="253" t="str">
        <x:v>Yes</x:v>
      </x:c>
      <x:c r="W934" s="253" t="str">
        <x:v>Yes</x:v>
      </x:c>
      <x:c r="X934" s="259" t="n">
        <x:v>46186.166666666664</x:v>
      </x:c>
      <x:c r="Y934" s="265" t="n">
        <x:v>700</x:v>
      </x:c>
      <x:c r="Z934" s="265" t="n">
        <x:v>1800</x:v>
      </x:c>
      <x:c r="AA934" s="253" t="str">
        <x:f>IF(V934="No","Maturing",IF(AND(U934="Yes",Y934&gt;0),"Yes","No"))</x:f>
        <x:v>No</x:v>
      </x:c>
      <x:c r="AB934" s="253" t="str">
        <x:f>IF(W934="No","Maturing",IF(AND(U934="Yes",Z934&gt;0),"Yes","No"))</x:f>
        <x:v>No</x:v>
      </x:c>
      <x:c r="AC934" s="265" t="n">
        <x:v>-400.74</x:v>
      </x:c>
      <x:c r="AD934" s="265" t="n">
        <x:v>-1653.76</x:v>
      </x:c>
      <x:c r="AE934" s="271" t="str"/>
      <x:c r="AF934" s="274" t="str">
        <x:v>Not validated - no control/holdout</x:v>
      </x:c>
      <x:c r="AG934" s="277" t="str">
        <x:v>Recovered execution only; assignment date and unclaimed-offer denominator unavailable</x:v>
      </x:c>
    </x:row>
    <x:row r="935">
      <x:c r="A935" s="252" t="str">
        <x:v>34589310</x:v>
      </x:c>
      <x:c r="B935" s="253" t="str">
        <x:v>WS1</x:v>
      </x:c>
      <x:c r="C935" s="253" t="str">
        <x:v>MB8</x:v>
      </x:c>
      <x:c r="D935" s="262" t="n">
        <x:v>46187.05322916667</x:v>
      </x:c>
      <x:c r="E935" s="259" t="n">
        <x:v>46187.166666666664</x:v>
      </x:c>
      <x:c r="F935" s="253" t="str">
        <x:v>612280</x:v>
      </x:c>
      <x:c r="G935" s="253" t="str">
        <x:v>Sarfaraz1</x:v>
      </x:c>
      <x:c r="H935" s="253" t="str">
        <x:v>Yes</x:v>
      </x:c>
      <x:c r="I935" s="253" t="str"/>
      <x:c r="J935" s="253" t="str"/>
      <x:c r="K935" s="259"/>
      <x:c r="L935" s="268" t="str">
        <x:f>IFERROR(VLOOKUP(I935,'Handler-Team Map'!$A$7:$C$17,2,FALSE),"")</x:f>
      </x:c>
      <x:c r="M935" s="268" t="str">
        <x:f>IFERROR(VLOOKUP(I935,'Handler-Team Map'!$A$7:$C$17,3,FALSE),"")</x:f>
      </x:c>
      <x:c r="N935" s="274" t="str">
        <x:v>FT_VM_DEP700_GET300_2X</x:v>
      </x:c>
      <x:c r="O935" s="274" t="str">
        <x:v>VIP BONUS - Deposit 700 Get 300 - 2x TO</x:v>
      </x:c>
      <x:c r="P935" s="274" t="str">
        <x:v>DepositBonus</x:v>
      </x:c>
      <x:c r="Q935" s="274" t="str">
        <x:v>Approved</x:v>
      </x:c>
      <x:c r="R935" s="265" t="n">
        <x:v>300</x:v>
      </x:c>
      <x:c r="S935" s="253" t="str">
        <x:v>Yes</x:v>
      </x:c>
      <x:c r="T935" s="265" t="n">
        <x:v>130</x:v>
      </x:c>
      <x:c r="U935" s="253" t="str">
        <x:f>IF(AND(S935="Yes",T935=0),"Yes","No")</x:f>
        <x:v>No</x:v>
      </x:c>
      <x:c r="V935" s="253" t="str">
        <x:v>Yes</x:v>
      </x:c>
      <x:c r="W935" s="253" t="str">
        <x:v>Yes</x:v>
      </x:c>
      <x:c r="X935" s="259" t="n">
        <x:v>46187.166666666664</x:v>
      </x:c>
      <x:c r="Y935" s="265" t="n">
        <x:v>700</x:v>
      </x:c>
      <x:c r="Z935" s="265" t="n">
        <x:v>700</x:v>
      </x:c>
      <x:c r="AA935" s="253" t="str">
        <x:f>IF(V935="No","Maturing",IF(AND(U935="Yes",Y935&gt;0),"Yes","No"))</x:f>
        <x:v>No</x:v>
      </x:c>
      <x:c r="AB935" s="253" t="str">
        <x:f>IF(W935="No","Maturing",IF(AND(U935="Yes",Z935&gt;0),"Yes","No"))</x:f>
        <x:v>No</x:v>
      </x:c>
      <x:c r="AC935" s="265" t="n">
        <x:v>-525.1</x:v>
      </x:c>
      <x:c r="AD935" s="265" t="n">
        <x:v>-525.1</x:v>
      </x:c>
      <x:c r="AE935" s="271" t="str"/>
      <x:c r="AF935" s="274" t="str">
        <x:v>Not validated - no control/holdout</x:v>
      </x:c>
      <x:c r="AG935" s="277" t="str">
        <x:v>Recovered execution only; assignment date and unclaimed-offer denominator unavailable</x:v>
      </x:c>
    </x:row>
    <x:row r="936">
      <x:c r="A936" s="252" t="str">
        <x:v>34591165</x:v>
      </x:c>
      <x:c r="B936" s="253" t="str">
        <x:v>WS1</x:v>
      </x:c>
      <x:c r="C936" s="253" t="str">
        <x:v>MB8</x:v>
      </x:c>
      <x:c r="D936" s="262" t="n">
        <x:v>46187.226851851854</x:v>
      </x:c>
      <x:c r="E936" s="259" t="n">
        <x:v>46187.166666666664</x:v>
      </x:c>
      <x:c r="F936" s="253" t="str">
        <x:v>631008</x:v>
      </x:c>
      <x:c r="G936" s="253" t="str">
        <x:v>Tay045195</x:v>
      </x:c>
      <x:c r="H936" s="253" t="str">
        <x:v>Yes</x:v>
      </x:c>
      <x:c r="I936" s="253" t="str"/>
      <x:c r="J936" s="253" t="str"/>
      <x:c r="K936" s="259"/>
      <x:c r="L936" s="268" t="str">
        <x:f>IFERROR(VLOOKUP(I936,'Handler-Team Map'!$A$7:$C$17,2,FALSE),"")</x:f>
      </x:c>
      <x:c r="M936" s="268" t="str">
        <x:f>IFERROR(VLOOKUP(I936,'Handler-Team Map'!$A$7:$C$17,3,FALSE),"")</x:f>
      </x:c>
      <x:c r="N936" s="274" t="str">
        <x:v>FT_VM_DEP600_GET200_5X</x:v>
      </x:c>
      <x:c r="O936" s="274" t="str">
        <x:v>VIP BONUS - Deposit 600 Get 200 - 5x TO</x:v>
      </x:c>
      <x:c r="P936" s="274" t="str">
        <x:v>DepositBonus</x:v>
      </x:c>
      <x:c r="Q936" s="274" t="str">
        <x:v>Approved</x:v>
      </x:c>
      <x:c r="R936" s="265" t="n">
        <x:v>200</x:v>
      </x:c>
      <x:c r="S936" s="253" t="str">
        <x:v>Yes</x:v>
      </x:c>
      <x:c r="T936" s="265" t="n">
        <x:v>250</x:v>
      </x:c>
      <x:c r="U936" s="253" t="str">
        <x:f>IF(AND(S936="Yes",T936=0),"Yes","No")</x:f>
        <x:v>No</x:v>
      </x:c>
      <x:c r="V936" s="253" t="str">
        <x:v>Yes</x:v>
      </x:c>
      <x:c r="W936" s="253" t="str">
        <x:v>Yes</x:v>
      </x:c>
      <x:c r="X936" s="259" t="n">
        <x:v>46187.166666666664</x:v>
      </x:c>
      <x:c r="Y936" s="265" t="n">
        <x:v>600</x:v>
      </x:c>
      <x:c r="Z936" s="265" t="n">
        <x:v>600</x:v>
      </x:c>
      <x:c r="AA936" s="253" t="str">
        <x:f>IF(V936="No","Maturing",IF(AND(U936="Yes",Y936&gt;0),"Yes","No"))</x:f>
        <x:v>No</x:v>
      </x:c>
      <x:c r="AB936" s="253" t="str">
        <x:f>IF(W936="No","Maturing",IF(AND(U936="Yes",Z936&gt;0),"Yes","No"))</x:f>
        <x:v>No</x:v>
      </x:c>
      <x:c r="AC936" s="265" t="n">
        <x:v>599.75</x:v>
      </x:c>
      <x:c r="AD936" s="265" t="n">
        <x:v>599.75</x:v>
      </x:c>
      <x:c r="AE936" s="271" t="str"/>
      <x:c r="AF936" s="274" t="str">
        <x:v>Not validated - no control/holdout</x:v>
      </x:c>
      <x:c r="AG936" s="277" t="str">
        <x:v>Recovered execution only; assignment date and unclaimed-offer denominator unavailable</x:v>
      </x:c>
    </x:row>
    <x:row r="937">
      <x:c r="A937" s="252" t="str">
        <x:v>34591206</x:v>
      </x:c>
      <x:c r="B937" s="253" t="str">
        <x:v>WS1</x:v>
      </x:c>
      <x:c r="C937" s="253" t="str">
        <x:v>MB8</x:v>
      </x:c>
      <x:c r="D937" s="262" t="n">
        <x:v>46187.23175925926</x:v>
      </x:c>
      <x:c r="E937" s="259" t="n">
        <x:v>46187.166666666664</x:v>
      </x:c>
      <x:c r="F937" s="253" t="str">
        <x:v>608737</x:v>
      </x:c>
      <x:c r="G937" s="253" t="str">
        <x:v>CHAU8032</x:v>
      </x:c>
      <x:c r="H937" s="253" t="str">
        <x:v>Yes</x:v>
      </x:c>
      <x:c r="I937" s="253" t="str"/>
      <x:c r="J937" s="253" t="str"/>
      <x:c r="K937" s="259"/>
      <x:c r="L937" s="268" t="str">
        <x:f>IFERROR(VLOOKUP(I937,'Handler-Team Map'!$A$7:$C$17,2,FALSE),"")</x:f>
      </x:c>
      <x:c r="M937" s="268" t="str">
        <x:f>IFERROR(VLOOKUP(I937,'Handler-Team Map'!$A$7:$C$17,3,FALSE),"")</x:f>
      </x:c>
      <x:c r="N937" s="274" t="str">
        <x:v>FT_VM_DEP700_GET300_2X</x:v>
      </x:c>
      <x:c r="O937" s="274" t="str">
        <x:v>VIP BONUS - Deposit 700 Get 300 - 2x TO</x:v>
      </x:c>
      <x:c r="P937" s="274" t="str">
        <x:v>DepositBonus</x:v>
      </x:c>
      <x:c r="Q937" s="274" t="str">
        <x:v>Approved</x:v>
      </x:c>
      <x:c r="R937" s="265" t="n">
        <x:v>300</x:v>
      </x:c>
      <x:c r="S937" s="253" t="str">
        <x:v>Yes</x:v>
      </x:c>
      <x:c r="T937" s="265" t="n">
        <x:v>380</x:v>
      </x:c>
      <x:c r="U937" s="253" t="str">
        <x:f>IF(AND(S937="Yes",T937=0),"Yes","No")</x:f>
        <x:v>No</x:v>
      </x:c>
      <x:c r="V937" s="253" t="str">
        <x:v>Yes</x:v>
      </x:c>
      <x:c r="W937" s="253" t="str">
        <x:v>Yes</x:v>
      </x:c>
      <x:c r="X937" s="259" t="n">
        <x:v>46187.166666666664</x:v>
      </x:c>
      <x:c r="Y937" s="265" t="n">
        <x:v>1060</x:v>
      </x:c>
      <x:c r="Z937" s="265" t="n">
        <x:v>1185</x:v>
      </x:c>
      <x:c r="AA937" s="253" t="str">
        <x:f>IF(V937="No","Maturing",IF(AND(U937="Yes",Y937&gt;0),"Yes","No"))</x:f>
        <x:v>No</x:v>
      </x:c>
      <x:c r="AB937" s="253" t="str">
        <x:f>IF(W937="No","Maturing",IF(AND(U937="Yes",Z937&gt;0),"Yes","No"))</x:f>
        <x:v>No</x:v>
      </x:c>
      <x:c r="AC937" s="265" t="n">
        <x:v>1059.97</x:v>
      </x:c>
      <x:c r="AD937" s="265" t="n">
        <x:v>1184.95</x:v>
      </x:c>
      <x:c r="AE937" s="271" t="str"/>
      <x:c r="AF937" s="274" t="str">
        <x:v>Not validated - no control/holdout</x:v>
      </x:c>
      <x:c r="AG937" s="277" t="str">
        <x:v>Recovered execution only; assignment date and unclaimed-offer denominator unavailable</x:v>
      </x:c>
    </x:row>
    <x:row r="938">
      <x:c r="A938" s="252" t="str">
        <x:v>34592353</x:v>
      </x:c>
      <x:c r="B938" s="253" t="str">
        <x:v>WS1</x:v>
      </x:c>
      <x:c r="C938" s="253" t="str">
        <x:v>MB8</x:v>
      </x:c>
      <x:c r="D938" s="262" t="n">
        <x:v>46187.398831018516</x:v>
      </x:c>
      <x:c r="E938" s="259" t="n">
        <x:v>46187.166666666664</x:v>
      </x:c>
      <x:c r="F938" s="253" t="str">
        <x:v>946329</x:v>
      </x:c>
      <x:c r="G938" s="253" t="str">
        <x:v>dv0541</x:v>
      </x:c>
      <x:c r="H938" s="253" t="str">
        <x:v>Yes</x:v>
      </x:c>
      <x:c r="I938" s="253" t="str"/>
      <x:c r="J938" s="253" t="str"/>
      <x:c r="K938" s="259"/>
      <x:c r="L938" s="268" t="str">
        <x:f>IFERROR(VLOOKUP(I938,'Handler-Team Map'!$A$7:$C$17,2,FALSE),"")</x:f>
      </x:c>
      <x:c r="M938" s="268" t="str">
        <x:f>IFERROR(VLOOKUP(I938,'Handler-Team Map'!$A$7:$C$17,3,FALSE),"")</x:f>
      </x:c>
      <x:c r="N938" s="274" t="str">
        <x:v>FT_VM_DEP700_GET300_2X</x:v>
      </x:c>
      <x:c r="O938" s="274" t="str">
        <x:v>VIP BONUS - Deposit 700 Get 300 - 2x TO</x:v>
      </x:c>
      <x:c r="P938" s="274" t="str">
        <x:v>DepositBonus</x:v>
      </x:c>
      <x:c r="Q938" s="274" t="str">
        <x:v>Approved</x:v>
      </x:c>
      <x:c r="R938" s="265" t="n">
        <x:v>300</x:v>
      </x:c>
      <x:c r="S938" s="253" t="str">
        <x:v>Yes</x:v>
      </x:c>
      <x:c r="T938" s="265" t="n">
        <x:v>600</x:v>
      </x:c>
      <x:c r="U938" s="253" t="str">
        <x:f>IF(AND(S938="Yes",T938=0),"Yes","No")</x:f>
        <x:v>No</x:v>
      </x:c>
      <x:c r="V938" s="253" t="str">
        <x:v>Yes</x:v>
      </x:c>
      <x:c r="W938" s="253" t="str">
        <x:v>Yes</x:v>
      </x:c>
      <x:c r="X938" s="259" t="n">
        <x:v>46187.166666666664</x:v>
      </x:c>
      <x:c r="Y938" s="265" t="n">
        <x:v>700</x:v>
      </x:c>
      <x:c r="Z938" s="265" t="n">
        <x:v>700</x:v>
      </x:c>
      <x:c r="AA938" s="253" t="str">
        <x:f>IF(V938="No","Maturing",IF(AND(U938="Yes",Y938&gt;0),"Yes","No"))</x:f>
        <x:v>No</x:v>
      </x:c>
      <x:c r="AB938" s="253" t="str">
        <x:f>IF(W938="No","Maturing",IF(AND(U938="Yes",Z938&gt;0),"Yes","No"))</x:f>
        <x:v>No</x:v>
      </x:c>
      <x:c r="AC938" s="265" t="n">
        <x:v>250.39</x:v>
      </x:c>
      <x:c r="AD938" s="265" t="n">
        <x:v>250.39</x:v>
      </x:c>
      <x:c r="AE938" s="271" t="str"/>
      <x:c r="AF938" s="274" t="str">
        <x:v>Not validated - no control/holdout</x:v>
      </x:c>
      <x:c r="AG938" s="277" t="str">
        <x:v>Recovered execution only; assignment date and unclaimed-offer denominator unavailable</x:v>
      </x:c>
    </x:row>
    <x:row r="939">
      <x:c r="A939" s="252" t="str">
        <x:v>34592628</x:v>
      </x:c>
      <x:c r="B939" s="253" t="str">
        <x:v>WS1</x:v>
      </x:c>
      <x:c r="C939" s="253" t="str">
        <x:v>MB8</x:v>
      </x:c>
      <x:c r="D939" s="262" t="n">
        <x:v>46187.43035879629</x:v>
      </x:c>
      <x:c r="E939" s="259" t="n">
        <x:v>46187.166666666664</x:v>
      </x:c>
      <x:c r="F939" s="253" t="str">
        <x:v>435322</x:v>
      </x:c>
      <x:c r="G939" s="253" t="str">
        <x:v>kongzhai84</x:v>
      </x:c>
      <x:c r="H939" s="253" t="str">
        <x:v>Yes</x:v>
      </x:c>
      <x:c r="I939" s="253" t="str">
        <x:v>Serene</x:v>
      </x:c>
      <x:c r="J939" s="253" t="str">
        <x:v>Serene</x:v>
      </x:c>
      <x:c r="K939" s="259" t="n">
        <x:v>45831.166666666664</x:v>
      </x:c>
      <x:c r="L939" s="268" t="str">
        <x:f>IFERROR(VLOOKUP(I939,'Handler-Team Map'!$A$7:$C$17,2,FALSE),"")</x:f>
      </x:c>
      <x:c r="M939" s="268" t="str">
        <x:f>IFERROR(VLOOKUP(I939,'Handler-Team Map'!$A$7:$C$17,3,FALSE),"")</x:f>
      </x:c>
      <x:c r="N939" s="274" t="str">
        <x:v>FT_VM_DEP1000_GET500_1X</x:v>
      </x:c>
      <x:c r="O939" s="274" t="str">
        <x:v>VIP BONUS - Deposit 1000 Get 500 - 1x TO</x:v>
      </x:c>
      <x:c r="P939" s="274" t="str">
        <x:v>DepositBonus</x:v>
      </x:c>
      <x:c r="Q939" s="274" t="str">
        <x:v>Approved</x:v>
      </x:c>
      <x:c r="R939" s="265" t="n">
        <x:v>500</x:v>
      </x:c>
      <x:c r="S939" s="253" t="str">
        <x:v>Yes</x:v>
      </x:c>
      <x:c r="T939" s="265" t="n">
        <x:v>750</x:v>
      </x:c>
      <x:c r="U939" s="253" t="str">
        <x:f>IF(AND(S939="Yes",T939=0),"Yes","No")</x:f>
        <x:v>No</x:v>
      </x:c>
      <x:c r="V939" s="253" t="str">
        <x:v>Yes</x:v>
      </x:c>
      <x:c r="W939" s="253" t="str">
        <x:v>Yes</x:v>
      </x:c>
      <x:c r="X939" s="259" t="n">
        <x:v>46187.166666666664</x:v>
      </x:c>
      <x:c r="Y939" s="265" t="n">
        <x:v>14380</x:v>
      </x:c>
      <x:c r="Z939" s="265" t="n">
        <x:v>19580</x:v>
      </x:c>
      <x:c r="AA939" s="253" t="str">
        <x:f>IF(V939="No","Maturing",IF(AND(U939="Yes",Y939&gt;0),"Yes","No"))</x:f>
        <x:v>No</x:v>
      </x:c>
      <x:c r="AB939" s="253" t="str">
        <x:f>IF(W939="No","Maturing",IF(AND(U939="Yes",Z939&gt;0),"Yes","No"))</x:f>
        <x:v>No</x:v>
      </x:c>
      <x:c r="AC939" s="265" t="n">
        <x:v>-6408.58</x:v>
      </x:c>
      <x:c r="AD939" s="265" t="n">
        <x:v>-2510.61</x:v>
      </x:c>
      <x:c r="AE939" s="271" t="str"/>
      <x:c r="AF939" s="274" t="str">
        <x:v>Not validated - no control/holdout</x:v>
      </x:c>
      <x:c r="AG939" s="277" t="str">
        <x:v>Recovered execution only; assignment date and unclaimed-offer denominator unavailable</x:v>
      </x:c>
    </x:row>
    <x:row r="940">
      <x:c r="A940" s="252" t="str">
        <x:v>34598867</x:v>
      </x:c>
      <x:c r="B940" s="253" t="str">
        <x:v>WS1</x:v>
      </x:c>
      <x:c r="C940" s="253" t="str">
        <x:v>MB8</x:v>
      </x:c>
      <x:c r="D940" s="262" t="n">
        <x:v>46187.97837962963</x:v>
      </x:c>
      <x:c r="E940" s="259" t="n">
        <x:v>46187.166666666664</x:v>
      </x:c>
      <x:c r="F940" s="253" t="str">
        <x:v>989705</x:v>
      </x:c>
      <x:c r="G940" s="253" t="str">
        <x:v>damon11121</x:v>
      </x:c>
      <x:c r="H940" s="253" t="str">
        <x:v>Yes</x:v>
      </x:c>
      <x:c r="I940" s="253" t="str"/>
      <x:c r="J940" s="253" t="str"/>
      <x:c r="K940" s="259"/>
      <x:c r="L940" s="268" t="str">
        <x:f>IFERROR(VLOOKUP(I940,'Handler-Team Map'!$A$7:$C$17,2,FALSE),"")</x:f>
      </x:c>
      <x:c r="M940" s="268" t="str">
        <x:f>IFERROR(VLOOKUP(I940,'Handler-Team Map'!$A$7:$C$17,3,FALSE),"")</x:f>
      </x:c>
      <x:c r="N940" s="274" t="str">
        <x:v>FT_VM_DEP300_GET100_5X</x:v>
      </x:c>
      <x:c r="O940" s="274" t="str">
        <x:v>VIP BONUS - Deposit 300 Get 100 - 5x TO</x:v>
      </x:c>
      <x:c r="P940" s="274" t="str">
        <x:v>DepositBonus</x:v>
      </x:c>
      <x:c r="Q940" s="274" t="str">
        <x:v>Approved</x:v>
      </x:c>
      <x:c r="R940" s="265" t="n">
        <x:v>100</x:v>
      </x:c>
      <x:c r="S940" s="253" t="str">
        <x:v>Yes</x:v>
      </x:c>
      <x:c r="T940" s="265" t="n">
        <x:v>63180</x:v>
      </x:c>
      <x:c r="U940" s="253" t="str">
        <x:f>IF(AND(S940="Yes",T940=0),"Yes","No")</x:f>
        <x:v>No</x:v>
      </x:c>
      <x:c r="V940" s="253" t="str">
        <x:v>Yes</x:v>
      </x:c>
      <x:c r="W940" s="253" t="str">
        <x:v>Yes</x:v>
      </x:c>
      <x:c r="X940" s="259" t="n">
        <x:v>46187.166666666664</x:v>
      </x:c>
      <x:c r="Y940" s="265" t="n">
        <x:v>1380</x:v>
      </x:c>
      <x:c r="Z940" s="265" t="n">
        <x:v>1770</x:v>
      </x:c>
      <x:c r="AA940" s="253" t="str">
        <x:f>IF(V940="No","Maturing",IF(AND(U940="Yes",Y940&gt;0),"Yes","No"))</x:f>
        <x:v>No</x:v>
      </x:c>
      <x:c r="AB940" s="253" t="str">
        <x:f>IF(W940="No","Maturing",IF(AND(U940="Yes",Z940&gt;0),"Yes","No"))</x:f>
        <x:v>No</x:v>
      </x:c>
      <x:c r="AC940" s="265" t="n">
        <x:v>1379.78</x:v>
      </x:c>
      <x:c r="AD940" s="265" t="n">
        <x:v>1761.28</x:v>
      </x:c>
      <x:c r="AE940" s="271" t="str"/>
      <x:c r="AF940" s="274" t="str">
        <x:v>Not validated - no control/holdout</x:v>
      </x:c>
      <x:c r="AG940" s="277" t="str">
        <x:v>Recovered execution only; assignment date and unclaimed-offer denominator unavailable</x:v>
      </x:c>
    </x:row>
    <x:row r="941">
      <x:c r="A941" s="252" t="str">
        <x:v>34603533</x:v>
      </x:c>
      <x:c r="B941" s="253" t="str">
        <x:v>WS1</x:v>
      </x:c>
      <x:c r="C941" s="253" t="str">
        <x:v>MB8</x:v>
      </x:c>
      <x:c r="D941" s="262" t="n">
        <x:v>46188.55600694445</x:v>
      </x:c>
      <x:c r="E941" s="259" t="n">
        <x:v>46188.166666666664</x:v>
      </x:c>
      <x:c r="F941" s="253" t="str">
        <x:v>827624</x:v>
      </x:c>
      <x:c r="G941" s="253" t="str">
        <x:v>ksly001</x:v>
      </x:c>
      <x:c r="H941" s="253" t="str">
        <x:v>Yes</x:v>
      </x:c>
      <x:c r="I941" s="253" t="str"/>
      <x:c r="J941" s="253" t="str"/>
      <x:c r="K941" s="259"/>
      <x:c r="L941" s="268" t="str">
        <x:f>IFERROR(VLOOKUP(I941,'Handler-Team Map'!$A$7:$C$17,2,FALSE),"")</x:f>
      </x:c>
      <x:c r="M941" s="268" t="str">
        <x:f>IFERROR(VLOOKUP(I941,'Handler-Team Map'!$A$7:$C$17,3,FALSE),"")</x:f>
      </x:c>
      <x:c r="N941" s="274" t="str">
        <x:v>FT_VM_DEP700_GET300_2X</x:v>
      </x:c>
      <x:c r="O941" s="274" t="str">
        <x:v>VIP BONUS - Deposit 700 Get 300 - 2x TO</x:v>
      </x:c>
      <x:c r="P941" s="274" t="str">
        <x:v>DepositBonus</x:v>
      </x:c>
      <x:c r="Q941" s="274" t="str">
        <x:v>Approved</x:v>
      </x:c>
      <x:c r="R941" s="265" t="n">
        <x:v>300</x:v>
      </x:c>
      <x:c r="S941" s="253" t="str">
        <x:v>Yes</x:v>
      </x:c>
      <x:c r="T941" s="265" t="n">
        <x:v>746.35</x:v>
      </x:c>
      <x:c r="U941" s="253" t="str">
        <x:f>IF(AND(S941="Yes",T941=0),"Yes","No")</x:f>
        <x:v>No</x:v>
      </x:c>
      <x:c r="V941" s="253" t="str">
        <x:v>Yes</x:v>
      </x:c>
      <x:c r="W941" s="253" t="str">
        <x:v>Yes</x:v>
      </x:c>
      <x:c r="X941" s="259" t="n">
        <x:v>46188.166666666664</x:v>
      </x:c>
      <x:c r="Y941" s="265" t="n">
        <x:v>1597</x:v>
      </x:c>
      <x:c r="Z941" s="265" t="n">
        <x:v>1597</x:v>
      </x:c>
      <x:c r="AA941" s="253" t="str">
        <x:f>IF(V941="No","Maturing",IF(AND(U941="Yes",Y941&gt;0),"Yes","No"))</x:f>
        <x:v>No</x:v>
      </x:c>
      <x:c r="AB941" s="253" t="str">
        <x:f>IF(W941="No","Maturing",IF(AND(U941="Yes",Z941&gt;0),"Yes","No"))</x:f>
        <x:v>No</x:v>
      </x:c>
      <x:c r="AC941" s="265" t="n">
        <x:v>590.62</x:v>
      </x:c>
      <x:c r="AD941" s="265" t="n">
        <x:v>596.17</x:v>
      </x:c>
      <x:c r="AE941" s="271" t="str"/>
      <x:c r="AF941" s="274" t="str">
        <x:v>Not validated - no control/holdout</x:v>
      </x:c>
      <x:c r="AG941" s="277" t="str">
        <x:v>Recovered execution only; assignment date and unclaimed-offer denominator unavailable</x:v>
      </x:c>
    </x:row>
    <x:row r="942">
      <x:c r="A942" s="252" t="str">
        <x:v>34603899</x:v>
      </x:c>
      <x:c r="B942" s="253" t="str">
        <x:v>WS1</x:v>
      </x:c>
      <x:c r="C942" s="253" t="str">
        <x:v>MB8</x:v>
      </x:c>
      <x:c r="D942" s="262" t="n">
        <x:v>46188.59753472222</x:v>
      </x:c>
      <x:c r="E942" s="259" t="n">
        <x:v>46188.166666666664</x:v>
      </x:c>
      <x:c r="F942" s="253" t="str">
        <x:v>268246</x:v>
      </x:c>
      <x:c r="G942" s="253" t="str">
        <x:v>Win124</x:v>
      </x:c>
      <x:c r="H942" s="253" t="str">
        <x:v>Yes</x:v>
      </x:c>
      <x:c r="I942" s="253" t="str">
        <x:v>Claire</x:v>
      </x:c>
      <x:c r="J942" s="253" t="str">
        <x:v>Claire</x:v>
      </x:c>
      <x:c r="K942" s="259" t="n">
        <x:v>45659.166666666664</x:v>
      </x:c>
      <x:c r="L942" s="268" t="str">
        <x:f>IFERROR(VLOOKUP(I942,'Handler-Team Map'!$A$7:$C$17,2,FALSE),"")</x:f>
      </x:c>
      <x:c r="M942" s="268" t="str">
        <x:f>IFERROR(VLOOKUP(I942,'Handler-Team Map'!$A$7:$C$17,3,FALSE),"")</x:f>
      </x:c>
      <x:c r="N942" s="274" t="str">
        <x:v>FT_VM_DEP1000_GET1000_2X</x:v>
      </x:c>
      <x:c r="O942" s="274" t="str">
        <x:v>VIP BONUS - Deposit 1000 Get 1000 - 2x TO</x:v>
      </x:c>
      <x:c r="P942" s="274" t="str">
        <x:v>DepositBonus</x:v>
      </x:c>
      <x:c r="Q942" s="274" t="str">
        <x:v>Approved</x:v>
      </x:c>
      <x:c r="R942" s="265" t="n">
        <x:v>1000</x:v>
      </x:c>
      <x:c r="S942" s="253" t="str">
        <x:v>Yes</x:v>
      </x:c>
      <x:c r="T942" s="265" t="n">
        <x:v>1246485</x:v>
      </x:c>
      <x:c r="U942" s="253" t="str">
        <x:f>IF(AND(S942="Yes",T942=0),"Yes","No")</x:f>
        <x:v>No</x:v>
      </x:c>
      <x:c r="V942" s="253" t="str">
        <x:v>Yes</x:v>
      </x:c>
      <x:c r="W942" s="253" t="str">
        <x:v>Yes</x:v>
      </x:c>
      <x:c r="X942" s="259" t="n">
        <x:v>46188.166666666664</x:v>
      </x:c>
      <x:c r="Y942" s="265" t="n">
        <x:v>279950</x:v>
      </x:c>
      <x:c r="Z942" s="265" t="n">
        <x:v>512700</x:v>
      </x:c>
      <x:c r="AA942" s="253" t="str">
        <x:f>IF(V942="No","Maturing",IF(AND(U942="Yes",Y942&gt;0),"Yes","No"))</x:f>
        <x:v>No</x:v>
      </x:c>
      <x:c r="AB942" s="253" t="str">
        <x:f>IF(W942="No","Maturing",IF(AND(U942="Yes",Z942&gt;0),"Yes","No"))</x:f>
        <x:v>No</x:v>
      </x:c>
      <x:c r="AC942" s="265" t="n">
        <x:v>39940.11</x:v>
      </x:c>
      <x:c r="AD942" s="265" t="n">
        <x:v>226199.92</x:v>
      </x:c>
      <x:c r="AE942" s="271" t="str"/>
      <x:c r="AF942" s="274" t="str">
        <x:v>Not validated - no control/holdout</x:v>
      </x:c>
      <x:c r="AG942" s="277" t="str">
        <x:v>Recovered execution only; assignment date and unclaimed-offer denominator unavailable</x:v>
      </x:c>
    </x:row>
    <x:row r="943">
      <x:c r="A943" s="252" t="str">
        <x:v>34604116</x:v>
      </x:c>
      <x:c r="B943" s="253" t="str">
        <x:v>WS1</x:v>
      </x:c>
      <x:c r="C943" s="253" t="str">
        <x:v>MB8</x:v>
      </x:c>
      <x:c r="D943" s="262" t="n">
        <x:v>46188.61892361111</x:v>
      </x:c>
      <x:c r="E943" s="259" t="n">
        <x:v>46188.166666666664</x:v>
      </x:c>
      <x:c r="F943" s="253" t="str">
        <x:v>1189248</x:v>
      </x:c>
      <x:c r="G943" s="253" t="str">
        <x:v>weihao110400</x:v>
      </x:c>
      <x:c r="H943" s="253" t="str">
        <x:v>Yes</x:v>
      </x:c>
      <x:c r="I943" s="253" t="str"/>
      <x:c r="J943" s="253" t="str"/>
      <x:c r="K943" s="259"/>
      <x:c r="L943" s="268" t="str">
        <x:f>IFERROR(VLOOKUP(I943,'Handler-Team Map'!$A$7:$C$17,2,FALSE),"")</x:f>
      </x:c>
      <x:c r="M943" s="268" t="str">
        <x:f>IFERROR(VLOOKUP(I943,'Handler-Team Map'!$A$7:$C$17,3,FALSE),"")</x:f>
      </x:c>
      <x:c r="N943" s="274" t="str">
        <x:v>FT_VM_DEP700_GET300_1X</x:v>
      </x:c>
      <x:c r="O943" s="274" t="str">
        <x:v>VIP BONUS - Deposit 700 Get 300 - 1x TO</x:v>
      </x:c>
      <x:c r="P943" s="274" t="str">
        <x:v>DepositBonus</x:v>
      </x:c>
      <x:c r="Q943" s="274" t="str">
        <x:v>Approved</x:v>
      </x:c>
      <x:c r="R943" s="265" t="n">
        <x:v>300</x:v>
      </x:c>
      <x:c r="S943" s="253" t="str">
        <x:v>Yes</x:v>
      </x:c>
      <x:c r="T943" s="265" t="n">
        <x:v>109050</x:v>
      </x:c>
      <x:c r="U943" s="253" t="str">
        <x:f>IF(AND(S943="Yes",T943=0),"Yes","No")</x:f>
        <x:v>No</x:v>
      </x:c>
      <x:c r="V943" s="253" t="str">
        <x:v>Yes</x:v>
      </x:c>
      <x:c r="W943" s="253" t="str">
        <x:v>Yes</x:v>
      </x:c>
      <x:c r="X943" s="259" t="n">
        <x:v>46188.166666666664</x:v>
      </x:c>
      <x:c r="Y943" s="265" t="n">
        <x:v>700</x:v>
      </x:c>
      <x:c r="Z943" s="265" t="n">
        <x:v>1550</x:v>
      </x:c>
      <x:c r="AA943" s="253" t="str">
        <x:f>IF(V943="No","Maturing",IF(AND(U943="Yes",Y943&gt;0),"Yes","No"))</x:f>
        <x:v>No</x:v>
      </x:c>
      <x:c r="AB943" s="253" t="str">
        <x:f>IF(W943="No","Maturing",IF(AND(U943="Yes",Z943&gt;0),"Yes","No"))</x:f>
        <x:v>No</x:v>
      </x:c>
      <x:c r="AC943" s="265" t="n">
        <x:v>699.62</x:v>
      </x:c>
      <x:c r="AD943" s="265" t="n">
        <x:v>1545.37</x:v>
      </x:c>
      <x:c r="AE943" s="271" t="str"/>
      <x:c r="AF943" s="274" t="str">
        <x:v>Not validated - no control/holdout</x:v>
      </x:c>
      <x:c r="AG943" s="277" t="str">
        <x:v>Recovered execution only; assignment date and unclaimed-offer denominator unavailable</x:v>
      </x:c>
    </x:row>
    <x:row r="944">
      <x:c r="A944" s="252" t="str">
        <x:v>34604122</x:v>
      </x:c>
      <x:c r="B944" s="253" t="str">
        <x:v>WS1</x:v>
      </x:c>
      <x:c r="C944" s="253" t="str">
        <x:v>MB8</x:v>
      </x:c>
      <x:c r="D944" s="262" t="n">
        <x:v>46188.619166666664</x:v>
      </x:c>
      <x:c r="E944" s="259" t="n">
        <x:v>46188.166666666664</x:v>
      </x:c>
      <x:c r="F944" s="253" t="str">
        <x:v>300292</x:v>
      </x:c>
      <x:c r="G944" s="253" t="str">
        <x:v>Samlim</x:v>
      </x:c>
      <x:c r="H944" s="253" t="str">
        <x:v>Yes</x:v>
      </x:c>
      <x:c r="I944" s="253" t="str">
        <x:v>zhen</x:v>
      </x:c>
      <x:c r="J944" s="253" t="str">
        <x:v>zhen</x:v>
      </x:c>
      <x:c r="K944" s="259" t="n">
        <x:v>45985.166666666664</x:v>
      </x:c>
      <x:c r="L944" s="268" t="str">
        <x:f>IFERROR(VLOOKUP(I944,'Handler-Team Map'!$A$7:$C$17,2,FALSE),"")</x:f>
      </x:c>
      <x:c r="M944" s="268" t="str">
        <x:f>IFERROR(VLOOKUP(I944,'Handler-Team Map'!$A$7:$C$17,3,FALSE),"")</x:f>
      </x:c>
      <x:c r="N944" s="274" t="str">
        <x:v>FT_VM_DEP300_GET100_5X</x:v>
      </x:c>
      <x:c r="O944" s="274" t="str">
        <x:v>VIP BONUS - Deposit 300 Get 100 - 5x TO</x:v>
      </x:c>
      <x:c r="P944" s="274" t="str">
        <x:v>DepositBonus</x:v>
      </x:c>
      <x:c r="Q944" s="274" t="str">
        <x:v>Approved</x:v>
      </x:c>
      <x:c r="R944" s="265" t="n">
        <x:v>100</x:v>
      </x:c>
      <x:c r="S944" s="253" t="str">
        <x:v>Yes</x:v>
      </x:c>
      <x:c r="T944" s="265" t="n">
        <x:v>60787</x:v>
      </x:c>
      <x:c r="U944" s="253" t="str">
        <x:f>IF(AND(S944="Yes",T944=0),"Yes","No")</x:f>
        <x:v>No</x:v>
      </x:c>
      <x:c r="V944" s="253" t="str">
        <x:v>Yes</x:v>
      </x:c>
      <x:c r="W944" s="253" t="str">
        <x:v>Yes</x:v>
      </x:c>
      <x:c r="X944" s="259" t="n">
        <x:v>46188.166666666664</x:v>
      </x:c>
      <x:c r="Y944" s="265" t="n">
        <x:v>46500</x:v>
      </x:c>
      <x:c r="Z944" s="265" t="n">
        <x:v>118600</x:v>
      </x:c>
      <x:c r="AA944" s="253" t="str">
        <x:f>IF(V944="No","Maturing",IF(AND(U944="Yes",Y944&gt;0),"Yes","No"))</x:f>
        <x:v>No</x:v>
      </x:c>
      <x:c r="AB944" s="253" t="str">
        <x:f>IF(W944="No","Maturing",IF(AND(U944="Yes",Z944&gt;0),"Yes","No"))</x:f>
        <x:v>No</x:v>
      </x:c>
      <x:c r="AC944" s="265" t="n">
        <x:v>-17707.28</x:v>
      </x:c>
      <x:c r="AD944" s="265" t="n">
        <x:v>-48250.83</x:v>
      </x:c>
      <x:c r="AE944" s="271" t="str"/>
      <x:c r="AF944" s="274" t="str">
        <x:v>Not validated - no control/holdout</x:v>
      </x:c>
      <x:c r="AG944" s="277" t="str">
        <x:v>Recovered execution only; assignment date and unclaimed-offer denominator unavailable</x:v>
      </x:c>
    </x:row>
    <x:row r="945">
      <x:c r="A945" s="252" t="str">
        <x:v>34606722</x:v>
      </x:c>
      <x:c r="B945" s="253" t="str">
        <x:v>WS1</x:v>
      </x:c>
      <x:c r="C945" s="253" t="str">
        <x:v>MB8</x:v>
      </x:c>
      <x:c r="D945" s="262" t="n">
        <x:v>46188.85383101852</x:v>
      </x:c>
      <x:c r="E945" s="259" t="n">
        <x:v>46188.166666666664</x:v>
      </x:c>
      <x:c r="F945" s="253" t="str">
        <x:v>64201</x:v>
      </x:c>
      <x:c r="G945" s="253" t="str">
        <x:v>Joker1603</x:v>
      </x:c>
      <x:c r="H945" s="253" t="str">
        <x:v>Yes</x:v>
      </x:c>
      <x:c r="I945" s="253" t="str">
        <x:v>Serene</x:v>
      </x:c>
      <x:c r="J945" s="253" t="str">
        <x:v>Serene</x:v>
      </x:c>
      <x:c r="K945" s="259" t="n">
        <x:v>46090.166666666664</x:v>
      </x:c>
      <x:c r="L945" s="268" t="str">
        <x:f>IFERROR(VLOOKUP(I945,'Handler-Team Map'!$A$7:$C$17,2,FALSE),"")</x:f>
      </x:c>
      <x:c r="M945" s="268" t="str">
        <x:f>IFERROR(VLOOKUP(I945,'Handler-Team Map'!$A$7:$C$17,3,FALSE),"")</x:f>
      </x:c>
      <x:c r="N945" s="274" t="str">
        <x:v>FT_VM_DEP1000_GET900_2X</x:v>
      </x:c>
      <x:c r="O945" s="274" t="str">
        <x:v>VIP BONUS - Deposit 1000 Get 900 - 2x TO</x:v>
      </x:c>
      <x:c r="P945" s="274" t="str">
        <x:v>DepositBonus</x:v>
      </x:c>
      <x:c r="Q945" s="274" t="str">
        <x:v>Approved</x:v>
      </x:c>
      <x:c r="R945" s="265" t="n">
        <x:v>900</x:v>
      </x:c>
      <x:c r="S945" s="253" t="str">
        <x:v>Yes</x:v>
      </x:c>
      <x:c r="T945" s="265" t="n">
        <x:v>13050</x:v>
      </x:c>
      <x:c r="U945" s="253" t="str">
        <x:f>IF(AND(S945="Yes",T945=0),"Yes","No")</x:f>
        <x:v>No</x:v>
      </x:c>
      <x:c r="V945" s="253" t="str">
        <x:v>Yes</x:v>
      </x:c>
      <x:c r="W945" s="253" t="str">
        <x:v>Yes</x:v>
      </x:c>
      <x:c r="X945" s="259" t="n">
        <x:v>46188.166666666664</x:v>
      </x:c>
      <x:c r="Y945" s="265" t="n">
        <x:v>1000</x:v>
      </x:c>
      <x:c r="Z945" s="265" t="n">
        <x:v>4200</x:v>
      </x:c>
      <x:c r="AA945" s="253" t="str">
        <x:f>IF(V945="No","Maturing",IF(AND(U945="Yes",Y945&gt;0),"Yes","No"))</x:f>
        <x:v>No</x:v>
      </x:c>
      <x:c r="AB945" s="253" t="str">
        <x:f>IF(W945="No","Maturing",IF(AND(U945="Yes",Z945&gt;0),"Yes","No"))</x:f>
        <x:v>No</x:v>
      </x:c>
      <x:c r="AC945" s="265" t="n">
        <x:v>991.59</x:v>
      </x:c>
      <x:c r="AD945" s="265" t="n">
        <x:v>3806.31</x:v>
      </x:c>
      <x:c r="AE945" s="271" t="str"/>
      <x:c r="AF945" s="274" t="str">
        <x:v>Not validated - no control/holdout</x:v>
      </x:c>
      <x:c r="AG945" s="277" t="str">
        <x:v>Recovered execution only; assignment date and unclaimed-offer denominator unavailable</x:v>
      </x:c>
    </x:row>
    <x:row r="946">
      <x:c r="A946" s="252" t="str">
        <x:v>34607469</x:v>
      </x:c>
      <x:c r="B946" s="253" t="str">
        <x:v>WS1</x:v>
      </x:c>
      <x:c r="C946" s="253" t="str">
        <x:v>MB8</x:v>
      </x:c>
      <x:c r="D946" s="262" t="n">
        <x:v>46188.90872685185</x:v>
      </x:c>
      <x:c r="E946" s="259" t="n">
        <x:v>46188.166666666664</x:v>
      </x:c>
      <x:c r="F946" s="253" t="str">
        <x:v>809424</x:v>
      </x:c>
      <x:c r="G946" s="253" t="str">
        <x:v>yeamwc</x:v>
      </x:c>
      <x:c r="H946" s="253" t="str">
        <x:v>Yes</x:v>
      </x:c>
      <x:c r="I946" s="253" t="str">
        <x:v>Elda</x:v>
      </x:c>
      <x:c r="J946" s="253" t="str">
        <x:v>Elda</x:v>
      </x:c>
      <x:c r="K946" s="259" t="n">
        <x:v>45659.166666666664</x:v>
      </x:c>
      <x:c r="L946" s="268" t="str">
        <x:f>IFERROR(VLOOKUP(I946,'Handler-Team Map'!$A$7:$C$17,2,FALSE),"")</x:f>
      </x:c>
      <x:c r="M946" s="268" t="str">
        <x:f>IFERROR(VLOOKUP(I946,'Handler-Team Map'!$A$7:$C$17,3,FALSE),"")</x:f>
      </x:c>
      <x:c r="N946" s="274" t="str">
        <x:v>FT_VM_DEP1200_GET600_2X</x:v>
      </x:c>
      <x:c r="O946" s="274" t="str">
        <x:v>VIP BONUS - Deposit 1200 Get 600 - 2x TO</x:v>
      </x:c>
      <x:c r="P946" s="274" t="str">
        <x:v>DepositBonus</x:v>
      </x:c>
      <x:c r="Q946" s="274" t="str">
        <x:v>Approved</x:v>
      </x:c>
      <x:c r="R946" s="265" t="n">
        <x:v>600</x:v>
      </x:c>
      <x:c r="S946" s="253" t="str">
        <x:v>Yes</x:v>
      </x:c>
      <x:c r="T946" s="265" t="n">
        <x:v>125048</x:v>
      </x:c>
      <x:c r="U946" s="253" t="str">
        <x:f>IF(AND(S946="Yes",T946=0),"Yes","No")</x:f>
        <x:v>No</x:v>
      </x:c>
      <x:c r="V946" s="253" t="str">
        <x:v>Yes</x:v>
      </x:c>
      <x:c r="W946" s="253" t="str">
        <x:v>Yes</x:v>
      </x:c>
      <x:c r="X946" s="259" t="n">
        <x:v>46188.166666666664</x:v>
      </x:c>
      <x:c r="Y946" s="265" t="n">
        <x:v>20754</x:v>
      </x:c>
      <x:c r="Z946" s="265" t="n">
        <x:v>43347</x:v>
      </x:c>
      <x:c r="AA946" s="253" t="str">
        <x:f>IF(V946="No","Maturing",IF(AND(U946="Yes",Y946&gt;0),"Yes","No"))</x:f>
        <x:v>No</x:v>
      </x:c>
      <x:c r="AB946" s="253" t="str">
        <x:f>IF(W946="No","Maturing",IF(AND(U946="Yes",Z946&gt;0),"Yes","No"))</x:f>
        <x:v>No</x:v>
      </x:c>
      <x:c r="AC946" s="265" t="n">
        <x:v>-2298.37</x:v>
      </x:c>
      <x:c r="AD946" s="265" t="n">
        <x:v>-13520.6</x:v>
      </x:c>
      <x:c r="AE946" s="271" t="str"/>
      <x:c r="AF946" s="274" t="str">
        <x:v>Not validated - no control/holdout</x:v>
      </x:c>
      <x:c r="AG946" s="277" t="str">
        <x:v>Recovered execution only; assignment date and unclaimed-offer denominator unavailable</x:v>
      </x:c>
    </x:row>
    <x:row r="947">
      <x:c r="A947" s="252" t="str">
        <x:v>34607480</x:v>
      </x:c>
      <x:c r="B947" s="253" t="str">
        <x:v>WS1</x:v>
      </x:c>
      <x:c r="C947" s="253" t="str">
        <x:v>MB8</x:v>
      </x:c>
      <x:c r="D947" s="262" t="n">
        <x:v>46188.90930555556</x:v>
      </x:c>
      <x:c r="E947" s="259" t="n">
        <x:v>46188.166666666664</x:v>
      </x:c>
      <x:c r="F947" s="253" t="str">
        <x:v>815519</x:v>
      </x:c>
      <x:c r="G947" s="253" t="str">
        <x:v>Mac1228</x:v>
      </x:c>
      <x:c r="H947" s="253" t="str">
        <x:v>Yes</x:v>
      </x:c>
      <x:c r="I947" s="253" t="str">
        <x:v>Tammy</x:v>
      </x:c>
      <x:c r="J947" s="253" t="str">
        <x:v>Tammy</x:v>
      </x:c>
      <x:c r="K947" s="259" t="n">
        <x:v>45951.166666666664</x:v>
      </x:c>
      <x:c r="L947" s="268" t="str">
        <x:f>IFERROR(VLOOKUP(I947,'Handler-Team Map'!$A$7:$C$17,2,FALSE),"")</x:f>
      </x:c>
      <x:c r="M947" s="268" t="str">
        <x:f>IFERROR(VLOOKUP(I947,'Handler-Team Map'!$A$7:$C$17,3,FALSE),"")</x:f>
      </x:c>
      <x:c r="N947" s="274" t="str">
        <x:v>FT_VM_DEP300_GET100_5X</x:v>
      </x:c>
      <x:c r="O947" s="274" t="str">
        <x:v>VIP BONUS - Deposit 300 Get 100 - 5x TO</x:v>
      </x:c>
      <x:c r="P947" s="274" t="str">
        <x:v>DepositBonus</x:v>
      </x:c>
      <x:c r="Q947" s="274" t="str">
        <x:v>Approved</x:v>
      </x:c>
      <x:c r="R947" s="265" t="n">
        <x:v>100</x:v>
      </x:c>
      <x:c r="S947" s="253" t="str">
        <x:v>Yes</x:v>
      </x:c>
      <x:c r="T947" s="265" t="n">
        <x:v>51450</x:v>
      </x:c>
      <x:c r="U947" s="253" t="str">
        <x:f>IF(AND(S947="Yes",T947=0),"Yes","No")</x:f>
        <x:v>No</x:v>
      </x:c>
      <x:c r="V947" s="253" t="str">
        <x:v>Yes</x:v>
      </x:c>
      <x:c r="W947" s="253" t="str">
        <x:v>Yes</x:v>
      </x:c>
      <x:c r="X947" s="259" t="n">
        <x:v>46188.166666666664</x:v>
      </x:c>
      <x:c r="Y947" s="265" t="n">
        <x:v>22000</x:v>
      </x:c>
      <x:c r="Z947" s="265" t="n">
        <x:v>35500</x:v>
      </x:c>
      <x:c r="AA947" s="253" t="str">
        <x:f>IF(V947="No","Maturing",IF(AND(U947="Yes",Y947&gt;0),"Yes","No"))</x:f>
        <x:v>No</x:v>
      </x:c>
      <x:c r="AB947" s="253" t="str">
        <x:f>IF(W947="No","Maturing",IF(AND(U947="Yes",Z947&gt;0),"Yes","No"))</x:f>
        <x:v>No</x:v>
      </x:c>
      <x:c r="AC947" s="265" t="n">
        <x:v>2879.85</x:v>
      </x:c>
      <x:c r="AD947" s="265" t="n">
        <x:v>13489.88</x:v>
      </x:c>
      <x:c r="AE947" s="271" t="str"/>
      <x:c r="AF947" s="274" t="str">
        <x:v>Not validated - no control/holdout</x:v>
      </x:c>
      <x:c r="AG947" s="277" t="str">
        <x:v>Recovered execution only; assignment date and unclaimed-offer denominator unavailable</x:v>
      </x:c>
    </x:row>
    <x:row r="948">
      <x:c r="A948" s="252" t="str">
        <x:v>34608547</x:v>
      </x:c>
      <x:c r="B948" s="253" t="str">
        <x:v>WS1</x:v>
      </x:c>
      <x:c r="C948" s="253" t="str">
        <x:v>MB8</x:v>
      </x:c>
      <x:c r="D948" s="262" t="n">
        <x:v>46188.97116898148</x:v>
      </x:c>
      <x:c r="E948" s="259" t="n">
        <x:v>46188.166666666664</x:v>
      </x:c>
      <x:c r="F948" s="253" t="str">
        <x:v>532295</x:v>
      </x:c>
      <x:c r="G948" s="253" t="str">
        <x:v>tonyass</x:v>
      </x:c>
      <x:c r="H948" s="253" t="str">
        <x:v>Yes</x:v>
      </x:c>
      <x:c r="I948" s="253" t="str">
        <x:v>Elda</x:v>
      </x:c>
      <x:c r="J948" s="253" t="str">
        <x:v>Elda</x:v>
      </x:c>
      <x:c r="K948" s="259" t="n">
        <x:v>45659.166666666664</x:v>
      </x:c>
      <x:c r="L948" s="268" t="str">
        <x:f>IFERROR(VLOOKUP(I948,'Handler-Team Map'!$A$7:$C$17,2,FALSE),"")</x:f>
      </x:c>
      <x:c r="M948" s="268" t="str">
        <x:f>IFERROR(VLOOKUP(I948,'Handler-Team Map'!$A$7:$C$17,3,FALSE),"")</x:f>
      </x:c>
      <x:c r="N948" s="274" t="str">
        <x:v>FT_VM_DEP1000_GET500_5X</x:v>
      </x:c>
      <x:c r="O948" s="274" t="str">
        <x:v>VIP BONUS - Deposit 1000 Get 500 - 5x TO</x:v>
      </x:c>
      <x:c r="P948" s="274" t="str">
        <x:v>DepositBonus</x:v>
      </x:c>
      <x:c r="Q948" s="274" t="str">
        <x:v>Approved</x:v>
      </x:c>
      <x:c r="R948" s="265" t="n">
        <x:v>500</x:v>
      </x:c>
      <x:c r="S948" s="253" t="str">
        <x:v>Yes</x:v>
      </x:c>
      <x:c r="T948" s="265" t="n">
        <x:v>6450</x:v>
      </x:c>
      <x:c r="U948" s="253" t="str">
        <x:f>IF(AND(S948="Yes",T948=0),"Yes","No")</x:f>
        <x:v>No</x:v>
      </x:c>
      <x:c r="V948" s="253" t="str">
        <x:v>Yes</x:v>
      </x:c>
      <x:c r="W948" s="253" t="str">
        <x:v>Yes</x:v>
      </x:c>
      <x:c r="X948" s="259" t="n">
        <x:v>46188.166666666664</x:v>
      </x:c>
      <x:c r="Y948" s="265" t="n">
        <x:v>2500</x:v>
      </x:c>
      <x:c r="Z948" s="265" t="n">
        <x:v>3500</x:v>
      </x:c>
      <x:c r="AA948" s="253" t="str">
        <x:f>IF(V948="No","Maturing",IF(AND(U948="Yes",Y948&gt;0),"Yes","No"))</x:f>
        <x:v>No</x:v>
      </x:c>
      <x:c r="AB948" s="253" t="str">
        <x:f>IF(W948="No","Maturing",IF(AND(U948="Yes",Z948&gt;0),"Yes","No"))</x:f>
        <x:v>No</x:v>
      </x:c>
      <x:c r="AC948" s="265" t="n">
        <x:v>1748.12</x:v>
      </x:c>
      <x:c r="AD948" s="265" t="n">
        <x:v>1643.57</x:v>
      </x:c>
      <x:c r="AE948" s="271" t="str"/>
      <x:c r="AF948" s="274" t="str">
        <x:v>Not validated - no control/holdout</x:v>
      </x:c>
      <x:c r="AG948" s="277" t="str">
        <x:v>Recovered execution only; assignment date and unclaimed-offer denominator unavailable</x:v>
      </x:c>
    </x:row>
    <x:row r="949">
      <x:c r="A949" s="252" t="str">
        <x:v>34608772</x:v>
      </x:c>
      <x:c r="B949" s="253" t="str">
        <x:v>WS1</x:v>
      </x:c>
      <x:c r="C949" s="253" t="str">
        <x:v>MB8</x:v>
      </x:c>
      <x:c r="D949" s="262" t="n">
        <x:v>46188.98211805556</x:v>
      </x:c>
      <x:c r="E949" s="259" t="n">
        <x:v>46188.166666666664</x:v>
      </x:c>
      <x:c r="F949" s="253" t="str">
        <x:v>847103</x:v>
      </x:c>
      <x:c r="G949" s="253" t="str">
        <x:v>Many08</x:v>
      </x:c>
      <x:c r="H949" s="253" t="str">
        <x:v>Yes</x:v>
      </x:c>
      <x:c r="I949" s="253" t="str">
        <x:v>Elda</x:v>
      </x:c>
      <x:c r="J949" s="253" t="str">
        <x:v>Elda</x:v>
      </x:c>
      <x:c r="K949" s="259" t="n">
        <x:v>45887.166666666664</x:v>
      </x:c>
      <x:c r="L949" s="268" t="str">
        <x:f>IFERROR(VLOOKUP(I949,'Handler-Team Map'!$A$7:$C$17,2,FALSE),"")</x:f>
      </x:c>
      <x:c r="M949" s="268" t="str">
        <x:f>IFERROR(VLOOKUP(I949,'Handler-Team Map'!$A$7:$C$17,3,FALSE),"")</x:f>
      </x:c>
      <x:c r="N949" s="274" t="str">
        <x:v>FT_VM_DEP300_GET100_5X</x:v>
      </x:c>
      <x:c r="O949" s="274" t="str">
        <x:v>VIP BONUS - Deposit 300 Get 100 - 5x TO</x:v>
      </x:c>
      <x:c r="P949" s="274" t="str">
        <x:v>DepositBonus</x:v>
      </x:c>
      <x:c r="Q949" s="274" t="str">
        <x:v>Approved</x:v>
      </x:c>
      <x:c r="R949" s="265" t="n">
        <x:v>100</x:v>
      </x:c>
      <x:c r="S949" s="253" t="str">
        <x:v>Yes</x:v>
      </x:c>
      <x:c r="T949" s="265" t="n">
        <x:v>20060</x:v>
      </x:c>
      <x:c r="U949" s="253" t="str">
        <x:f>IF(AND(S949="Yes",T949=0),"Yes","No")</x:f>
        <x:v>No</x:v>
      </x:c>
      <x:c r="V949" s="253" t="str">
        <x:v>Yes</x:v>
      </x:c>
      <x:c r="W949" s="253" t="str">
        <x:v>Yes</x:v>
      </x:c>
      <x:c r="X949" s="259" t="n">
        <x:v>46188.166666666664</x:v>
      </x:c>
      <x:c r="Y949" s="265" t="n">
        <x:v>5130</x:v>
      </x:c>
      <x:c r="Z949" s="265" t="n">
        <x:v>6140</x:v>
      </x:c>
      <x:c r="AA949" s="253" t="str">
        <x:f>IF(V949="No","Maturing",IF(AND(U949="Yes",Y949&gt;0),"Yes","No"))</x:f>
        <x:v>No</x:v>
      </x:c>
      <x:c r="AB949" s="253" t="str">
        <x:f>IF(W949="No","Maturing",IF(AND(U949="Yes",Z949&gt;0),"Yes","No"))</x:f>
        <x:v>No</x:v>
      </x:c>
      <x:c r="AC949" s="265" t="n">
        <x:v>2529.26</x:v>
      </x:c>
      <x:c r="AD949" s="265" t="n">
        <x:v>3694.41</x:v>
      </x:c>
      <x:c r="AE949" s="271" t="str"/>
      <x:c r="AF949" s="274" t="str">
        <x:v>Not validated - no control/holdout</x:v>
      </x:c>
      <x:c r="AG949" s="277" t="str">
        <x:v>Recovered execution only; assignment date and unclaimed-offer denominator unavailable</x:v>
      </x:c>
    </x:row>
    <x:row r="950">
      <x:c r="A950" s="252" t="str">
        <x:v>34609911</x:v>
      </x:c>
      <x:c r="B950" s="253" t="str">
        <x:v>WS1</x:v>
      </x:c>
      <x:c r="C950" s="253" t="str">
        <x:v>MB8</x:v>
      </x:c>
      <x:c r="D950" s="262" t="n">
        <x:v>46189.05800925926</x:v>
      </x:c>
      <x:c r="E950" s="259" t="n">
        <x:v>46189.166666666664</x:v>
      </x:c>
      <x:c r="F950" s="253" t="str">
        <x:v>565191</x:v>
      </x:c>
      <x:c r="G950" s="253" t="str">
        <x:v>Sasitaren</x:v>
      </x:c>
      <x:c r="H950" s="253" t="str">
        <x:v>Yes</x:v>
      </x:c>
      <x:c r="I950" s="253" t="str">
        <x:v>Kam</x:v>
      </x:c>
      <x:c r="J950" s="253" t="str">
        <x:v>Kam</x:v>
      </x:c>
      <x:c r="K950" s="259" t="n">
        <x:v>45951.166666666664</x:v>
      </x:c>
      <x:c r="L950" s="268" t="str">
        <x:f>IFERROR(VLOOKUP(I950,'Handler-Team Map'!$A$7:$C$17,2,FALSE),"")</x:f>
      </x:c>
      <x:c r="M950" s="268" t="str">
        <x:f>IFERROR(VLOOKUP(I950,'Handler-Team Map'!$A$7:$C$17,3,FALSE),"")</x:f>
      </x:c>
      <x:c r="N950" s="274" t="str">
        <x:v>FT_VM_DEP1000_GET500_5X</x:v>
      </x:c>
      <x:c r="O950" s="274" t="str">
        <x:v>VIP BONUS - Deposit 1000 Get 500 - 5x TO</x:v>
      </x:c>
      <x:c r="P950" s="274" t="str">
        <x:v>DepositBonus</x:v>
      </x:c>
      <x:c r="Q950" s="274" t="str">
        <x:v>Approved</x:v>
      </x:c>
      <x:c r="R950" s="265" t="n">
        <x:v>500</x:v>
      </x:c>
      <x:c r="S950" s="253" t="str">
        <x:v>Yes</x:v>
      </x:c>
      <x:c r="T950" s="265" t="n">
        <x:v>5968</x:v>
      </x:c>
      <x:c r="U950" s="253" t="str">
        <x:f>IF(AND(S950="Yes",T950=0),"Yes","No")</x:f>
        <x:v>No</x:v>
      </x:c>
      <x:c r="V950" s="253" t="str">
        <x:v>Yes</x:v>
      </x:c>
      <x:c r="W950" s="253" t="str">
        <x:v>Yes</x:v>
      </x:c>
      <x:c r="X950" s="259" t="n">
        <x:v>46189.166666666664</x:v>
      </x:c>
      <x:c r="Y950" s="265" t="n">
        <x:v>1818</x:v>
      </x:c>
      <x:c r="Z950" s="265" t="n">
        <x:v>17730</x:v>
      </x:c>
      <x:c r="AA950" s="253" t="str">
        <x:f>IF(V950="No","Maturing",IF(AND(U950="Yes",Y950&gt;0),"Yes","No"))</x:f>
        <x:v>No</x:v>
      </x:c>
      <x:c r="AB950" s="253" t="str">
        <x:f>IF(W950="No","Maturing",IF(AND(U950="Yes",Z950&gt;0),"Yes","No"))</x:f>
        <x:v>No</x:v>
      </x:c>
      <x:c r="AC950" s="265" t="n">
        <x:v>-11349.48</x:v>
      </x:c>
      <x:c r="AD950" s="265" t="n">
        <x:v>-17622.08</x:v>
      </x:c>
      <x:c r="AE950" s="271" t="str"/>
      <x:c r="AF950" s="274" t="str">
        <x:v>Not validated - no control/holdout</x:v>
      </x:c>
      <x:c r="AG950" s="277" t="str">
        <x:v>Recovered execution only; assignment date and unclaimed-offer denominator unavailable</x:v>
      </x:c>
    </x:row>
    <x:row r="951">
      <x:c r="A951" s="252" t="str">
        <x:v>34610710</x:v>
      </x:c>
      <x:c r="B951" s="253" t="str">
        <x:v>WS1</x:v>
      </x:c>
      <x:c r="C951" s="253" t="str">
        <x:v>MB8</x:v>
      </x:c>
      <x:c r="D951" s="262" t="n">
        <x:v>46189.12168981481</x:v>
      </x:c>
      <x:c r="E951" s="259" t="n">
        <x:v>46189.166666666664</x:v>
      </x:c>
      <x:c r="F951" s="253" t="str">
        <x:v>564867</x:v>
      </x:c>
      <x:c r="G951" s="253" t="str">
        <x:v>Nageen</x:v>
      </x:c>
      <x:c r="H951" s="253" t="str">
        <x:v>Yes</x:v>
      </x:c>
      <x:c r="I951" s="253" t="str">
        <x:v>Claire</x:v>
      </x:c>
      <x:c r="J951" s="253" t="str">
        <x:v>Claire</x:v>
      </x:c>
      <x:c r="K951" s="259" t="n">
        <x:v>45659.166666666664</x:v>
      </x:c>
      <x:c r="L951" s="268" t="str">
        <x:f>IFERROR(VLOOKUP(I951,'Handler-Team Map'!$A$7:$C$17,2,FALSE),"")</x:f>
      </x:c>
      <x:c r="M951" s="268" t="str">
        <x:f>IFERROR(VLOOKUP(I951,'Handler-Team Map'!$A$7:$C$17,3,FALSE),"")</x:f>
      </x:c>
      <x:c r="N951" s="274" t="str">
        <x:v>FT_VM_DEP700_GET300_2X</x:v>
      </x:c>
      <x:c r="O951" s="274" t="str">
        <x:v>VIP BONUS - Deposit 700 Get 300 - 2x TO</x:v>
      </x:c>
      <x:c r="P951" s="274" t="str">
        <x:v>DepositBonus</x:v>
      </x:c>
      <x:c r="Q951" s="274" t="str">
        <x:v>Approved</x:v>
      </x:c>
      <x:c r="R951" s="265" t="n">
        <x:v>300</x:v>
      </x:c>
      <x:c r="S951" s="253" t="str">
        <x:v>Yes</x:v>
      </x:c>
      <x:c r="T951" s="265" t="n">
        <x:v>80455.61</x:v>
      </x:c>
      <x:c r="U951" s="253" t="str">
        <x:f>IF(AND(S951="Yes",T951=0),"Yes","No")</x:f>
        <x:v>No</x:v>
      </x:c>
      <x:c r="V951" s="253" t="str">
        <x:v>Yes</x:v>
      </x:c>
      <x:c r="W951" s="253" t="str">
        <x:v>Yes</x:v>
      </x:c>
      <x:c r="X951" s="259" t="n">
        <x:v>46189.166666666664</x:v>
      </x:c>
      <x:c r="Y951" s="265" t="n">
        <x:v>25002.05</x:v>
      </x:c>
      <x:c r="Z951" s="265" t="n">
        <x:v>41487.05</x:v>
      </x:c>
      <x:c r="AA951" s="253" t="str">
        <x:f>IF(V951="No","Maturing",IF(AND(U951="Yes",Y951&gt;0),"Yes","No"))</x:f>
        <x:v>No</x:v>
      </x:c>
      <x:c r="AB951" s="253" t="str">
        <x:f>IF(W951="No","Maturing",IF(AND(U951="Yes",Z951&gt;0),"Yes","No"))</x:f>
        <x:v>No</x:v>
      </x:c>
      <x:c r="AC951" s="265" t="n">
        <x:v>16825.37</x:v>
      </x:c>
      <x:c r="AD951" s="265" t="n">
        <x:v>20454.73</x:v>
      </x:c>
      <x:c r="AE951" s="271" t="str"/>
      <x:c r="AF951" s="274" t="str">
        <x:v>Not validated - no control/holdout</x:v>
      </x:c>
      <x:c r="AG951" s="277" t="str">
        <x:v>Recovered execution only; assignment date and unclaimed-offer denominator unavailable</x:v>
      </x:c>
    </x:row>
    <x:row r="952">
      <x:c r="A952" s="252" t="str">
        <x:v>34613561</x:v>
      </x:c>
      <x:c r="B952" s="253" t="str">
        <x:v>WS1</x:v>
      </x:c>
      <x:c r="C952" s="253" t="str">
        <x:v>MB8</x:v>
      </x:c>
      <x:c r="D952" s="262" t="n">
        <x:v>46189.55253472222</x:v>
      </x:c>
      <x:c r="E952" s="259" t="n">
        <x:v>46189.166666666664</x:v>
      </x:c>
      <x:c r="F952" s="253" t="str">
        <x:v>356519</x:v>
      </x:c>
      <x:c r="G952" s="253" t="str">
        <x:v>ykp0112</x:v>
      </x:c>
      <x:c r="H952" s="253" t="str">
        <x:v>Yes</x:v>
      </x:c>
      <x:c r="I952" s="253" t="str">
        <x:v>zhen</x:v>
      </x:c>
      <x:c r="J952" s="253" t="str">
        <x:v>zhen</x:v>
      </x:c>
      <x:c r="K952" s="259" t="n">
        <x:v>45922.166666666664</x:v>
      </x:c>
      <x:c r="L952" s="268" t="str">
        <x:f>IFERROR(VLOOKUP(I952,'Handler-Team Map'!$A$7:$C$17,2,FALSE),"")</x:f>
      </x:c>
      <x:c r="M952" s="268" t="str">
        <x:f>IFERROR(VLOOKUP(I952,'Handler-Team Map'!$A$7:$C$17,3,FALSE),"")</x:f>
      </x:c>
      <x:c r="N952" s="274" t="str">
        <x:v>FT_VM_DEP1000_GET500_2X</x:v>
      </x:c>
      <x:c r="O952" s="274" t="str">
        <x:v>VIP BONUS - Deposit 1000 Get 500 - 2x TO</x:v>
      </x:c>
      <x:c r="P952" s="274" t="str">
        <x:v>DepositBonus</x:v>
      </x:c>
      <x:c r="Q952" s="274" t="str">
        <x:v>Approved</x:v>
      </x:c>
      <x:c r="R952" s="265" t="n">
        <x:v>500</x:v>
      </x:c>
      <x:c r="S952" s="253" t="str">
        <x:v>Yes</x:v>
      </x:c>
      <x:c r="T952" s="265" t="n">
        <x:v>1430</x:v>
      </x:c>
      <x:c r="U952" s="253" t="str">
        <x:f>IF(AND(S952="Yes",T952=0),"Yes","No")</x:f>
        <x:v>No</x:v>
      </x:c>
      <x:c r="V952" s="253" t="str">
        <x:v>Yes</x:v>
      </x:c>
      <x:c r="W952" s="253" t="str">
        <x:v>Yes</x:v>
      </x:c>
      <x:c r="X952" s="259" t="n">
        <x:v>46189.166666666664</x:v>
      </x:c>
      <x:c r="Y952" s="265" t="n">
        <x:v>11900</x:v>
      </x:c>
      <x:c r="Z952" s="265" t="n">
        <x:v>18590</x:v>
      </x:c>
      <x:c r="AA952" s="253" t="str">
        <x:f>IF(V952="No","Maturing",IF(AND(U952="Yes",Y952&gt;0),"Yes","No"))</x:f>
        <x:v>No</x:v>
      </x:c>
      <x:c r="AB952" s="253" t="str">
        <x:f>IF(W952="No","Maturing",IF(AND(U952="Yes",Z952&gt;0),"Yes","No"))</x:f>
        <x:v>No</x:v>
      </x:c>
      <x:c r="AC952" s="265" t="n">
        <x:v>-28976.51</x:v>
      </x:c>
      <x:c r="AD952" s="265" t="n">
        <x:v>-32878.01</x:v>
      </x:c>
      <x:c r="AE952" s="271" t="str"/>
      <x:c r="AF952" s="274" t="str">
        <x:v>Not validated - no control/holdout</x:v>
      </x:c>
      <x:c r="AG952" s="277" t="str">
        <x:v>Recovered execution only; assignment date and unclaimed-offer denominator unavailable</x:v>
      </x:c>
    </x:row>
    <x:row r="953">
      <x:c r="A953" s="252" t="str">
        <x:v>34614323</x:v>
      </x:c>
      <x:c r="B953" s="253" t="str">
        <x:v>WS1</x:v>
      </x:c>
      <x:c r="C953" s="253" t="str">
        <x:v>MB8</x:v>
      </x:c>
      <x:c r="D953" s="262" t="n">
        <x:v>46189.62763888889</x:v>
      </x:c>
      <x:c r="E953" s="259" t="n">
        <x:v>46189.166666666664</x:v>
      </x:c>
      <x:c r="F953" s="253" t="str">
        <x:v>49986</x:v>
      </x:c>
      <x:c r="G953" s="253" t="str">
        <x:v>De1973</x:v>
      </x:c>
      <x:c r="H953" s="253" t="str">
        <x:v>Yes</x:v>
      </x:c>
      <x:c r="I953" s="253" t="str">
        <x:v>Elda</x:v>
      </x:c>
      <x:c r="J953" s="253" t="str">
        <x:v>Elda</x:v>
      </x:c>
      <x:c r="K953" s="259" t="n">
        <x:v>45659.166666666664</x:v>
      </x:c>
      <x:c r="L953" s="268" t="str">
        <x:f>IFERROR(VLOOKUP(I953,'Handler-Team Map'!$A$7:$C$17,2,FALSE),"")</x:f>
      </x:c>
      <x:c r="M953" s="268" t="str">
        <x:f>IFERROR(VLOOKUP(I953,'Handler-Team Map'!$A$7:$C$17,3,FALSE),"")</x:f>
      </x:c>
      <x:c r="N953" s="274" t="str">
        <x:v>FT_VM_DEP700_GET300_2X</x:v>
      </x:c>
      <x:c r="O953" s="274" t="str">
        <x:v>VIP BONUS - Deposit 700 Get 300 - 2x TO</x:v>
      </x:c>
      <x:c r="P953" s="274" t="str">
        <x:v>DepositBonus</x:v>
      </x:c>
      <x:c r="Q953" s="274" t="str">
        <x:v>Approved</x:v>
      </x:c>
      <x:c r="R953" s="265" t="n">
        <x:v>300</x:v>
      </x:c>
      <x:c r="S953" s="253" t="str">
        <x:v>Yes</x:v>
      </x:c>
      <x:c r="T953" s="265" t="n">
        <x:v>192761</x:v>
      </x:c>
      <x:c r="U953" s="253" t="str">
        <x:f>IF(AND(S953="Yes",T953=0),"Yes","No")</x:f>
        <x:v>No</x:v>
      </x:c>
      <x:c r="V953" s="253" t="str">
        <x:v>Yes</x:v>
      </x:c>
      <x:c r="W953" s="253" t="str">
        <x:v>Yes</x:v>
      </x:c>
      <x:c r="X953" s="259" t="n">
        <x:v>46189.166666666664</x:v>
      </x:c>
      <x:c r="Y953" s="265" t="n">
        <x:v>81854</x:v>
      </x:c>
      <x:c r="Z953" s="265" t="n">
        <x:v>219874.88</x:v>
      </x:c>
      <x:c r="AA953" s="253" t="str">
        <x:f>IF(V953="No","Maturing",IF(AND(U953="Yes",Y953&gt;0),"Yes","No"))</x:f>
        <x:v>No</x:v>
      </x:c>
      <x:c r="AB953" s="253" t="str">
        <x:f>IF(W953="No","Maturing",IF(AND(U953="Yes",Z953&gt;0),"Yes","No"))</x:f>
        <x:v>No</x:v>
      </x:c>
      <x:c r="AC953" s="265" t="n">
        <x:v>-18314.23</x:v>
      </x:c>
      <x:c r="AD953" s="265" t="n">
        <x:v>8726.13</x:v>
      </x:c>
      <x:c r="AE953" s="271" t="str"/>
      <x:c r="AF953" s="274" t="str">
        <x:v>Not validated - no control/holdout</x:v>
      </x:c>
      <x:c r="AG953" s="277" t="str">
        <x:v>Recovered execution only; assignment date and unclaimed-offer denominator unavailable</x:v>
      </x:c>
    </x:row>
    <x:row r="954">
      <x:c r="A954" s="252" t="str">
        <x:v>34615952</x:v>
      </x:c>
      <x:c r="B954" s="253" t="str">
        <x:v>WS1</x:v>
      </x:c>
      <x:c r="C954" s="253" t="str">
        <x:v>MB8</x:v>
      </x:c>
      <x:c r="D954" s="262" t="n">
        <x:v>46189.771516203706</x:v>
      </x:c>
      <x:c r="E954" s="259" t="n">
        <x:v>46189.166666666664</x:v>
      </x:c>
      <x:c r="F954" s="253" t="str">
        <x:v>771769</x:v>
      </x:c>
      <x:c r="G954" s="253" t="str">
        <x:v>bladegeneration</x:v>
      </x:c>
      <x:c r="H954" s="253" t="str">
        <x:v>Yes</x:v>
      </x:c>
      <x:c r="I954" s="253" t="str">
        <x:v>Elda</x:v>
      </x:c>
      <x:c r="J954" s="253" t="str">
        <x:v>Elda</x:v>
      </x:c>
      <x:c r="K954" s="259" t="n">
        <x:v>45659.166666666664</x:v>
      </x:c>
      <x:c r="L954" s="268" t="str">
        <x:f>IFERROR(VLOOKUP(I954,'Handler-Team Map'!$A$7:$C$17,2,FALSE),"")</x:f>
      </x:c>
      <x:c r="M954" s="268" t="str">
        <x:f>IFERROR(VLOOKUP(I954,'Handler-Team Map'!$A$7:$C$17,3,FALSE),"")</x:f>
      </x:c>
      <x:c r="N954" s="274" t="str">
        <x:v>FT_VM_DEP1000_GET800_2X</x:v>
      </x:c>
      <x:c r="O954" s="274" t="str">
        <x:v>VIP BONUS - Deposit 1000 Get 800 - 2x TO</x:v>
      </x:c>
      <x:c r="P954" s="274" t="str">
        <x:v>DepositBonus</x:v>
      </x:c>
      <x:c r="Q954" s="274" t="str">
        <x:v>Approved</x:v>
      </x:c>
      <x:c r="R954" s="265" t="n">
        <x:v>800</x:v>
      </x:c>
      <x:c r="S954" s="253" t="str">
        <x:v>Yes</x:v>
      </x:c>
      <x:c r="T954" s="265" t="n">
        <x:v>3680</x:v>
      </x:c>
      <x:c r="U954" s="253" t="str">
        <x:f>IF(AND(S954="Yes",T954=0),"Yes","No")</x:f>
        <x:v>No</x:v>
      </x:c>
      <x:c r="V954" s="253" t="str">
        <x:v>Yes</x:v>
      </x:c>
      <x:c r="W954" s="253" t="str">
        <x:v>Yes</x:v>
      </x:c>
      <x:c r="X954" s="259" t="n">
        <x:v>46189.166666666664</x:v>
      </x:c>
      <x:c r="Y954" s="265" t="n">
        <x:v>27800</x:v>
      </x:c>
      <x:c r="Z954" s="265" t="n">
        <x:v>79700</x:v>
      </x:c>
      <x:c r="AA954" s="253" t="str">
        <x:f>IF(V954="No","Maturing",IF(AND(U954="Yes",Y954&gt;0),"Yes","No"))</x:f>
        <x:v>No</x:v>
      </x:c>
      <x:c r="AB954" s="253" t="str">
        <x:f>IF(W954="No","Maturing",IF(AND(U954="Yes",Z954&gt;0),"Yes","No"))</x:f>
        <x:v>No</x:v>
      </x:c>
      <x:c r="AC954" s="265" t="n">
        <x:v>-7603.05</x:v>
      </x:c>
      <x:c r="AD954" s="265" t="n">
        <x:v>-11117.87</x:v>
      </x:c>
      <x:c r="AE954" s="271" t="str"/>
      <x:c r="AF954" s="274" t="str">
        <x:v>Not validated - no control/holdout</x:v>
      </x:c>
      <x:c r="AG954" s="277" t="str">
        <x:v>Recovered execution only; assignment date and unclaimed-offer denominator unavailable</x:v>
      </x:c>
    </x:row>
    <x:row r="955">
      <x:c r="A955" s="252" t="str">
        <x:v>34616235</x:v>
      </x:c>
      <x:c r="B955" s="253" t="str">
        <x:v>WS1</x:v>
      </x:c>
      <x:c r="C955" s="253" t="str">
        <x:v>MB8</x:v>
      </x:c>
      <x:c r="D955" s="262" t="n">
        <x:v>46189.798125</x:v>
      </x:c>
      <x:c r="E955" s="259" t="n">
        <x:v>46189.166666666664</x:v>
      </x:c>
      <x:c r="F955" s="253" t="str">
        <x:v>609181</x:v>
      </x:c>
      <x:c r="G955" s="253" t="str">
        <x:v>Tamyusiong</x:v>
      </x:c>
      <x:c r="H955" s="253" t="str">
        <x:v>Yes</x:v>
      </x:c>
      <x:c r="I955" s="253" t="str">
        <x:v>Christy</x:v>
      </x:c>
      <x:c r="J955" s="253" t="str">
        <x:v>Christy</x:v>
      </x:c>
      <x:c r="K955" s="259" t="n">
        <x:v>45859.166666666664</x:v>
      </x:c>
      <x:c r="L955" s="268" t="str">
        <x:f>IFERROR(VLOOKUP(I955,'Handler-Team Map'!$A$7:$C$17,2,FALSE),"")</x:f>
      </x:c>
      <x:c r="M955" s="268" t="str">
        <x:f>IFERROR(VLOOKUP(I955,'Handler-Team Map'!$A$7:$C$17,3,FALSE),"")</x:f>
      </x:c>
      <x:c r="N955" s="274" t="str">
        <x:v>FT_VM_DEP1000_GET500_5X</x:v>
      </x:c>
      <x:c r="O955" s="274" t="str">
        <x:v>VIP BONUS - Deposit 1000 Get 500 - 5x TO</x:v>
      </x:c>
      <x:c r="P955" s="274" t="str">
        <x:v>DepositBonus</x:v>
      </x:c>
      <x:c r="Q955" s="274" t="str">
        <x:v>Approved</x:v>
      </x:c>
      <x:c r="R955" s="265" t="n">
        <x:v>500</x:v>
      </x:c>
      <x:c r="S955" s="253" t="str">
        <x:v>Yes</x:v>
      </x:c>
      <x:c r="T955" s="265" t="n">
        <x:v>750</x:v>
      </x:c>
      <x:c r="U955" s="253" t="str">
        <x:f>IF(AND(S955="Yes",T955=0),"Yes","No")</x:f>
        <x:v>No</x:v>
      </x:c>
      <x:c r="V955" s="253" t="str">
        <x:v>Yes</x:v>
      </x:c>
      <x:c r="W955" s="253" t="str">
        <x:v>Yes</x:v>
      </x:c>
      <x:c r="X955" s="259" t="n">
        <x:v>46189.166666666664</x:v>
      </x:c>
      <x:c r="Y955" s="265" t="n">
        <x:v>1150</x:v>
      </x:c>
      <x:c r="Z955" s="265" t="n">
        <x:v>3700</x:v>
      </x:c>
      <x:c r="AA955" s="253" t="str">
        <x:f>IF(V955="No","Maturing",IF(AND(U955="Yes",Y955&gt;0),"Yes","No"))</x:f>
        <x:v>No</x:v>
      </x:c>
      <x:c r="AB955" s="253" t="str">
        <x:f>IF(W955="No","Maturing",IF(AND(U955="Yes",Z955&gt;0),"Yes","No"))</x:f>
        <x:v>No</x:v>
      </x:c>
      <x:c r="AC955" s="265" t="n">
        <x:v>-3941.1</x:v>
      </x:c>
      <x:c r="AD955" s="265" t="n">
        <x:v>-4824.63</x:v>
      </x:c>
      <x:c r="AE955" s="271" t="str"/>
      <x:c r="AF955" s="274" t="str">
        <x:v>Not validated - no control/holdout</x:v>
      </x:c>
      <x:c r="AG955" s="277" t="str">
        <x:v>Recovered execution only; assignment date and unclaimed-offer denominator unavailable</x:v>
      </x:c>
    </x:row>
    <x:row r="956">
      <x:c r="A956" s="252" t="str">
        <x:v>34616365</x:v>
      </x:c>
      <x:c r="B956" s="253" t="str">
        <x:v>WS1</x:v>
      </x:c>
      <x:c r="C956" s="253" t="str">
        <x:v>MB8</x:v>
      </x:c>
      <x:c r="D956" s="262" t="n">
        <x:v>46189.8103125</x:v>
      </x:c>
      <x:c r="E956" s="259" t="n">
        <x:v>46189.166666666664</x:v>
      </x:c>
      <x:c r="F956" s="253" t="str">
        <x:v>481140</x:v>
      </x:c>
      <x:c r="G956" s="253" t="str">
        <x:v>Tb333333</x:v>
      </x:c>
      <x:c r="H956" s="253" t="str">
        <x:v>Yes</x:v>
      </x:c>
      <x:c r="I956" s="253" t="str">
        <x:v>Jiahui</x:v>
      </x:c>
      <x:c r="J956" s="253" t="str">
        <x:v>Jiahui</x:v>
      </x:c>
      <x:c r="K956" s="259" t="n">
        <x:v>46014.166666666664</x:v>
      </x:c>
      <x:c r="L956" s="268" t="str">
        <x:f>IFERROR(VLOOKUP(I956,'Handler-Team Map'!$A$7:$C$17,2,FALSE),"")</x:f>
      </x:c>
      <x:c r="M956" s="268" t="str">
        <x:f>IFERROR(VLOOKUP(I956,'Handler-Team Map'!$A$7:$C$17,3,FALSE),"")</x:f>
      </x:c>
      <x:c r="N956" s="274" t="str">
        <x:v>FT_VM_DEP800_GET400_2X</x:v>
      </x:c>
      <x:c r="O956" s="274" t="str">
        <x:v>VIP BONUS - Deposit 800 Get 400 - 2x TO</x:v>
      </x:c>
      <x:c r="P956" s="274" t="str">
        <x:v>DepositBonus</x:v>
      </x:c>
      <x:c r="Q956" s="274" t="str">
        <x:v>Approved</x:v>
      </x:c>
      <x:c r="R956" s="265" t="n">
        <x:v>400</x:v>
      </x:c>
      <x:c r="S956" s="253" t="str">
        <x:v>Yes</x:v>
      </x:c>
      <x:c r="T956" s="265" t="n">
        <x:v>350</x:v>
      </x:c>
      <x:c r="U956" s="253" t="str">
        <x:f>IF(AND(S956="Yes",T956=0),"Yes","No")</x:f>
        <x:v>No</x:v>
      </x:c>
      <x:c r="V956" s="253" t="str">
        <x:v>Yes</x:v>
      </x:c>
      <x:c r="W956" s="253" t="str">
        <x:v>Yes</x:v>
      </x:c>
      <x:c r="X956" s="259" t="n">
        <x:v>46189.166666666664</x:v>
      </x:c>
      <x:c r="Y956" s="265" t="n">
        <x:v>800</x:v>
      </x:c>
      <x:c r="Z956" s="265" t="n">
        <x:v>1050</x:v>
      </x:c>
      <x:c r="AA956" s="253" t="str">
        <x:f>IF(V956="No","Maturing",IF(AND(U956="Yes",Y956&gt;0),"Yes","No"))</x:f>
        <x:v>No</x:v>
      </x:c>
      <x:c r="AB956" s="253" t="str">
        <x:f>IF(W956="No","Maturing",IF(AND(U956="Yes",Z956&gt;0),"Yes","No"))</x:f>
        <x:v>No</x:v>
      </x:c>
      <x:c r="AC956" s="265" t="n">
        <x:v>799.52</x:v>
      </x:c>
      <x:c r="AD956" s="265" t="n">
        <x:v>1049.09</x:v>
      </x:c>
      <x:c r="AE956" s="271" t="str"/>
      <x:c r="AF956" s="274" t="str">
        <x:v>Not validated - no control/holdout</x:v>
      </x:c>
      <x:c r="AG956" s="277" t="str">
        <x:v>Recovered execution only; assignment date and unclaimed-offer denominator unavailable</x:v>
      </x:c>
    </x:row>
    <x:row r="957">
      <x:c r="A957" s="252" t="str">
        <x:v>34616421</x:v>
      </x:c>
      <x:c r="B957" s="253" t="str">
        <x:v>WS1</x:v>
      </x:c>
      <x:c r="C957" s="253" t="str">
        <x:v>MB8</x:v>
      </x:c>
      <x:c r="D957" s="262" t="n">
        <x:v>46189.81584490741</x:v>
      </x:c>
      <x:c r="E957" s="259" t="n">
        <x:v>46189.166666666664</x:v>
      </x:c>
      <x:c r="F957" s="253" t="str">
        <x:v>533556</x:v>
      </x:c>
      <x:c r="G957" s="253" t="str">
        <x:v>kcchiew</x:v>
      </x:c>
      <x:c r="H957" s="253" t="str">
        <x:v>Yes</x:v>
      </x:c>
      <x:c r="I957" s="253" t="str"/>
      <x:c r="J957" s="253" t="str"/>
      <x:c r="K957" s="259"/>
      <x:c r="L957" s="268" t="str">
        <x:f>IFERROR(VLOOKUP(I957,'Handler-Team Map'!$A$7:$C$17,2,FALSE),"")</x:f>
      </x:c>
      <x:c r="M957" s="268" t="str">
        <x:f>IFERROR(VLOOKUP(I957,'Handler-Team Map'!$A$7:$C$17,3,FALSE),"")</x:f>
      </x:c>
      <x:c r="N957" s="274" t="str">
        <x:v>FT_VM_DEP600_GET200_5X</x:v>
      </x:c>
      <x:c r="O957" s="274" t="str">
        <x:v>VIP BONUS - Deposit 600 Get 200 - 5x TO</x:v>
      </x:c>
      <x:c r="P957" s="274" t="str">
        <x:v>DepositBonus</x:v>
      </x:c>
      <x:c r="Q957" s="274" t="str">
        <x:v>Approved</x:v>
      </x:c>
      <x:c r="R957" s="265" t="n">
        <x:v>200</x:v>
      </x:c>
      <x:c r="S957" s="253" t="str">
        <x:v>Yes</x:v>
      </x:c>
      <x:c r="T957" s="265" t="n">
        <x:v>1530</x:v>
      </x:c>
      <x:c r="U957" s="253" t="str">
        <x:f>IF(AND(S957="Yes",T957=0),"Yes","No")</x:f>
        <x:v>No</x:v>
      </x:c>
      <x:c r="V957" s="253" t="str">
        <x:v>Yes</x:v>
      </x:c>
      <x:c r="W957" s="253" t="str">
        <x:v>Yes</x:v>
      </x:c>
      <x:c r="X957" s="259" t="n">
        <x:v>46189.166666666664</x:v>
      </x:c>
      <x:c r="Y957" s="265" t="n">
        <x:v>900</x:v>
      </x:c>
      <x:c r="Z957" s="265" t="n">
        <x:v>1500</x:v>
      </x:c>
      <x:c r="AA957" s="253" t="str">
        <x:f>IF(V957="No","Maturing",IF(AND(U957="Yes",Y957&gt;0),"Yes","No"))</x:f>
        <x:v>No</x:v>
      </x:c>
      <x:c r="AB957" s="253" t="str">
        <x:f>IF(W957="No","Maturing",IF(AND(U957="Yes",Z957&gt;0),"Yes","No"))</x:f>
        <x:v>No</x:v>
      </x:c>
      <x:c r="AC957" s="265" t="n">
        <x:v>-53.85</x:v>
      </x:c>
      <x:c r="AD957" s="265" t="n">
        <x:v>-54.8</x:v>
      </x:c>
      <x:c r="AE957" s="271" t="str"/>
      <x:c r="AF957" s="274" t="str">
        <x:v>Not validated - no control/holdout</x:v>
      </x:c>
      <x:c r="AG957" s="277" t="str">
        <x:v>Recovered execution only; assignment date and unclaimed-offer denominator unavailable</x:v>
      </x:c>
    </x:row>
    <x:row r="958">
      <x:c r="A958" s="252" t="str">
        <x:v>34616713</x:v>
      </x:c>
      <x:c r="B958" s="253" t="str">
        <x:v>WS1</x:v>
      </x:c>
      <x:c r="C958" s="253" t="str">
        <x:v>MB8</x:v>
      </x:c>
      <x:c r="D958" s="262" t="n">
        <x:v>46189.84074074074</x:v>
      </x:c>
      <x:c r="E958" s="259" t="n">
        <x:v>46189.166666666664</x:v>
      </x:c>
      <x:c r="F958" s="253" t="str">
        <x:v>977657</x:v>
      </x:c>
      <x:c r="G958" s="253" t="str">
        <x:v>CSS8897</x:v>
      </x:c>
      <x:c r="H958" s="253" t="str">
        <x:v>Yes</x:v>
      </x:c>
      <x:c r="I958" s="253" t="str">
        <x:v>zhen</x:v>
      </x:c>
      <x:c r="J958" s="253" t="str">
        <x:v>zhen</x:v>
      </x:c>
      <x:c r="K958" s="259" t="n">
        <x:v>45922.166666666664</x:v>
      </x:c>
      <x:c r="L958" s="268" t="str">
        <x:f>IFERROR(VLOOKUP(I958,'Handler-Team Map'!$A$7:$C$17,2,FALSE),"")</x:f>
      </x:c>
      <x:c r="M958" s="268" t="str">
        <x:f>IFERROR(VLOOKUP(I958,'Handler-Team Map'!$A$7:$C$17,3,FALSE),"")</x:f>
      </x:c>
      <x:c r="N958" s="274" t="str">
        <x:v>FT_VM_DEP1000_GET500_5X</x:v>
      </x:c>
      <x:c r="O958" s="274" t="str">
        <x:v>VIP BONUS - Deposit 1000 Get 500 - 5x TO</x:v>
      </x:c>
      <x:c r="P958" s="274" t="str">
        <x:v>DepositBonus</x:v>
      </x:c>
      <x:c r="Q958" s="274" t="str">
        <x:v>Approved</x:v>
      </x:c>
      <x:c r="R958" s="265" t="n">
        <x:v>500</x:v>
      </x:c>
      <x:c r="S958" s="253" t="str">
        <x:v>Yes</x:v>
      </x:c>
      <x:c r="T958" s="265" t="n">
        <x:v>4000</x:v>
      </x:c>
      <x:c r="U958" s="253" t="str">
        <x:f>IF(AND(S958="Yes",T958=0),"Yes","No")</x:f>
        <x:v>No</x:v>
      </x:c>
      <x:c r="V958" s="253" t="str">
        <x:v>Yes</x:v>
      </x:c>
      <x:c r="W958" s="253" t="str">
        <x:v>Yes</x:v>
      </x:c>
      <x:c r="X958" s="259" t="n">
        <x:v>46189.166666666664</x:v>
      </x:c>
      <x:c r="Y958" s="265" t="n">
        <x:v>1000</x:v>
      </x:c>
      <x:c r="Z958" s="265" t="n">
        <x:v>1000</x:v>
      </x:c>
      <x:c r="AA958" s="253" t="str">
        <x:f>IF(V958="No","Maturing",IF(AND(U958="Yes",Y958&gt;0),"Yes","No"))</x:f>
        <x:v>No</x:v>
      </x:c>
      <x:c r="AB958" s="253" t="str">
        <x:f>IF(W958="No","Maturing",IF(AND(U958="Yes",Z958&gt;0),"Yes","No"))</x:f>
        <x:v>No</x:v>
      </x:c>
      <x:c r="AC958" s="265" t="n">
        <x:v>985.54</x:v>
      </x:c>
      <x:c r="AD958" s="265" t="n">
        <x:v>985.54</x:v>
      </x:c>
      <x:c r="AE958" s="271" t="str"/>
      <x:c r="AF958" s="274" t="str">
        <x:v>Not validated - no control/holdout</x:v>
      </x:c>
      <x:c r="AG958" s="277" t="str">
        <x:v>Recovered execution only; assignment date and unclaimed-offer denominator unavailable</x:v>
      </x:c>
    </x:row>
    <x:row r="959">
      <x:c r="A959" s="252" t="str">
        <x:v>34616770</x:v>
      </x:c>
      <x:c r="B959" s="253" t="str">
        <x:v>WS1</x:v>
      </x:c>
      <x:c r="C959" s="253" t="str">
        <x:v>MB8</x:v>
      </x:c>
      <x:c r="D959" s="262" t="n">
        <x:v>46189.8455787037</x:v>
      </x:c>
      <x:c r="E959" s="259" t="n">
        <x:v>46189.166666666664</x:v>
      </x:c>
      <x:c r="F959" s="253" t="str">
        <x:v>1201766</x:v>
      </x:c>
      <x:c r="G959" s="253" t="str">
        <x:v>eila118</x:v>
      </x:c>
      <x:c r="H959" s="253" t="str">
        <x:v>Yes</x:v>
      </x:c>
      <x:c r="I959" s="253" t="str"/>
      <x:c r="J959" s="253" t="str"/>
      <x:c r="K959" s="259"/>
      <x:c r="L959" s="268" t="str">
        <x:f>IFERROR(VLOOKUP(I959,'Handler-Team Map'!$A$7:$C$17,2,FALSE),"")</x:f>
      </x:c>
      <x:c r="M959" s="268" t="str">
        <x:f>IFERROR(VLOOKUP(I959,'Handler-Team Map'!$A$7:$C$17,3,FALSE),"")</x:f>
      </x:c>
      <x:c r="N959" s="274" t="str">
        <x:v>FT_VM_DEP600_GET200_5X</x:v>
      </x:c>
      <x:c r="O959" s="274" t="str">
        <x:v>VIP BONUS - Deposit 600 Get 200 - 5x TO</x:v>
      </x:c>
      <x:c r="P959" s="274" t="str">
        <x:v>DepositBonus</x:v>
      </x:c>
      <x:c r="Q959" s="274" t="str">
        <x:v>Approved</x:v>
      </x:c>
      <x:c r="R959" s="265" t="n">
        <x:v>200</x:v>
      </x:c>
      <x:c r="S959" s="253" t="str">
        <x:v>Yes</x:v>
      </x:c>
      <x:c r="T959" s="265" t="n">
        <x:v>338755</x:v>
      </x:c>
      <x:c r="U959" s="253" t="str">
        <x:f>IF(AND(S959="Yes",T959=0),"Yes","No")</x:f>
        <x:v>No</x:v>
      </x:c>
      <x:c r="V959" s="253" t="str">
        <x:v>Yes</x:v>
      </x:c>
      <x:c r="W959" s="253" t="str">
        <x:v>Yes</x:v>
      </x:c>
      <x:c r="X959" s="259" t="n">
        <x:v>46189.166666666664</x:v>
      </x:c>
      <x:c r="Y959" s="265" t="n">
        <x:v>15095</x:v>
      </x:c>
      <x:c r="Z959" s="265" t="n">
        <x:v>39373</x:v>
      </x:c>
      <x:c r="AA959" s="253" t="str">
        <x:f>IF(V959="No","Maturing",IF(AND(U959="Yes",Y959&gt;0),"Yes","No"))</x:f>
        <x:v>No</x:v>
      </x:c>
      <x:c r="AB959" s="253" t="str">
        <x:f>IF(W959="No","Maturing",IF(AND(U959="Yes",Z959&gt;0),"Yes","No"))</x:f>
        <x:v>No</x:v>
      </x:c>
      <x:c r="AC959" s="265" t="n">
        <x:v>14801.59</x:v>
      </x:c>
      <x:c r="AD959" s="265" t="n">
        <x:v>-12584.57</x:v>
      </x:c>
      <x:c r="AE959" s="271" t="str"/>
      <x:c r="AF959" s="274" t="str">
        <x:v>Not validated - no control/holdout</x:v>
      </x:c>
      <x:c r="AG959" s="277" t="str">
        <x:v>Recovered execution only; assignment date and unclaimed-offer denominator unavailable</x:v>
      </x:c>
    </x:row>
    <x:row r="960">
      <x:c r="A960" s="252" t="str">
        <x:v>34617485</x:v>
      </x:c>
      <x:c r="B960" s="253" t="str">
        <x:v>WS1</x:v>
      </x:c>
      <x:c r="C960" s="253" t="str">
        <x:v>MB8</x:v>
      </x:c>
      <x:c r="D960" s="262" t="n">
        <x:v>46189.90342592593</x:v>
      </x:c>
      <x:c r="E960" s="259" t="n">
        <x:v>46189.166666666664</x:v>
      </x:c>
      <x:c r="F960" s="253" t="str">
        <x:v>366220</x:v>
      </x:c>
      <x:c r="G960" s="253" t="str">
        <x:v>Bluebird84</x:v>
      </x:c>
      <x:c r="H960" s="253" t="str">
        <x:v>Yes</x:v>
      </x:c>
      <x:c r="I960" s="253" t="str">
        <x:v>Tammy</x:v>
      </x:c>
      <x:c r="J960" s="253" t="str">
        <x:v>Tammy</x:v>
      </x:c>
      <x:c r="K960" s="259" t="n">
        <x:v>45951.166666666664</x:v>
      </x:c>
      <x:c r="L960" s="268" t="str">
        <x:f>IFERROR(VLOOKUP(I960,'Handler-Team Map'!$A$7:$C$17,2,FALSE),"")</x:f>
      </x:c>
      <x:c r="M960" s="268" t="str">
        <x:f>IFERROR(VLOOKUP(I960,'Handler-Team Map'!$A$7:$C$17,3,FALSE),"")</x:f>
      </x:c>
      <x:c r="N960" s="274" t="str">
        <x:v>FT_VM_DEP1000_GET500_5X</x:v>
      </x:c>
      <x:c r="O960" s="274" t="str">
        <x:v>VIP BONUS - Deposit 1000 Get 500 - 5x TO</x:v>
      </x:c>
      <x:c r="P960" s="274" t="str">
        <x:v>DepositBonus</x:v>
      </x:c>
      <x:c r="Q960" s="274" t="str">
        <x:v>Approved</x:v>
      </x:c>
      <x:c r="R960" s="265" t="n">
        <x:v>500</x:v>
      </x:c>
      <x:c r="S960" s="253" t="str">
        <x:v>Yes</x:v>
      </x:c>
      <x:c r="T960" s="265" t="n">
        <x:v>3485</x:v>
      </x:c>
      <x:c r="U960" s="253" t="str">
        <x:f>IF(AND(S960="Yes",T960=0),"Yes","No")</x:f>
        <x:v>No</x:v>
      </x:c>
      <x:c r="V960" s="253" t="str">
        <x:v>Yes</x:v>
      </x:c>
      <x:c r="W960" s="253" t="str">
        <x:v>Yes</x:v>
      </x:c>
      <x:c r="X960" s="259" t="n">
        <x:v>46189.166666666664</x:v>
      </x:c>
      <x:c r="Y960" s="265" t="n">
        <x:v>7245</x:v>
      </x:c>
      <x:c r="Z960" s="265" t="n">
        <x:v>13585</x:v>
      </x:c>
      <x:c r="AA960" s="253" t="str">
        <x:f>IF(V960="No","Maturing",IF(AND(U960="Yes",Y960&gt;0),"Yes","No"))</x:f>
        <x:v>No</x:v>
      </x:c>
      <x:c r="AB960" s="253" t="str">
        <x:f>IF(W960="No","Maturing",IF(AND(U960="Yes",Z960&gt;0),"Yes","No"))</x:f>
        <x:v>No</x:v>
      </x:c>
      <x:c r="AC960" s="265" t="n">
        <x:v>-881.42</x:v>
      </x:c>
      <x:c r="AD960" s="265" t="n">
        <x:v>1244.28</x:v>
      </x:c>
      <x:c r="AE960" s="271" t="str"/>
      <x:c r="AF960" s="274" t="str">
        <x:v>Not validated - no control/holdout</x:v>
      </x:c>
      <x:c r="AG960" s="277" t="str">
        <x:v>Recovered execution only; assignment date and unclaimed-offer denominator unavailable</x:v>
      </x:c>
    </x:row>
    <x:row r="961">
      <x:c r="A961" s="252" t="str">
        <x:v>34617638</x:v>
      </x:c>
      <x:c r="B961" s="253" t="str">
        <x:v>WS1</x:v>
      </x:c>
      <x:c r="C961" s="253" t="str">
        <x:v>MB8</x:v>
      </x:c>
      <x:c r="D961" s="262" t="n">
        <x:v>46189.91627314815</x:v>
      </x:c>
      <x:c r="E961" s="259" t="n">
        <x:v>46189.166666666664</x:v>
      </x:c>
      <x:c r="F961" s="253" t="str">
        <x:v>625089</x:v>
      </x:c>
      <x:c r="G961" s="253" t="str">
        <x:v>hash1026</x:v>
      </x:c>
      <x:c r="H961" s="253" t="str">
        <x:v>Yes</x:v>
      </x:c>
      <x:c r="I961" s="253" t="str">
        <x:v>zhen</x:v>
      </x:c>
      <x:c r="J961" s="253" t="str">
        <x:v>zhen</x:v>
      </x:c>
      <x:c r="K961" s="259" t="n">
        <x:v>45922.166666666664</x:v>
      </x:c>
      <x:c r="L961" s="268" t="str">
        <x:f>IFERROR(VLOOKUP(I961,'Handler-Team Map'!$A$7:$C$17,2,FALSE),"")</x:f>
      </x:c>
      <x:c r="M961" s="268" t="str">
        <x:f>IFERROR(VLOOKUP(I961,'Handler-Team Map'!$A$7:$C$17,3,FALSE),"")</x:f>
      </x:c>
      <x:c r="N961" s="274" t="str">
        <x:v>FT_VM_DEP150_GET50_5X</x:v>
      </x:c>
      <x:c r="O961" s="274" t="str">
        <x:v>VIP BONUS - Deposit 150 Get 50 - 5x TO</x:v>
      </x:c>
      <x:c r="P961" s="274" t="str">
        <x:v>DepositBonus</x:v>
      </x:c>
      <x:c r="Q961" s="274" t="str">
        <x:v>Approved</x:v>
      </x:c>
      <x:c r="R961" s="265" t="n">
        <x:v>50</x:v>
      </x:c>
      <x:c r="S961" s="253" t="str">
        <x:v>Yes</x:v>
      </x:c>
      <x:c r="T961" s="265" t="n">
        <x:v>1919.64</x:v>
      </x:c>
      <x:c r="U961" s="253" t="str">
        <x:f>IF(AND(S961="Yes",T961=0),"Yes","No")</x:f>
        <x:v>No</x:v>
      </x:c>
      <x:c r="V961" s="253" t="str">
        <x:v>Yes</x:v>
      </x:c>
      <x:c r="W961" s="253" t="str">
        <x:v>Yes</x:v>
      </x:c>
      <x:c r="X961" s="259" t="n">
        <x:v>46189.166666666664</x:v>
      </x:c>
      <x:c r="Y961" s="265" t="n">
        <x:v>500</x:v>
      </x:c>
      <x:c r="Z961" s="265" t="n">
        <x:v>500</x:v>
      </x:c>
      <x:c r="AA961" s="253" t="str">
        <x:f>IF(V961="No","Maturing",IF(AND(U961="Yes",Y961&gt;0),"Yes","No"))</x:f>
        <x:v>No</x:v>
      </x:c>
      <x:c r="AB961" s="253" t="str">
        <x:f>IF(W961="No","Maturing",IF(AND(U961="Yes",Z961&gt;0),"Yes","No"))</x:f>
        <x:v>No</x:v>
      </x:c>
      <x:c r="AC961" s="265" t="n">
        <x:v>286.62</x:v>
      </x:c>
      <x:c r="AD961" s="265" t="n">
        <x:v>286.61</x:v>
      </x:c>
      <x:c r="AE961" s="271" t="str"/>
      <x:c r="AF961" s="274" t="str">
        <x:v>Not validated - no control/holdout</x:v>
      </x:c>
      <x:c r="AG961" s="277" t="str">
        <x:v>Recovered execution only; assignment date and unclaimed-offer denominator unavailable</x:v>
      </x:c>
    </x:row>
    <x:row r="962">
      <x:c r="A962" s="252" t="str">
        <x:v>34618183</x:v>
      </x:c>
      <x:c r="B962" s="253" t="str">
        <x:v>WS1</x:v>
      </x:c>
      <x:c r="C962" s="253" t="str">
        <x:v>MB8</x:v>
      </x:c>
      <x:c r="D962" s="262" t="n">
        <x:v>46189.95274305555</x:v>
      </x:c>
      <x:c r="E962" s="259" t="n">
        <x:v>46189.166666666664</x:v>
      </x:c>
      <x:c r="F962" s="253" t="str">
        <x:v>856604</x:v>
      </x:c>
      <x:c r="G962" s="253" t="str">
        <x:v>hwings79</x:v>
      </x:c>
      <x:c r="H962" s="253" t="str">
        <x:v>Yes</x:v>
      </x:c>
      <x:c r="I962" s="253" t="str">
        <x:v>Claire</x:v>
      </x:c>
      <x:c r="J962" s="253" t="str">
        <x:v>Claire</x:v>
      </x:c>
      <x:c r="K962" s="259" t="n">
        <x:v>45887.166666666664</x:v>
      </x:c>
      <x:c r="L962" s="268" t="str">
        <x:f>IFERROR(VLOOKUP(I962,'Handler-Team Map'!$A$7:$C$17,2,FALSE),"")</x:f>
      </x:c>
      <x:c r="M962" s="268" t="str">
        <x:f>IFERROR(VLOOKUP(I962,'Handler-Team Map'!$A$7:$C$17,3,FALSE),"")</x:f>
      </x:c>
      <x:c r="N962" s="274" t="str">
        <x:v>FT_VM_DEP300_GET100_2X</x:v>
      </x:c>
      <x:c r="O962" s="274" t="str">
        <x:v>VIP BONUS - Deposit 300 Get 100 - 2x TO</x:v>
      </x:c>
      <x:c r="P962" s="274" t="str">
        <x:v>DepositBonus</x:v>
      </x:c>
      <x:c r="Q962" s="274" t="str">
        <x:v>Approved</x:v>
      </x:c>
      <x:c r="R962" s="265" t="n">
        <x:v>100</x:v>
      </x:c>
      <x:c r="S962" s="253" t="str">
        <x:v>Yes</x:v>
      </x:c>
      <x:c r="T962" s="265" t="n">
        <x:v>9150</x:v>
      </x:c>
      <x:c r="U962" s="253" t="str">
        <x:f>IF(AND(S962="Yes",T962=0),"Yes","No")</x:f>
        <x:v>No</x:v>
      </x:c>
      <x:c r="V962" s="253" t="str">
        <x:v>Yes</x:v>
      </x:c>
      <x:c r="W962" s="253" t="str">
        <x:v>Yes</x:v>
      </x:c>
      <x:c r="X962" s="259" t="n">
        <x:v>46189.166666666664</x:v>
      </x:c>
      <x:c r="Y962" s="265" t="n">
        <x:v>780</x:v>
      </x:c>
      <x:c r="Z962" s="265" t="n">
        <x:v>6560</x:v>
      </x:c>
      <x:c r="AA962" s="253" t="str">
        <x:f>IF(V962="No","Maturing",IF(AND(U962="Yes",Y962&gt;0),"Yes","No"))</x:f>
        <x:v>No</x:v>
      </x:c>
      <x:c r="AB962" s="253" t="str">
        <x:f>IF(W962="No","Maturing",IF(AND(U962="Yes",Z962&gt;0),"Yes","No"))</x:f>
        <x:v>No</x:v>
      </x:c>
      <x:c r="AC962" s="265" t="n">
        <x:v>-698.03</x:v>
      </x:c>
      <x:c r="AD962" s="265" t="n">
        <x:v>-2975.19</x:v>
      </x:c>
      <x:c r="AE962" s="271" t="str"/>
      <x:c r="AF962" s="274" t="str">
        <x:v>Not validated - no control/holdout</x:v>
      </x:c>
      <x:c r="AG962" s="277" t="str">
        <x:v>Recovered execution only; assignment date and unclaimed-offer denominator unavailable</x:v>
      </x:c>
    </x:row>
    <x:row r="963">
      <x:c r="A963" s="252" t="str">
        <x:v>34618327</x:v>
      </x:c>
      <x:c r="B963" s="253" t="str">
        <x:v>WS1</x:v>
      </x:c>
      <x:c r="C963" s="253" t="str">
        <x:v>MB8</x:v>
      </x:c>
      <x:c r="D963" s="262" t="n">
        <x:v>46189.96104166667</x:v>
      </x:c>
      <x:c r="E963" s="259" t="n">
        <x:v>46189.166666666664</x:v>
      </x:c>
      <x:c r="F963" s="253" t="str">
        <x:v>1044016</x:v>
      </x:c>
      <x:c r="G963" s="253" t="str">
        <x:v>crapssam</x:v>
      </x:c>
      <x:c r="H963" s="253" t="str">
        <x:v>Yes</x:v>
      </x:c>
      <x:c r="I963" s="253" t="str">
        <x:v>Christy</x:v>
      </x:c>
      <x:c r="J963" s="253" t="str">
        <x:v>Christy</x:v>
      </x:c>
      <x:c r="K963" s="259" t="n">
        <x:v>45831.166666666664</x:v>
      </x:c>
      <x:c r="L963" s="268" t="str">
        <x:f>IFERROR(VLOOKUP(I963,'Handler-Team Map'!$A$7:$C$17,2,FALSE),"")</x:f>
      </x:c>
      <x:c r="M963" s="268" t="str">
        <x:f>IFERROR(VLOOKUP(I963,'Handler-Team Map'!$A$7:$C$17,3,FALSE),"")</x:f>
      </x:c>
      <x:c r="N963" s="274" t="str">
        <x:v>FT_VM_DEP1000_GET500_5X</x:v>
      </x:c>
      <x:c r="O963" s="274" t="str">
        <x:v>VIP BONUS - Deposit 1000 Get 500 - 5x TO</x:v>
      </x:c>
      <x:c r="P963" s="274" t="str">
        <x:v>DepositBonus</x:v>
      </x:c>
      <x:c r="Q963" s="274" t="str">
        <x:v>Approved</x:v>
      </x:c>
      <x:c r="R963" s="265" t="n">
        <x:v>500</x:v>
      </x:c>
      <x:c r="S963" s="253" t="str">
        <x:v>Yes</x:v>
      </x:c>
      <x:c r="T963" s="265" t="n">
        <x:v>1600</x:v>
      </x:c>
      <x:c r="U963" s="253" t="str">
        <x:f>IF(AND(S963="Yes",T963=0),"Yes","No")</x:f>
        <x:v>No</x:v>
      </x:c>
      <x:c r="V963" s="253" t="str">
        <x:v>Yes</x:v>
      </x:c>
      <x:c r="W963" s="253" t="str">
        <x:v>Yes</x:v>
      </x:c>
      <x:c r="X963" s="259" t="n">
        <x:v>46189.166666666664</x:v>
      </x:c>
      <x:c r="Y963" s="265" t="n">
        <x:v>2300</x:v>
      </x:c>
      <x:c r="Z963" s="265" t="n">
        <x:v>2800</x:v>
      </x:c>
      <x:c r="AA963" s="253" t="str">
        <x:f>IF(V963="No","Maturing",IF(AND(U963="Yes",Y963&gt;0),"Yes","No"))</x:f>
        <x:v>No</x:v>
      </x:c>
      <x:c r="AB963" s="253" t="str">
        <x:f>IF(W963="No","Maturing",IF(AND(U963="Yes",Z963&gt;0),"Yes","No"))</x:f>
        <x:v>No</x:v>
      </x:c>
      <x:c r="AC963" s="265" t="n">
        <x:v>-2463.49</x:v>
      </x:c>
      <x:c r="AD963" s="265" t="n">
        <x:v>-1963.06</x:v>
      </x:c>
      <x:c r="AE963" s="271" t="str"/>
      <x:c r="AF963" s="274" t="str">
        <x:v>Not validated - no control/holdout</x:v>
      </x:c>
      <x:c r="AG963" s="277" t="str">
        <x:v>Recovered execution only; assignment date and unclaimed-offer denominator unavailable</x:v>
      </x:c>
    </x:row>
    <x:row r="964">
      <x:c r="A964" s="252" t="str">
        <x:v>34619194</x:v>
      </x:c>
      <x:c r="B964" s="253" t="str">
        <x:v>WS1</x:v>
      </x:c>
      <x:c r="C964" s="253" t="str">
        <x:v>MB8</x:v>
      </x:c>
      <x:c r="D964" s="262" t="n">
        <x:v>46190.00728009259</x:v>
      </x:c>
      <x:c r="E964" s="259" t="n">
        <x:v>46190.166666666664</x:v>
      </x:c>
      <x:c r="F964" s="253" t="str">
        <x:v>434707</x:v>
      </x:c>
      <x:c r="G964" s="253" t="str">
        <x:v>Bee8295</x:v>
      </x:c>
      <x:c r="H964" s="253" t="str">
        <x:v>Yes</x:v>
      </x:c>
      <x:c r="I964" s="253" t="str"/>
      <x:c r="J964" s="253" t="str"/>
      <x:c r="K964" s="259"/>
      <x:c r="L964" s="268" t="str">
        <x:f>IFERROR(VLOOKUP(I964,'Handler-Team Map'!$A$7:$C$17,2,FALSE),"")</x:f>
      </x:c>
      <x:c r="M964" s="268" t="str">
        <x:f>IFERROR(VLOOKUP(I964,'Handler-Team Map'!$A$7:$C$17,3,FALSE),"")</x:f>
      </x:c>
      <x:c r="N964" s="274" t="str">
        <x:v>FT_VM_DEP1000_GET500_2X</x:v>
      </x:c>
      <x:c r="O964" s="274" t="str">
        <x:v>VIP BONUS - Deposit 1000 Get 500 - 2x TO</x:v>
      </x:c>
      <x:c r="P964" s="274" t="str">
        <x:v>DepositBonus</x:v>
      </x:c>
      <x:c r="Q964" s="274" t="str">
        <x:v>Approved</x:v>
      </x:c>
      <x:c r="R964" s="265" t="n">
        <x:v>500</x:v>
      </x:c>
      <x:c r="S964" s="253" t="str">
        <x:v>Yes</x:v>
      </x:c>
      <x:c r="T964" s="265" t="n">
        <x:v>2000</x:v>
      </x:c>
      <x:c r="U964" s="253" t="str">
        <x:f>IF(AND(S964="Yes",T964=0),"Yes","No")</x:f>
        <x:v>No</x:v>
      </x:c>
      <x:c r="V964" s="253" t="str">
        <x:v>Yes</x:v>
      </x:c>
      <x:c r="W964" s="253" t="str">
        <x:v>Yes</x:v>
      </x:c>
      <x:c r="X964" s="259" t="n">
        <x:v>46190.166666666664</x:v>
      </x:c>
      <x:c r="Y964" s="265" t="n">
        <x:v>1000</x:v>
      </x:c>
      <x:c r="Z964" s="265" t="n">
        <x:v>1000</x:v>
      </x:c>
      <x:c r="AA964" s="253" t="str">
        <x:f>IF(V964="No","Maturing",IF(AND(U964="Yes",Y964&gt;0),"Yes","No"))</x:f>
        <x:v>No</x:v>
      </x:c>
      <x:c r="AB964" s="253" t="str">
        <x:f>IF(W964="No","Maturing",IF(AND(U964="Yes",Z964&gt;0),"Yes","No"))</x:f>
        <x:v>No</x:v>
      </x:c>
      <x:c r="AC964" s="265" t="n">
        <x:v>35.1</x:v>
      </x:c>
      <x:c r="AD964" s="265" t="n">
        <x:v>35.1</x:v>
      </x:c>
      <x:c r="AE964" s="271" t="str"/>
      <x:c r="AF964" s="274" t="str">
        <x:v>Not validated - no control/holdout</x:v>
      </x:c>
      <x:c r="AG964" s="277" t="str">
        <x:v>Recovered execution only; assignment date and unclaimed-offer denominator unavailable</x:v>
      </x:c>
    </x:row>
    <x:row r="965">
      <x:c r="A965" s="252" t="str">
        <x:v>34619373</x:v>
      </x:c>
      <x:c r="B965" s="253" t="str">
        <x:v>WS1</x:v>
      </x:c>
      <x:c r="C965" s="253" t="str">
        <x:v>MB8</x:v>
      </x:c>
      <x:c r="D965" s="262" t="n">
        <x:v>46190.01877314815</x:v>
      </x:c>
      <x:c r="E965" s="259" t="n">
        <x:v>46190.166666666664</x:v>
      </x:c>
      <x:c r="F965" s="253" t="str">
        <x:v>900452</x:v>
      </x:c>
      <x:c r="G965" s="253" t="str">
        <x:v>att6363</x:v>
      </x:c>
      <x:c r="H965" s="253" t="str">
        <x:v>Yes</x:v>
      </x:c>
      <x:c r="I965" s="253" t="str"/>
      <x:c r="J965" s="253" t="str"/>
      <x:c r="K965" s="259"/>
      <x:c r="L965" s="268" t="str">
        <x:f>IFERROR(VLOOKUP(I965,'Handler-Team Map'!$A$7:$C$17,2,FALSE),"")</x:f>
      </x:c>
      <x:c r="M965" s="268" t="str">
        <x:f>IFERROR(VLOOKUP(I965,'Handler-Team Map'!$A$7:$C$17,3,FALSE),"")</x:f>
      </x:c>
      <x:c r="N965" s="274" t="str">
        <x:v>FT_VM_DEP600_GET200_5X</x:v>
      </x:c>
      <x:c r="O965" s="274" t="str">
        <x:v>VIP BONUS - Deposit 600 Get 200 - 5x TO</x:v>
      </x:c>
      <x:c r="P965" s="274" t="str">
        <x:v>DepositBonus</x:v>
      </x:c>
      <x:c r="Q965" s="274" t="str">
        <x:v>Approved</x:v>
      </x:c>
      <x:c r="R965" s="265" t="n">
        <x:v>200</x:v>
      </x:c>
      <x:c r="S965" s="253" t="str">
        <x:v>Yes</x:v>
      </x:c>
      <x:c r="T965" s="265" t="n">
        <x:v>3700</x:v>
      </x:c>
      <x:c r="U965" s="253" t="str">
        <x:f>IF(AND(S965="Yes",T965=0),"Yes","No")</x:f>
        <x:v>No</x:v>
      </x:c>
      <x:c r="V965" s="253" t="str">
        <x:v>Yes</x:v>
      </x:c>
      <x:c r="W965" s="253" t="str">
        <x:v>Yes</x:v>
      </x:c>
      <x:c r="X965" s="259" t="n">
        <x:v>46190.166666666664</x:v>
      </x:c>
      <x:c r="Y965" s="265" t="n">
        <x:v>600</x:v>
      </x:c>
      <x:c r="Z965" s="265" t="n">
        <x:v>1200</x:v>
      </x:c>
      <x:c r="AA965" s="253" t="str">
        <x:f>IF(V965="No","Maturing",IF(AND(U965="Yes",Y965&gt;0),"Yes","No"))</x:f>
        <x:v>No</x:v>
      </x:c>
      <x:c r="AB965" s="253" t="str">
        <x:f>IF(W965="No","Maturing",IF(AND(U965="Yes",Z965&gt;0),"Yes","No"))</x:f>
        <x:v>No</x:v>
      </x:c>
      <x:c r="AC965" s="265" t="n">
        <x:v>-1278.82</x:v>
      </x:c>
      <x:c r="AD965" s="265" t="n">
        <x:v>-1569.72</x:v>
      </x:c>
      <x:c r="AE965" s="271" t="str"/>
      <x:c r="AF965" s="274" t="str">
        <x:v>Not validated - no control/holdout</x:v>
      </x:c>
      <x:c r="AG965" s="277" t="str">
        <x:v>Recovered execution only; assignment date and unclaimed-offer denominator unavailable</x:v>
      </x:c>
    </x:row>
    <x:row r="966">
      <x:c r="A966" s="252" t="str">
        <x:v>34620103</x:v>
      </x:c>
      <x:c r="B966" s="253" t="str">
        <x:v>WS1</x:v>
      </x:c>
      <x:c r="C966" s="253" t="str">
        <x:v>MB8</x:v>
      </x:c>
      <x:c r="D966" s="262" t="n">
        <x:v>46190.07015046296</x:v>
      </x:c>
      <x:c r="E966" s="259" t="n">
        <x:v>46190.166666666664</x:v>
      </x:c>
      <x:c r="F966" s="253" t="str">
        <x:v>774523</x:v>
      </x:c>
      <x:c r="G966" s="253" t="str">
        <x:v>currythegod1818</x:v>
      </x:c>
      <x:c r="H966" s="253" t="str">
        <x:v>Yes</x:v>
      </x:c>
      <x:c r="I966" s="253" t="str"/>
      <x:c r="J966" s="253" t="str"/>
      <x:c r="K966" s="259"/>
      <x:c r="L966" s="268" t="str">
        <x:f>IFERROR(VLOOKUP(I966,'Handler-Team Map'!$A$7:$C$17,2,FALSE),"")</x:f>
      </x:c>
      <x:c r="M966" s="268" t="str">
        <x:f>IFERROR(VLOOKUP(I966,'Handler-Team Map'!$A$7:$C$17,3,FALSE),"")</x:f>
      </x:c>
      <x:c r="N966" s="274" t="str">
        <x:v>FT_VM_DEP600_GET200_5X</x:v>
      </x:c>
      <x:c r="O966" s="274" t="str">
        <x:v>VIP BONUS - Deposit 600 Get 200 - 5x TO</x:v>
      </x:c>
      <x:c r="P966" s="274" t="str">
        <x:v>DepositBonus</x:v>
      </x:c>
      <x:c r="Q966" s="274" t="str">
        <x:v>Approved</x:v>
      </x:c>
      <x:c r="R966" s="265" t="n">
        <x:v>200</x:v>
      </x:c>
      <x:c r="S966" s="253" t="str">
        <x:v>Yes</x:v>
      </x:c>
      <x:c r="T966" s="265" t="n">
        <x:v>1850</x:v>
      </x:c>
      <x:c r="U966" s="253" t="str">
        <x:f>IF(AND(S966="Yes",T966=0),"Yes","No")</x:f>
        <x:v>No</x:v>
      </x:c>
      <x:c r="V966" s="253" t="str">
        <x:v>Yes</x:v>
      </x:c>
      <x:c r="W966" s="253" t="str">
        <x:v>Yes</x:v>
      </x:c>
      <x:c r="X966" s="259" t="n">
        <x:v>46190.166666666664</x:v>
      </x:c>
      <x:c r="Y966" s="265" t="n">
        <x:v>600</x:v>
      </x:c>
      <x:c r="Z966" s="265" t="n">
        <x:v>600</x:v>
      </x:c>
      <x:c r="AA966" s="253" t="str">
        <x:f>IF(V966="No","Maturing",IF(AND(U966="Yes",Y966&gt;0),"Yes","No"))</x:f>
        <x:v>No</x:v>
      </x:c>
      <x:c r="AB966" s="253" t="str">
        <x:f>IF(W966="No","Maturing",IF(AND(U966="Yes",Z966&gt;0),"Yes","No"))</x:f>
        <x:v>No</x:v>
      </x:c>
      <x:c r="AC966" s="265" t="n">
        <x:v>603.08</x:v>
      </x:c>
      <x:c r="AD966" s="265" t="n">
        <x:v>610.67</x:v>
      </x:c>
      <x:c r="AE966" s="271" t="str"/>
      <x:c r="AF966" s="274" t="str">
        <x:v>Not validated - no control/holdout</x:v>
      </x:c>
      <x:c r="AG966" s="277" t="str">
        <x:v>Recovered execution only; assignment date and unclaimed-offer denominator unavailable</x:v>
      </x:c>
    </x:row>
    <x:row r="967">
      <x:c r="A967" s="252" t="str">
        <x:v>34621593</x:v>
      </x:c>
      <x:c r="B967" s="253" t="str">
        <x:v>WS1</x:v>
      </x:c>
      <x:c r="C967" s="253" t="str">
        <x:v>MB8</x:v>
      </x:c>
      <x:c r="D967" s="262" t="n">
        <x:v>46190.262337962966</x:v>
      </x:c>
      <x:c r="E967" s="259" t="n">
        <x:v>46190.166666666664</x:v>
      </x:c>
      <x:c r="F967" s="253" t="str">
        <x:v>589537</x:v>
      </x:c>
      <x:c r="G967" s="253" t="str">
        <x:v>Amirul01</x:v>
      </x:c>
      <x:c r="H967" s="253" t="str">
        <x:v>Yes</x:v>
      </x:c>
      <x:c r="I967" s="253" t="str">
        <x:v>Sheena</x:v>
      </x:c>
      <x:c r="J967" s="253" t="str">
        <x:v>Sheena</x:v>
      </x:c>
      <x:c r="K967" s="259" t="n">
        <x:v>45964.166666666664</x:v>
      </x:c>
      <x:c r="L967" s="268" t="str">
        <x:f>IFERROR(VLOOKUP(I967,'Handler-Team Map'!$A$7:$C$17,2,FALSE),"")</x:f>
      </x:c>
      <x:c r="M967" s="268" t="str">
        <x:f>IFERROR(VLOOKUP(I967,'Handler-Team Map'!$A$7:$C$17,3,FALSE),"")</x:f>
      </x:c>
      <x:c r="N967" s="274" t="str">
        <x:v>FT_VM_DEP600_GET200_5X</x:v>
      </x:c>
      <x:c r="O967" s="274" t="str">
        <x:v>VIP BONUS - Deposit 600 Get 200 - 5x TO</x:v>
      </x:c>
      <x:c r="P967" s="274" t="str">
        <x:v>DepositBonus</x:v>
      </x:c>
      <x:c r="Q967" s="274" t="str">
        <x:v>Approved</x:v>
      </x:c>
      <x:c r="R967" s="265" t="n">
        <x:v>200</x:v>
      </x:c>
      <x:c r="S967" s="253" t="str">
        <x:v>Yes</x:v>
      </x:c>
      <x:c r="T967" s="265" t="n">
        <x:v>0</x:v>
      </x:c>
      <x:c r="U967" s="253" t="str">
        <x:f>IF(AND(S967="Yes",T967=0),"Yes","No")</x:f>
        <x:v>Yes</x:v>
      </x:c>
      <x:c r="V967" s="253" t="str">
        <x:v>Yes</x:v>
      </x:c>
      <x:c r="W967" s="253" t="str">
        <x:v>Yes</x:v>
      </x:c>
      <x:c r="X967" s="259" t="n">
        <x:v>46190.166666666664</x:v>
      </x:c>
      <x:c r="Y967" s="265" t="n">
        <x:v>2300</x:v>
      </x:c>
      <x:c r="Z967" s="265" t="n">
        <x:v>2300</x:v>
      </x:c>
      <x:c r="AA967" s="253" t="str">
        <x:f>IF(V967="No","Maturing",IF(AND(U967="Yes",Y967&gt;0),"Yes","No"))</x:f>
        <x:v>Yes</x:v>
      </x:c>
      <x:c r="AB967" s="253" t="str">
        <x:f>IF(W967="No","Maturing",IF(AND(U967="Yes",Z967&gt;0),"Yes","No"))</x:f>
        <x:v>Yes</x:v>
      </x:c>
      <x:c r="AC967" s="265" t="n">
        <x:v>2264.35</x:v>
      </x:c>
      <x:c r="AD967" s="265" t="n">
        <x:v>2300.62</x:v>
      </x:c>
      <x:c r="AE967" s="271" t="str"/>
      <x:c r="AF967" s="274" t="str">
        <x:v>Not validated - no control/holdout</x:v>
      </x:c>
      <x:c r="AG967" s="277" t="str">
        <x:v>Recovered execution only; assignment date and unclaimed-offer denominator unavailable</x:v>
      </x:c>
    </x:row>
    <x:row r="968">
      <x:c r="A968" s="252" t="str">
        <x:v>34622358</x:v>
      </x:c>
      <x:c r="B968" s="253" t="str">
        <x:v>WS1</x:v>
      </x:c>
      <x:c r="C968" s="253" t="str">
        <x:v>MB8</x:v>
      </x:c>
      <x:c r="D968" s="262" t="n">
        <x:v>46190.414768518516</x:v>
      </x:c>
      <x:c r="E968" s="259" t="n">
        <x:v>46190.166666666664</x:v>
      </x:c>
      <x:c r="F968" s="253" t="str">
        <x:v>990003</x:v>
      </x:c>
      <x:c r="G968" s="253" t="str">
        <x:v>suteraputih</x:v>
      </x:c>
      <x:c r="H968" s="253" t="str">
        <x:v>Yes</x:v>
      </x:c>
      <x:c r="I968" s="253" t="str">
        <x:v>zhen</x:v>
      </x:c>
      <x:c r="J968" s="253" t="str">
        <x:v>zhen</x:v>
      </x:c>
      <x:c r="K968" s="259" t="n">
        <x:v>45880.166666666664</x:v>
      </x:c>
      <x:c r="L968" s="268" t="str">
        <x:f>IFERROR(VLOOKUP(I968,'Handler-Team Map'!$A$7:$C$17,2,FALSE),"")</x:f>
      </x:c>
      <x:c r="M968" s="268" t="str">
        <x:f>IFERROR(VLOOKUP(I968,'Handler-Team Map'!$A$7:$C$17,3,FALSE),"")</x:f>
      </x:c>
      <x:c r="N968" s="274" t="str">
        <x:v>FT_VM_DEP150_GET50_5X</x:v>
      </x:c>
      <x:c r="O968" s="274" t="str">
        <x:v>VIP BONUS - Deposit 150 Get 50 - 5x TO</x:v>
      </x:c>
      <x:c r="P968" s="274" t="str">
        <x:v>DepositBonus</x:v>
      </x:c>
      <x:c r="Q968" s="274" t="str">
        <x:v>Approved</x:v>
      </x:c>
      <x:c r="R968" s="265" t="n">
        <x:v>50</x:v>
      </x:c>
      <x:c r="S968" s="253" t="str">
        <x:v>Yes</x:v>
      </x:c>
      <x:c r="T968" s="265" t="n">
        <x:v>14060</x:v>
      </x:c>
      <x:c r="U968" s="253" t="str">
        <x:f>IF(AND(S968="Yes",T968=0),"Yes","No")</x:f>
        <x:v>No</x:v>
      </x:c>
      <x:c r="V968" s="253" t="str">
        <x:v>Yes</x:v>
      </x:c>
      <x:c r="W968" s="253" t="str">
        <x:v>Yes</x:v>
      </x:c>
      <x:c r="X968" s="259" t="n">
        <x:v>46190.166666666664</x:v>
      </x:c>
      <x:c r="Y968" s="265" t="n">
        <x:v>6640</x:v>
      </x:c>
      <x:c r="Z968" s="265" t="n">
        <x:v>15270</x:v>
      </x:c>
      <x:c r="AA968" s="253" t="str">
        <x:f>IF(V968="No","Maturing",IF(AND(U968="Yes",Y968&gt;0),"Yes","No"))</x:f>
        <x:v>No</x:v>
      </x:c>
      <x:c r="AB968" s="253" t="str">
        <x:f>IF(W968="No","Maturing",IF(AND(U968="Yes",Z968&gt;0),"Yes","No"))</x:f>
        <x:v>No</x:v>
      </x:c>
      <x:c r="AC968" s="265" t="n">
        <x:v>1638.15</x:v>
      </x:c>
      <x:c r="AD968" s="265" t="n">
        <x:v>5803.3</x:v>
      </x:c>
      <x:c r="AE968" s="271" t="str"/>
      <x:c r="AF968" s="274" t="str">
        <x:v>Not validated - no control/holdout</x:v>
      </x:c>
      <x:c r="AG968" s="277" t="str">
        <x:v>Recovered execution only; assignment date and unclaimed-offer denominator unavailable</x:v>
      </x:c>
    </x:row>
    <x:row r="969">
      <x:c r="A969" s="252" t="str">
        <x:v>34622437</x:v>
      </x:c>
      <x:c r="B969" s="253" t="str">
        <x:v>WS1</x:v>
      </x:c>
      <x:c r="C969" s="253" t="str">
        <x:v>MB8</x:v>
      </x:c>
      <x:c r="D969" s="262" t="n">
        <x:v>46190.43047453704</x:v>
      </x:c>
      <x:c r="E969" s="259" t="n">
        <x:v>46190.166666666664</x:v>
      </x:c>
      <x:c r="F969" s="253" t="str">
        <x:v>827371</x:v>
      </x:c>
      <x:c r="G969" s="253" t="str">
        <x:v>marc187</x:v>
      </x:c>
      <x:c r="H969" s="253" t="str">
        <x:v>Yes</x:v>
      </x:c>
      <x:c r="I969" s="253" t="str">
        <x:v>Claire</x:v>
      </x:c>
      <x:c r="J969" s="253" t="str">
        <x:v>Claire</x:v>
      </x:c>
      <x:c r="K969" s="259" t="n">
        <x:v>45755.166666666664</x:v>
      </x:c>
      <x:c r="L969" s="268" t="str">
        <x:f>IFERROR(VLOOKUP(I969,'Handler-Team Map'!$A$7:$C$17,2,FALSE),"")</x:f>
      </x:c>
      <x:c r="M969" s="268" t="str">
        <x:f>IFERROR(VLOOKUP(I969,'Handler-Team Map'!$A$7:$C$17,3,FALSE),"")</x:f>
      </x:c>
      <x:c r="N969" s="274" t="str">
        <x:v>FT_VM_DEP800_GET400_2X</x:v>
      </x:c>
      <x:c r="O969" s="274" t="str">
        <x:v>VIP BONUS - Deposit 800 Get 400 - 2x TO</x:v>
      </x:c>
      <x:c r="P969" s="274" t="str">
        <x:v>DepositBonus</x:v>
      </x:c>
      <x:c r="Q969" s="274" t="str">
        <x:v>Approved</x:v>
      </x:c>
      <x:c r="R969" s="265" t="n">
        <x:v>400</x:v>
      </x:c>
      <x:c r="S969" s="253" t="str">
        <x:v>Yes</x:v>
      </x:c>
      <x:c r="T969" s="265" t="n">
        <x:v>1469884.08</x:v>
      </x:c>
      <x:c r="U969" s="253" t="str">
        <x:f>IF(AND(S969="Yes",T969=0),"Yes","No")</x:f>
        <x:v>No</x:v>
      </x:c>
      <x:c r="V969" s="253" t="str">
        <x:v>Yes</x:v>
      </x:c>
      <x:c r="W969" s="253" t="str">
        <x:v>Yes</x:v>
      </x:c>
      <x:c r="X969" s="259" t="n">
        <x:v>46190.166666666664</x:v>
      </x:c>
      <x:c r="Y969" s="265" t="n">
        <x:v>353890</x:v>
      </x:c>
      <x:c r="Z969" s="265" t="n">
        <x:v>612219.22</x:v>
      </x:c>
      <x:c r="AA969" s="253" t="str">
        <x:f>IF(V969="No","Maturing",IF(AND(U969="Yes",Y969&gt;0),"Yes","No"))</x:f>
        <x:v>No</x:v>
      </x:c>
      <x:c r="AB969" s="253" t="str">
        <x:f>IF(W969="No","Maturing",IF(AND(U969="Yes",Z969&gt;0),"Yes","No"))</x:f>
        <x:v>No</x:v>
      </x:c>
      <x:c r="AC969" s="265" t="n">
        <x:v>139858.03</x:v>
      </x:c>
      <x:c r="AD969" s="265" t="n">
        <x:v>145618.01</x:v>
      </x:c>
      <x:c r="AE969" s="271" t="str"/>
      <x:c r="AF969" s="274" t="str">
        <x:v>Not validated - no control/holdout</x:v>
      </x:c>
      <x:c r="AG969" s="277" t="str">
        <x:v>Recovered execution only; assignment date and unclaimed-offer denominator unavailable</x:v>
      </x:c>
    </x:row>
    <x:row r="970">
      <x:c r="A970" s="252" t="str">
        <x:v>34623226</x:v>
      </x:c>
      <x:c r="B970" s="253" t="str">
        <x:v>WS1</x:v>
      </x:c>
      <x:c r="C970" s="253" t="str">
        <x:v>MB8</x:v>
      </x:c>
      <x:c r="D970" s="262" t="n">
        <x:v>46190.5209837963</x:v>
      </x:c>
      <x:c r="E970" s="259" t="n">
        <x:v>46190.166666666664</x:v>
      </x:c>
      <x:c r="F970" s="253" t="str">
        <x:v>144118</x:v>
      </x:c>
      <x:c r="G970" s="253" t="str">
        <x:v>Mark777</x:v>
      </x:c>
      <x:c r="H970" s="253" t="str">
        <x:v>Yes</x:v>
      </x:c>
      <x:c r="I970" s="253" t="str"/>
      <x:c r="J970" s="253" t="str"/>
      <x:c r="K970" s="259"/>
      <x:c r="L970" s="268" t="str">
        <x:f>IFERROR(VLOOKUP(I970,'Handler-Team Map'!$A$7:$C$17,2,FALSE),"")</x:f>
      </x:c>
      <x:c r="M970" s="268" t="str">
        <x:f>IFERROR(VLOOKUP(I970,'Handler-Team Map'!$A$7:$C$17,3,FALSE),"")</x:f>
      </x:c>
      <x:c r="N970" s="274" t="str">
        <x:v>FT_VM_DEP700_GET300_2X</x:v>
      </x:c>
      <x:c r="O970" s="274" t="str">
        <x:v>VIP BONUS - Deposit 700 Get 300 - 2x TO</x:v>
      </x:c>
      <x:c r="P970" s="274" t="str">
        <x:v>DepositBonus</x:v>
      </x:c>
      <x:c r="Q970" s="274" t="str">
        <x:v>Approved</x:v>
      </x:c>
      <x:c r="R970" s="265" t="n">
        <x:v>300</x:v>
      </x:c>
      <x:c r="S970" s="253" t="str">
        <x:v>Yes</x:v>
      </x:c>
      <x:c r="T970" s="265" t="n">
        <x:v>800</x:v>
      </x:c>
      <x:c r="U970" s="253" t="str">
        <x:f>IF(AND(S970="Yes",T970=0),"Yes","No")</x:f>
        <x:v>No</x:v>
      </x:c>
      <x:c r="V970" s="253" t="str">
        <x:v>Yes</x:v>
      </x:c>
      <x:c r="W970" s="253" t="str">
        <x:v>Yes</x:v>
      </x:c>
      <x:c r="X970" s="259" t="n">
        <x:v>46190.166666666664</x:v>
      </x:c>
      <x:c r="Y970" s="265" t="n">
        <x:v>1069</x:v>
      </x:c>
      <x:c r="Z970" s="265" t="n">
        <x:v>1069</x:v>
      </x:c>
      <x:c r="AA970" s="253" t="str">
        <x:f>IF(V970="No","Maturing",IF(AND(U970="Yes",Y970&gt;0),"Yes","No"))</x:f>
        <x:v>No</x:v>
      </x:c>
      <x:c r="AB970" s="253" t="str">
        <x:f>IF(W970="No","Maturing",IF(AND(U970="Yes",Z970&gt;0),"Yes","No"))</x:f>
        <x:v>No</x:v>
      </x:c>
      <x:c r="AC970" s="265" t="n">
        <x:v>56.75</x:v>
      </x:c>
      <x:c r="AD970" s="265" t="n">
        <x:v>62.93</x:v>
      </x:c>
      <x:c r="AE970" s="271" t="str"/>
      <x:c r="AF970" s="274" t="str">
        <x:v>Not validated - no control/holdout</x:v>
      </x:c>
      <x:c r="AG970" s="277" t="str">
        <x:v>Recovered execution only; assignment date and unclaimed-offer denominator unavailable</x:v>
      </x:c>
    </x:row>
    <x:row r="971">
      <x:c r="A971" s="252" t="str">
        <x:v>34633848</x:v>
      </x:c>
      <x:c r="B971" s="253" t="str">
        <x:v>WS1</x:v>
      </x:c>
      <x:c r="C971" s="253" t="str">
        <x:v>MB8</x:v>
      </x:c>
      <x:c r="D971" s="262" t="n">
        <x:v>46190.59030092593</x:v>
      </x:c>
      <x:c r="E971" s="259" t="n">
        <x:v>46190.166666666664</x:v>
      </x:c>
      <x:c r="F971" s="253" t="str">
        <x:v>567383</x:v>
      </x:c>
      <x:c r="G971" s="253" t="str">
        <x:v>benho9988</x:v>
      </x:c>
      <x:c r="H971" s="253" t="str">
        <x:v>Yes</x:v>
      </x:c>
      <x:c r="I971" s="253" t="str">
        <x:v>Elda</x:v>
      </x:c>
      <x:c r="J971" s="253" t="str">
        <x:v>Elda</x:v>
      </x:c>
      <x:c r="K971" s="259" t="n">
        <x:v>45659.166666666664</x:v>
      </x:c>
      <x:c r="L971" s="268" t="str">
        <x:f>IFERROR(VLOOKUP(I971,'Handler-Team Map'!$A$7:$C$17,2,FALSE),"")</x:f>
      </x:c>
      <x:c r="M971" s="268" t="str">
        <x:f>IFERROR(VLOOKUP(I971,'Handler-Team Map'!$A$7:$C$17,3,FALSE),"")</x:f>
      </x:c>
      <x:c r="N971" s="274" t="str">
        <x:v>FT_VM_DEP1000_GET500_5X</x:v>
      </x:c>
      <x:c r="O971" s="274" t="str">
        <x:v>VIP BONUS - Deposit 1000 Get 500 - 5x TO</x:v>
      </x:c>
      <x:c r="P971" s="274" t="str">
        <x:v>DepositBonus</x:v>
      </x:c>
      <x:c r="Q971" s="274" t="str">
        <x:v>Approved</x:v>
      </x:c>
      <x:c r="R971" s="265" t="n">
        <x:v>500</x:v>
      </x:c>
      <x:c r="S971" s="253" t="str">
        <x:v>Yes</x:v>
      </x:c>
      <x:c r="T971" s="265" t="n">
        <x:v>2000</x:v>
      </x:c>
      <x:c r="U971" s="253" t="str">
        <x:f>IF(AND(S971="Yes",T971=0),"Yes","No")</x:f>
        <x:v>No</x:v>
      </x:c>
      <x:c r="V971" s="253" t="str">
        <x:v>Yes</x:v>
      </x:c>
      <x:c r="W971" s="253" t="str">
        <x:v>Yes</x:v>
      </x:c>
      <x:c r="X971" s="259" t="n">
        <x:v>46190.166666666664</x:v>
      </x:c>
      <x:c r="Y971" s="265" t="n">
        <x:v>1800</x:v>
      </x:c>
      <x:c r="Z971" s="265" t="n">
        <x:v>1800</x:v>
      </x:c>
      <x:c r="AA971" s="253" t="str">
        <x:f>IF(V971="No","Maturing",IF(AND(U971="Yes",Y971&gt;0),"Yes","No"))</x:f>
        <x:v>No</x:v>
      </x:c>
      <x:c r="AB971" s="253" t="str">
        <x:f>IF(W971="No","Maturing",IF(AND(U971="Yes",Z971&gt;0),"Yes","No"))</x:f>
        <x:v>No</x:v>
      </x:c>
      <x:c r="AC971" s="265" t="n">
        <x:v>1803.99</x:v>
      </x:c>
      <x:c r="AD971" s="265" t="n">
        <x:v>1817.88</x:v>
      </x:c>
      <x:c r="AE971" s="271" t="str"/>
      <x:c r="AF971" s="274" t="str">
        <x:v>Not validated - no control/holdout</x:v>
      </x:c>
      <x:c r="AG971" s="277" t="str">
        <x:v>Recovered execution only; assignment date and unclaimed-offer denominator unavailable</x:v>
      </x:c>
    </x:row>
    <x:row r="972">
      <x:c r="A972" s="252" t="str">
        <x:v>34634215</x:v>
      </x:c>
      <x:c r="B972" s="253" t="str">
        <x:v>WS1</x:v>
      </x:c>
      <x:c r="C972" s="253" t="str">
        <x:v>MB8</x:v>
      </x:c>
      <x:c r="D972" s="262" t="n">
        <x:v>46190.62033564815</x:v>
      </x:c>
      <x:c r="E972" s="259" t="n">
        <x:v>46190.166666666664</x:v>
      </x:c>
      <x:c r="F972" s="253" t="str">
        <x:v>113180</x:v>
      </x:c>
      <x:c r="G972" s="253" t="str">
        <x:v>Hazel</x:v>
      </x:c>
      <x:c r="H972" s="253" t="str">
        <x:v>Yes</x:v>
      </x:c>
      <x:c r="I972" s="253" t="str">
        <x:v>Serene</x:v>
      </x:c>
      <x:c r="J972" s="253" t="str">
        <x:v>Serene</x:v>
      </x:c>
      <x:c r="K972" s="259" t="n">
        <x:v>45831.166666666664</x:v>
      </x:c>
      <x:c r="L972" s="268" t="str">
        <x:f>IFERROR(VLOOKUP(I972,'Handler-Team Map'!$A$7:$C$17,2,FALSE),"")</x:f>
      </x:c>
      <x:c r="M972" s="268" t="str">
        <x:f>IFERROR(VLOOKUP(I972,'Handler-Team Map'!$A$7:$C$17,3,FALSE),"")</x:f>
      </x:c>
      <x:c r="N972" s="274" t="str">
        <x:v>FT_VM_DEP1000_GET500_5X</x:v>
      </x:c>
      <x:c r="O972" s="274" t="str">
        <x:v>VIP BONUS - Deposit 1000 Get 500 - 5x TO</x:v>
      </x:c>
      <x:c r="P972" s="274" t="str">
        <x:v>DepositBonus</x:v>
      </x:c>
      <x:c r="Q972" s="274" t="str">
        <x:v>Approved</x:v>
      </x:c>
      <x:c r="R972" s="265" t="n">
        <x:v>500</x:v>
      </x:c>
      <x:c r="S972" s="253" t="str">
        <x:v>Yes</x:v>
      </x:c>
      <x:c r="T972" s="265" t="n">
        <x:v>6085</x:v>
      </x:c>
      <x:c r="U972" s="253" t="str">
        <x:f>IF(AND(S972="Yes",T972=0),"Yes","No")</x:f>
        <x:v>No</x:v>
      </x:c>
      <x:c r="V972" s="253" t="str">
        <x:v>Yes</x:v>
      </x:c>
      <x:c r="W972" s="253" t="str">
        <x:v>Yes</x:v>
      </x:c>
      <x:c r="X972" s="259" t="n">
        <x:v>46190.166666666664</x:v>
      </x:c>
      <x:c r="Y972" s="265" t="n">
        <x:v>1030</x:v>
      </x:c>
      <x:c r="Z972" s="265" t="n">
        <x:v>2280</x:v>
      </x:c>
      <x:c r="AA972" s="253" t="str">
        <x:f>IF(V972="No","Maturing",IF(AND(U972="Yes",Y972&gt;0),"Yes","No"))</x:f>
        <x:v>No</x:v>
      </x:c>
      <x:c r="AB972" s="253" t="str">
        <x:f>IF(W972="No","Maturing",IF(AND(U972="Yes",Z972&gt;0),"Yes","No"))</x:f>
        <x:v>No</x:v>
      </x:c>
      <x:c r="AC972" s="265" t="n">
        <x:v>713.16</x:v>
      </x:c>
      <x:c r="AD972" s="265" t="n">
        <x:v>1929.66</x:v>
      </x:c>
      <x:c r="AE972" s="271" t="str"/>
      <x:c r="AF972" s="274" t="str">
        <x:v>Not validated - no control/holdout</x:v>
      </x:c>
      <x:c r="AG972" s="277" t="str">
        <x:v>Recovered execution only; assignment date and unclaimed-offer denominator unavailable</x:v>
      </x:c>
    </x:row>
    <x:row r="973">
      <x:c r="A973" s="252" t="str">
        <x:v>34634876</x:v>
      </x:c>
      <x:c r="B973" s="253" t="str">
        <x:v>WS1</x:v>
      </x:c>
      <x:c r="C973" s="253" t="str">
        <x:v>MB8</x:v>
      </x:c>
      <x:c r="D973" s="262" t="n">
        <x:v>46190.685428240744</x:v>
      </x:c>
      <x:c r="E973" s="259" t="n">
        <x:v>46190.166666666664</x:v>
      </x:c>
      <x:c r="F973" s="253" t="str">
        <x:v>650676</x:v>
      </x:c>
      <x:c r="G973" s="253" t="str">
        <x:v>Ausiskandar</x:v>
      </x:c>
      <x:c r="H973" s="253" t="str">
        <x:v>Yes</x:v>
      </x:c>
      <x:c r="I973" s="253" t="str">
        <x:v>Kam</x:v>
      </x:c>
      <x:c r="J973" s="253" t="str">
        <x:v>Kam</x:v>
      </x:c>
      <x:c r="K973" s="259" t="n">
        <x:v>45951.166666666664</x:v>
      </x:c>
      <x:c r="L973" s="268" t="str">
        <x:f>IFERROR(VLOOKUP(I973,'Handler-Team Map'!$A$7:$C$17,2,FALSE),"")</x:f>
      </x:c>
      <x:c r="M973" s="268" t="str">
        <x:f>IFERROR(VLOOKUP(I973,'Handler-Team Map'!$A$7:$C$17,3,FALSE),"")</x:f>
      </x:c>
      <x:c r="N973" s="274" t="str">
        <x:v>FT_VM_DEP1000_GET700_1X</x:v>
      </x:c>
      <x:c r="O973" s="274" t="str">
        <x:v>VIP BONUS - Deposit 1000 Get 700 - 1x TO</x:v>
      </x:c>
      <x:c r="P973" s="274" t="str">
        <x:v>DepositBonus</x:v>
      </x:c>
      <x:c r="Q973" s="274" t="str">
        <x:v>Approved</x:v>
      </x:c>
      <x:c r="R973" s="265" t="n">
        <x:v>700</x:v>
      </x:c>
      <x:c r="S973" s="253" t="str">
        <x:v>Yes</x:v>
      </x:c>
      <x:c r="T973" s="265" t="n">
        <x:v>500</x:v>
      </x:c>
      <x:c r="U973" s="253" t="str">
        <x:f>IF(AND(S973="Yes",T973=0),"Yes","No")</x:f>
        <x:v>No</x:v>
      </x:c>
      <x:c r="V973" s="253" t="str">
        <x:v>Yes</x:v>
      </x:c>
      <x:c r="W973" s="253" t="str">
        <x:v>Yes</x:v>
      </x:c>
      <x:c r="X973" s="259" t="n">
        <x:v>46190.166666666664</x:v>
      </x:c>
      <x:c r="Y973" s="265" t="n">
        <x:v>1000</x:v>
      </x:c>
      <x:c r="Z973" s="265" t="n">
        <x:v>1000</x:v>
      </x:c>
      <x:c r="AA973" s="253" t="str">
        <x:f>IF(V973="No","Maturing",IF(AND(U973="Yes",Y973&gt;0),"Yes","No"))</x:f>
        <x:v>No</x:v>
      </x:c>
      <x:c r="AB973" s="253" t="str">
        <x:f>IF(W973="No","Maturing",IF(AND(U973="Yes",Z973&gt;0),"Yes","No"))</x:f>
        <x:v>No</x:v>
      </x:c>
      <x:c r="AC973" s="265" t="n">
        <x:v>999.85</x:v>
      </x:c>
      <x:c r="AD973" s="265" t="n">
        <x:v>999.92</x:v>
      </x:c>
      <x:c r="AE973" s="271" t="str"/>
      <x:c r="AF973" s="274" t="str">
        <x:v>Not validated - no control/holdout</x:v>
      </x:c>
      <x:c r="AG973" s="277" t="str">
        <x:v>Recovered execution only; assignment date and unclaimed-offer denominator unavailable</x:v>
      </x:c>
    </x:row>
    <x:row r="974">
      <x:c r="A974" s="252" t="str">
        <x:v>34635473</x:v>
      </x:c>
      <x:c r="B974" s="253" t="str">
        <x:v>WS1</x:v>
      </x:c>
      <x:c r="C974" s="253" t="str">
        <x:v>MB8</x:v>
      </x:c>
      <x:c r="D974" s="262" t="n">
        <x:v>46190.73684027778</x:v>
      </x:c>
      <x:c r="E974" s="259" t="n">
        <x:v>46190.166666666664</x:v>
      </x:c>
      <x:c r="F974" s="253" t="str">
        <x:v>717988</x:v>
      </x:c>
      <x:c r="G974" s="253" t="str">
        <x:v>How7878</x:v>
      </x:c>
      <x:c r="H974" s="253" t="str">
        <x:v>Yes</x:v>
      </x:c>
      <x:c r="I974" s="253" t="str">
        <x:v>zhen</x:v>
      </x:c>
      <x:c r="J974" s="253" t="str">
        <x:v>zhen</x:v>
      </x:c>
      <x:c r="K974" s="259" t="n">
        <x:v>45985.166666666664</x:v>
      </x:c>
      <x:c r="L974" s="268" t="str">
        <x:f>IFERROR(VLOOKUP(I974,'Handler-Team Map'!$A$7:$C$17,2,FALSE),"")</x:f>
      </x:c>
      <x:c r="M974" s="268" t="str">
        <x:f>IFERROR(VLOOKUP(I974,'Handler-Team Map'!$A$7:$C$17,3,FALSE),"")</x:f>
      </x:c>
      <x:c r="N974" s="274" t="str">
        <x:v>FT_VM_DEP1000_GET500_5X</x:v>
      </x:c>
      <x:c r="O974" s="274" t="str">
        <x:v>VIP BONUS - Deposit 1000 Get 500 - 5x TO</x:v>
      </x:c>
      <x:c r="P974" s="274" t="str">
        <x:v>DepositBonus</x:v>
      </x:c>
      <x:c r="Q974" s="274" t="str">
        <x:v>Approved</x:v>
      </x:c>
      <x:c r="R974" s="265" t="n">
        <x:v>500</x:v>
      </x:c>
      <x:c r="S974" s="253" t="str">
        <x:v>Yes</x:v>
      </x:c>
      <x:c r="T974" s="265" t="n">
        <x:v>2000</x:v>
      </x:c>
      <x:c r="U974" s="253" t="str">
        <x:f>IF(AND(S974="Yes",T974=0),"Yes","No")</x:f>
        <x:v>No</x:v>
      </x:c>
      <x:c r="V974" s="253" t="str">
        <x:v>Yes</x:v>
      </x:c>
      <x:c r="W974" s="253" t="str">
        <x:v>Yes</x:v>
      </x:c>
      <x:c r="X974" s="259" t="n">
        <x:v>46190.166666666664</x:v>
      </x:c>
      <x:c r="Y974" s="265" t="n">
        <x:v>1200</x:v>
      </x:c>
      <x:c r="Z974" s="265" t="n">
        <x:v>1200</x:v>
      </x:c>
      <x:c r="AA974" s="253" t="str">
        <x:f>IF(V974="No","Maturing",IF(AND(U974="Yes",Y974&gt;0),"Yes","No"))</x:f>
        <x:v>No</x:v>
      </x:c>
      <x:c r="AB974" s="253" t="str">
        <x:f>IF(W974="No","Maturing",IF(AND(U974="Yes",Z974&gt;0),"Yes","No"))</x:f>
        <x:v>No</x:v>
      </x:c>
      <x:c r="AC974" s="265" t="n">
        <x:v>196</x:v>
      </x:c>
      <x:c r="AD974" s="265" t="n">
        <x:v>195.11</x:v>
      </x:c>
      <x:c r="AE974" s="271" t="str"/>
      <x:c r="AF974" s="274" t="str">
        <x:v>Not validated - no control/holdout</x:v>
      </x:c>
      <x:c r="AG974" s="277" t="str">
        <x:v>Recovered execution only; assignment date and unclaimed-offer denominator unavailable</x:v>
      </x:c>
    </x:row>
    <x:row r="975">
      <x:c r="A975" s="252" t="str">
        <x:v>34636315</x:v>
      </x:c>
      <x:c r="B975" s="253" t="str">
        <x:v>WS1</x:v>
      </x:c>
      <x:c r="C975" s="253" t="str">
        <x:v>MB8</x:v>
      </x:c>
      <x:c r="D975" s="262" t="n">
        <x:v>46190.80579861111</x:v>
      </x:c>
      <x:c r="E975" s="259" t="n">
        <x:v>46190.166666666664</x:v>
      </x:c>
      <x:c r="F975" s="253" t="str">
        <x:v>778442</x:v>
      </x:c>
      <x:c r="G975" s="253" t="str">
        <x:v>Tee0689</x:v>
      </x:c>
      <x:c r="H975" s="253" t="str">
        <x:v>Yes</x:v>
      </x:c>
      <x:c r="I975" s="253" t="str">
        <x:v>Serene</x:v>
      </x:c>
      <x:c r="J975" s="253" t="str">
        <x:v>Serene</x:v>
      </x:c>
      <x:c r="K975" s="259" t="n">
        <x:v>46077.166666666664</x:v>
      </x:c>
      <x:c r="L975" s="268" t="str">
        <x:f>IFERROR(VLOOKUP(I975,'Handler-Team Map'!$A$7:$C$17,2,FALSE),"")</x:f>
      </x:c>
      <x:c r="M975" s="268" t="str">
        <x:f>IFERROR(VLOOKUP(I975,'Handler-Team Map'!$A$7:$C$17,3,FALSE),"")</x:f>
      </x:c>
      <x:c r="N975" s="274" t="str">
        <x:v>FT_VM_DEP600_GET200_5X</x:v>
      </x:c>
      <x:c r="O975" s="274" t="str">
        <x:v>VIP BONUS - Deposit 600 Get 200 - 5x TO</x:v>
      </x:c>
      <x:c r="P975" s="274" t="str">
        <x:v>DepositBonus</x:v>
      </x:c>
      <x:c r="Q975" s="274" t="str">
        <x:v>Approved</x:v>
      </x:c>
      <x:c r="R975" s="265" t="n">
        <x:v>200</x:v>
      </x:c>
      <x:c r="S975" s="253" t="str">
        <x:v>Yes</x:v>
      </x:c>
      <x:c r="T975" s="265" t="n">
        <x:v>8845.18</x:v>
      </x:c>
      <x:c r="U975" s="253" t="str">
        <x:f>IF(AND(S975="Yes",T975=0),"Yes","No")</x:f>
        <x:v>No</x:v>
      </x:c>
      <x:c r="V975" s="253" t="str">
        <x:v>Yes</x:v>
      </x:c>
      <x:c r="W975" s="253" t="str">
        <x:v>Yes</x:v>
      </x:c>
      <x:c r="X975" s="259" t="n">
        <x:v>46190.166666666664</x:v>
      </x:c>
      <x:c r="Y975" s="265" t="n">
        <x:v>2090</x:v>
      </x:c>
      <x:c r="Z975" s="265" t="n">
        <x:v>2090</x:v>
      </x:c>
      <x:c r="AA975" s="253" t="str">
        <x:f>IF(V975="No","Maturing",IF(AND(U975="Yes",Y975&gt;0),"Yes","No"))</x:f>
        <x:v>No</x:v>
      </x:c>
      <x:c r="AB975" s="253" t="str">
        <x:f>IF(W975="No","Maturing",IF(AND(U975="Yes",Z975&gt;0),"Yes","No"))</x:f>
        <x:v>No</x:v>
      </x:c>
      <x:c r="AC975" s="265" t="n">
        <x:v>2068.76</x:v>
      </x:c>
      <x:c r="AD975" s="265" t="n">
        <x:v>2090.26</x:v>
      </x:c>
      <x:c r="AE975" s="271" t="str"/>
      <x:c r="AF975" s="274" t="str">
        <x:v>Not validated - no control/holdout</x:v>
      </x:c>
      <x:c r="AG975" s="277" t="str">
        <x:v>Recovered execution only; assignment date and unclaimed-offer denominator unavailable</x:v>
      </x:c>
    </x:row>
    <x:row r="976">
      <x:c r="A976" s="252" t="str">
        <x:v>34639324</x:v>
      </x:c>
      <x:c r="B976" s="253" t="str">
        <x:v>WS1</x:v>
      </x:c>
      <x:c r="C976" s="253" t="str">
        <x:v>MB8</x:v>
      </x:c>
      <x:c r="D976" s="262" t="n">
        <x:v>46191.013877314814</x:v>
      </x:c>
      <x:c r="E976" s="259" t="n">
        <x:v>46191.166666666664</x:v>
      </x:c>
      <x:c r="F976" s="253" t="str">
        <x:v>1201273</x:v>
      </x:c>
      <x:c r="G976" s="253" t="str">
        <x:v>Go5208</x:v>
      </x:c>
      <x:c r="H976" s="253" t="str">
        <x:v>Yes</x:v>
      </x:c>
      <x:c r="I976" s="253" t="str"/>
      <x:c r="J976" s="253" t="str"/>
      <x:c r="K976" s="259"/>
      <x:c r="L976" s="268" t="str">
        <x:f>IFERROR(VLOOKUP(I976,'Handler-Team Map'!$A$7:$C$17,2,FALSE),"")</x:f>
      </x:c>
      <x:c r="M976" s="268" t="str">
        <x:f>IFERROR(VLOOKUP(I976,'Handler-Team Map'!$A$7:$C$17,3,FALSE),"")</x:f>
      </x:c>
      <x:c r="N976" s="274" t="str">
        <x:v>FT_VM_DEP600_GET200_5X</x:v>
      </x:c>
      <x:c r="O976" s="274" t="str">
        <x:v>VIP BONUS - Deposit 600 Get 200 - 5x TO</x:v>
      </x:c>
      <x:c r="P976" s="274" t="str">
        <x:v>DepositBonus</x:v>
      </x:c>
      <x:c r="Q976" s="274" t="str">
        <x:v>Approved</x:v>
      </x:c>
      <x:c r="R976" s="265" t="n">
        <x:v>200</x:v>
      </x:c>
      <x:c r="S976" s="253" t="str">
        <x:v>Yes</x:v>
      </x:c>
      <x:c r="T976" s="265" t="n">
        <x:v>730</x:v>
      </x:c>
      <x:c r="U976" s="253" t="str">
        <x:f>IF(AND(S976="Yes",T976=0),"Yes","No")</x:f>
        <x:v>No</x:v>
      </x:c>
      <x:c r="V976" s="253" t="str">
        <x:v>Yes</x:v>
      </x:c>
      <x:c r="W976" s="253" t="str">
        <x:v>Yes</x:v>
      </x:c>
      <x:c r="X976" s="259" t="n">
        <x:v>46191.166666666664</x:v>
      </x:c>
      <x:c r="Y976" s="265" t="n">
        <x:v>630</x:v>
      </x:c>
      <x:c r="Z976" s="265" t="n">
        <x:v>1260</x:v>
      </x:c>
      <x:c r="AA976" s="253" t="str">
        <x:f>IF(V976="No","Maturing",IF(AND(U976="Yes",Y976&gt;0),"Yes","No"))</x:f>
        <x:v>No</x:v>
      </x:c>
      <x:c r="AB976" s="253" t="str">
        <x:f>IF(W976="No","Maturing",IF(AND(U976="Yes",Z976&gt;0),"Yes","No"))</x:f>
        <x:v>No</x:v>
      </x:c>
      <x:c r="AC976" s="265" t="n">
        <x:v>632.03</x:v>
      </x:c>
      <x:c r="AD976" s="265" t="n">
        <x:v>1261.73</x:v>
      </x:c>
      <x:c r="AE976" s="271" t="str"/>
      <x:c r="AF976" s="274" t="str">
        <x:v>Not validated - no control/holdout</x:v>
      </x:c>
      <x:c r="AG976" s="277" t="str">
        <x:v>Recovered execution only; assignment date and unclaimed-offer denominator unavailable</x:v>
      </x:c>
    </x:row>
    <x:row r="977">
      <x:c r="A977" s="252" t="str">
        <x:v>34642056</x:v>
      </x:c>
      <x:c r="B977" s="253" t="str">
        <x:v>WS1</x:v>
      </x:c>
      <x:c r="C977" s="253" t="str">
        <x:v>MB8</x:v>
      </x:c>
      <x:c r="D977" s="262" t="n">
        <x:v>46191.31912037037</x:v>
      </x:c>
      <x:c r="E977" s="259" t="n">
        <x:v>46191.166666666664</x:v>
      </x:c>
      <x:c r="F977" s="253" t="str">
        <x:v>662591</x:v>
      </x:c>
      <x:c r="G977" s="253" t="str">
        <x:v>Kentlee79</x:v>
      </x:c>
      <x:c r="H977" s="253" t="str">
        <x:v>Yes</x:v>
      </x:c>
      <x:c r="I977" s="253" t="str">
        <x:v>Elda</x:v>
      </x:c>
      <x:c r="J977" s="253" t="str">
        <x:v>Elda</x:v>
      </x:c>
      <x:c r="K977" s="259" t="n">
        <x:v>45659.166666666664</x:v>
      </x:c>
      <x:c r="L977" s="268" t="str">
        <x:f>IFERROR(VLOOKUP(I977,'Handler-Team Map'!$A$7:$C$17,2,FALSE),"")</x:f>
      </x:c>
      <x:c r="M977" s="268" t="str">
        <x:f>IFERROR(VLOOKUP(I977,'Handler-Team Map'!$A$7:$C$17,3,FALSE),"")</x:f>
      </x:c>
      <x:c r="N977" s="274" t="str">
        <x:v>FT_VM_DEP1000_GET900_2X</x:v>
      </x:c>
      <x:c r="O977" s="274" t="str">
        <x:v>VIP BONUS - Deposit 1000 Get 900 - 2x TO</x:v>
      </x:c>
      <x:c r="P977" s="274" t="str">
        <x:v>DepositBonus</x:v>
      </x:c>
      <x:c r="Q977" s="274" t="str">
        <x:v>Approved</x:v>
      </x:c>
      <x:c r="R977" s="265" t="n">
        <x:v>900</x:v>
      </x:c>
      <x:c r="S977" s="253" t="str">
        <x:v>Yes</x:v>
      </x:c>
      <x:c r="T977" s="265" t="n">
        <x:v>13000</x:v>
      </x:c>
      <x:c r="U977" s="253" t="str">
        <x:f>IF(AND(S977="Yes",T977=0),"Yes","No")</x:f>
        <x:v>No</x:v>
      </x:c>
      <x:c r="V977" s="253" t="str">
        <x:v>Yes</x:v>
      </x:c>
      <x:c r="W977" s="253" t="str">
        <x:v>Yes</x:v>
      </x:c>
      <x:c r="X977" s="259" t="n">
        <x:v>46191.166666666664</x:v>
      </x:c>
      <x:c r="Y977" s="265" t="n">
        <x:v>10000</x:v>
      </x:c>
      <x:c r="Z977" s="265" t="n">
        <x:v>12000</x:v>
      </x:c>
      <x:c r="AA977" s="253" t="str">
        <x:f>IF(V977="No","Maturing",IF(AND(U977="Yes",Y977&gt;0),"Yes","No"))</x:f>
        <x:v>No</x:v>
      </x:c>
      <x:c r="AB977" s="253" t="str">
        <x:f>IF(W977="No","Maturing",IF(AND(U977="Yes",Z977&gt;0),"Yes","No"))</x:f>
        <x:v>No</x:v>
      </x:c>
      <x:c r="AC977" s="265" t="n">
        <x:v>8234.52</x:v>
      </x:c>
      <x:c r="AD977" s="265" t="n">
        <x:v>2920.11</x:v>
      </x:c>
      <x:c r="AE977" s="271" t="str"/>
      <x:c r="AF977" s="274" t="str">
        <x:v>Not validated - no control/holdout</x:v>
      </x:c>
      <x:c r="AG977" s="277" t="str">
        <x:v>Recovered execution only; assignment date and unclaimed-offer denominator unavailable</x:v>
      </x:c>
    </x:row>
    <x:row r="978">
      <x:c r="A978" s="252" t="str">
        <x:v>34642843</x:v>
      </x:c>
      <x:c r="B978" s="253" t="str">
        <x:v>WS1</x:v>
      </x:c>
      <x:c r="C978" s="253" t="str">
        <x:v>MB8</x:v>
      </x:c>
      <x:c r="D978" s="262" t="n">
        <x:v>46191.451377314814</x:v>
      </x:c>
      <x:c r="E978" s="259" t="n">
        <x:v>46191.166666666664</x:v>
      </x:c>
      <x:c r="F978" s="253" t="str">
        <x:v>306733</x:v>
      </x:c>
      <x:c r="G978" s="253" t="str">
        <x:v>HC5140</x:v>
      </x:c>
      <x:c r="H978" s="253" t="str">
        <x:v>Yes</x:v>
      </x:c>
      <x:c r="I978" s="253" t="str">
        <x:v>Claire</x:v>
      </x:c>
      <x:c r="J978" s="253" t="str">
        <x:v>Claire</x:v>
      </x:c>
      <x:c r="K978" s="259" t="n">
        <x:v>45659.166666666664</x:v>
      </x:c>
      <x:c r="L978" s="268" t="str">
        <x:f>IFERROR(VLOOKUP(I978,'Handler-Team Map'!$A$7:$C$17,2,FALSE),"")</x:f>
      </x:c>
      <x:c r="M978" s="268" t="str">
        <x:f>IFERROR(VLOOKUP(I978,'Handler-Team Map'!$A$7:$C$17,3,FALSE),"")</x:f>
      </x:c>
      <x:c r="N978" s="274" t="str">
        <x:v>FT_VM_DEP1000_GET500_5X</x:v>
      </x:c>
      <x:c r="O978" s="274" t="str">
        <x:v>VIP BONUS - Deposit 1000 Get 500 - 5x TO</x:v>
      </x:c>
      <x:c r="P978" s="274" t="str">
        <x:v>DepositBonus</x:v>
      </x:c>
      <x:c r="Q978" s="274" t="str">
        <x:v>Approved</x:v>
      </x:c>
      <x:c r="R978" s="265" t="n">
        <x:v>500</x:v>
      </x:c>
      <x:c r="S978" s="253" t="str">
        <x:v>Yes</x:v>
      </x:c>
      <x:c r="T978" s="265" t="n">
        <x:v>238600</x:v>
      </x:c>
      <x:c r="U978" s="253" t="str">
        <x:f>IF(AND(S978="Yes",T978=0),"Yes","No")</x:f>
        <x:v>No</x:v>
      </x:c>
      <x:c r="V978" s="253" t="str">
        <x:v>Yes</x:v>
      </x:c>
      <x:c r="W978" s="253" t="str">
        <x:v>Yes</x:v>
      </x:c>
      <x:c r="X978" s="259" t="n">
        <x:v>46191.166666666664</x:v>
      </x:c>
      <x:c r="Y978" s="265" t="n">
        <x:v>40620</x:v>
      </x:c>
      <x:c r="Z978" s="265" t="n">
        <x:v>58424</x:v>
      </x:c>
      <x:c r="AA978" s="253" t="str">
        <x:f>IF(V978="No","Maturing",IF(AND(U978="Yes",Y978&gt;0),"Yes","No"))</x:f>
        <x:v>No</x:v>
      </x:c>
      <x:c r="AB978" s="253" t="str">
        <x:f>IF(W978="No","Maturing",IF(AND(U978="Yes",Z978&gt;0),"Yes","No"))</x:f>
        <x:v>No</x:v>
      </x:c>
      <x:c r="AC978" s="265" t="n">
        <x:v>20870.73</x:v>
      </x:c>
      <x:c r="AD978" s="265" t="n">
        <x:v>24951.43</x:v>
      </x:c>
      <x:c r="AE978" s="271" t="str"/>
      <x:c r="AF978" s="274" t="str">
        <x:v>Not validated - no control/holdout</x:v>
      </x:c>
      <x:c r="AG978" s="277" t="str">
        <x:v>Recovered execution only; assignment date and unclaimed-offer denominator unavailable</x:v>
      </x:c>
    </x:row>
    <x:row r="979">
      <x:c r="A979" s="252" t="str">
        <x:v>34643329</x:v>
      </x:c>
      <x:c r="B979" s="253" t="str">
        <x:v>WS1</x:v>
      </x:c>
      <x:c r="C979" s="253" t="str">
        <x:v>MB8</x:v>
      </x:c>
      <x:c r="D979" s="262" t="n">
        <x:v>46191.51018518519</x:v>
      </x:c>
      <x:c r="E979" s="259" t="n">
        <x:v>46191.166666666664</x:v>
      </x:c>
      <x:c r="F979" s="253" t="str">
        <x:v>827624</x:v>
      </x:c>
      <x:c r="G979" s="253" t="str">
        <x:v>ksly001</x:v>
      </x:c>
      <x:c r="H979" s="253" t="str">
        <x:v>Yes</x:v>
      </x:c>
      <x:c r="I979" s="253" t="str"/>
      <x:c r="J979" s="253" t="str"/>
      <x:c r="K979" s="259"/>
      <x:c r="L979" s="268" t="str">
        <x:f>IFERROR(VLOOKUP(I979,'Handler-Team Map'!$A$7:$C$17,2,FALSE),"")</x:f>
      </x:c>
      <x:c r="M979" s="268" t="str">
        <x:f>IFERROR(VLOOKUP(I979,'Handler-Team Map'!$A$7:$C$17,3,FALSE),"")</x:f>
      </x:c>
      <x:c r="N979" s="274" t="str">
        <x:v>FT_VM_DEP800_GET400_1X</x:v>
      </x:c>
      <x:c r="O979" s="274" t="str">
        <x:v>VIP BONUS - Deposit 800 Get 400 - 1x TO</x:v>
      </x:c>
      <x:c r="P979" s="274" t="str">
        <x:v>DepositBonus</x:v>
      </x:c>
      <x:c r="Q979" s="274" t="str">
        <x:v>Approved</x:v>
      </x:c>
      <x:c r="R979" s="265" t="n">
        <x:v>400</x:v>
      </x:c>
      <x:c r="S979" s="253" t="str">
        <x:v>Yes</x:v>
      </x:c>
      <x:c r="T979" s="265" t="n">
        <x:v>1343.35</x:v>
      </x:c>
      <x:c r="U979" s="253" t="str">
        <x:f>IF(AND(S979="Yes",T979=0),"Yes","No")</x:f>
        <x:v>No</x:v>
      </x:c>
      <x:c r="V979" s="253" t="str">
        <x:v>Yes</x:v>
      </x:c>
      <x:c r="W979" s="253" t="str">
        <x:v>Yes</x:v>
      </x:c>
      <x:c r="X979" s="259" t="n">
        <x:v>46191.166666666664</x:v>
      </x:c>
      <x:c r="Y979" s="265" t="n">
        <x:v>800</x:v>
      </x:c>
      <x:c r="Z979" s="265" t="n">
        <x:v>800</x:v>
      </x:c>
      <x:c r="AA979" s="253" t="str">
        <x:f>IF(V979="No","Maturing",IF(AND(U979="Yes",Y979&gt;0),"Yes","No"))</x:f>
        <x:v>No</x:v>
      </x:c>
      <x:c r="AB979" s="253" t="str">
        <x:f>IF(W979="No","Maturing",IF(AND(U979="Yes",Z979&gt;0),"Yes","No"))</x:f>
        <x:v>No</x:v>
      </x:c>
      <x:c r="AC979" s="265" t="n">
        <x:v>799.91</x:v>
      </x:c>
      <x:c r="AD979" s="265" t="n">
        <x:v>799.91</x:v>
      </x:c>
      <x:c r="AE979" s="271" t="str"/>
      <x:c r="AF979" s="274" t="str">
        <x:v>Not validated - no control/holdout</x:v>
      </x:c>
      <x:c r="AG979" s="277" t="str">
        <x:v>Recovered execution only; assignment date and unclaimed-offer denominator unavailable</x:v>
      </x:c>
    </x:row>
    <x:row r="980">
      <x:c r="A980" s="252" t="str">
        <x:v>34643585</x:v>
      </x:c>
      <x:c r="B980" s="253" t="str">
        <x:v>WS1</x:v>
      </x:c>
      <x:c r="C980" s="253" t="str">
        <x:v>MB8</x:v>
      </x:c>
      <x:c r="D980" s="262" t="n">
        <x:v>46191.53717592593</x:v>
      </x:c>
      <x:c r="E980" s="259" t="n">
        <x:v>46191.166666666664</x:v>
      </x:c>
      <x:c r="F980" s="253" t="str">
        <x:v>566047</x:v>
      </x:c>
      <x:c r="G980" s="253" t="str">
        <x:v>Jarance22833</x:v>
      </x:c>
      <x:c r="H980" s="253" t="str">
        <x:v>Yes</x:v>
      </x:c>
      <x:c r="I980" s="253" t="str">
        <x:v>Claire</x:v>
      </x:c>
      <x:c r="J980" s="253" t="str">
        <x:v>Claire</x:v>
      </x:c>
      <x:c r="K980" s="259" t="n">
        <x:v>45659.166666666664</x:v>
      </x:c>
      <x:c r="L980" s="268" t="str">
        <x:f>IFERROR(VLOOKUP(I980,'Handler-Team Map'!$A$7:$C$17,2,FALSE),"")</x:f>
      </x:c>
      <x:c r="M980" s="268" t="str">
        <x:f>IFERROR(VLOOKUP(I980,'Handler-Team Map'!$A$7:$C$17,3,FALSE),"")</x:f>
      </x:c>
      <x:c r="N980" s="274" t="str">
        <x:v>FT_VM_DEP1000_GET500_5X</x:v>
      </x:c>
      <x:c r="O980" s="274" t="str">
        <x:v>VIP BONUS - Deposit 1000 Get 500 - 5x TO</x:v>
      </x:c>
      <x:c r="P980" s="274" t="str">
        <x:v>DepositBonus</x:v>
      </x:c>
      <x:c r="Q980" s="274" t="str">
        <x:v>Approved</x:v>
      </x:c>
      <x:c r="R980" s="265" t="n">
        <x:v>500</x:v>
      </x:c>
      <x:c r="S980" s="253" t="str">
        <x:v>Yes</x:v>
      </x:c>
      <x:c r="T980" s="265" t="n">
        <x:v>2900</x:v>
      </x:c>
      <x:c r="U980" s="253" t="str">
        <x:f>IF(AND(S980="Yes",T980=0),"Yes","No")</x:f>
        <x:v>No</x:v>
      </x:c>
      <x:c r="V980" s="253" t="str">
        <x:v>Yes</x:v>
      </x:c>
      <x:c r="W980" s="253" t="str">
        <x:v>Yes</x:v>
      </x:c>
      <x:c r="X980" s="259" t="n">
        <x:v>46191.166666666664</x:v>
      </x:c>
      <x:c r="Y980" s="265" t="n">
        <x:v>3200.48</x:v>
      </x:c>
      <x:c r="Z980" s="265" t="n">
        <x:v>3200.48</x:v>
      </x:c>
      <x:c r="AA980" s="253" t="str">
        <x:f>IF(V980="No","Maturing",IF(AND(U980="Yes",Y980&gt;0),"Yes","No"))</x:f>
        <x:v>No</x:v>
      </x:c>
      <x:c r="AB980" s="253" t="str">
        <x:f>IF(W980="No","Maturing",IF(AND(U980="Yes",Z980&gt;0),"Yes","No"))</x:f>
        <x:v>No</x:v>
      </x:c>
      <x:c r="AC980" s="265" t="n">
        <x:v>3200.38</x:v>
      </x:c>
      <x:c r="AD980" s="265" t="n">
        <x:v>3200.38</x:v>
      </x:c>
      <x:c r="AE980" s="271" t="str"/>
      <x:c r="AF980" s="274" t="str">
        <x:v>Not validated - no control/holdout</x:v>
      </x:c>
      <x:c r="AG980" s="277" t="str">
        <x:v>Recovered execution only; assignment date and unclaimed-offer denominator unavailable</x:v>
      </x:c>
    </x:row>
    <x:row r="981">
      <x:c r="A981" s="252" t="str">
        <x:v>34643701</x:v>
      </x:c>
      <x:c r="B981" s="253" t="str">
        <x:v>WS1</x:v>
      </x:c>
      <x:c r="C981" s="253" t="str">
        <x:v>MB8</x:v>
      </x:c>
      <x:c r="D981" s="262" t="n">
        <x:v>46191.54993055556</x:v>
      </x:c>
      <x:c r="E981" s="259" t="n">
        <x:v>46191.166666666664</x:v>
      </x:c>
      <x:c r="F981" s="253" t="str">
        <x:v>354412</x:v>
      </x:c>
      <x:c r="G981" s="253" t="str">
        <x:v>Jesse69</x:v>
      </x:c>
      <x:c r="H981" s="253" t="str">
        <x:v>Yes</x:v>
      </x:c>
      <x:c r="I981" s="253" t="str">
        <x:v>Claire</x:v>
      </x:c>
      <x:c r="J981" s="253" t="str">
        <x:v>Claire</x:v>
      </x:c>
      <x:c r="K981" s="259" t="n">
        <x:v>45755.166666666664</x:v>
      </x:c>
      <x:c r="L981" s="268" t="str">
        <x:f>IFERROR(VLOOKUP(I981,'Handler-Team Map'!$A$7:$C$17,2,FALSE),"")</x:f>
      </x:c>
      <x:c r="M981" s="268" t="str">
        <x:f>IFERROR(VLOOKUP(I981,'Handler-Team Map'!$A$7:$C$17,3,FALSE),"")</x:f>
      </x:c>
      <x:c r="N981" s="274" t="str">
        <x:v>FT_VM_DEP150_GET50_5X</x:v>
      </x:c>
      <x:c r="O981" s="274" t="str">
        <x:v>VIP BONUS - Deposit 150 Get 50 - 5x TO</x:v>
      </x:c>
      <x:c r="P981" s="274" t="str">
        <x:v>DepositBonus</x:v>
      </x:c>
      <x:c r="Q981" s="274" t="str">
        <x:v>Approved</x:v>
      </x:c>
      <x:c r="R981" s="265" t="n">
        <x:v>50</x:v>
      </x:c>
      <x:c r="S981" s="253" t="str">
        <x:v>Yes</x:v>
      </x:c>
      <x:c r="T981" s="265" t="n">
        <x:v>40830</x:v>
      </x:c>
      <x:c r="U981" s="253" t="str">
        <x:f>IF(AND(S981="Yes",T981=0),"Yes","No")</x:f>
        <x:v>No</x:v>
      </x:c>
      <x:c r="V981" s="253" t="str">
        <x:v>Yes</x:v>
      </x:c>
      <x:c r="W981" s="253" t="str">
        <x:v>Yes</x:v>
      </x:c>
      <x:c r="X981" s="259" t="n">
        <x:v>46191.166666666664</x:v>
      </x:c>
      <x:c r="Y981" s="265" t="n">
        <x:v>7380</x:v>
      </x:c>
      <x:c r="Z981" s="265" t="n">
        <x:v>26100</x:v>
      </x:c>
      <x:c r="AA981" s="253" t="str">
        <x:f>IF(V981="No","Maturing",IF(AND(U981="Yes",Y981&gt;0),"Yes","No"))</x:f>
        <x:v>No</x:v>
      </x:c>
      <x:c r="AB981" s="253" t="str">
        <x:f>IF(W981="No","Maturing",IF(AND(U981="Yes",Z981&gt;0),"Yes","No"))</x:f>
        <x:v>No</x:v>
      </x:c>
      <x:c r="AC981" s="265" t="n">
        <x:v>2328.14</x:v>
      </x:c>
      <x:c r="AD981" s="265" t="n">
        <x:v>548.71</x:v>
      </x:c>
      <x:c r="AE981" s="271" t="str"/>
      <x:c r="AF981" s="274" t="str">
        <x:v>Not validated - no control/holdout</x:v>
      </x:c>
      <x:c r="AG981" s="277" t="str">
        <x:v>Recovered execution only; assignment date and unclaimed-offer denominator unavailable</x:v>
      </x:c>
    </x:row>
    <x:row r="982">
      <x:c r="A982" s="252" t="str">
        <x:v>34644361</x:v>
      </x:c>
      <x:c r="B982" s="253" t="str">
        <x:v>WS1</x:v>
      </x:c>
      <x:c r="C982" s="253" t="str">
        <x:v>MB8</x:v>
      </x:c>
      <x:c r="D982" s="262" t="n">
        <x:v>46191.63146990741</x:v>
      </x:c>
      <x:c r="E982" s="259" t="n">
        <x:v>46191.166666666664</x:v>
      </x:c>
      <x:c r="F982" s="253" t="str">
        <x:v>567203</x:v>
      </x:c>
      <x:c r="G982" s="253" t="str">
        <x:v>Booboo</x:v>
      </x:c>
      <x:c r="H982" s="253" t="str">
        <x:v>Yes</x:v>
      </x:c>
      <x:c r="I982" s="253" t="str">
        <x:v>Elda</x:v>
      </x:c>
      <x:c r="J982" s="253" t="str">
        <x:v>Elda</x:v>
      </x:c>
      <x:c r="K982" s="259" t="n">
        <x:v>45659.166666666664</x:v>
      </x:c>
      <x:c r="L982" s="268" t="str">
        <x:f>IFERROR(VLOOKUP(I982,'Handler-Team Map'!$A$7:$C$17,2,FALSE),"")</x:f>
      </x:c>
      <x:c r="M982" s="268" t="str">
        <x:f>IFERROR(VLOOKUP(I982,'Handler-Team Map'!$A$7:$C$17,3,FALSE),"")</x:f>
      </x:c>
      <x:c r="N982" s="274" t="str">
        <x:v>FT_VM_DEP1000_GET500_5X</x:v>
      </x:c>
      <x:c r="O982" s="274" t="str">
        <x:v>VIP BONUS - Deposit 1000 Get 500 - 5x TO</x:v>
      </x:c>
      <x:c r="P982" s="274" t="str">
        <x:v>DepositBonus</x:v>
      </x:c>
      <x:c r="Q982" s="274" t="str">
        <x:v>Approved</x:v>
      </x:c>
      <x:c r="R982" s="265" t="n">
        <x:v>500</x:v>
      </x:c>
      <x:c r="S982" s="253" t="str">
        <x:v>Yes</x:v>
      </x:c>
      <x:c r="T982" s="265" t="n">
        <x:v>57170.09</x:v>
      </x:c>
      <x:c r="U982" s="253" t="str">
        <x:f>IF(AND(S982="Yes",T982=0),"Yes","No")</x:f>
        <x:v>No</x:v>
      </x:c>
      <x:c r="V982" s="253" t="str">
        <x:v>Yes</x:v>
      </x:c>
      <x:c r="W982" s="253" t="str">
        <x:v>Yes</x:v>
      </x:c>
      <x:c r="X982" s="259" t="n">
        <x:v>46191.166666666664</x:v>
      </x:c>
      <x:c r="Y982" s="265" t="n">
        <x:v>11845.14</x:v>
      </x:c>
      <x:c r="Z982" s="265" t="n">
        <x:v>17492.14</x:v>
      </x:c>
      <x:c r="AA982" s="253" t="str">
        <x:f>IF(V982="No","Maturing",IF(AND(U982="Yes",Y982&gt;0),"Yes","No"))</x:f>
        <x:v>No</x:v>
      </x:c>
      <x:c r="AB982" s="253" t="str">
        <x:f>IF(W982="No","Maturing",IF(AND(U982="Yes",Z982&gt;0),"Yes","No"))</x:f>
        <x:v>No</x:v>
      </x:c>
      <x:c r="AC982" s="265" t="n">
        <x:v>5544.1</x:v>
      </x:c>
      <x:c r="AD982" s="265" t="n">
        <x:v>9280.81</x:v>
      </x:c>
      <x:c r="AE982" s="271" t="str"/>
      <x:c r="AF982" s="274" t="str">
        <x:v>Not validated - no control/holdout</x:v>
      </x:c>
      <x:c r="AG982" s="277" t="str">
        <x:v>Recovered execution only; assignment date and unclaimed-offer denominator unavailable</x:v>
      </x:c>
    </x:row>
    <x:row r="983">
      <x:c r="A983" s="252" t="str">
        <x:v>34644782</x:v>
      </x:c>
      <x:c r="B983" s="253" t="str">
        <x:v>WS1</x:v>
      </x:c>
      <x:c r="C983" s="253" t="str">
        <x:v>MB8</x:v>
      </x:c>
      <x:c r="D983" s="262" t="n">
        <x:v>46191.67105324074</x:v>
      </x:c>
      <x:c r="E983" s="259" t="n">
        <x:v>46191.166666666664</x:v>
      </x:c>
      <x:c r="F983" s="253" t="str">
        <x:v>677807</x:v>
      </x:c>
      <x:c r="G983" s="253" t="str">
        <x:v>KariKai</x:v>
      </x:c>
      <x:c r="H983" s="253" t="str">
        <x:v>Yes</x:v>
      </x:c>
      <x:c r="I983" s="253" t="str"/>
      <x:c r="J983" s="253" t="str"/>
      <x:c r="K983" s="259"/>
      <x:c r="L983" s="268" t="str">
        <x:f>IFERROR(VLOOKUP(I983,'Handler-Team Map'!$A$7:$C$17,2,FALSE),"")</x:f>
      </x:c>
      <x:c r="M983" s="268" t="str">
        <x:f>IFERROR(VLOOKUP(I983,'Handler-Team Map'!$A$7:$C$17,3,FALSE),"")</x:f>
      </x:c>
      <x:c r="N983" s="274" t="str">
        <x:v>FT_VM_DEP1000_GET900_2X</x:v>
      </x:c>
      <x:c r="O983" s="274" t="str">
        <x:v>VIP BONUS - Deposit 1000 Get 900 - 2x TO</x:v>
      </x:c>
      <x:c r="P983" s="274" t="str">
        <x:v>DepositBonus</x:v>
      </x:c>
      <x:c r="Q983" s="274" t="str">
        <x:v>Approved</x:v>
      </x:c>
      <x:c r="R983" s="265" t="n">
        <x:v>900</x:v>
      </x:c>
      <x:c r="S983" s="253" t="str">
        <x:v>Yes</x:v>
      </x:c>
      <x:c r="T983" s="265" t="n">
        <x:v>1000</x:v>
      </x:c>
      <x:c r="U983" s="253" t="str">
        <x:f>IF(AND(S983="Yes",T983=0),"Yes","No")</x:f>
        <x:v>No</x:v>
      </x:c>
      <x:c r="V983" s="253" t="str">
        <x:v>Yes</x:v>
      </x:c>
      <x:c r="W983" s="253" t="str">
        <x:v>Yes</x:v>
      </x:c>
      <x:c r="X983" s="259" t="n">
        <x:v>46191.166666666664</x:v>
      </x:c>
      <x:c r="Y983" s="265" t="n">
        <x:v>1000</x:v>
      </x:c>
      <x:c r="Z983" s="265" t="n">
        <x:v>1000</x:v>
      </x:c>
      <x:c r="AA983" s="253" t="str">
        <x:f>IF(V983="No","Maturing",IF(AND(U983="Yes",Y983&gt;0),"Yes","No"))</x:f>
        <x:v>No</x:v>
      </x:c>
      <x:c r="AB983" s="253" t="str">
        <x:f>IF(W983="No","Maturing",IF(AND(U983="Yes",Z983&gt;0),"Yes","No"))</x:f>
        <x:v>No</x:v>
      </x:c>
      <x:c r="AC983" s="265" t="n">
        <x:v>1004.73</x:v>
      </x:c>
      <x:c r="AD983" s="265" t="n">
        <x:v>1004.54</x:v>
      </x:c>
      <x:c r="AE983" s="271" t="str"/>
      <x:c r="AF983" s="274" t="str">
        <x:v>Not validated - no control/holdout</x:v>
      </x:c>
      <x:c r="AG983" s="277" t="str">
        <x:v>Recovered execution only; assignment date and unclaimed-offer denominator unavailable</x:v>
      </x:c>
    </x:row>
    <x:row r="984">
      <x:c r="A984" s="252" t="str">
        <x:v>34645387</x:v>
      </x:c>
      <x:c r="B984" s="253" t="str">
        <x:v>WS1</x:v>
      </x:c>
      <x:c r="C984" s="253" t="str">
        <x:v>MB8</x:v>
      </x:c>
      <x:c r="D984" s="262" t="n">
        <x:v>46191.721030092594</x:v>
      </x:c>
      <x:c r="E984" s="259" t="n">
        <x:v>46191.166666666664</x:v>
      </x:c>
      <x:c r="F984" s="253" t="str">
        <x:v>788711</x:v>
      </x:c>
      <x:c r="G984" s="253" t="str">
        <x:v>ientao945</x:v>
      </x:c>
      <x:c r="H984" s="253" t="str">
        <x:v>Yes</x:v>
      </x:c>
      <x:c r="I984" s="253" t="str">
        <x:v>zhen</x:v>
      </x:c>
      <x:c r="J984" s="253" t="str">
        <x:v>zhen</x:v>
      </x:c>
      <x:c r="K984" s="259" t="n">
        <x:v>45880.166666666664</x:v>
      </x:c>
      <x:c r="L984" s="268" t="str">
        <x:f>IFERROR(VLOOKUP(I984,'Handler-Team Map'!$A$7:$C$17,2,FALSE),"")</x:f>
      </x:c>
      <x:c r="M984" s="268" t="str">
        <x:f>IFERROR(VLOOKUP(I984,'Handler-Team Map'!$A$7:$C$17,3,FALSE),"")</x:f>
      </x:c>
      <x:c r="N984" s="274" t="str">
        <x:v>FT_VM_DEP600_GET200_5X</x:v>
      </x:c>
      <x:c r="O984" s="274" t="str">
        <x:v>VIP BONUS - Deposit 600 Get 200 - 5x TO</x:v>
      </x:c>
      <x:c r="P984" s="274" t="str">
        <x:v>DepositBonus</x:v>
      </x:c>
      <x:c r="Q984" s="274" t="str">
        <x:v>Approved</x:v>
      </x:c>
      <x:c r="R984" s="265" t="n">
        <x:v>200</x:v>
      </x:c>
      <x:c r="S984" s="253" t="str">
        <x:v>Yes</x:v>
      </x:c>
      <x:c r="T984" s="265" t="n">
        <x:v>4148</x:v>
      </x:c>
      <x:c r="U984" s="253" t="str">
        <x:f>IF(AND(S984="Yes",T984=0),"Yes","No")</x:f>
        <x:v>No</x:v>
      </x:c>
      <x:c r="V984" s="253" t="str">
        <x:v>Yes</x:v>
      </x:c>
      <x:c r="W984" s="253" t="str">
        <x:v>Yes</x:v>
      </x:c>
      <x:c r="X984" s="259" t="n">
        <x:v>46191.166666666664</x:v>
      </x:c>
      <x:c r="Y984" s="265" t="n">
        <x:v>600</x:v>
      </x:c>
      <x:c r="Z984" s="265" t="n">
        <x:v>3295</x:v>
      </x:c>
      <x:c r="AA984" s="253" t="str">
        <x:f>IF(V984="No","Maturing",IF(AND(U984="Yes",Y984&gt;0),"Yes","No"))</x:f>
        <x:v>No</x:v>
      </x:c>
      <x:c r="AB984" s="253" t="str">
        <x:f>IF(W984="No","Maturing",IF(AND(U984="Yes",Z984&gt;0),"Yes","No"))</x:f>
        <x:v>No</x:v>
      </x:c>
      <x:c r="AC984" s="265" t="n">
        <x:v>570.86</x:v>
      </x:c>
      <x:c r="AD984" s="265" t="n">
        <x:v>2295.18</x:v>
      </x:c>
      <x:c r="AE984" s="271" t="str"/>
      <x:c r="AF984" s="274" t="str">
        <x:v>Not validated - no control/holdout</x:v>
      </x:c>
      <x:c r="AG984" s="277" t="str">
        <x:v>Recovered execution only; assignment date and unclaimed-offer denominator unavailable</x:v>
      </x:c>
    </x:row>
    <x:row r="985">
      <x:c r="A985" s="252" t="str">
        <x:v>34645760</x:v>
      </x:c>
      <x:c r="B985" s="253" t="str">
        <x:v>WS1</x:v>
      </x:c>
      <x:c r="C985" s="253" t="str">
        <x:v>MB8</x:v>
      </x:c>
      <x:c r="D985" s="262" t="n">
        <x:v>46191.754375</x:v>
      </x:c>
      <x:c r="E985" s="259" t="n">
        <x:v>46191.166666666664</x:v>
      </x:c>
      <x:c r="F985" s="253" t="str">
        <x:v>613063</x:v>
      </x:c>
      <x:c r="G985" s="253" t="str">
        <x:v>Jnk9363</x:v>
      </x:c>
      <x:c r="H985" s="253" t="str">
        <x:v>Yes</x:v>
      </x:c>
      <x:c r="I985" s="253" t="str"/>
      <x:c r="J985" s="253" t="str"/>
      <x:c r="K985" s="259"/>
      <x:c r="L985" s="268" t="str">
        <x:f>IFERROR(VLOOKUP(I985,'Handler-Team Map'!$A$7:$C$17,2,FALSE),"")</x:f>
      </x:c>
      <x:c r="M985" s="268" t="str">
        <x:f>IFERROR(VLOOKUP(I985,'Handler-Team Map'!$A$7:$C$17,3,FALSE),"")</x:f>
      </x:c>
      <x:c r="N985" s="274" t="str">
        <x:v>FT_VM_DEP600_GET200_5X</x:v>
      </x:c>
      <x:c r="O985" s="274" t="str">
        <x:v>VIP BONUS - Deposit 600 Get 200 - 5x TO</x:v>
      </x:c>
      <x:c r="P985" s="274" t="str">
        <x:v>DepositBonus</x:v>
      </x:c>
      <x:c r="Q985" s="274" t="str">
        <x:v>Approved</x:v>
      </x:c>
      <x:c r="R985" s="265" t="n">
        <x:v>200</x:v>
      </x:c>
      <x:c r="S985" s="253" t="str">
        <x:v>Yes</x:v>
      </x:c>
      <x:c r="T985" s="265" t="n">
        <x:v>8896</x:v>
      </x:c>
      <x:c r="U985" s="253" t="str">
        <x:f>IF(AND(S985="Yes",T985=0),"Yes","No")</x:f>
        <x:v>No</x:v>
      </x:c>
      <x:c r="V985" s="253" t="str">
        <x:v>Yes</x:v>
      </x:c>
      <x:c r="W985" s="253" t="str">
        <x:v>Yes</x:v>
      </x:c>
      <x:c r="X985" s="259" t="n">
        <x:v>46191.166666666664</x:v>
      </x:c>
      <x:c r="Y985" s="265" t="n">
        <x:v>59750</x:v>
      </x:c>
      <x:c r="Z985" s="265" t="n">
        <x:v>112116</x:v>
      </x:c>
      <x:c r="AA985" s="253" t="str">
        <x:f>IF(V985="No","Maturing",IF(AND(U985="Yes",Y985&gt;0),"Yes","No"))</x:f>
        <x:v>No</x:v>
      </x:c>
      <x:c r="AB985" s="253" t="str">
        <x:f>IF(W985="No","Maturing",IF(AND(U985="Yes",Z985&gt;0),"Yes","No"))</x:f>
        <x:v>No</x:v>
      </x:c>
      <x:c r="AC985" s="265" t="n">
        <x:v>-6845.9</x:v>
      </x:c>
      <x:c r="AD985" s="265" t="n">
        <x:v>11866.72</x:v>
      </x:c>
      <x:c r="AE985" s="271" t="str"/>
      <x:c r="AF985" s="274" t="str">
        <x:v>Not validated - no control/holdout</x:v>
      </x:c>
      <x:c r="AG985" s="277" t="str">
        <x:v>Recovered execution only; assignment date and unclaimed-offer denominator unavailable</x:v>
      </x:c>
    </x:row>
    <x:row r="986">
      <x:c r="A986" s="252" t="str">
        <x:v>34645921</x:v>
      </x:c>
      <x:c r="B986" s="253" t="str">
        <x:v>WS1</x:v>
      </x:c>
      <x:c r="C986" s="253" t="str">
        <x:v>MB8</x:v>
      </x:c>
      <x:c r="D986" s="262" t="n">
        <x:v>46191.771319444444</x:v>
      </x:c>
      <x:c r="E986" s="259" t="n">
        <x:v>46191.166666666664</x:v>
      </x:c>
      <x:c r="F986" s="253" t="str">
        <x:v>716818</x:v>
      </x:c>
      <x:c r="G986" s="253" t="str">
        <x:v>yan1288</x:v>
      </x:c>
      <x:c r="H986" s="253" t="str">
        <x:v>Yes</x:v>
      </x:c>
      <x:c r="I986" s="253" t="str"/>
      <x:c r="J986" s="253" t="str"/>
      <x:c r="K986" s="259"/>
      <x:c r="L986" s="268" t="str">
        <x:f>IFERROR(VLOOKUP(I986,'Handler-Team Map'!$A$7:$C$17,2,FALSE),"")</x:f>
      </x:c>
      <x:c r="M986" s="268" t="str">
        <x:f>IFERROR(VLOOKUP(I986,'Handler-Team Map'!$A$7:$C$17,3,FALSE),"")</x:f>
      </x:c>
      <x:c r="N986" s="274" t="str">
        <x:v>FT_VM_DEP600_GET200_5X</x:v>
      </x:c>
      <x:c r="O986" s="274" t="str">
        <x:v>VIP BONUS - Deposit 600 Get 200 - 5x TO</x:v>
      </x:c>
      <x:c r="P986" s="274" t="str">
        <x:v>DepositBonus</x:v>
      </x:c>
      <x:c r="Q986" s="274" t="str">
        <x:v>Approved</x:v>
      </x:c>
      <x:c r="R986" s="265" t="n">
        <x:v>200</x:v>
      </x:c>
      <x:c r="S986" s="253" t="str">
        <x:v>Yes</x:v>
      </x:c>
      <x:c r="T986" s="265" t="n">
        <x:v>2750</x:v>
      </x:c>
      <x:c r="U986" s="253" t="str">
        <x:f>IF(AND(S986="Yes",T986=0),"Yes","No")</x:f>
        <x:v>No</x:v>
      </x:c>
      <x:c r="V986" s="253" t="str">
        <x:v>Yes</x:v>
      </x:c>
      <x:c r="W986" s="253" t="str">
        <x:v>Yes</x:v>
      </x:c>
      <x:c r="X986" s="259" t="n">
        <x:v>46191.166666666664</x:v>
      </x:c>
      <x:c r="Y986" s="265" t="n">
        <x:v>940</x:v>
      </x:c>
      <x:c r="Z986" s="265" t="n">
        <x:v>1495</x:v>
      </x:c>
      <x:c r="AA986" s="253" t="str">
        <x:f>IF(V986="No","Maturing",IF(AND(U986="Yes",Y986&gt;0),"Yes","No"))</x:f>
        <x:v>No</x:v>
      </x:c>
      <x:c r="AB986" s="253" t="str">
        <x:f>IF(W986="No","Maturing",IF(AND(U986="Yes",Z986&gt;0),"Yes","No"))</x:f>
        <x:v>No</x:v>
      </x:c>
      <x:c r="AC986" s="265" t="n">
        <x:v>-562.22</x:v>
      </x:c>
      <x:c r="AD986" s="265" t="n">
        <x:v>-3562.74</x:v>
      </x:c>
      <x:c r="AE986" s="271" t="str"/>
      <x:c r="AF986" s="274" t="str">
        <x:v>Not validated - no control/holdout</x:v>
      </x:c>
      <x:c r="AG986" s="277" t="str">
        <x:v>Recovered execution only; assignment date and unclaimed-offer denominator unavailable</x:v>
      </x:c>
    </x:row>
    <x:row r="987">
      <x:c r="A987" s="252" t="str">
        <x:v>34645964</x:v>
      </x:c>
      <x:c r="B987" s="253" t="str">
        <x:v>WS1</x:v>
      </x:c>
      <x:c r="C987" s="253" t="str">
        <x:v>MB8</x:v>
      </x:c>
      <x:c r="D987" s="262" t="n">
        <x:v>46191.77662037037</x:v>
      </x:c>
      <x:c r="E987" s="259" t="n">
        <x:v>46191.166666666664</x:v>
      </x:c>
      <x:c r="F987" s="253" t="str">
        <x:v>1181391</x:v>
      </x:c>
      <x:c r="G987" s="253" t="str">
        <x:v>Kook27</x:v>
      </x:c>
      <x:c r="H987" s="253" t="str">
        <x:v>Yes</x:v>
      </x:c>
      <x:c r="I987" s="253" t="str">
        <x:v>Jiahui</x:v>
      </x:c>
      <x:c r="J987" s="253" t="str">
        <x:v>Jiahui</x:v>
      </x:c>
      <x:c r="K987" s="259" t="n">
        <x:v>45811.166666666664</x:v>
      </x:c>
      <x:c r="L987" s="268" t="str">
        <x:f>IFERROR(VLOOKUP(I987,'Handler-Team Map'!$A$7:$C$17,2,FALSE),"")</x:f>
      </x:c>
      <x:c r="M987" s="268" t="str">
        <x:f>IFERROR(VLOOKUP(I987,'Handler-Team Map'!$A$7:$C$17,3,FALSE),"")</x:f>
      </x:c>
      <x:c r="N987" s="274" t="str">
        <x:v>FT_VM_DEP1000_GET500_5X</x:v>
      </x:c>
      <x:c r="O987" s="274" t="str">
        <x:v>VIP BONUS - Deposit 1000 Get 500 - 5x TO</x:v>
      </x:c>
      <x:c r="P987" s="274" t="str">
        <x:v>DepositBonus</x:v>
      </x:c>
      <x:c r="Q987" s="274" t="str">
        <x:v>Approved</x:v>
      </x:c>
      <x:c r="R987" s="265" t="n">
        <x:v>500</x:v>
      </x:c>
      <x:c r="S987" s="253" t="str">
        <x:v>Yes</x:v>
      </x:c>
      <x:c r="T987" s="265" t="n">
        <x:v>3400</x:v>
      </x:c>
      <x:c r="U987" s="253" t="str">
        <x:f>IF(AND(S987="Yes",T987=0),"Yes","No")</x:f>
        <x:v>No</x:v>
      </x:c>
      <x:c r="V987" s="253" t="str">
        <x:v>Yes</x:v>
      </x:c>
      <x:c r="W987" s="253" t="str">
        <x:v>Yes</x:v>
      </x:c>
      <x:c r="X987" s="259" t="n">
        <x:v>46191.166666666664</x:v>
      </x:c>
      <x:c r="Y987" s="265" t="n">
        <x:v>1050</x:v>
      </x:c>
      <x:c r="Z987" s="265" t="n">
        <x:v>2050</x:v>
      </x:c>
      <x:c r="AA987" s="253" t="str">
        <x:f>IF(V987="No","Maturing",IF(AND(U987="Yes",Y987&gt;0),"Yes","No"))</x:f>
        <x:v>No</x:v>
      </x:c>
      <x:c r="AB987" s="253" t="str">
        <x:f>IF(W987="No","Maturing",IF(AND(U987="Yes",Z987&gt;0),"Yes","No"))</x:f>
        <x:v>No</x:v>
      </x:c>
      <x:c r="AC987" s="265" t="n">
        <x:v>1050.62</x:v>
      </x:c>
      <x:c r="AD987" s="265" t="n">
        <x:v>634.45</x:v>
      </x:c>
      <x:c r="AE987" s="271" t="str"/>
      <x:c r="AF987" s="274" t="str">
        <x:v>Not validated - no control/holdout</x:v>
      </x:c>
      <x:c r="AG987" s="277" t="str">
        <x:v>Recovered execution only; assignment date and unclaimed-offer denominator unavailable</x:v>
      </x:c>
    </x:row>
    <x:row r="988">
      <x:c r="A988" s="252" t="str">
        <x:v>34646046</x:v>
      </x:c>
      <x:c r="B988" s="253" t="str">
        <x:v>WS1</x:v>
      </x:c>
      <x:c r="C988" s="253" t="str">
        <x:v>MB8</x:v>
      </x:c>
      <x:c r="D988" s="262" t="n">
        <x:v>46191.78443287037</x:v>
      </x:c>
      <x:c r="E988" s="259" t="n">
        <x:v>46191.166666666664</x:v>
      </x:c>
      <x:c r="F988" s="253" t="str">
        <x:v>499979</x:v>
      </x:c>
      <x:c r="G988" s="253" t="str">
        <x:v>edmund6070</x:v>
      </x:c>
      <x:c r="H988" s="253" t="str">
        <x:v>Yes</x:v>
      </x:c>
      <x:c r="I988" s="253" t="str">
        <x:v>Elda</x:v>
      </x:c>
      <x:c r="J988" s="253" t="str">
        <x:v>Elda</x:v>
      </x:c>
      <x:c r="K988" s="259" t="n">
        <x:v>45659.166666666664</x:v>
      </x:c>
      <x:c r="L988" s="268" t="str">
        <x:f>IFERROR(VLOOKUP(I988,'Handler-Team Map'!$A$7:$C$17,2,FALSE),"")</x:f>
      </x:c>
      <x:c r="M988" s="268" t="str">
        <x:f>IFERROR(VLOOKUP(I988,'Handler-Team Map'!$A$7:$C$17,3,FALSE),"")</x:f>
      </x:c>
      <x:c r="N988" s="274" t="str">
        <x:v>FT_VM_DEP300_GET100_5X</x:v>
      </x:c>
      <x:c r="O988" s="274" t="str">
        <x:v>VIP BONUS - Deposit 300 Get 100 - 5x TO</x:v>
      </x:c>
      <x:c r="P988" s="274" t="str">
        <x:v>DepositBonus</x:v>
      </x:c>
      <x:c r="Q988" s="274" t="str">
        <x:v>Approved</x:v>
      </x:c>
      <x:c r="R988" s="265" t="n">
        <x:v>100</x:v>
      </x:c>
      <x:c r="S988" s="253" t="str">
        <x:v>Yes</x:v>
      </x:c>
      <x:c r="T988" s="265" t="n">
        <x:v>65510</x:v>
      </x:c>
      <x:c r="U988" s="253" t="str">
        <x:f>IF(AND(S988="Yes",T988=0),"Yes","No")</x:f>
        <x:v>No</x:v>
      </x:c>
      <x:c r="V988" s="253" t="str">
        <x:v>Yes</x:v>
      </x:c>
      <x:c r="W988" s="253" t="str">
        <x:v>Yes</x:v>
      </x:c>
      <x:c r="X988" s="259" t="n">
        <x:v>46191.166666666664</x:v>
      </x:c>
      <x:c r="Y988" s="265" t="n">
        <x:v>10939.23</x:v>
      </x:c>
      <x:c r="Z988" s="265" t="n">
        <x:v>18806.26</x:v>
      </x:c>
      <x:c r="AA988" s="253" t="str">
        <x:f>IF(V988="No","Maturing",IF(AND(U988="Yes",Y988&gt;0),"Yes","No"))</x:f>
        <x:v>No</x:v>
      </x:c>
      <x:c r="AB988" s="253" t="str">
        <x:f>IF(W988="No","Maturing",IF(AND(U988="Yes",Z988&gt;0),"Yes","No"))</x:f>
        <x:v>No</x:v>
      </x:c>
      <x:c r="AC988" s="265" t="n">
        <x:v>4720.68</x:v>
      </x:c>
      <x:c r="AD988" s="265" t="n">
        <x:v>4539.79</x:v>
      </x:c>
      <x:c r="AE988" s="271" t="str"/>
      <x:c r="AF988" s="274" t="str">
        <x:v>Not validated - no control/holdout</x:v>
      </x:c>
      <x:c r="AG988" s="277" t="str">
        <x:v>Recovered execution only; assignment date and unclaimed-offer denominator unavailable</x:v>
      </x:c>
    </x:row>
    <x:row r="989">
      <x:c r="A989" s="252" t="str">
        <x:v>34646732</x:v>
      </x:c>
      <x:c r="B989" s="253" t="str">
        <x:v>WS1</x:v>
      </x:c>
      <x:c r="C989" s="253" t="str">
        <x:v>MB8</x:v>
      </x:c>
      <x:c r="D989" s="262" t="n">
        <x:v>46191.84081018518</x:v>
      </x:c>
      <x:c r="E989" s="259" t="n">
        <x:v>46191.166666666664</x:v>
      </x:c>
      <x:c r="F989" s="253" t="str">
        <x:v>539</x:v>
      </x:c>
      <x:c r="G989" s="253" t="str">
        <x:v>sslssl</x:v>
      </x:c>
      <x:c r="H989" s="253" t="str">
        <x:v>Yes</x:v>
      </x:c>
      <x:c r="I989" s="253" t="str">
        <x:v>Elda</x:v>
      </x:c>
      <x:c r="J989" s="253" t="str">
        <x:v>Elda</x:v>
      </x:c>
      <x:c r="K989" s="259" t="n">
        <x:v>45659.166666666664</x:v>
      </x:c>
      <x:c r="L989" s="268" t="str">
        <x:f>IFERROR(VLOOKUP(I989,'Handler-Team Map'!$A$7:$C$17,2,FALSE),"")</x:f>
      </x:c>
      <x:c r="M989" s="268" t="str">
        <x:f>IFERROR(VLOOKUP(I989,'Handler-Team Map'!$A$7:$C$17,3,FALSE),"")</x:f>
      </x:c>
      <x:c r="N989" s="274" t="str">
        <x:v>FT_VM_DEP600_GET200_5X</x:v>
      </x:c>
      <x:c r="O989" s="274" t="str">
        <x:v>VIP BONUS - Deposit 600 Get 200 - 5x TO</x:v>
      </x:c>
      <x:c r="P989" s="274" t="str">
        <x:v>DepositBonus</x:v>
      </x:c>
      <x:c r="Q989" s="274" t="str">
        <x:v>Approved</x:v>
      </x:c>
      <x:c r="R989" s="265" t="n">
        <x:v>200</x:v>
      </x:c>
      <x:c r="S989" s="253" t="str">
        <x:v>Yes</x:v>
      </x:c>
      <x:c r="T989" s="265" t="n">
        <x:v>663073</x:v>
      </x:c>
      <x:c r="U989" s="253" t="str">
        <x:f>IF(AND(S989="Yes",T989=0),"Yes","No")</x:f>
        <x:v>No</x:v>
      </x:c>
      <x:c r="V989" s="253" t="str">
        <x:v>Yes</x:v>
      </x:c>
      <x:c r="W989" s="253" t="str">
        <x:v>Yes</x:v>
      </x:c>
      <x:c r="X989" s="259" t="n">
        <x:v>46191.166666666664</x:v>
      </x:c>
      <x:c r="Y989" s="265" t="n">
        <x:v>171949</x:v>
      </x:c>
      <x:c r="Z989" s="265" t="n">
        <x:v>300645</x:v>
      </x:c>
      <x:c r="AA989" s="253" t="str">
        <x:f>IF(V989="No","Maturing",IF(AND(U989="Yes",Y989&gt;0),"Yes","No"))</x:f>
        <x:v>No</x:v>
      </x:c>
      <x:c r="AB989" s="253" t="str">
        <x:f>IF(W989="No","Maturing",IF(AND(U989="Yes",Z989&gt;0),"Yes","No"))</x:f>
        <x:v>No</x:v>
      </x:c>
      <x:c r="AC989" s="265" t="n">
        <x:v>17448.73</x:v>
      </x:c>
      <x:c r="AD989" s="265" t="n">
        <x:v>96145.97</x:v>
      </x:c>
      <x:c r="AE989" s="271" t="str"/>
      <x:c r="AF989" s="274" t="str">
        <x:v>Not validated - no control/holdout</x:v>
      </x:c>
      <x:c r="AG989" s="277" t="str">
        <x:v>Recovered execution only; assignment date and unclaimed-offer denominator unavailable</x:v>
      </x:c>
    </x:row>
    <x:row r="990">
      <x:c r="A990" s="252" t="str">
        <x:v>34647048</x:v>
      </x:c>
      <x:c r="B990" s="253" t="str">
        <x:v>WS1</x:v>
      </x:c>
      <x:c r="C990" s="253" t="str">
        <x:v>MB8</x:v>
      </x:c>
      <x:c r="D990" s="262" t="n">
        <x:v>46191.865439814814</x:v>
      </x:c>
      <x:c r="E990" s="259" t="n">
        <x:v>46191.166666666664</x:v>
      </x:c>
      <x:c r="F990" s="253" t="str">
        <x:v>314935</x:v>
      </x:c>
      <x:c r="G990" s="253" t="str">
        <x:v>Oxp6392</x:v>
      </x:c>
      <x:c r="H990" s="253" t="str">
        <x:v>Yes</x:v>
      </x:c>
      <x:c r="I990" s="253" t="str">
        <x:v>Sheena</x:v>
      </x:c>
      <x:c r="J990" s="253" t="str">
        <x:v>Sheena</x:v>
      </x:c>
      <x:c r="K990" s="259" t="n">
        <x:v>45852.166666666664</x:v>
      </x:c>
      <x:c r="L990" s="268" t="str">
        <x:f>IFERROR(VLOOKUP(I990,'Handler-Team Map'!$A$7:$C$17,2,FALSE),"")</x:f>
      </x:c>
      <x:c r="M990" s="268" t="str">
        <x:f>IFERROR(VLOOKUP(I990,'Handler-Team Map'!$A$7:$C$17,3,FALSE),"")</x:f>
      </x:c>
      <x:c r="N990" s="274" t="str">
        <x:v>FT_VM_DEP1000_GET500_5X</x:v>
      </x:c>
      <x:c r="O990" s="274" t="str">
        <x:v>VIP BONUS - Deposit 1000 Get 500 - 5x TO</x:v>
      </x:c>
      <x:c r="P990" s="274" t="str">
        <x:v>DepositBonus</x:v>
      </x:c>
      <x:c r="Q990" s="274" t="str">
        <x:v>Approved</x:v>
      </x:c>
      <x:c r="R990" s="265" t="n">
        <x:v>500</x:v>
      </x:c>
      <x:c r="S990" s="253" t="str">
        <x:v>Yes</x:v>
      </x:c>
      <x:c r="T990" s="265" t="n">
        <x:v>2240</x:v>
      </x:c>
      <x:c r="U990" s="253" t="str">
        <x:f>IF(AND(S990="Yes",T990=0),"Yes","No")</x:f>
        <x:v>No</x:v>
      </x:c>
      <x:c r="V990" s="253" t="str">
        <x:v>Yes</x:v>
      </x:c>
      <x:c r="W990" s="253" t="str">
        <x:v>Yes</x:v>
      </x:c>
      <x:c r="X990" s="259" t="n">
        <x:v>46191.166666666664</x:v>
      </x:c>
      <x:c r="Y990" s="265" t="n">
        <x:v>1200</x:v>
      </x:c>
      <x:c r="Z990" s="265" t="n">
        <x:v>1450</x:v>
      </x:c>
      <x:c r="AA990" s="253" t="str">
        <x:f>IF(V990="No","Maturing",IF(AND(U990="Yes",Y990&gt;0),"Yes","No"))</x:f>
        <x:v>No</x:v>
      </x:c>
      <x:c r="AB990" s="253" t="str">
        <x:f>IF(W990="No","Maturing",IF(AND(U990="Yes",Z990&gt;0),"Yes","No"))</x:f>
        <x:v>No</x:v>
      </x:c>
      <x:c r="AC990" s="265" t="n">
        <x:v>721.72</x:v>
      </x:c>
      <x:c r="AD990" s="265" t="n">
        <x:v>970.1</x:v>
      </x:c>
      <x:c r="AE990" s="271" t="str"/>
      <x:c r="AF990" s="274" t="str">
        <x:v>Not validated - no control/holdout</x:v>
      </x:c>
      <x:c r="AG990" s="277" t="str">
        <x:v>Recovered execution only; assignment date and unclaimed-offer denominator unavailable</x:v>
      </x:c>
    </x:row>
    <x:row r="991">
      <x:c r="A991" s="252" t="str">
        <x:v>34648544</x:v>
      </x:c>
      <x:c r="B991" s="253" t="str">
        <x:v>WS1</x:v>
      </x:c>
      <x:c r="C991" s="253" t="str">
        <x:v>MB8</x:v>
      </x:c>
      <x:c r="D991" s="262" t="n">
        <x:v>46191.97277777778</x:v>
      </x:c>
      <x:c r="E991" s="259" t="n">
        <x:v>46191.166666666664</x:v>
      </x:c>
      <x:c r="F991" s="253" t="str">
        <x:v>348567</x:v>
      </x:c>
      <x:c r="G991" s="253" t="str">
        <x:v>Firzor</x:v>
      </x:c>
      <x:c r="H991" s="253" t="str">
        <x:v>Yes</x:v>
      </x:c>
      <x:c r="I991" s="253" t="str"/>
      <x:c r="J991" s="253" t="str"/>
      <x:c r="K991" s="259"/>
      <x:c r="L991" s="268" t="str">
        <x:f>IFERROR(VLOOKUP(I991,'Handler-Team Map'!$A$7:$C$17,2,FALSE),"")</x:f>
      </x:c>
      <x:c r="M991" s="268" t="str">
        <x:f>IFERROR(VLOOKUP(I991,'Handler-Team Map'!$A$7:$C$17,3,FALSE),"")</x:f>
      </x:c>
      <x:c r="N991" s="274" t="str">
        <x:v>FT_VM_DEP1000_GET500_5X</x:v>
      </x:c>
      <x:c r="O991" s="274" t="str">
        <x:v>VIP BONUS - Deposit 1000 Get 500 - 5x TO</x:v>
      </x:c>
      <x:c r="P991" s="274" t="str">
        <x:v>DepositBonus</x:v>
      </x:c>
      <x:c r="Q991" s="274" t="str">
        <x:v>Approved</x:v>
      </x:c>
      <x:c r="R991" s="265" t="n">
        <x:v>500</x:v>
      </x:c>
      <x:c r="S991" s="253" t="str">
        <x:v>Yes</x:v>
      </x:c>
      <x:c r="T991" s="265" t="n">
        <x:v>2000</x:v>
      </x:c>
      <x:c r="U991" s="253" t="str">
        <x:f>IF(AND(S991="Yes",T991=0),"Yes","No")</x:f>
        <x:v>No</x:v>
      </x:c>
      <x:c r="V991" s="253" t="str">
        <x:v>Yes</x:v>
      </x:c>
      <x:c r="W991" s="253" t="str">
        <x:v>Yes</x:v>
      </x:c>
      <x:c r="X991" s="259" t="n">
        <x:v>46191.166666666664</x:v>
      </x:c>
      <x:c r="Y991" s="265" t="n">
        <x:v>1000</x:v>
      </x:c>
      <x:c r="Z991" s="265" t="n">
        <x:v>2000</x:v>
      </x:c>
      <x:c r="AA991" s="253" t="str">
        <x:f>IF(V991="No","Maturing",IF(AND(U991="Yes",Y991&gt;0),"Yes","No"))</x:f>
        <x:v>No</x:v>
      </x:c>
      <x:c r="AB991" s="253" t="str">
        <x:f>IF(W991="No","Maturing",IF(AND(U991="Yes",Z991&gt;0),"Yes","No"))</x:f>
        <x:v>No</x:v>
      </x:c>
      <x:c r="AC991" s="265" t="n">
        <x:v>-2595.78</x:v>
      </x:c>
      <x:c r="AD991" s="265" t="n">
        <x:v>-6843.98</x:v>
      </x:c>
      <x:c r="AE991" s="271" t="str"/>
      <x:c r="AF991" s="274" t="str">
        <x:v>Not validated - no control/holdout</x:v>
      </x:c>
      <x:c r="AG991" s="277" t="str">
        <x:v>Recovered execution only; assignment date and unclaimed-offer denominator unavailable</x:v>
      </x:c>
    </x:row>
    <x:row r="992">
      <x:c r="A992" s="252" t="str">
        <x:v>34649925</x:v>
      </x:c>
      <x:c r="B992" s="253" t="str">
        <x:v>WS1</x:v>
      </x:c>
      <x:c r="C992" s="253" t="str">
        <x:v>MB8</x:v>
      </x:c>
      <x:c r="D992" s="262" t="n">
        <x:v>46192.05672453704</x:v>
      </x:c>
      <x:c r="E992" s="259" t="n">
        <x:v>46192.166666666664</x:v>
      </x:c>
      <x:c r="F992" s="253" t="str">
        <x:v>450303</x:v>
      </x:c>
      <x:c r="G992" s="253" t="str">
        <x:v>Agnes13</x:v>
      </x:c>
      <x:c r="H992" s="253" t="str">
        <x:v>Yes</x:v>
      </x:c>
      <x:c r="I992" s="253" t="str"/>
      <x:c r="J992" s="253" t="str"/>
      <x:c r="K992" s="259"/>
      <x:c r="L992" s="268" t="str">
        <x:f>IFERROR(VLOOKUP(I992,'Handler-Team Map'!$A$7:$C$17,2,FALSE),"")</x:f>
      </x:c>
      <x:c r="M992" s="268" t="str">
        <x:f>IFERROR(VLOOKUP(I992,'Handler-Team Map'!$A$7:$C$17,3,FALSE),"")</x:f>
      </x:c>
      <x:c r="N992" s="274" t="str">
        <x:v>FT_VM_DEP1000_GET500_1X</x:v>
      </x:c>
      <x:c r="O992" s="274" t="str">
        <x:v>VIP BONUS - Deposit 1000 Get 500 - 1x TO</x:v>
      </x:c>
      <x:c r="P992" s="274" t="str">
        <x:v>DepositBonus</x:v>
      </x:c>
      <x:c r="Q992" s="274" t="str">
        <x:v>Approved</x:v>
      </x:c>
      <x:c r="R992" s="265" t="n">
        <x:v>500</x:v>
      </x:c>
      <x:c r="S992" s="253" t="str">
        <x:v>Yes</x:v>
      </x:c>
      <x:c r="T992" s="265" t="n">
        <x:v>0</x:v>
      </x:c>
      <x:c r="U992" s="253" t="str">
        <x:f>IF(AND(S992="Yes",T992=0),"Yes","No")</x:f>
        <x:v>Yes</x:v>
      </x:c>
      <x:c r="V992" s="253" t="str">
        <x:v>Yes</x:v>
      </x:c>
      <x:c r="W992" s="253" t="str">
        <x:v>Yes</x:v>
      </x:c>
      <x:c r="X992" s="259" t="n">
        <x:v>46192.166666666664</x:v>
      </x:c>
      <x:c r="Y992" s="265" t="n">
        <x:v>4000</x:v>
      </x:c>
      <x:c r="Z992" s="265" t="n">
        <x:v>4000</x:v>
      </x:c>
      <x:c r="AA992" s="253" t="str">
        <x:f>IF(V992="No","Maturing",IF(AND(U992="Yes",Y992&gt;0),"Yes","No"))</x:f>
        <x:v>Yes</x:v>
      </x:c>
      <x:c r="AB992" s="253" t="str">
        <x:f>IF(W992="No","Maturing",IF(AND(U992="Yes",Z992&gt;0),"Yes","No"))</x:f>
        <x:v>Yes</x:v>
      </x:c>
      <x:c r="AC992" s="265" t="n">
        <x:v>915.87</x:v>
      </x:c>
      <x:c r="AD992" s="265" t="n">
        <x:v>915.87</x:v>
      </x:c>
      <x:c r="AE992" s="271" t="str"/>
      <x:c r="AF992" s="274" t="str">
        <x:v>Not validated - no control/holdout</x:v>
      </x:c>
      <x:c r="AG992" s="277" t="str">
        <x:v>Recovered execution only; assignment date and unclaimed-offer denominator unavailable</x:v>
      </x:c>
    </x:row>
    <x:row r="993">
      <x:c r="A993" s="252" t="str">
        <x:v>34650669</x:v>
      </x:c>
      <x:c r="B993" s="253" t="str">
        <x:v>WS1</x:v>
      </x:c>
      <x:c r="C993" s="253" t="str">
        <x:v>MB8</x:v>
      </x:c>
      <x:c r="D993" s="262" t="n">
        <x:v>46192.11509259259</x:v>
      </x:c>
      <x:c r="E993" s="259" t="n">
        <x:v>46192.166666666664</x:v>
      </x:c>
      <x:c r="F993" s="253" t="str">
        <x:v>974787</x:v>
      </x:c>
      <x:c r="G993" s="253" t="str">
        <x:v>Rei888</x:v>
      </x:c>
      <x:c r="H993" s="253" t="str">
        <x:v>Yes</x:v>
      </x:c>
      <x:c r="I993" s="253" t="str"/>
      <x:c r="J993" s="253" t="str"/>
      <x:c r="K993" s="259"/>
      <x:c r="L993" s="268" t="str">
        <x:f>IFERROR(VLOOKUP(I993,'Handler-Team Map'!$A$7:$C$17,2,FALSE),"")</x:f>
      </x:c>
      <x:c r="M993" s="268" t="str">
        <x:f>IFERROR(VLOOKUP(I993,'Handler-Team Map'!$A$7:$C$17,3,FALSE),"")</x:f>
      </x:c>
      <x:c r="N993" s="274" t="str">
        <x:v>FT_VM_DEP800_GET400_1X</x:v>
      </x:c>
      <x:c r="O993" s="274" t="str">
        <x:v>VIP BONUS - Deposit 800 Get 400 - 1x TO</x:v>
      </x:c>
      <x:c r="P993" s="274" t="str">
        <x:v>DepositBonus</x:v>
      </x:c>
      <x:c r="Q993" s="274" t="str">
        <x:v>Approved</x:v>
      </x:c>
      <x:c r="R993" s="265" t="n">
        <x:v>400</x:v>
      </x:c>
      <x:c r="S993" s="253" t="str">
        <x:v>Yes</x:v>
      </x:c>
      <x:c r="T993" s="265" t="n">
        <x:v>1400</x:v>
      </x:c>
      <x:c r="U993" s="253" t="str">
        <x:f>IF(AND(S993="Yes",T993=0),"Yes","No")</x:f>
        <x:v>No</x:v>
      </x:c>
      <x:c r="V993" s="253" t="str">
        <x:v>Yes</x:v>
      </x:c>
      <x:c r="W993" s="253" t="str">
        <x:v>Yes</x:v>
      </x:c>
      <x:c r="X993" s="259" t="n">
        <x:v>46192.166666666664</x:v>
      </x:c>
      <x:c r="Y993" s="265" t="n">
        <x:v>1300</x:v>
      </x:c>
      <x:c r="Z993" s="265" t="n">
        <x:v>1300</x:v>
      </x:c>
      <x:c r="AA993" s="253" t="str">
        <x:f>IF(V993="No","Maturing",IF(AND(U993="Yes",Y993&gt;0),"Yes","No"))</x:f>
        <x:v>No</x:v>
      </x:c>
      <x:c r="AB993" s="253" t="str">
        <x:f>IF(W993="No","Maturing",IF(AND(U993="Yes",Z993&gt;0),"Yes","No"))</x:f>
        <x:v>No</x:v>
      </x:c>
      <x:c r="AC993" s="265" t="n">
        <x:v>-101.1</x:v>
      </x:c>
      <x:c r="AD993" s="265" t="n">
        <x:v>-101.1</x:v>
      </x:c>
      <x:c r="AE993" s="271" t="str"/>
      <x:c r="AF993" s="274" t="str">
        <x:v>Not validated - no control/holdout</x:v>
      </x:c>
      <x:c r="AG993" s="277" t="str">
        <x:v>Recovered execution only; assignment date and unclaimed-offer denominator unavailable</x:v>
      </x:c>
    </x:row>
    <x:row r="994">
      <x:c r="A994" s="252" t="str">
        <x:v>34652202</x:v>
      </x:c>
      <x:c r="B994" s="253" t="str">
        <x:v>WS1</x:v>
      </x:c>
      <x:c r="C994" s="253" t="str">
        <x:v>MB8</x:v>
      </x:c>
      <x:c r="D994" s="262" t="n">
        <x:v>46192.376493055555</x:v>
      </x:c>
      <x:c r="E994" s="259" t="n">
        <x:v>46192.166666666664</x:v>
      </x:c>
      <x:c r="F994" s="253" t="str">
        <x:v>8822</x:v>
      </x:c>
      <x:c r="G994" s="253" t="str">
        <x:v>bryan1234</x:v>
      </x:c>
      <x:c r="H994" s="253" t="str">
        <x:v>Yes</x:v>
      </x:c>
      <x:c r="I994" s="253" t="str">
        <x:v>Serene</x:v>
      </x:c>
      <x:c r="J994" s="253" t="str">
        <x:v>Serene</x:v>
      </x:c>
      <x:c r="K994" s="259" t="n">
        <x:v>45859.166666666664</x:v>
      </x:c>
      <x:c r="L994" s="268" t="str">
        <x:f>IFERROR(VLOOKUP(I994,'Handler-Team Map'!$A$7:$C$17,2,FALSE),"")</x:f>
      </x:c>
      <x:c r="M994" s="268" t="str">
        <x:f>IFERROR(VLOOKUP(I994,'Handler-Team Map'!$A$7:$C$17,3,FALSE),"")</x:f>
      </x:c>
      <x:c r="N994" s="274" t="str">
        <x:v>FT_VM_DEP1000_GET500_5X</x:v>
      </x:c>
      <x:c r="O994" s="274" t="str">
        <x:v>VIP BONUS - Deposit 1000 Get 500 - 5x TO</x:v>
      </x:c>
      <x:c r="P994" s="274" t="str">
        <x:v>DepositBonus</x:v>
      </x:c>
      <x:c r="Q994" s="274" t="str">
        <x:v>Approved</x:v>
      </x:c>
      <x:c r="R994" s="265" t="n">
        <x:v>500</x:v>
      </x:c>
      <x:c r="S994" s="253" t="str">
        <x:v>Yes</x:v>
      </x:c>
      <x:c r="T994" s="265" t="n">
        <x:v>900</x:v>
      </x:c>
      <x:c r="U994" s="253" t="str">
        <x:f>IF(AND(S994="Yes",T994=0),"Yes","No")</x:f>
        <x:v>No</x:v>
      </x:c>
      <x:c r="V994" s="253" t="str">
        <x:v>Yes</x:v>
      </x:c>
      <x:c r="W994" s="253" t="str">
        <x:v>Yes</x:v>
      </x:c>
      <x:c r="X994" s="259" t="n">
        <x:v>46192.166666666664</x:v>
      </x:c>
      <x:c r="Y994" s="265" t="n">
        <x:v>1200</x:v>
      </x:c>
      <x:c r="Z994" s="265" t="n">
        <x:v>1200</x:v>
      </x:c>
      <x:c r="AA994" s="253" t="str">
        <x:f>IF(V994="No","Maturing",IF(AND(U994="Yes",Y994&gt;0),"Yes","No"))</x:f>
        <x:v>No</x:v>
      </x:c>
      <x:c r="AB994" s="253" t="str">
        <x:f>IF(W994="No","Maturing",IF(AND(U994="Yes",Z994&gt;0),"Yes","No"))</x:f>
        <x:v>No</x:v>
      </x:c>
      <x:c r="AC994" s="265" t="n">
        <x:v>929.4</x:v>
      </x:c>
      <x:c r="AD994" s="265" t="n">
        <x:v>929.4</x:v>
      </x:c>
      <x:c r="AE994" s="271" t="str"/>
      <x:c r="AF994" s="274" t="str">
        <x:v>Not validated - no control/holdout</x:v>
      </x:c>
      <x:c r="AG994" s="277" t="str">
        <x:v>Recovered execution only; assignment date and unclaimed-offer denominator unavailable</x:v>
      </x:c>
    </x:row>
    <x:row r="995">
      <x:c r="A995" s="252" t="str">
        <x:v>34652353</x:v>
      </x:c>
      <x:c r="B995" s="253" t="str">
        <x:v>WS1</x:v>
      </x:c>
      <x:c r="C995" s="253" t="str">
        <x:v>MB8</x:v>
      </x:c>
      <x:c r="D995" s="262" t="n">
        <x:v>46192.407905092594</x:v>
      </x:c>
      <x:c r="E995" s="259" t="n">
        <x:v>46192.166666666664</x:v>
      </x:c>
      <x:c r="F995" s="253" t="str">
        <x:v>640160</x:v>
      </x:c>
      <x:c r="G995" s="253" t="str">
        <x:v>Jacklyn80</x:v>
      </x:c>
      <x:c r="H995" s="253" t="str">
        <x:v>Yes</x:v>
      </x:c>
      <x:c r="I995" s="253" t="str">
        <x:v>Christy</x:v>
      </x:c>
      <x:c r="J995" s="253" t="str">
        <x:v>Christy</x:v>
      </x:c>
      <x:c r="K995" s="259" t="n">
        <x:v>45831.166666666664</x:v>
      </x:c>
      <x:c r="L995" s="268" t="str">
        <x:f>IFERROR(VLOOKUP(I995,'Handler-Team Map'!$A$7:$C$17,2,FALSE),"")</x:f>
      </x:c>
      <x:c r="M995" s="268" t="str">
        <x:f>IFERROR(VLOOKUP(I995,'Handler-Team Map'!$A$7:$C$17,3,FALSE),"")</x:f>
      </x:c>
      <x:c r="N995" s="274" t="str">
        <x:v>FT_VM_DEP150_GET50_5X</x:v>
      </x:c>
      <x:c r="O995" s="274" t="str">
        <x:v>VIP BONUS - Deposit 150 Get 50 - 5x TO</x:v>
      </x:c>
      <x:c r="P995" s="274" t="str">
        <x:v>DepositBonus</x:v>
      </x:c>
      <x:c r="Q995" s="274" t="str">
        <x:v>Approved</x:v>
      </x:c>
      <x:c r="R995" s="265" t="n">
        <x:v>50</x:v>
      </x:c>
      <x:c r="S995" s="253" t="str">
        <x:v>Yes</x:v>
      </x:c>
      <x:c r="T995" s="265" t="n">
        <x:v>1430</x:v>
      </x:c>
      <x:c r="U995" s="253" t="str">
        <x:f>IF(AND(S995="Yes",T995=0),"Yes","No")</x:f>
        <x:v>No</x:v>
      </x:c>
      <x:c r="V995" s="253" t="str">
        <x:v>Yes</x:v>
      </x:c>
      <x:c r="W995" s="253" t="str">
        <x:v>Yes</x:v>
      </x:c>
      <x:c r="X995" s="259" t="n">
        <x:v>46192.166666666664</x:v>
      </x:c>
      <x:c r="Y995" s="265" t="n">
        <x:v>845</x:v>
      </x:c>
      <x:c r="Z995" s="265" t="n">
        <x:v>1325</x:v>
      </x:c>
      <x:c r="AA995" s="253" t="str">
        <x:f>IF(V995="No","Maturing",IF(AND(U995="Yes",Y995&gt;0),"Yes","No"))</x:f>
        <x:v>No</x:v>
      </x:c>
      <x:c r="AB995" s="253" t="str">
        <x:f>IF(W995="No","Maturing",IF(AND(U995="Yes",Z995&gt;0),"Yes","No"))</x:f>
        <x:v>No</x:v>
      </x:c>
      <x:c r="AC995" s="265" t="n">
        <x:v>-160.7</x:v>
      </x:c>
      <x:c r="AD995" s="265" t="n">
        <x:v>324.86</x:v>
      </x:c>
      <x:c r="AE995" s="271" t="str"/>
      <x:c r="AF995" s="274" t="str">
        <x:v>Not validated - no control/holdout</x:v>
      </x:c>
      <x:c r="AG995" s="277" t="str">
        <x:v>Recovered execution only; assignment date and unclaimed-offer denominator unavailable</x:v>
      </x:c>
    </x:row>
    <x:row r="996">
      <x:c r="A996" s="252" t="str">
        <x:v>34652690</x:v>
      </x:c>
      <x:c r="B996" s="253" t="str">
        <x:v>WS1</x:v>
      </x:c>
      <x:c r="C996" s="253" t="str">
        <x:v>MB8</x:v>
      </x:c>
      <x:c r="D996" s="262" t="n">
        <x:v>46192.44969907407</x:v>
      </x:c>
      <x:c r="E996" s="259" t="n">
        <x:v>46192.166666666664</x:v>
      </x:c>
      <x:c r="F996" s="253" t="str">
        <x:v>1201766</x:v>
      </x:c>
      <x:c r="G996" s="253" t="str">
        <x:v>eila118</x:v>
      </x:c>
      <x:c r="H996" s="253" t="str">
        <x:v>Yes</x:v>
      </x:c>
      <x:c r="I996" s="253" t="str"/>
      <x:c r="J996" s="253" t="str"/>
      <x:c r="K996" s="259"/>
      <x:c r="L996" s="268" t="str">
        <x:f>IFERROR(VLOOKUP(I996,'Handler-Team Map'!$A$7:$C$17,2,FALSE),"")</x:f>
      </x:c>
      <x:c r="M996" s="268" t="str">
        <x:f>IFERROR(VLOOKUP(I996,'Handler-Team Map'!$A$7:$C$17,3,FALSE),"")</x:f>
      </x:c>
      <x:c r="N996" s="274" t="str">
        <x:v>FT_VM_DEP1000_GET500_5X</x:v>
      </x:c>
      <x:c r="O996" s="274" t="str">
        <x:v>VIP BONUS - Deposit 1000 Get 500 - 5x TO</x:v>
      </x:c>
      <x:c r="P996" s="274" t="str">
        <x:v>DepositBonus</x:v>
      </x:c>
      <x:c r="Q996" s="274" t="str">
        <x:v>Approved</x:v>
      </x:c>
      <x:c r="R996" s="265" t="n">
        <x:v>500</x:v>
      </x:c>
      <x:c r="S996" s="253" t="str">
        <x:v>Yes</x:v>
      </x:c>
      <x:c r="T996" s="265" t="n">
        <x:v>334050</x:v>
      </x:c>
      <x:c r="U996" s="253" t="str">
        <x:f>IF(AND(S996="Yes",T996=0),"Yes","No")</x:f>
        <x:v>No</x:v>
      </x:c>
      <x:c r="V996" s="253" t="str">
        <x:v>Yes</x:v>
      </x:c>
      <x:c r="W996" s="253" t="str">
        <x:v>Yes</x:v>
      </x:c>
      <x:c r="X996" s="259" t="n">
        <x:v>46192.166666666664</x:v>
      </x:c>
      <x:c r="Y996" s="265" t="n">
        <x:v>6153</x:v>
      </x:c>
      <x:c r="Z996" s="265" t="n">
        <x:v>59058</x:v>
      </x:c>
      <x:c r="AA996" s="253" t="str">
        <x:f>IF(V996="No","Maturing",IF(AND(U996="Yes",Y996&gt;0),"Yes","No"))</x:f>
        <x:v>No</x:v>
      </x:c>
      <x:c r="AB996" s="253" t="str">
        <x:f>IF(W996="No","Maturing",IF(AND(U996="Yes",Z996&gt;0),"Yes","No"))</x:f>
        <x:v>No</x:v>
      </x:c>
      <x:c r="AC996" s="265" t="n">
        <x:v>6152.5</x:v>
      </x:c>
      <x:c r="AD996" s="265" t="n">
        <x:v>-62764.24</x:v>
      </x:c>
      <x:c r="AE996" s="271" t="str"/>
      <x:c r="AF996" s="274" t="str">
        <x:v>Not validated - no control/holdout</x:v>
      </x:c>
      <x:c r="AG996" s="277" t="str">
        <x:v>Recovered execution only; assignment date and unclaimed-offer denominator unavailable</x:v>
      </x:c>
    </x:row>
    <x:row r="997">
      <x:c r="A997" s="252" t="str">
        <x:v>34653808</x:v>
      </x:c>
      <x:c r="B997" s="253" t="str">
        <x:v>WS1</x:v>
      </x:c>
      <x:c r="C997" s="253" t="str">
        <x:v>MB8</x:v>
      </x:c>
      <x:c r="D997" s="262" t="n">
        <x:v>46192.57251157407</x:v>
      </x:c>
      <x:c r="E997" s="259" t="n">
        <x:v>46192.166666666664</x:v>
      </x:c>
      <x:c r="F997" s="253" t="str">
        <x:v>1014620</x:v>
      </x:c>
      <x:c r="G997" s="253" t="str">
        <x:v>Surianti8</x:v>
      </x:c>
      <x:c r="H997" s="253" t="str">
        <x:v>Yes</x:v>
      </x:c>
      <x:c r="I997" s="253" t="str">
        <x:v>zhen</x:v>
      </x:c>
      <x:c r="J997" s="253" t="str">
        <x:v>zhen</x:v>
      </x:c>
      <x:c r="K997" s="259" t="n">
        <x:v>45880.166666666664</x:v>
      </x:c>
      <x:c r="L997" s="268" t="str">
        <x:f>IFERROR(VLOOKUP(I997,'Handler-Team Map'!$A$7:$C$17,2,FALSE),"")</x:f>
      </x:c>
      <x:c r="M997" s="268" t="str">
        <x:f>IFERROR(VLOOKUP(I997,'Handler-Team Map'!$A$7:$C$17,3,FALSE),"")</x:f>
      </x:c>
      <x:c r="N997" s="274" t="str">
        <x:v>FT_VM_DEP600_GET200_5X</x:v>
      </x:c>
      <x:c r="O997" s="274" t="str">
        <x:v>VIP BONUS - Deposit 600 Get 200 - 5x TO</x:v>
      </x:c>
      <x:c r="P997" s="274" t="str">
        <x:v>DepositBonus</x:v>
      </x:c>
      <x:c r="Q997" s="274" t="str">
        <x:v>Approved</x:v>
      </x:c>
      <x:c r="R997" s="265" t="n">
        <x:v>200</x:v>
      </x:c>
      <x:c r="S997" s="253" t="str">
        <x:v>Yes</x:v>
      </x:c>
      <x:c r="T997" s="265" t="n">
        <x:v>700</x:v>
      </x:c>
      <x:c r="U997" s="253" t="str">
        <x:f>IF(AND(S997="Yes",T997=0),"Yes","No")</x:f>
        <x:v>No</x:v>
      </x:c>
      <x:c r="V997" s="253" t="str">
        <x:v>Yes</x:v>
      </x:c>
      <x:c r="W997" s="253" t="str">
        <x:v>Yes</x:v>
      </x:c>
      <x:c r="X997" s="259" t="n">
        <x:v>46192.166666666664</x:v>
      </x:c>
      <x:c r="Y997" s="265" t="n">
        <x:v>600</x:v>
      </x:c>
      <x:c r="Z997" s="265" t="n">
        <x:v>600</x:v>
      </x:c>
      <x:c r="AA997" s="253" t="str">
        <x:f>IF(V997="No","Maturing",IF(AND(U997="Yes",Y997&gt;0),"Yes","No"))</x:f>
        <x:v>No</x:v>
      </x:c>
      <x:c r="AB997" s="253" t="str">
        <x:f>IF(W997="No","Maturing",IF(AND(U997="Yes",Z997&gt;0),"Yes","No"))</x:f>
        <x:v>No</x:v>
      </x:c>
      <x:c r="AC997" s="265" t="n">
        <x:v>600.22</x:v>
      </x:c>
      <x:c r="AD997" s="265" t="n">
        <x:v>600.22</x:v>
      </x:c>
      <x:c r="AE997" s="271" t="str"/>
      <x:c r="AF997" s="274" t="str">
        <x:v>Not validated - no control/holdout</x:v>
      </x:c>
      <x:c r="AG997" s="277" t="str">
        <x:v>Recovered execution only; assignment date and unclaimed-offer denominator unavailable</x:v>
      </x:c>
    </x:row>
    <x:row r="998">
      <x:c r="A998" s="252" t="str">
        <x:v>34655260</x:v>
      </x:c>
      <x:c r="B998" s="253" t="str">
        <x:v>WS1</x:v>
      </x:c>
      <x:c r="C998" s="253" t="str">
        <x:v>MB8</x:v>
      </x:c>
      <x:c r="D998" s="262" t="n">
        <x:v>46192.70306712963</x:v>
      </x:c>
      <x:c r="E998" s="259" t="n">
        <x:v>46192.166666666664</x:v>
      </x:c>
      <x:c r="F998" s="253" t="str">
        <x:v>693045</x:v>
      </x:c>
      <x:c r="G998" s="253" t="str">
        <x:v>S0109427034</x:v>
      </x:c>
      <x:c r="H998" s="253" t="str">
        <x:v>Yes</x:v>
      </x:c>
      <x:c r="I998" s="253" t="str">
        <x:v>Christy</x:v>
      </x:c>
      <x:c r="J998" s="253" t="str">
        <x:v>Christy</x:v>
      </x:c>
      <x:c r="K998" s="259" t="n">
        <x:v>45831.166666666664</x:v>
      </x:c>
      <x:c r="L998" s="268" t="str">
        <x:f>IFERROR(VLOOKUP(I998,'Handler-Team Map'!$A$7:$C$17,2,FALSE),"")</x:f>
      </x:c>
      <x:c r="M998" s="268" t="str">
        <x:f>IFERROR(VLOOKUP(I998,'Handler-Team Map'!$A$7:$C$17,3,FALSE),"")</x:f>
      </x:c>
      <x:c r="N998" s="274" t="str">
        <x:v>FT_VM_DEP600_GET200_5X</x:v>
      </x:c>
      <x:c r="O998" s="274" t="str">
        <x:v>VIP BONUS - Deposit 600 Get 200 - 5x TO</x:v>
      </x:c>
      <x:c r="P998" s="274" t="str">
        <x:v>DepositBonus</x:v>
      </x:c>
      <x:c r="Q998" s="274" t="str">
        <x:v>Approved</x:v>
      </x:c>
      <x:c r="R998" s="265" t="n">
        <x:v>200</x:v>
      </x:c>
      <x:c r="S998" s="253" t="str">
        <x:v>Yes</x:v>
      </x:c>
      <x:c r="T998" s="265" t="n">
        <x:v>33636.65</x:v>
      </x:c>
      <x:c r="U998" s="253" t="str">
        <x:f>IF(AND(S998="Yes",T998=0),"Yes","No")</x:f>
        <x:v>No</x:v>
      </x:c>
      <x:c r="V998" s="253" t="str">
        <x:v>Yes</x:v>
      </x:c>
      <x:c r="W998" s="253" t="str">
        <x:v>Yes</x:v>
      </x:c>
      <x:c r="X998" s="259" t="n">
        <x:v>46192.166666666664</x:v>
      </x:c>
      <x:c r="Y998" s="265" t="n">
        <x:v>12226.8</x:v>
      </x:c>
      <x:c r="Z998" s="265" t="n">
        <x:v>22135.6</x:v>
      </x:c>
      <x:c r="AA998" s="253" t="str">
        <x:f>IF(V998="No","Maturing",IF(AND(U998="Yes",Y998&gt;0),"Yes","No"))</x:f>
        <x:v>No</x:v>
      </x:c>
      <x:c r="AB998" s="253" t="str">
        <x:f>IF(W998="No","Maturing",IF(AND(U998="Yes",Z998&gt;0),"Yes","No"))</x:f>
        <x:v>No</x:v>
      </x:c>
      <x:c r="AC998" s="265" t="n">
        <x:v>4626.93</x:v>
      </x:c>
      <x:c r="AD998" s="265" t="n">
        <x:v>-1473.59</x:v>
      </x:c>
      <x:c r="AE998" s="271" t="str"/>
      <x:c r="AF998" s="274" t="str">
        <x:v>Not validated - no control/holdout</x:v>
      </x:c>
      <x:c r="AG998" s="277" t="str">
        <x:v>Recovered execution only; assignment date and unclaimed-offer denominator unavailable</x:v>
      </x:c>
    </x:row>
    <x:row r="999">
      <x:c r="A999" s="252" t="str">
        <x:v>34658511</x:v>
      </x:c>
      <x:c r="B999" s="253" t="str">
        <x:v>WS1</x:v>
      </x:c>
      <x:c r="C999" s="253" t="str">
        <x:v>MB8</x:v>
      </x:c>
      <x:c r="D999" s="262" t="n">
        <x:v>46192.93519675926</x:v>
      </x:c>
      <x:c r="E999" s="259" t="n">
        <x:v>46192.166666666664</x:v>
      </x:c>
      <x:c r="F999" s="253" t="str">
        <x:v>302345</x:v>
      </x:c>
      <x:c r="G999" s="253" t="str">
        <x:v>bujiangfatt</x:v>
      </x:c>
      <x:c r="H999" s="253" t="str">
        <x:v>Yes</x:v>
      </x:c>
      <x:c r="I999" s="253" t="str">
        <x:v>Elda</x:v>
      </x:c>
      <x:c r="J999" s="253" t="str">
        <x:v>Elda</x:v>
      </x:c>
      <x:c r="K999" s="259" t="n">
        <x:v>45659.166666666664</x:v>
      </x:c>
      <x:c r="L999" s="268" t="str">
        <x:f>IFERROR(VLOOKUP(I999,'Handler-Team Map'!$A$7:$C$17,2,FALSE),"")</x:f>
      </x:c>
      <x:c r="M999" s="268" t="str">
        <x:f>IFERROR(VLOOKUP(I999,'Handler-Team Map'!$A$7:$C$17,3,FALSE),"")</x:f>
      </x:c>
      <x:c r="N999" s="274" t="str">
        <x:v>FT_VM_DEP1000_GET500_1X</x:v>
      </x:c>
      <x:c r="O999" s="274" t="str">
        <x:v>VIP BONUS - Deposit 1000 Get 500 - 1x TO</x:v>
      </x:c>
      <x:c r="P999" s="274" t="str">
        <x:v>DepositBonus</x:v>
      </x:c>
      <x:c r="Q999" s="274" t="str">
        <x:v>Approved</x:v>
      </x:c>
      <x:c r="R999" s="265" t="n">
        <x:v>500</x:v>
      </x:c>
      <x:c r="S999" s="253" t="str">
        <x:v>Yes</x:v>
      </x:c>
      <x:c r="T999" s="265" t="n">
        <x:v>41707</x:v>
      </x:c>
      <x:c r="U999" s="253" t="str">
        <x:f>IF(AND(S999="Yes",T999=0),"Yes","No")</x:f>
        <x:v>No</x:v>
      </x:c>
      <x:c r="V999" s="253" t="str">
        <x:v>Yes</x:v>
      </x:c>
      <x:c r="W999" s="253" t="str">
        <x:v>Yes</x:v>
      </x:c>
      <x:c r="X999" s="259" t="n">
        <x:v>46192.166666666664</x:v>
      </x:c>
      <x:c r="Y999" s="265" t="n">
        <x:v>2000</x:v>
      </x:c>
      <x:c r="Z999" s="265" t="n">
        <x:v>19280</x:v>
      </x:c>
      <x:c r="AA999" s="253" t="str">
        <x:f>IF(V999="No","Maturing",IF(AND(U999="Yes",Y999&gt;0),"Yes","No"))</x:f>
        <x:v>No</x:v>
      </x:c>
      <x:c r="AB999" s="253" t="str">
        <x:f>IF(W999="No","Maturing",IF(AND(U999="Yes",Z999&gt;0),"Yes","No"))</x:f>
        <x:v>No</x:v>
      </x:c>
      <x:c r="AC999" s="265" t="n">
        <x:v>1705.01</x:v>
      </x:c>
      <x:c r="AD999" s="265" t="n">
        <x:v>18772.97</x:v>
      </x:c>
      <x:c r="AE999" s="271" t="str"/>
      <x:c r="AF999" s="274" t="str">
        <x:v>Not validated - no control/holdout</x:v>
      </x:c>
      <x:c r="AG999" s="277" t="str">
        <x:v>Recovered execution only; assignment date and unclaimed-offer denominator unavailable</x:v>
      </x:c>
    </x:row>
    <x:row r="1000">
      <x:c r="A1000" s="252" t="str">
        <x:v>34659083</x:v>
      </x:c>
      <x:c r="B1000" s="253" t="str">
        <x:v>WS1</x:v>
      </x:c>
      <x:c r="C1000" s="253" t="str">
        <x:v>MB8</x:v>
      </x:c>
      <x:c r="D1000" s="262" t="n">
        <x:v>46192.965</x:v>
      </x:c>
      <x:c r="E1000" s="259" t="n">
        <x:v>46192.166666666664</x:v>
      </x:c>
      <x:c r="F1000" s="253" t="str">
        <x:v>778261</x:v>
      </x:c>
      <x:c r="G1000" s="253" t="str">
        <x:v>sayoon</x:v>
      </x:c>
      <x:c r="H1000" s="253" t="str">
        <x:v>Yes</x:v>
      </x:c>
      <x:c r="I1000" s="253" t="str"/>
      <x:c r="J1000" s="253" t="str"/>
      <x:c r="K1000" s="259"/>
      <x:c r="L1000" s="268" t="str">
        <x:f>IFERROR(VLOOKUP(I1000,'Handler-Team Map'!$A$7:$C$17,2,FALSE),"")</x:f>
      </x:c>
      <x:c r="M1000" s="268" t="str">
        <x:f>IFERROR(VLOOKUP(I1000,'Handler-Team Map'!$A$7:$C$17,3,FALSE),"")</x:f>
      </x:c>
      <x:c r="N1000" s="274" t="str">
        <x:v>FT_VM_DEP600_GET200_5X</x:v>
      </x:c>
      <x:c r="O1000" s="274" t="str">
        <x:v>VIP BONUS - Deposit 600 Get 200 - 5x TO</x:v>
      </x:c>
      <x:c r="P1000" s="274" t="str">
        <x:v>DepositBonus</x:v>
      </x:c>
      <x:c r="Q1000" s="274" t="str">
        <x:v>Approved</x:v>
      </x:c>
      <x:c r="R1000" s="265" t="n">
        <x:v>200</x:v>
      </x:c>
      <x:c r="S1000" s="253" t="str">
        <x:v>Yes</x:v>
      </x:c>
      <x:c r="T1000" s="265" t="n">
        <x:v>888</x:v>
      </x:c>
      <x:c r="U1000" s="253" t="str">
        <x:f>IF(AND(S1000="Yes",T1000=0),"Yes","No")</x:f>
        <x:v>No</x:v>
      </x:c>
      <x:c r="V1000" s="253" t="str">
        <x:v>Yes</x:v>
      </x:c>
      <x:c r="W1000" s="253" t="str">
        <x:v>Yes</x:v>
      </x:c>
      <x:c r="X1000" s="259" t="n">
        <x:v>46192.166666666664</x:v>
      </x:c>
      <x:c r="Y1000" s="265" t="n">
        <x:v>630</x:v>
      </x:c>
      <x:c r="Z1000" s="265" t="n">
        <x:v>1230</x:v>
      </x:c>
      <x:c r="AA1000" s="253" t="str">
        <x:f>IF(V1000="No","Maturing",IF(AND(U1000="Yes",Y1000&gt;0),"Yes","No"))</x:f>
        <x:v>No</x:v>
      </x:c>
      <x:c r="AB1000" s="253" t="str">
        <x:f>IF(W1000="No","Maturing",IF(AND(U1000="Yes",Z1000&gt;0),"Yes","No"))</x:f>
        <x:v>No</x:v>
      </x:c>
      <x:c r="AC1000" s="265" t="n">
        <x:v>-1085.97</x:v>
      </x:c>
      <x:c r="AD1000" s="265" t="n">
        <x:v>-689.2</x:v>
      </x:c>
      <x:c r="AE1000" s="271" t="str"/>
      <x:c r="AF1000" s="274" t="str">
        <x:v>Not validated - no control/holdout</x:v>
      </x:c>
      <x:c r="AG1000" s="277" t="str">
        <x:v>Recovered execution only; assignment date and unclaimed-offer denominator unavailable</x:v>
      </x:c>
    </x:row>
    <x:row r="1001">
      <x:c r="A1001" s="252" t="str">
        <x:v>34661637</x:v>
      </x:c>
      <x:c r="B1001" s="253" t="str">
        <x:v>WS1</x:v>
      </x:c>
      <x:c r="C1001" s="253" t="str">
        <x:v>MB8</x:v>
      </x:c>
      <x:c r="D1001" s="262" t="n">
        <x:v>46193.15484953704</x:v>
      </x:c>
      <x:c r="E1001" s="259" t="n">
        <x:v>46193.166666666664</x:v>
      </x:c>
      <x:c r="F1001" s="253" t="str">
        <x:v>660486</x:v>
      </x:c>
      <x:c r="G1001" s="253" t="str">
        <x:v>jrao83</x:v>
      </x:c>
      <x:c r="H1001" s="253" t="str">
        <x:v>Yes</x:v>
      </x:c>
      <x:c r="I1001" s="253" t="str">
        <x:v>Kam</x:v>
      </x:c>
      <x:c r="J1001" s="253" t="str">
        <x:v>Kam</x:v>
      </x:c>
      <x:c r="K1001" s="259" t="n">
        <x:v>45951.166666666664</x:v>
      </x:c>
      <x:c r="L1001" s="268" t="str">
        <x:f>IFERROR(VLOOKUP(I1001,'Handler-Team Map'!$A$7:$C$17,2,FALSE),"")</x:f>
      </x:c>
      <x:c r="M1001" s="268" t="str">
        <x:f>IFERROR(VLOOKUP(I1001,'Handler-Team Map'!$A$7:$C$17,3,FALSE),"")</x:f>
      </x:c>
      <x:c r="N1001" s="274" t="str">
        <x:v>FT_VM_DEP1000_GET500_5X</x:v>
      </x:c>
      <x:c r="O1001" s="274" t="str">
        <x:v>VIP BONUS - Deposit 1000 Get 500 - 5x TO</x:v>
      </x:c>
      <x:c r="P1001" s="274" t="str">
        <x:v>DepositBonus</x:v>
      </x:c>
      <x:c r="Q1001" s="274" t="str">
        <x:v>Approved</x:v>
      </x:c>
      <x:c r="R1001" s="265" t="n">
        <x:v>500</x:v>
      </x:c>
      <x:c r="S1001" s="253" t="str">
        <x:v>Yes</x:v>
      </x:c>
      <x:c r="T1001" s="265" t="n">
        <x:v>11900</x:v>
      </x:c>
      <x:c r="U1001" s="253" t="str">
        <x:f>IF(AND(S1001="Yes",T1001=0),"Yes","No")</x:f>
        <x:v>No</x:v>
      </x:c>
      <x:c r="V1001" s="253" t="str">
        <x:v>Yes</x:v>
      </x:c>
      <x:c r="W1001" s="253" t="str">
        <x:v>Yes</x:v>
      </x:c>
      <x:c r="X1001" s="259" t="n">
        <x:v>46193.166666666664</x:v>
      </x:c>
      <x:c r="Y1001" s="265" t="n">
        <x:v>5000</x:v>
      </x:c>
      <x:c r="Z1001" s="265" t="n">
        <x:v>5000</x:v>
      </x:c>
      <x:c r="AA1001" s="253" t="str">
        <x:f>IF(V1001="No","Maturing",IF(AND(U1001="Yes",Y1001&gt;0),"Yes","No"))</x:f>
        <x:v>No</x:v>
      </x:c>
      <x:c r="AB1001" s="253" t="str">
        <x:f>IF(W1001="No","Maturing",IF(AND(U1001="Yes",Z1001&gt;0),"Yes","No"))</x:f>
        <x:v>No</x:v>
      </x:c>
      <x:c r="AC1001" s="265" t="n">
        <x:v>4965.31</x:v>
      </x:c>
      <x:c r="AD1001" s="265" t="n">
        <x:v>5027.43</x:v>
      </x:c>
      <x:c r="AE1001" s="271" t="str"/>
      <x:c r="AF1001" s="274" t="str">
        <x:v>Not validated - no control/holdout</x:v>
      </x:c>
      <x:c r="AG1001" s="277" t="str">
        <x:v>Recovered execution only; assignment date and unclaimed-offer denominator unavailable</x:v>
      </x:c>
    </x:row>
    <x:row r="1002">
      <x:c r="A1002" s="252" t="str">
        <x:v>34664751</x:v>
      </x:c>
      <x:c r="B1002" s="253" t="str">
        <x:v>WS1</x:v>
      </x:c>
      <x:c r="C1002" s="253" t="str">
        <x:v>MB8</x:v>
      </x:c>
      <x:c r="D1002" s="262" t="n">
        <x:v>46193.572847222225</x:v>
      </x:c>
      <x:c r="E1002" s="259" t="n">
        <x:v>46193.166666666664</x:v>
      </x:c>
      <x:c r="F1002" s="253" t="str">
        <x:v>213196</x:v>
      </x:c>
      <x:c r="G1002" s="253" t="str">
        <x:v>Luiss</x:v>
      </x:c>
      <x:c r="H1002" s="253" t="str">
        <x:v>Yes</x:v>
      </x:c>
      <x:c r="I1002" s="253" t="str"/>
      <x:c r="J1002" s="253" t="str"/>
      <x:c r="K1002" s="259"/>
      <x:c r="L1002" s="268" t="str">
        <x:f>IFERROR(VLOOKUP(I1002,'Handler-Team Map'!$A$7:$C$17,2,FALSE),"")</x:f>
      </x:c>
      <x:c r="M1002" s="268" t="str">
        <x:f>IFERROR(VLOOKUP(I1002,'Handler-Team Map'!$A$7:$C$17,3,FALSE),"")</x:f>
      </x:c>
      <x:c r="N1002" s="274" t="str">
        <x:v>FT_VM_DEP1000_GET500_1X</x:v>
      </x:c>
      <x:c r="O1002" s="274" t="str">
        <x:v>VIP BONUS - Deposit 1000 Get 500 - 1x TO</x:v>
      </x:c>
      <x:c r="P1002" s="274" t="str">
        <x:v>DepositBonus</x:v>
      </x:c>
      <x:c r="Q1002" s="274" t="str">
        <x:v>Approved</x:v>
      </x:c>
      <x:c r="R1002" s="265" t="n">
        <x:v>500</x:v>
      </x:c>
      <x:c r="S1002" s="253" t="str">
        <x:v>Yes</x:v>
      </x:c>
      <x:c r="T1002" s="265" t="n">
        <x:v>0</x:v>
      </x:c>
      <x:c r="U1002" s="253" t="str">
        <x:f>IF(AND(S1002="Yes",T1002=0),"Yes","No")</x:f>
        <x:v>Yes</x:v>
      </x:c>
      <x:c r="V1002" s="253" t="str">
        <x:v>Yes</x:v>
      </x:c>
      <x:c r="W1002" s="253" t="str">
        <x:v>Yes</x:v>
      </x:c>
      <x:c r="X1002" s="259" t="n">
        <x:v>46193.166666666664</x:v>
      </x:c>
      <x:c r="Y1002" s="265" t="n">
        <x:v>1000</x:v>
      </x:c>
      <x:c r="Z1002" s="265" t="n">
        <x:v>1130</x:v>
      </x:c>
      <x:c r="AA1002" s="253" t="str">
        <x:f>IF(V1002="No","Maturing",IF(AND(U1002="Yes",Y1002&gt;0),"Yes","No"))</x:f>
        <x:v>Yes</x:v>
      </x:c>
      <x:c r="AB1002" s="253" t="str">
        <x:f>IF(W1002="No","Maturing",IF(AND(U1002="Yes",Z1002&gt;0),"Yes","No"))</x:f>
        <x:v>Yes</x:v>
      </x:c>
      <x:c r="AC1002" s="265" t="n">
        <x:v>1002.97</x:v>
      </x:c>
      <x:c r="AD1002" s="265" t="n">
        <x:v>1129.97</x:v>
      </x:c>
      <x:c r="AE1002" s="271" t="str"/>
      <x:c r="AF1002" s="274" t="str">
        <x:v>Not validated - no control/holdout</x:v>
      </x:c>
      <x:c r="AG1002" s="277" t="str">
        <x:v>Recovered execution only; assignment date and unclaimed-offer denominator unavailable</x:v>
      </x:c>
    </x:row>
    <x:row r="1003">
      <x:c r="A1003" s="252" t="str">
        <x:v>34665255</x:v>
      </x:c>
      <x:c r="B1003" s="253" t="str">
        <x:v>WS1</x:v>
      </x:c>
      <x:c r="C1003" s="253" t="str">
        <x:v>MB8</x:v>
      </x:c>
      <x:c r="D1003" s="262" t="n">
        <x:v>46193.62726851852</x:v>
      </x:c>
      <x:c r="E1003" s="259" t="n">
        <x:v>46193.166666666664</x:v>
      </x:c>
      <x:c r="F1003" s="253" t="str">
        <x:v>673118</x:v>
      </x:c>
      <x:c r="G1003" s="253" t="str">
        <x:v>Hashim007</x:v>
      </x:c>
      <x:c r="H1003" s="253" t="str">
        <x:v>Yes</x:v>
      </x:c>
      <x:c r="I1003" s="253" t="str">
        <x:v>Elda</x:v>
      </x:c>
      <x:c r="J1003" s="253" t="str">
        <x:v>Elda</x:v>
      </x:c>
      <x:c r="K1003" s="259" t="n">
        <x:v>45779.166666666664</x:v>
      </x:c>
      <x:c r="L1003" s="268" t="str">
        <x:f>IFERROR(VLOOKUP(I1003,'Handler-Team Map'!$A$7:$C$17,2,FALSE),"")</x:f>
      </x:c>
      <x:c r="M1003" s="268" t="str">
        <x:f>IFERROR(VLOOKUP(I1003,'Handler-Team Map'!$A$7:$C$17,3,FALSE),"")</x:f>
      </x:c>
      <x:c r="N1003" s="274" t="str">
        <x:v>FT_VM_DEP300_GET100_5X</x:v>
      </x:c>
      <x:c r="O1003" s="274" t="str">
        <x:v>VIP BONUS - Deposit 300 Get 100 - 5x TO</x:v>
      </x:c>
      <x:c r="P1003" s="274" t="str">
        <x:v>DepositBonus</x:v>
      </x:c>
      <x:c r="Q1003" s="274" t="str">
        <x:v>Approved</x:v>
      </x:c>
      <x:c r="R1003" s="265" t="n">
        <x:v>100</x:v>
      </x:c>
      <x:c r="S1003" s="253" t="str">
        <x:v>Yes</x:v>
      </x:c>
      <x:c r="T1003" s="265" t="n">
        <x:v>1700</x:v>
      </x:c>
      <x:c r="U1003" s="253" t="str">
        <x:f>IF(AND(S1003="Yes",T1003=0),"Yes","No")</x:f>
        <x:v>No</x:v>
      </x:c>
      <x:c r="V1003" s="253" t="str">
        <x:v>Yes</x:v>
      </x:c>
      <x:c r="W1003" s="253" t="str">
        <x:v>Yes</x:v>
      </x:c>
      <x:c r="X1003" s="259" t="n">
        <x:v>46193.166666666664</x:v>
      </x:c>
      <x:c r="Y1003" s="265" t="n">
        <x:v>2715</x:v>
      </x:c>
      <x:c r="Z1003" s="265" t="n">
        <x:v>2715</x:v>
      </x:c>
      <x:c r="AA1003" s="253" t="str">
        <x:f>IF(V1003="No","Maturing",IF(AND(U1003="Yes",Y1003&gt;0),"Yes","No"))</x:f>
        <x:v>No</x:v>
      </x:c>
      <x:c r="AB1003" s="253" t="str">
        <x:f>IF(W1003="No","Maturing",IF(AND(U1003="Yes",Z1003&gt;0),"Yes","No"))</x:f>
        <x:v>No</x:v>
      </x:c>
      <x:c r="AC1003" s="265" t="n">
        <x:v>1713.23</x:v>
      </x:c>
      <x:c r="AD1003" s="265" t="n">
        <x:v>1715.95</x:v>
      </x:c>
      <x:c r="AE1003" s="271" t="str"/>
      <x:c r="AF1003" s="274" t="str">
        <x:v>Not validated - no control/holdout</x:v>
      </x:c>
      <x:c r="AG1003" s="277" t="str">
        <x:v>Recovered execution only; assignment date and unclaimed-offer denominator unavailable</x:v>
      </x:c>
    </x:row>
    <x:row r="1004">
      <x:c r="A1004" s="252" t="str">
        <x:v>34665438</x:v>
      </x:c>
      <x:c r="B1004" s="253" t="str">
        <x:v>WS1</x:v>
      </x:c>
      <x:c r="C1004" s="253" t="str">
        <x:v>MB8</x:v>
      </x:c>
      <x:c r="D1004" s="262" t="n">
        <x:v>46193.6434375</x:v>
      </x:c>
      <x:c r="E1004" s="259" t="n">
        <x:v>46193.166666666664</x:v>
      </x:c>
      <x:c r="F1004" s="253" t="str">
        <x:v>676845</x:v>
      </x:c>
      <x:c r="G1004" s="253" t="str">
        <x:v>ericokw96</x:v>
      </x:c>
      <x:c r="H1004" s="253" t="str">
        <x:v>Yes</x:v>
      </x:c>
      <x:c r="I1004" s="253" t="str"/>
      <x:c r="J1004" s="253" t="str"/>
      <x:c r="K1004" s="259"/>
      <x:c r="L1004" s="268" t="str">
        <x:f>IFERROR(VLOOKUP(I1004,'Handler-Team Map'!$A$7:$C$17,2,FALSE),"")</x:f>
      </x:c>
      <x:c r="M1004" s="268" t="str">
        <x:f>IFERROR(VLOOKUP(I1004,'Handler-Team Map'!$A$7:$C$17,3,FALSE),"")</x:f>
      </x:c>
      <x:c r="N1004" s="274" t="str">
        <x:v>FT_VM_DEP1000_GET500_1X</x:v>
      </x:c>
      <x:c r="O1004" s="274" t="str">
        <x:v>VIP BONUS - Deposit 1000 Get 500 - 1x TO</x:v>
      </x:c>
      <x:c r="P1004" s="274" t="str">
        <x:v>DepositBonus</x:v>
      </x:c>
      <x:c r="Q1004" s="274" t="str">
        <x:v>Approved</x:v>
      </x:c>
      <x:c r="R1004" s="265" t="n">
        <x:v>500</x:v>
      </x:c>
      <x:c r="S1004" s="253" t="str">
        <x:v>Yes</x:v>
      </x:c>
      <x:c r="T1004" s="265" t="n">
        <x:v>0</x:v>
      </x:c>
      <x:c r="U1004" s="253" t="str">
        <x:f>IF(AND(S1004="Yes",T1004=0),"Yes","No")</x:f>
        <x:v>Yes</x:v>
      </x:c>
      <x:c r="V1004" s="253" t="str">
        <x:v>Yes</x:v>
      </x:c>
      <x:c r="W1004" s="253" t="str">
        <x:v>Yes</x:v>
      </x:c>
      <x:c r="X1004" s="259" t="n">
        <x:v>46193.166666666664</x:v>
      </x:c>
      <x:c r="Y1004" s="265" t="n">
        <x:v>1000</x:v>
      </x:c>
      <x:c r="Z1004" s="265" t="n">
        <x:v>1000</x:v>
      </x:c>
      <x:c r="AA1004" s="253" t="str">
        <x:f>IF(V1004="No","Maturing",IF(AND(U1004="Yes",Y1004&gt;0),"Yes","No"))</x:f>
        <x:v>Yes</x:v>
      </x:c>
      <x:c r="AB1004" s="253" t="str">
        <x:f>IF(W1004="No","Maturing",IF(AND(U1004="Yes",Z1004&gt;0),"Yes","No"))</x:f>
        <x:v>Yes</x:v>
      </x:c>
      <x:c r="AC1004" s="265" t="n">
        <x:v>-92.25</x:v>
      </x:c>
      <x:c r="AD1004" s="265" t="n">
        <x:v>-92.25</x:v>
      </x:c>
      <x:c r="AE1004" s="271" t="str"/>
      <x:c r="AF1004" s="274" t="str">
        <x:v>Not validated - no control/holdout</x:v>
      </x:c>
      <x:c r="AG1004" s="277" t="str">
        <x:v>Recovered execution only; assignment date and unclaimed-offer denominator unavailable</x:v>
      </x:c>
    </x:row>
    <x:row r="1005">
      <x:c r="A1005" s="252" t="str">
        <x:v>34665702</x:v>
      </x:c>
      <x:c r="B1005" s="253" t="str">
        <x:v>WS1</x:v>
      </x:c>
      <x:c r="C1005" s="253" t="str">
        <x:v>MB8</x:v>
      </x:c>
      <x:c r="D1005" s="262" t="n">
        <x:v>46193.6646875</x:v>
      </x:c>
      <x:c r="E1005" s="259" t="n">
        <x:v>46193.166666666664</x:v>
      </x:c>
      <x:c r="F1005" s="253" t="str">
        <x:v>1009871</x:v>
      </x:c>
      <x:c r="G1005" s="253" t="str">
        <x:v>Misyellow87</x:v>
      </x:c>
      <x:c r="H1005" s="253" t="str">
        <x:v>Yes</x:v>
      </x:c>
      <x:c r="I1005" s="253" t="str"/>
      <x:c r="J1005" s="253" t="str"/>
      <x:c r="K1005" s="259"/>
      <x:c r="L1005" s="268" t="str">
        <x:f>IFERROR(VLOOKUP(I1005,'Handler-Team Map'!$A$7:$C$17,2,FALSE),"")</x:f>
      </x:c>
      <x:c r="M1005" s="268" t="str">
        <x:f>IFERROR(VLOOKUP(I1005,'Handler-Team Map'!$A$7:$C$17,3,FALSE),"")</x:f>
      </x:c>
      <x:c r="N1005" s="274" t="str">
        <x:v>FT_VM_DEP300_GET100_5X</x:v>
      </x:c>
      <x:c r="O1005" s="274" t="str">
        <x:v>VIP BONUS - Deposit 300 Get 100 - 5x TO</x:v>
      </x:c>
      <x:c r="P1005" s="274" t="str">
        <x:v>DepositBonus</x:v>
      </x:c>
      <x:c r="Q1005" s="274" t="str">
        <x:v>Approved</x:v>
      </x:c>
      <x:c r="R1005" s="265" t="n">
        <x:v>100</x:v>
      </x:c>
      <x:c r="S1005" s="253" t="str">
        <x:v>Yes</x:v>
      </x:c>
      <x:c r="T1005" s="265" t="n">
        <x:v>14536</x:v>
      </x:c>
      <x:c r="U1005" s="253" t="str">
        <x:f>IF(AND(S1005="Yes",T1005=0),"Yes","No")</x:f>
        <x:v>No</x:v>
      </x:c>
      <x:c r="V1005" s="253" t="str">
        <x:v>Yes</x:v>
      </x:c>
      <x:c r="W1005" s="253" t="str">
        <x:v>Yes</x:v>
      </x:c>
      <x:c r="X1005" s="259" t="n">
        <x:v>46193.166666666664</x:v>
      </x:c>
      <x:c r="Y1005" s="265" t="n">
        <x:v>6585</x:v>
      </x:c>
      <x:c r="Z1005" s="265" t="n">
        <x:v>6725</x:v>
      </x:c>
      <x:c r="AA1005" s="253" t="str">
        <x:f>IF(V1005="No","Maturing",IF(AND(U1005="Yes",Y1005&gt;0),"Yes","No"))</x:f>
        <x:v>No</x:v>
      </x:c>
      <x:c r="AB1005" s="253" t="str">
        <x:f>IF(W1005="No","Maturing",IF(AND(U1005="Yes",Z1005&gt;0),"Yes","No"))</x:f>
        <x:v>No</x:v>
      </x:c>
      <x:c r="AC1005" s="265" t="n">
        <x:v>6789.31</x:v>
      </x:c>
      <x:c r="AD1005" s="265" t="n">
        <x:v>6929.37</x:v>
      </x:c>
      <x:c r="AE1005" s="271" t="str"/>
      <x:c r="AF1005" s="274" t="str">
        <x:v>Not validated - no control/holdout</x:v>
      </x:c>
      <x:c r="AG1005" s="277" t="str">
        <x:v>Recovered execution only; assignment date and unclaimed-offer denominator unavailable</x:v>
      </x:c>
    </x:row>
    <x:row r="1006">
      <x:c r="A1006" s="252" t="str">
        <x:v>34666497</x:v>
      </x:c>
      <x:c r="B1006" s="253" t="str">
        <x:v>WS1</x:v>
      </x:c>
      <x:c r="C1006" s="253" t="str">
        <x:v>MB8</x:v>
      </x:c>
      <x:c r="D1006" s="262" t="n">
        <x:v>46193.716203703705</x:v>
      </x:c>
      <x:c r="E1006" s="259" t="n">
        <x:v>46193.166666666664</x:v>
      </x:c>
      <x:c r="F1006" s="253" t="str">
        <x:v>1204412</x:v>
      </x:c>
      <x:c r="G1006" s="253" t="str">
        <x:v>lanpenang76</x:v>
      </x:c>
      <x:c r="H1006" s="253" t="str">
        <x:v>Yes</x:v>
      </x:c>
      <x:c r="I1006" s="253" t="str"/>
      <x:c r="J1006" s="253" t="str"/>
      <x:c r="K1006" s="259"/>
      <x:c r="L1006" s="268" t="str">
        <x:f>IFERROR(VLOOKUP(I1006,'Handler-Team Map'!$A$7:$C$17,2,FALSE),"")</x:f>
      </x:c>
      <x:c r="M1006" s="268" t="str">
        <x:f>IFERROR(VLOOKUP(I1006,'Handler-Team Map'!$A$7:$C$17,3,FALSE),"")</x:f>
      </x:c>
      <x:c r="N1006" s="274" t="str">
        <x:v>FT_VM_DEP300_GET100_5X</x:v>
      </x:c>
      <x:c r="O1006" s="274" t="str">
        <x:v>VIP BONUS - Deposit 300 Get 100 - 5x TO</x:v>
      </x:c>
      <x:c r="P1006" s="274" t="str">
        <x:v>DepositBonus</x:v>
      </x:c>
      <x:c r="Q1006" s="274" t="str">
        <x:v>Approved</x:v>
      </x:c>
      <x:c r="R1006" s="265" t="n">
        <x:v>100</x:v>
      </x:c>
      <x:c r="S1006" s="253" t="str">
        <x:v>Yes</x:v>
      </x:c>
      <x:c r="T1006" s="265" t="n">
        <x:v>32950</x:v>
      </x:c>
      <x:c r="U1006" s="253" t="str">
        <x:f>IF(AND(S1006="Yes",T1006=0),"Yes","No")</x:f>
        <x:v>No</x:v>
      </x:c>
      <x:c r="V1006" s="253" t="str">
        <x:v>Yes</x:v>
      </x:c>
      <x:c r="W1006" s="253" t="str">
        <x:v>Yes</x:v>
      </x:c>
      <x:c r="X1006" s="259" t="n">
        <x:v>46193.166666666664</x:v>
      </x:c>
      <x:c r="Y1006" s="265" t="n">
        <x:v>9790</x:v>
      </x:c>
      <x:c r="Z1006" s="265" t="n">
        <x:v>20580</x:v>
      </x:c>
      <x:c r="AA1006" s="253" t="str">
        <x:f>IF(V1006="No","Maturing",IF(AND(U1006="Yes",Y1006&gt;0),"Yes","No"))</x:f>
        <x:v>No</x:v>
      </x:c>
      <x:c r="AB1006" s="253" t="str">
        <x:f>IF(W1006="No","Maturing",IF(AND(U1006="Yes",Z1006&gt;0),"Yes","No"))</x:f>
        <x:v>No</x:v>
      </x:c>
      <x:c r="AC1006" s="265" t="n">
        <x:v>-3943.87</x:v>
      </x:c>
      <x:c r="AD1006" s="265" t="n">
        <x:v>2679.78</x:v>
      </x:c>
      <x:c r="AE1006" s="271" t="str"/>
      <x:c r="AF1006" s="274" t="str">
        <x:v>Not validated - no control/holdout</x:v>
      </x:c>
      <x:c r="AG1006" s="277" t="str">
        <x:v>Recovered execution only; assignment date and unclaimed-offer denominator unavailable</x:v>
      </x:c>
    </x:row>
    <x:row r="1007">
      <x:c r="A1007" s="252" t="str">
        <x:v>34666666</x:v>
      </x:c>
      <x:c r="B1007" s="253" t="str">
        <x:v>WS1</x:v>
      </x:c>
      <x:c r="C1007" s="253" t="str">
        <x:v>MB8</x:v>
      </x:c>
      <x:c r="D1007" s="262" t="n">
        <x:v>46193.730266203704</x:v>
      </x:c>
      <x:c r="E1007" s="259" t="n">
        <x:v>46193.166666666664</x:v>
      </x:c>
      <x:c r="F1007" s="253" t="str">
        <x:v>993088</x:v>
      </x:c>
      <x:c r="G1007" s="253" t="str">
        <x:v>tanmingshen</x:v>
      </x:c>
      <x:c r="H1007" s="253" t="str">
        <x:v>Yes</x:v>
      </x:c>
      <x:c r="I1007" s="253" t="str"/>
      <x:c r="J1007" s="253" t="str"/>
      <x:c r="K1007" s="259"/>
      <x:c r="L1007" s="268" t="str">
        <x:f>IFERROR(VLOOKUP(I1007,'Handler-Team Map'!$A$7:$C$17,2,FALSE),"")</x:f>
      </x:c>
      <x:c r="M1007" s="268" t="str">
        <x:f>IFERROR(VLOOKUP(I1007,'Handler-Team Map'!$A$7:$C$17,3,FALSE),"")</x:f>
      </x:c>
      <x:c r="N1007" s="274" t="str">
        <x:v>FT_VM_DEP1000_GET500_1X</x:v>
      </x:c>
      <x:c r="O1007" s="274" t="str">
        <x:v>VIP BONUS - Deposit 1000 Get 500 - 1x TO</x:v>
      </x:c>
      <x:c r="P1007" s="274" t="str">
        <x:v>DepositBonus</x:v>
      </x:c>
      <x:c r="Q1007" s="274" t="str">
        <x:v>Approved</x:v>
      </x:c>
      <x:c r="R1007" s="265" t="n">
        <x:v>500</x:v>
      </x:c>
      <x:c r="S1007" s="253" t="str">
        <x:v>Yes</x:v>
      </x:c>
      <x:c r="T1007" s="265" t="n">
        <x:v>0</x:v>
      </x:c>
      <x:c r="U1007" s="253" t="str">
        <x:f>IF(AND(S1007="Yes",T1007=0),"Yes","No")</x:f>
        <x:v>Yes</x:v>
      </x:c>
      <x:c r="V1007" s="253" t="str">
        <x:v>Yes</x:v>
      </x:c>
      <x:c r="W1007" s="253" t="str">
        <x:v>Yes</x:v>
      </x:c>
      <x:c r="X1007" s="259" t="n">
        <x:v>46193.166666666664</x:v>
      </x:c>
      <x:c r="Y1007" s="265" t="n">
        <x:v>1000</x:v>
      </x:c>
      <x:c r="Z1007" s="265" t="n">
        <x:v>1000</x:v>
      </x:c>
      <x:c r="AA1007" s="253" t="str">
        <x:f>IF(V1007="No","Maturing",IF(AND(U1007="Yes",Y1007&gt;0),"Yes","No"))</x:f>
        <x:v>Yes</x:v>
      </x:c>
      <x:c r="AB1007" s="253" t="str">
        <x:f>IF(W1007="No","Maturing",IF(AND(U1007="Yes",Z1007&gt;0),"Yes","No"))</x:f>
        <x:v>Yes</x:v>
      </x:c>
      <x:c r="AC1007" s="265" t="n">
        <x:v>380.35</x:v>
      </x:c>
      <x:c r="AD1007" s="265" t="n">
        <x:v>380.35</x:v>
      </x:c>
      <x:c r="AE1007" s="271" t="str"/>
      <x:c r="AF1007" s="274" t="str">
        <x:v>Not validated - no control/holdout</x:v>
      </x:c>
      <x:c r="AG1007" s="277" t="str">
        <x:v>Recovered execution only; assignment date and unclaimed-offer denominator unavailable</x:v>
      </x:c>
    </x:row>
    <x:row r="1008">
      <x:c r="A1008" s="252" t="str">
        <x:v>34666656</x:v>
      </x:c>
      <x:c r="B1008" s="253" t="str">
        <x:v>WS1</x:v>
      </x:c>
      <x:c r="C1008" s="253" t="str">
        <x:v>MB8</x:v>
      </x:c>
      <x:c r="D1008" s="262" t="n">
        <x:v>46193.73171296297</x:v>
      </x:c>
      <x:c r="E1008" s="259" t="n">
        <x:v>46193.166666666664</x:v>
      </x:c>
      <x:c r="F1008" s="253" t="str">
        <x:v>635105</x:v>
      </x:c>
      <x:c r="G1008" s="253" t="str">
        <x:v>Jason9494</x:v>
      </x:c>
      <x:c r="H1008" s="253" t="str">
        <x:v>Yes</x:v>
      </x:c>
      <x:c r="I1008" s="253" t="str">
        <x:v>Claire</x:v>
      </x:c>
      <x:c r="J1008" s="253" t="str">
        <x:v>Claire</x:v>
      </x:c>
      <x:c r="K1008" s="259" t="n">
        <x:v>45790.166666666664</x:v>
      </x:c>
      <x:c r="L1008" s="268" t="str">
        <x:f>IFERROR(VLOOKUP(I1008,'Handler-Team Map'!$A$7:$C$17,2,FALSE),"")</x:f>
      </x:c>
      <x:c r="M1008" s="268" t="str">
        <x:f>IFERROR(VLOOKUP(I1008,'Handler-Team Map'!$A$7:$C$17,3,FALSE),"")</x:f>
      </x:c>
      <x:c r="N1008" s="274" t="str">
        <x:v>FT_VM_DEP1000_GET500_5X</x:v>
      </x:c>
      <x:c r="O1008" s="274" t="str">
        <x:v>VIP BONUS - Deposit 1000 Get 500 - 5x TO</x:v>
      </x:c>
      <x:c r="P1008" s="274" t="str">
        <x:v>DepositBonus</x:v>
      </x:c>
      <x:c r="Q1008" s="274" t="str">
        <x:v>Approved</x:v>
      </x:c>
      <x:c r="R1008" s="265" t="n">
        <x:v>500</x:v>
      </x:c>
      <x:c r="S1008" s="253" t="str">
        <x:v>Yes</x:v>
      </x:c>
      <x:c r="T1008" s="265" t="n">
        <x:v>200</x:v>
      </x:c>
      <x:c r="U1008" s="253" t="str">
        <x:f>IF(AND(S1008="Yes",T1008=0),"Yes","No")</x:f>
        <x:v>No</x:v>
      </x:c>
      <x:c r="V1008" s="253" t="str">
        <x:v>Yes</x:v>
      </x:c>
      <x:c r="W1008" s="253" t="str">
        <x:v>Yes</x:v>
      </x:c>
      <x:c r="X1008" s="259" t="n">
        <x:v>46193.166666666664</x:v>
      </x:c>
      <x:c r="Y1008" s="265" t="n">
        <x:v>10000</x:v>
      </x:c>
      <x:c r="Z1008" s="265" t="n">
        <x:v>10000</x:v>
      </x:c>
      <x:c r="AA1008" s="253" t="str">
        <x:f>IF(V1008="No","Maturing",IF(AND(U1008="Yes",Y1008&gt;0),"Yes","No"))</x:f>
        <x:v>No</x:v>
      </x:c>
      <x:c r="AB1008" s="253" t="str">
        <x:f>IF(W1008="No","Maturing",IF(AND(U1008="Yes",Z1008&gt;0),"Yes","No"))</x:f>
        <x:v>No</x:v>
      </x:c>
      <x:c r="AC1008" s="265" t="n">
        <x:v>-7584.69</x:v>
      </x:c>
      <x:c r="AD1008" s="265" t="n">
        <x:v>-7584.69</x:v>
      </x:c>
      <x:c r="AE1008" s="271" t="str"/>
      <x:c r="AF1008" s="274" t="str">
        <x:v>Not validated - no control/holdout</x:v>
      </x:c>
      <x:c r="AG1008" s="277" t="str">
        <x:v>Recovered execution only; assignment date and unclaimed-offer denominator unavailable</x:v>
      </x:c>
    </x:row>
    <x:row r="1009">
      <x:c r="A1009" s="252" t="str">
        <x:v>34668848</x:v>
      </x:c>
      <x:c r="B1009" s="253" t="str">
        <x:v>WS1</x:v>
      </x:c>
      <x:c r="C1009" s="253" t="str">
        <x:v>MB8</x:v>
      </x:c>
      <x:c r="D1009" s="262" t="n">
        <x:v>46193.91181712963</x:v>
      </x:c>
      <x:c r="E1009" s="259" t="n">
        <x:v>46193.166666666664</x:v>
      </x:c>
      <x:c r="F1009" s="253" t="str">
        <x:v>671403</x:v>
      </x:c>
      <x:c r="G1009" s="253" t="str">
        <x:v>Hock84</x:v>
      </x:c>
      <x:c r="H1009" s="253" t="str">
        <x:v>Yes</x:v>
      </x:c>
      <x:c r="I1009" s="253" t="str"/>
      <x:c r="J1009" s="253" t="str"/>
      <x:c r="K1009" s="259"/>
      <x:c r="L1009" s="268" t="str">
        <x:f>IFERROR(VLOOKUP(I1009,'Handler-Team Map'!$A$7:$C$17,2,FALSE),"")</x:f>
      </x:c>
      <x:c r="M1009" s="268" t="str">
        <x:f>IFERROR(VLOOKUP(I1009,'Handler-Team Map'!$A$7:$C$17,3,FALSE),"")</x:f>
      </x:c>
      <x:c r="N1009" s="274" t="str">
        <x:v>FT_VM_DEP1000_GET700_2X</x:v>
      </x:c>
      <x:c r="O1009" s="274" t="str">
        <x:v>VIP BONUS - Deposit 1000 Get 700 - 2x TO</x:v>
      </x:c>
      <x:c r="P1009" s="274" t="str">
        <x:v>DepositBonus</x:v>
      </x:c>
      <x:c r="Q1009" s="274" t="str">
        <x:v>Approved</x:v>
      </x:c>
      <x:c r="R1009" s="265" t="n">
        <x:v>700</x:v>
      </x:c>
      <x:c r="S1009" s="253" t="str">
        <x:v>Yes</x:v>
      </x:c>
      <x:c r="T1009" s="265" t="n">
        <x:v>250</x:v>
      </x:c>
      <x:c r="U1009" s="253" t="str">
        <x:f>IF(AND(S1009="Yes",T1009=0),"Yes","No")</x:f>
        <x:v>No</x:v>
      </x:c>
      <x:c r="V1009" s="253" t="str">
        <x:v>Yes</x:v>
      </x:c>
      <x:c r="W1009" s="253" t="str">
        <x:v>Yes</x:v>
      </x:c>
      <x:c r="X1009" s="259" t="n">
        <x:v>46193.166666666664</x:v>
      </x:c>
      <x:c r="Y1009" s="265" t="n">
        <x:v>1250</x:v>
      </x:c>
      <x:c r="Z1009" s="265" t="n">
        <x:v>1750</x:v>
      </x:c>
      <x:c r="AA1009" s="253" t="str">
        <x:f>IF(V1009="No","Maturing",IF(AND(U1009="Yes",Y1009&gt;0),"Yes","No"))</x:f>
        <x:v>No</x:v>
      </x:c>
      <x:c r="AB1009" s="253" t="str">
        <x:f>IF(W1009="No","Maturing",IF(AND(U1009="Yes",Z1009&gt;0),"Yes","No"))</x:f>
        <x:v>No</x:v>
      </x:c>
      <x:c r="AC1009" s="265" t="n">
        <x:v>250.04</x:v>
      </x:c>
      <x:c r="AD1009" s="265" t="n">
        <x:v>750.09</x:v>
      </x:c>
      <x:c r="AE1009" s="271" t="str"/>
      <x:c r="AF1009" s="274" t="str">
        <x:v>Not validated - no control/holdout</x:v>
      </x:c>
      <x:c r="AG1009" s="277" t="str">
        <x:v>Recovered execution only; assignment date and unclaimed-offer denominator unavailable</x:v>
      </x:c>
    </x:row>
    <x:row r="1010">
      <x:c r="A1010" s="252" t="str">
        <x:v>34668947</x:v>
      </x:c>
      <x:c r="B1010" s="253" t="str">
        <x:v>WS1</x:v>
      </x:c>
      <x:c r="C1010" s="253" t="str">
        <x:v>MB8</x:v>
      </x:c>
      <x:c r="D1010" s="262" t="n">
        <x:v>46193.91873842593</x:v>
      </x:c>
      <x:c r="E1010" s="259" t="n">
        <x:v>46193.166666666664</x:v>
      </x:c>
      <x:c r="F1010" s="253" t="str">
        <x:v>349222</x:v>
      </x:c>
      <x:c r="G1010" s="253" t="str">
        <x:v>Hanstarabas910</x:v>
      </x:c>
      <x:c r="H1010" s="253" t="str">
        <x:v>Yes</x:v>
      </x:c>
      <x:c r="I1010" s="253" t="str">
        <x:v>Kam</x:v>
      </x:c>
      <x:c r="J1010" s="253" t="str">
        <x:v>Kam</x:v>
      </x:c>
      <x:c r="K1010" s="259" t="n">
        <x:v>45951.166666666664</x:v>
      </x:c>
      <x:c r="L1010" s="268" t="str">
        <x:f>IFERROR(VLOOKUP(I1010,'Handler-Team Map'!$A$7:$C$17,2,FALSE),"")</x:f>
      </x:c>
      <x:c r="M1010" s="268" t="str">
        <x:f>IFERROR(VLOOKUP(I1010,'Handler-Team Map'!$A$7:$C$17,3,FALSE),"")</x:f>
      </x:c>
      <x:c r="N1010" s="274" t="str">
        <x:v>FT_VM_DEP1000_GET500_5X</x:v>
      </x:c>
      <x:c r="O1010" s="274" t="str">
        <x:v>VIP BONUS - Deposit 1000 Get 500 - 5x TO</x:v>
      </x:c>
      <x:c r="P1010" s="274" t="str">
        <x:v>DepositBonus</x:v>
      </x:c>
      <x:c r="Q1010" s="274" t="str">
        <x:v>Approved</x:v>
      </x:c>
      <x:c r="R1010" s="265" t="n">
        <x:v>500</x:v>
      </x:c>
      <x:c r="S1010" s="253" t="str">
        <x:v>Yes</x:v>
      </x:c>
      <x:c r="T1010" s="265" t="n">
        <x:v>18150</x:v>
      </x:c>
      <x:c r="U1010" s="253" t="str">
        <x:f>IF(AND(S1010="Yes",T1010=0),"Yes","No")</x:f>
        <x:v>No</x:v>
      </x:c>
      <x:c r="V1010" s="253" t="str">
        <x:v>Yes</x:v>
      </x:c>
      <x:c r="W1010" s="253" t="str">
        <x:v>Yes</x:v>
      </x:c>
      <x:c r="X1010" s="259" t="n">
        <x:v>46193.166666666664</x:v>
      </x:c>
      <x:c r="Y1010" s="265" t="n">
        <x:v>14400</x:v>
      </x:c>
      <x:c r="Z1010" s="265" t="n">
        <x:v>27680</x:v>
      </x:c>
      <x:c r="AA1010" s="253" t="str">
        <x:f>IF(V1010="No","Maturing",IF(AND(U1010="Yes",Y1010&gt;0),"Yes","No"))</x:f>
        <x:v>No</x:v>
      </x:c>
      <x:c r="AB1010" s="253" t="str">
        <x:f>IF(W1010="No","Maturing",IF(AND(U1010="Yes",Z1010&gt;0),"Yes","No"))</x:f>
        <x:v>No</x:v>
      </x:c>
      <x:c r="AC1010" s="265" t="n">
        <x:v>7398.83</x:v>
      </x:c>
      <x:c r="AD1010" s="265" t="n">
        <x:v>13000.23</x:v>
      </x:c>
      <x:c r="AE1010" s="271" t="str"/>
      <x:c r="AF1010" s="274" t="str">
        <x:v>Not validated - no control/holdout</x:v>
      </x:c>
      <x:c r="AG1010" s="277" t="str">
        <x:v>Recovered execution only; assignment date and unclaimed-offer denominator unavailable</x:v>
      </x:c>
    </x:row>
    <x:row r="1011">
      <x:c r="A1011" s="252" t="str">
        <x:v>34673971</x:v>
      </x:c>
      <x:c r="B1011" s="253" t="str">
        <x:v>WS1</x:v>
      </x:c>
      <x:c r="C1011" s="253" t="str">
        <x:v>MB8</x:v>
      </x:c>
      <x:c r="D1011" s="262" t="n">
        <x:v>46194.46074074074</x:v>
      </x:c>
      <x:c r="E1011" s="259" t="n">
        <x:v>46194.166666666664</x:v>
      </x:c>
      <x:c r="F1011" s="253" t="str">
        <x:v>433454</x:v>
      </x:c>
      <x:c r="G1011" s="253" t="str">
        <x:v>farrel87</x:v>
      </x:c>
      <x:c r="H1011" s="253" t="str">
        <x:v>Yes</x:v>
      </x:c>
      <x:c r="I1011" s="253" t="str"/>
      <x:c r="J1011" s="253" t="str"/>
      <x:c r="K1011" s="259"/>
      <x:c r="L1011" s="268" t="str">
        <x:f>IFERROR(VLOOKUP(I1011,'Handler-Team Map'!$A$7:$C$17,2,FALSE),"")</x:f>
      </x:c>
      <x:c r="M1011" s="268" t="str">
        <x:f>IFERROR(VLOOKUP(I1011,'Handler-Team Map'!$A$7:$C$17,3,FALSE),"")</x:f>
      </x:c>
      <x:c r="N1011" s="274" t="str">
        <x:v>FT_VM_DEP800_GET400_1X</x:v>
      </x:c>
      <x:c r="O1011" s="274" t="str">
        <x:v>VIP BONUS - Deposit 800 Get 400 - 1x TO</x:v>
      </x:c>
      <x:c r="P1011" s="274" t="str">
        <x:v>DepositBonus</x:v>
      </x:c>
      <x:c r="Q1011" s="274" t="str">
        <x:v>Approved</x:v>
      </x:c>
      <x:c r="R1011" s="265" t="n">
        <x:v>400</x:v>
      </x:c>
      <x:c r="S1011" s="253" t="str">
        <x:v>Yes</x:v>
      </x:c>
      <x:c r="T1011" s="265" t="n">
        <x:v>0</x:v>
      </x:c>
      <x:c r="U1011" s="253" t="str">
        <x:f>IF(AND(S1011="Yes",T1011=0),"Yes","No")</x:f>
        <x:v>Yes</x:v>
      </x:c>
      <x:c r="V1011" s="253" t="str">
        <x:v>Yes</x:v>
      </x:c>
      <x:c r="W1011" s="253" t="str">
        <x:v>Yes</x:v>
      </x:c>
      <x:c r="X1011" s="259" t="n">
        <x:v>46194.166666666664</x:v>
      </x:c>
      <x:c r="Y1011" s="265" t="n">
        <x:v>1000</x:v>
      </x:c>
      <x:c r="Z1011" s="265" t="n">
        <x:v>3073</x:v>
      </x:c>
      <x:c r="AA1011" s="253" t="str">
        <x:f>IF(V1011="No","Maturing",IF(AND(U1011="Yes",Y1011&gt;0),"Yes","No"))</x:f>
        <x:v>Yes</x:v>
      </x:c>
      <x:c r="AB1011" s="253" t="str">
        <x:f>IF(W1011="No","Maturing",IF(AND(U1011="Yes",Z1011&gt;0),"Yes","No"))</x:f>
        <x:v>Yes</x:v>
      </x:c>
      <x:c r="AC1011" s="265" t="n">
        <x:v>1000.53</x:v>
      </x:c>
      <x:c r="AD1011" s="265" t="n">
        <x:v>473.65</x:v>
      </x:c>
      <x:c r="AE1011" s="271" t="str"/>
      <x:c r="AF1011" s="274" t="str">
        <x:v>Not validated - no control/holdout</x:v>
      </x:c>
      <x:c r="AG1011" s="277" t="str">
        <x:v>Recovered execution only; assignment date and unclaimed-offer denominator unavailable</x:v>
      </x:c>
    </x:row>
    <x:row r="1012">
      <x:c r="A1012" s="252" t="str">
        <x:v>34674066</x:v>
      </x:c>
      <x:c r="B1012" s="253" t="str">
        <x:v>WS1</x:v>
      </x:c>
      <x:c r="C1012" s="253" t="str">
        <x:v>MB8</x:v>
      </x:c>
      <x:c r="D1012" s="262" t="n">
        <x:v>46194.47278935185</x:v>
      </x:c>
      <x:c r="E1012" s="259" t="n">
        <x:v>46194.166666666664</x:v>
      </x:c>
      <x:c r="F1012" s="253" t="str">
        <x:v>600601</x:v>
      </x:c>
      <x:c r="G1012" s="253" t="str">
        <x:v>kcj199</x:v>
      </x:c>
      <x:c r="H1012" s="253" t="str">
        <x:v>Yes</x:v>
      </x:c>
      <x:c r="I1012" s="253" t="str"/>
      <x:c r="J1012" s="253" t="str"/>
      <x:c r="K1012" s="259"/>
      <x:c r="L1012" s="268" t="str">
        <x:f>IFERROR(VLOOKUP(I1012,'Handler-Team Map'!$A$7:$C$17,2,FALSE),"")</x:f>
      </x:c>
      <x:c r="M1012" s="268" t="str">
        <x:f>IFERROR(VLOOKUP(I1012,'Handler-Team Map'!$A$7:$C$17,3,FALSE),"")</x:f>
      </x:c>
      <x:c r="N1012" s="274" t="str">
        <x:v>FT_VM_DEP1000_GET500_1X</x:v>
      </x:c>
      <x:c r="O1012" s="274" t="str">
        <x:v>VIP BONUS - Deposit 1000 Get 500 - 1x TO</x:v>
      </x:c>
      <x:c r="P1012" s="274" t="str">
        <x:v>DepositBonus</x:v>
      </x:c>
      <x:c r="Q1012" s="274" t="str">
        <x:v>Approved</x:v>
      </x:c>
      <x:c r="R1012" s="265" t="n">
        <x:v>500</x:v>
      </x:c>
      <x:c r="S1012" s="253" t="str">
        <x:v>Yes</x:v>
      </x:c>
      <x:c r="T1012" s="265" t="n">
        <x:v>0</x:v>
      </x:c>
      <x:c r="U1012" s="253" t="str">
        <x:f>IF(AND(S1012="Yes",T1012=0),"Yes","No")</x:f>
        <x:v>Yes</x:v>
      </x:c>
      <x:c r="V1012" s="253" t="str">
        <x:v>Yes</x:v>
      </x:c>
      <x:c r="W1012" s="253" t="str">
        <x:v>Yes</x:v>
      </x:c>
      <x:c r="X1012" s="259" t="n">
        <x:v>46194.166666666664</x:v>
      </x:c>
      <x:c r="Y1012" s="265" t="n">
        <x:v>1000</x:v>
      </x:c>
      <x:c r="Z1012" s="265" t="n">
        <x:v>1600</x:v>
      </x:c>
      <x:c r="AA1012" s="253" t="str">
        <x:f>IF(V1012="No","Maturing",IF(AND(U1012="Yes",Y1012&gt;0),"Yes","No"))</x:f>
        <x:v>Yes</x:v>
      </x:c>
      <x:c r="AB1012" s="253" t="str">
        <x:f>IF(W1012="No","Maturing",IF(AND(U1012="Yes",Z1012&gt;0),"Yes","No"))</x:f>
        <x:v>Yes</x:v>
      </x:c>
      <x:c r="AC1012" s="265" t="n">
        <x:v>52.41</x:v>
      </x:c>
      <x:c r="AD1012" s="265" t="n">
        <x:v>-1005.97</x:v>
      </x:c>
      <x:c r="AE1012" s="271" t="str"/>
      <x:c r="AF1012" s="274" t="str">
        <x:v>Not validated - no control/holdout</x:v>
      </x:c>
      <x:c r="AG1012" s="277" t="str">
        <x:v>Recovered execution only; assignment date and unclaimed-offer denominator unavailable</x:v>
      </x:c>
    </x:row>
    <x:row r="1013">
      <x:c r="A1013" s="252" t="str">
        <x:v>34674315</x:v>
      </x:c>
      <x:c r="B1013" s="253" t="str">
        <x:v>WS1</x:v>
      </x:c>
      <x:c r="C1013" s="253" t="str">
        <x:v>MB8</x:v>
      </x:c>
      <x:c r="D1013" s="262" t="n">
        <x:v>46194.5008912037</x:v>
      </x:c>
      <x:c r="E1013" s="259" t="n">
        <x:v>46194.166666666664</x:v>
      </x:c>
      <x:c r="F1013" s="253" t="str">
        <x:v>610893</x:v>
      </x:c>
      <x:c r="G1013" s="253" t="str">
        <x:v>ahling1998</x:v>
      </x:c>
      <x:c r="H1013" s="253" t="str">
        <x:v>Yes</x:v>
      </x:c>
      <x:c r="I1013" s="253" t="str"/>
      <x:c r="J1013" s="253" t="str"/>
      <x:c r="K1013" s="259"/>
      <x:c r="L1013" s="268" t="str">
        <x:f>IFERROR(VLOOKUP(I1013,'Handler-Team Map'!$A$7:$C$17,2,FALSE),"")</x:f>
      </x:c>
      <x:c r="M1013" s="268" t="str">
        <x:f>IFERROR(VLOOKUP(I1013,'Handler-Team Map'!$A$7:$C$17,3,FALSE),"")</x:f>
      </x:c>
      <x:c r="N1013" s="274" t="str">
        <x:v>FT_VM_DEP1000_GET500_1X</x:v>
      </x:c>
      <x:c r="O1013" s="274" t="str">
        <x:v>VIP BONUS - Deposit 1000 Get 500 - 1x TO</x:v>
      </x:c>
      <x:c r="P1013" s="274" t="str">
        <x:v>DepositBonus</x:v>
      </x:c>
      <x:c r="Q1013" s="274" t="str">
        <x:v>Approved</x:v>
      </x:c>
      <x:c r="R1013" s="265" t="n">
        <x:v>500</x:v>
      </x:c>
      <x:c r="S1013" s="253" t="str">
        <x:v>Yes</x:v>
      </x:c>
      <x:c r="T1013" s="265" t="n">
        <x:v>0</x:v>
      </x:c>
      <x:c r="U1013" s="253" t="str">
        <x:f>IF(AND(S1013="Yes",T1013=0),"Yes","No")</x:f>
        <x:v>Yes</x:v>
      </x:c>
      <x:c r="V1013" s="253" t="str">
        <x:v>Yes</x:v>
      </x:c>
      <x:c r="W1013" s="253" t="str">
        <x:v>Yes</x:v>
      </x:c>
      <x:c r="X1013" s="259" t="n">
        <x:v>46194.166666666664</x:v>
      </x:c>
      <x:c r="Y1013" s="265" t="n">
        <x:v>1000</x:v>
      </x:c>
      <x:c r="Z1013" s="265" t="n">
        <x:v>1600</x:v>
      </x:c>
      <x:c r="AA1013" s="253" t="str">
        <x:f>IF(V1013="No","Maturing",IF(AND(U1013="Yes",Y1013&gt;0),"Yes","No"))</x:f>
        <x:v>Yes</x:v>
      </x:c>
      <x:c r="AB1013" s="253" t="str">
        <x:f>IF(W1013="No","Maturing",IF(AND(U1013="Yes",Z1013&gt;0),"Yes","No"))</x:f>
        <x:v>Yes</x:v>
      </x:c>
      <x:c r="AC1013" s="265" t="n">
        <x:v>195.87</x:v>
      </x:c>
      <x:c r="AD1013" s="265" t="n">
        <x:v>-493.78</x:v>
      </x:c>
      <x:c r="AE1013" s="271" t="str"/>
      <x:c r="AF1013" s="274" t="str">
        <x:v>Not validated - no control/holdout</x:v>
      </x:c>
      <x:c r="AG1013" s="277" t="str">
        <x:v>Recovered execution only; assignment date and unclaimed-offer denominator unavailable</x:v>
      </x:c>
    </x:row>
    <x:row r="1014">
      <x:c r="A1014" s="252" t="str">
        <x:v>34674543</x:v>
      </x:c>
      <x:c r="B1014" s="253" t="str">
        <x:v>WS1</x:v>
      </x:c>
      <x:c r="C1014" s="253" t="str">
        <x:v>MB8</x:v>
      </x:c>
      <x:c r="D1014" s="262" t="n">
        <x:v>46194.53115740741</x:v>
      </x:c>
      <x:c r="E1014" s="259" t="n">
        <x:v>46194.166666666664</x:v>
      </x:c>
      <x:c r="F1014" s="253" t="str">
        <x:v>651425</x:v>
      </x:c>
      <x:c r="G1014" s="253" t="str">
        <x:v>Chinh1912</x:v>
      </x:c>
      <x:c r="H1014" s="253" t="str">
        <x:v>Yes</x:v>
      </x:c>
      <x:c r="I1014" s="253" t="str"/>
      <x:c r="J1014" s="253" t="str"/>
      <x:c r="K1014" s="259"/>
      <x:c r="L1014" s="268" t="str">
        <x:f>IFERROR(VLOOKUP(I1014,'Handler-Team Map'!$A$7:$C$17,2,FALSE),"")</x:f>
      </x:c>
      <x:c r="M1014" s="268" t="str">
        <x:f>IFERROR(VLOOKUP(I1014,'Handler-Team Map'!$A$7:$C$17,3,FALSE),"")</x:f>
      </x:c>
      <x:c r="N1014" s="274" t="str">
        <x:v>FT_VM_DEP1000_GET500_1X</x:v>
      </x:c>
      <x:c r="O1014" s="274" t="str">
        <x:v>VIP BONUS - Deposit 1000 Get 500 - 1x TO</x:v>
      </x:c>
      <x:c r="P1014" s="274" t="str">
        <x:v>DepositBonus</x:v>
      </x:c>
      <x:c r="Q1014" s="274" t="str">
        <x:v>Approved</x:v>
      </x:c>
      <x:c r="R1014" s="265" t="n">
        <x:v>500</x:v>
      </x:c>
      <x:c r="S1014" s="253" t="str">
        <x:v>Yes</x:v>
      </x:c>
      <x:c r="T1014" s="265" t="n">
        <x:v>0</x:v>
      </x:c>
      <x:c r="U1014" s="253" t="str">
        <x:f>IF(AND(S1014="Yes",T1014=0),"Yes","No")</x:f>
        <x:v>Yes</x:v>
      </x:c>
      <x:c r="V1014" s="253" t="str">
        <x:v>Yes</x:v>
      </x:c>
      <x:c r="W1014" s="253" t="str">
        <x:v>Yes</x:v>
      </x:c>
      <x:c r="X1014" s="259" t="n">
        <x:v>46194.166666666664</x:v>
      </x:c>
      <x:c r="Y1014" s="265" t="n">
        <x:v>1000</x:v>
      </x:c>
      <x:c r="Z1014" s="265" t="n">
        <x:v>1600</x:v>
      </x:c>
      <x:c r="AA1014" s="253" t="str">
        <x:f>IF(V1014="No","Maturing",IF(AND(U1014="Yes",Y1014&gt;0),"Yes","No"))</x:f>
        <x:v>Yes</x:v>
      </x:c>
      <x:c r="AB1014" s="253" t="str">
        <x:f>IF(W1014="No","Maturing",IF(AND(U1014="Yes",Z1014&gt;0),"Yes","No"))</x:f>
        <x:v>Yes</x:v>
      </x:c>
      <x:c r="AC1014" s="265" t="n">
        <x:v>-159.87</x:v>
      </x:c>
      <x:c r="AD1014" s="265" t="n">
        <x:v>440.88</x:v>
      </x:c>
      <x:c r="AE1014" s="271" t="str"/>
      <x:c r="AF1014" s="274" t="str">
        <x:v>Not validated - no control/holdout</x:v>
      </x:c>
      <x:c r="AG1014" s="277" t="str">
        <x:v>Recovered execution only; assignment date and unclaimed-offer denominator unavailable</x:v>
      </x:c>
    </x:row>
    <x:row r="1015">
      <x:c r="A1015" s="252" t="str">
        <x:v>34680088</x:v>
      </x:c>
      <x:c r="B1015" s="253" t="str">
        <x:v>WS1</x:v>
      </x:c>
      <x:c r="C1015" s="253" t="str">
        <x:v>MB8</x:v>
      </x:c>
      <x:c r="D1015" s="262" t="n">
        <x:v>46195.01974537037</x:v>
      </x:c>
      <x:c r="E1015" s="259" t="n">
        <x:v>46195.166666666664</x:v>
      </x:c>
      <x:c r="F1015" s="253" t="str">
        <x:v>587328</x:v>
      </x:c>
      <x:c r="G1015" s="253" t="str">
        <x:v>momiji123</x:v>
      </x:c>
      <x:c r="H1015" s="253" t="str">
        <x:v>Yes</x:v>
      </x:c>
      <x:c r="I1015" s="253" t="str">
        <x:v>zhen</x:v>
      </x:c>
      <x:c r="J1015" s="253" t="str">
        <x:v>zhen</x:v>
      </x:c>
      <x:c r="K1015" s="259" t="n">
        <x:v>45922.166666666664</x:v>
      </x:c>
      <x:c r="L1015" s="268" t="str">
        <x:f>IFERROR(VLOOKUP(I1015,'Handler-Team Map'!$A$7:$C$17,2,FALSE),"")</x:f>
      </x:c>
      <x:c r="M1015" s="268" t="str">
        <x:f>IFERROR(VLOOKUP(I1015,'Handler-Team Map'!$A$7:$C$17,3,FALSE),"")</x:f>
      </x:c>
      <x:c r="N1015" s="274" t="str">
        <x:v>FT_VM_DEP1000_GET500_5X</x:v>
      </x:c>
      <x:c r="O1015" s="274" t="str">
        <x:v>VIP BONUS - Deposit 1000 Get 500 - 5x TO</x:v>
      </x:c>
      <x:c r="P1015" s="274" t="str">
        <x:v>DepositBonus</x:v>
      </x:c>
      <x:c r="Q1015" s="274" t="str">
        <x:v>Approved</x:v>
      </x:c>
      <x:c r="R1015" s="265" t="n">
        <x:v>500</x:v>
      </x:c>
      <x:c r="S1015" s="253" t="str">
        <x:v>Yes</x:v>
      </x:c>
      <x:c r="T1015" s="265" t="n">
        <x:v>1750</x:v>
      </x:c>
      <x:c r="U1015" s="253" t="str">
        <x:f>IF(AND(S1015="Yes",T1015=0),"Yes","No")</x:f>
        <x:v>No</x:v>
      </x:c>
      <x:c r="V1015" s="253" t="str">
        <x:v>Yes</x:v>
      </x:c>
      <x:c r="W1015" s="253" t="str">
        <x:v>Yes</x:v>
      </x:c>
      <x:c r="X1015" s="259" t="n">
        <x:v>46195.166666666664</x:v>
      </x:c>
      <x:c r="Y1015" s="265" t="n">
        <x:v>1000</x:v>
      </x:c>
      <x:c r="Z1015" s="265" t="n">
        <x:v>2000</x:v>
      </x:c>
      <x:c r="AA1015" s="253" t="str">
        <x:f>IF(V1015="No","Maturing",IF(AND(U1015="Yes",Y1015&gt;0),"Yes","No"))</x:f>
        <x:v>No</x:v>
      </x:c>
      <x:c r="AB1015" s="253" t="str">
        <x:f>IF(W1015="No","Maturing",IF(AND(U1015="Yes",Z1015&gt;0),"Yes","No"))</x:f>
        <x:v>No</x:v>
      </x:c>
      <x:c r="AC1015" s="265" t="n">
        <x:v>999.97</x:v>
      </x:c>
      <x:c r="AD1015" s="265" t="n">
        <x:v>2000.19</x:v>
      </x:c>
      <x:c r="AE1015" s="271" t="str"/>
      <x:c r="AF1015" s="274" t="str">
        <x:v>Not validated - no control/holdout</x:v>
      </x:c>
      <x:c r="AG1015" s="277" t="str">
        <x:v>Recovered execution only; assignment date and unclaimed-offer denominator unavailable</x:v>
      </x:c>
    </x:row>
    <x:row r="1016">
      <x:c r="A1016" s="252" t="str">
        <x:v>34681779</x:v>
      </x:c>
      <x:c r="B1016" s="253" t="str">
        <x:v>WS1</x:v>
      </x:c>
      <x:c r="C1016" s="253" t="str">
        <x:v>MB8</x:v>
      </x:c>
      <x:c r="D1016" s="262" t="n">
        <x:v>46195.20625</x:v>
      </x:c>
      <x:c r="E1016" s="259" t="n">
        <x:v>46195.166666666664</x:v>
      </x:c>
      <x:c r="F1016" s="253" t="str">
        <x:v>676839</x:v>
      </x:c>
      <x:c r="G1016" s="253" t="str">
        <x:v>Psyee88</x:v>
      </x:c>
      <x:c r="H1016" s="253" t="str">
        <x:v>Yes</x:v>
      </x:c>
      <x:c r="I1016" s="253" t="str">
        <x:v>Serene</x:v>
      </x:c>
      <x:c r="J1016" s="253" t="str">
        <x:v>Serene</x:v>
      </x:c>
      <x:c r="K1016" s="259" t="n">
        <x:v>46077.166666666664</x:v>
      </x:c>
      <x:c r="L1016" s="268" t="str">
        <x:f>IFERROR(VLOOKUP(I1016,'Handler-Team Map'!$A$7:$C$17,2,FALSE),"")</x:f>
      </x:c>
      <x:c r="M1016" s="268" t="str">
        <x:f>IFERROR(VLOOKUP(I1016,'Handler-Team Map'!$A$7:$C$17,3,FALSE),"")</x:f>
      </x:c>
      <x:c r="N1016" s="274" t="str">
        <x:v>FT_VM_DEP1000_GET700_1X</x:v>
      </x:c>
      <x:c r="O1016" s="274" t="str">
        <x:v>VIP BONUS - Deposit 1000 Get 700 - 1x TO</x:v>
      </x:c>
      <x:c r="P1016" s="274" t="str">
        <x:v>DepositBonus</x:v>
      </x:c>
      <x:c r="Q1016" s="274" t="str">
        <x:v>Approved</x:v>
      </x:c>
      <x:c r="R1016" s="265" t="n">
        <x:v>700</x:v>
      </x:c>
      <x:c r="S1016" s="253" t="str">
        <x:v>Yes</x:v>
      </x:c>
      <x:c r="T1016" s="265" t="n">
        <x:v>0</x:v>
      </x:c>
      <x:c r="U1016" s="253" t="str">
        <x:f>IF(AND(S1016="Yes",T1016=0),"Yes","No")</x:f>
        <x:v>Yes</x:v>
      </x:c>
      <x:c r="V1016" s="253" t="str">
        <x:v>Yes</x:v>
      </x:c>
      <x:c r="W1016" s="253" t="str">
        <x:v>Yes</x:v>
      </x:c>
      <x:c r="X1016" s="259" t="n">
        <x:v>46195.166666666664</x:v>
      </x:c>
      <x:c r="Y1016" s="265" t="n">
        <x:v>6008</x:v>
      </x:c>
      <x:c r="Z1016" s="265" t="n">
        <x:v>13584</x:v>
      </x:c>
      <x:c r="AA1016" s="253" t="str">
        <x:f>IF(V1016="No","Maturing",IF(AND(U1016="Yes",Y1016&gt;0),"Yes","No"))</x:f>
        <x:v>Yes</x:v>
      </x:c>
      <x:c r="AB1016" s="253" t="str">
        <x:f>IF(W1016="No","Maturing",IF(AND(U1016="Yes",Z1016&gt;0),"Yes","No"))</x:f>
        <x:v>Yes</x:v>
      </x:c>
      <x:c r="AC1016" s="265" t="n">
        <x:v>-5591.73</x:v>
      </x:c>
      <x:c r="AD1016" s="265" t="n">
        <x:v>-5015.84</x:v>
      </x:c>
      <x:c r="AE1016" s="271" t="str"/>
      <x:c r="AF1016" s="274" t="str">
        <x:v>Not validated - no control/holdout</x:v>
      </x:c>
      <x:c r="AG1016" s="277" t="str">
        <x:v>Recovered execution only; assignment date and unclaimed-offer denominator unavailable</x:v>
      </x:c>
    </x:row>
    <x:row r="1017">
      <x:c r="A1017" s="252" t="str">
        <x:v>34683433</x:v>
      </x:c>
      <x:c r="B1017" s="253" t="str">
        <x:v>WS1</x:v>
      </x:c>
      <x:c r="C1017" s="253" t="str">
        <x:v>MB8</x:v>
      </x:c>
      <x:c r="D1017" s="262" t="n">
        <x:v>46195.47996527778</x:v>
      </x:c>
      <x:c r="E1017" s="259" t="n">
        <x:v>46195.166666666664</x:v>
      </x:c>
      <x:c r="F1017" s="253" t="str">
        <x:v>995808</x:v>
      </x:c>
      <x:c r="G1017" s="253" t="str">
        <x:v>thang02</x:v>
      </x:c>
      <x:c r="H1017" s="253" t="str">
        <x:v>Yes</x:v>
      </x:c>
      <x:c r="I1017" s="253" t="str"/>
      <x:c r="J1017" s="253" t="str"/>
      <x:c r="K1017" s="259"/>
      <x:c r="L1017" s="268" t="str">
        <x:f>IFERROR(VLOOKUP(I1017,'Handler-Team Map'!$A$7:$C$17,2,FALSE),"")</x:f>
      </x:c>
      <x:c r="M1017" s="268" t="str">
        <x:f>IFERROR(VLOOKUP(I1017,'Handler-Team Map'!$A$7:$C$17,3,FALSE),"")</x:f>
      </x:c>
      <x:c r="N1017" s="274" t="str">
        <x:v>FT_VM_DEP1000_GET500_1X</x:v>
      </x:c>
      <x:c r="O1017" s="274" t="str">
        <x:v>VIP BONUS - Deposit 1000 Get 500 - 1x TO</x:v>
      </x:c>
      <x:c r="P1017" s="274" t="str">
        <x:v>DepositBonus</x:v>
      </x:c>
      <x:c r="Q1017" s="274" t="str">
        <x:v>Approved</x:v>
      </x:c>
      <x:c r="R1017" s="265" t="n">
        <x:v>500</x:v>
      </x:c>
      <x:c r="S1017" s="253" t="str">
        <x:v>Yes</x:v>
      </x:c>
      <x:c r="T1017" s="265" t="n">
        <x:v>0</x:v>
      </x:c>
      <x:c r="U1017" s="253" t="str">
        <x:f>IF(AND(S1017="Yes",T1017=0),"Yes","No")</x:f>
        <x:v>Yes</x:v>
      </x:c>
      <x:c r="V1017" s="253" t="str">
        <x:v>Yes</x:v>
      </x:c>
      <x:c r="W1017" s="253" t="str">
        <x:v>Yes</x:v>
      </x:c>
      <x:c r="X1017" s="259" t="n">
        <x:v>46195.166666666664</x:v>
      </x:c>
      <x:c r="Y1017" s="265" t="n">
        <x:v>1000</x:v>
      </x:c>
      <x:c r="Z1017" s="265" t="n">
        <x:v>1600</x:v>
      </x:c>
      <x:c r="AA1017" s="253" t="str">
        <x:f>IF(V1017="No","Maturing",IF(AND(U1017="Yes",Y1017&gt;0),"Yes","No"))</x:f>
        <x:v>Yes</x:v>
      </x:c>
      <x:c r="AB1017" s="253" t="str">
        <x:f>IF(W1017="No","Maturing",IF(AND(U1017="Yes",Z1017&gt;0),"Yes","No"))</x:f>
        <x:v>Yes</x:v>
      </x:c>
      <x:c r="AC1017" s="265" t="n">
        <x:v>165.43</x:v>
      </x:c>
      <x:c r="AD1017" s="265" t="n">
        <x:v>765.43</x:v>
      </x:c>
      <x:c r="AE1017" s="271" t="str"/>
      <x:c r="AF1017" s="274" t="str">
        <x:v>Not validated - no control/holdout</x:v>
      </x:c>
      <x:c r="AG1017" s="277" t="str">
        <x:v>Recovered execution only; assignment date and unclaimed-offer denominator unavailable</x:v>
      </x:c>
    </x:row>
    <x:row r="1018">
      <x:c r="A1018" s="252" t="str">
        <x:v>34684027</x:v>
      </x:c>
      <x:c r="B1018" s="253" t="str">
        <x:v>WS1</x:v>
      </x:c>
      <x:c r="C1018" s="253" t="str">
        <x:v>MB8</x:v>
      </x:c>
      <x:c r="D1018" s="262" t="n">
        <x:v>46195.55168981481</x:v>
      </x:c>
      <x:c r="E1018" s="259" t="n">
        <x:v>46195.166666666664</x:v>
      </x:c>
      <x:c r="F1018" s="253" t="str">
        <x:v>306733</x:v>
      </x:c>
      <x:c r="G1018" s="253" t="str">
        <x:v>HC5140</x:v>
      </x:c>
      <x:c r="H1018" s="253" t="str">
        <x:v>Yes</x:v>
      </x:c>
      <x:c r="I1018" s="253" t="str">
        <x:v>Claire</x:v>
      </x:c>
      <x:c r="J1018" s="253" t="str">
        <x:v>Claire</x:v>
      </x:c>
      <x:c r="K1018" s="259" t="n">
        <x:v>45659.166666666664</x:v>
      </x:c>
      <x:c r="L1018" s="268" t="str">
        <x:f>IFERROR(VLOOKUP(I1018,'Handler-Team Map'!$A$7:$C$17,2,FALSE),"")</x:f>
      </x:c>
      <x:c r="M1018" s="268" t="str">
        <x:f>IFERROR(VLOOKUP(I1018,'Handler-Team Map'!$A$7:$C$17,3,FALSE),"")</x:f>
      </x:c>
      <x:c r="N1018" s="274" t="str">
        <x:v>FT_VM_DEP1000_GET500_5X</x:v>
      </x:c>
      <x:c r="O1018" s="274" t="str">
        <x:v>VIP BONUS - Deposit 1000 Get 500 - 5x TO</x:v>
      </x:c>
      <x:c r="P1018" s="274" t="str">
        <x:v>DepositBonus</x:v>
      </x:c>
      <x:c r="Q1018" s="274" t="str">
        <x:v>Approved</x:v>
      </x:c>
      <x:c r="R1018" s="265" t="n">
        <x:v>500</x:v>
      </x:c>
      <x:c r="S1018" s="253" t="str">
        <x:v>Yes</x:v>
      </x:c>
      <x:c r="T1018" s="265" t="n">
        <x:v>198040</x:v>
      </x:c>
      <x:c r="U1018" s="253" t="str">
        <x:f>IF(AND(S1018="Yes",T1018=0),"Yes","No")</x:f>
        <x:v>No</x:v>
      </x:c>
      <x:c r="V1018" s="253" t="str">
        <x:v>Yes</x:v>
      </x:c>
      <x:c r="W1018" s="253" t="str">
        <x:v>Yes</x:v>
      </x:c>
      <x:c r="X1018" s="259" t="n">
        <x:v>46195.166666666664</x:v>
      </x:c>
      <x:c r="Y1018" s="265" t="n">
        <x:v>22954</x:v>
      </x:c>
      <x:c r="Z1018" s="265" t="n">
        <x:v>26384</x:v>
      </x:c>
      <x:c r="AA1018" s="253" t="str">
        <x:f>IF(V1018="No","Maturing",IF(AND(U1018="Yes",Y1018&gt;0),"Yes","No"))</x:f>
        <x:v>No</x:v>
      </x:c>
      <x:c r="AB1018" s="253" t="str">
        <x:f>IF(W1018="No","Maturing",IF(AND(U1018="Yes",Z1018&gt;0),"Yes","No"))</x:f>
        <x:v>No</x:v>
      </x:c>
      <x:c r="AC1018" s="265" t="n">
        <x:v>9234.08</x:v>
      </x:c>
      <x:c r="AD1018" s="265" t="n">
        <x:v>12661.77</x:v>
      </x:c>
      <x:c r="AE1018" s="271" t="str"/>
      <x:c r="AF1018" s="274" t="str">
        <x:v>Not validated - no control/holdout</x:v>
      </x:c>
      <x:c r="AG1018" s="277" t="str">
        <x:v>Recovered execution only; assignment date and unclaimed-offer denominator unavailable</x:v>
      </x:c>
    </x:row>
    <x:row r="1019">
      <x:c r="A1019" s="252" t="str">
        <x:v>34684228</x:v>
      </x:c>
      <x:c r="B1019" s="253" t="str">
        <x:v>WS1</x:v>
      </x:c>
      <x:c r="C1019" s="253" t="str">
        <x:v>MB8</x:v>
      </x:c>
      <x:c r="D1019" s="262" t="n">
        <x:v>46195.57084490741</x:v>
      </x:c>
      <x:c r="E1019" s="259" t="n">
        <x:v>46195.166666666664</x:v>
      </x:c>
      <x:c r="F1019" s="253" t="str">
        <x:v>78785</x:v>
      </x:c>
      <x:c r="G1019" s="253" t="str">
        <x:v>Rainchoong</x:v>
      </x:c>
      <x:c r="H1019" s="253" t="str">
        <x:v>Yes</x:v>
      </x:c>
      <x:c r="I1019" s="253" t="str">
        <x:v>Jiahui</x:v>
      </x:c>
      <x:c r="J1019" s="253" t="str">
        <x:v>Jiahui</x:v>
      </x:c>
      <x:c r="K1019" s="259" t="n">
        <x:v>45811.166666666664</x:v>
      </x:c>
      <x:c r="L1019" s="268" t="str">
        <x:f>IFERROR(VLOOKUP(I1019,'Handler-Team Map'!$A$7:$C$17,2,FALSE),"")</x:f>
      </x:c>
      <x:c r="M1019" s="268" t="str">
        <x:f>IFERROR(VLOOKUP(I1019,'Handler-Team Map'!$A$7:$C$17,3,FALSE),"")</x:f>
      </x:c>
      <x:c r="N1019" s="274" t="str">
        <x:v>FT_VM_DEP1000_GET800_1X</x:v>
      </x:c>
      <x:c r="O1019" s="274" t="str">
        <x:v>VIP BONUS - Deposit 1000 Get 800 - 1x TO</x:v>
      </x:c>
      <x:c r="P1019" s="274" t="str">
        <x:v>DepositBonus</x:v>
      </x:c>
      <x:c r="Q1019" s="274" t="str">
        <x:v>Approved</x:v>
      </x:c>
      <x:c r="R1019" s="265" t="n">
        <x:v>800</x:v>
      </x:c>
      <x:c r="S1019" s="253" t="str">
        <x:v>Yes</x:v>
      </x:c>
      <x:c r="T1019" s="265" t="n">
        <x:v>1880</x:v>
      </x:c>
      <x:c r="U1019" s="253" t="str">
        <x:f>IF(AND(S1019="Yes",T1019=0),"Yes","No")</x:f>
        <x:v>No</x:v>
      </x:c>
      <x:c r="V1019" s="253" t="str">
        <x:v>Yes</x:v>
      </x:c>
      <x:c r="W1019" s="253" t="str">
        <x:v>Yes</x:v>
      </x:c>
      <x:c r="X1019" s="259" t="n">
        <x:v>46195.166666666664</x:v>
      </x:c>
      <x:c r="Y1019" s="265" t="n">
        <x:v>1000</x:v>
      </x:c>
      <x:c r="Z1019" s="265" t="n">
        <x:v>1300</x:v>
      </x:c>
      <x:c r="AA1019" s="253" t="str">
        <x:f>IF(V1019="No","Maturing",IF(AND(U1019="Yes",Y1019&gt;0),"Yes","No"))</x:f>
        <x:v>No</x:v>
      </x:c>
      <x:c r="AB1019" s="253" t="str">
        <x:f>IF(W1019="No","Maturing",IF(AND(U1019="Yes",Z1019&gt;0),"Yes","No"))</x:f>
        <x:v>No</x:v>
      </x:c>
      <x:c r="AC1019" s="265" t="n">
        <x:v>1000.3</x:v>
      </x:c>
      <x:c r="AD1019" s="265" t="n">
        <x:v>1300.72</x:v>
      </x:c>
      <x:c r="AE1019" s="271" t="str"/>
      <x:c r="AF1019" s="274" t="str">
        <x:v>Not validated - no control/holdout</x:v>
      </x:c>
      <x:c r="AG1019" s="277" t="str">
        <x:v>Recovered execution only; assignment date and unclaimed-offer denominator unavailable</x:v>
      </x:c>
    </x:row>
    <x:row r="1020">
      <x:c r="A1020" s="252" t="str">
        <x:v>34684494</x:v>
      </x:c>
      <x:c r="B1020" s="253" t="str">
        <x:v>WS1</x:v>
      </x:c>
      <x:c r="C1020" s="253" t="str">
        <x:v>MB8</x:v>
      </x:c>
      <x:c r="D1020" s="262" t="n">
        <x:v>46195.60021990741</x:v>
      </x:c>
      <x:c r="E1020" s="259" t="n">
        <x:v>46195.166666666664</x:v>
      </x:c>
      <x:c r="F1020" s="253" t="str">
        <x:v>268246</x:v>
      </x:c>
      <x:c r="G1020" s="253" t="str">
        <x:v>Win124</x:v>
      </x:c>
      <x:c r="H1020" s="253" t="str">
        <x:v>Yes</x:v>
      </x:c>
      <x:c r="I1020" s="253" t="str">
        <x:v>Claire</x:v>
      </x:c>
      <x:c r="J1020" s="253" t="str">
        <x:v>Claire</x:v>
      </x:c>
      <x:c r="K1020" s="259" t="n">
        <x:v>45659.166666666664</x:v>
      </x:c>
      <x:c r="L1020" s="268" t="str">
        <x:f>IFERROR(VLOOKUP(I1020,'Handler-Team Map'!$A$7:$C$17,2,FALSE),"")</x:f>
      </x:c>
      <x:c r="M1020" s="268" t="str">
        <x:f>IFERROR(VLOOKUP(I1020,'Handler-Team Map'!$A$7:$C$17,3,FALSE),"")</x:f>
      </x:c>
      <x:c r="N1020" s="274" t="str">
        <x:v>FT_VM_DEP1000_GET800_2X</x:v>
      </x:c>
      <x:c r="O1020" s="274" t="str">
        <x:v>VIP BONUS - Deposit 1000 Get 800 - 2x TO</x:v>
      </x:c>
      <x:c r="P1020" s="274" t="str">
        <x:v>DepositBonus</x:v>
      </x:c>
      <x:c r="Q1020" s="274" t="str">
        <x:v>Approved</x:v>
      </x:c>
      <x:c r="R1020" s="265" t="n">
        <x:v>800</x:v>
      </x:c>
      <x:c r="S1020" s="253" t="str">
        <x:v>Yes</x:v>
      </x:c>
      <x:c r="T1020" s="265" t="n">
        <x:v>1266545</x:v>
      </x:c>
      <x:c r="U1020" s="253" t="str">
        <x:f>IF(AND(S1020="Yes",T1020=0),"Yes","No")</x:f>
        <x:v>No</x:v>
      </x:c>
      <x:c r="V1020" s="253" t="str">
        <x:v>Yes</x:v>
      </x:c>
      <x:c r="W1020" s="253" t="str">
        <x:v>Yes</x:v>
      </x:c>
      <x:c r="X1020" s="259" t="n">
        <x:v>46195.166666666664</x:v>
      </x:c>
      <x:c r="Y1020" s="265" t="n">
        <x:v>232750</x:v>
      </x:c>
      <x:c r="Z1020" s="265" t="n">
        <x:v>503850</x:v>
      </x:c>
      <x:c r="AA1020" s="253" t="str">
        <x:f>IF(V1020="No","Maturing",IF(AND(U1020="Yes",Y1020&gt;0),"Yes","No"))</x:f>
        <x:v>No</x:v>
      </x:c>
      <x:c r="AB1020" s="253" t="str">
        <x:f>IF(W1020="No","Maturing",IF(AND(U1020="Yes",Z1020&gt;0),"Yes","No"))</x:f>
        <x:v>No</x:v>
      </x:c>
      <x:c r="AC1020" s="265" t="n">
        <x:v>186259.81</x:v>
      </x:c>
      <x:c r="AD1020" s="265" t="n">
        <x:v>247459.98</x:v>
      </x:c>
      <x:c r="AE1020" s="271" t="str"/>
      <x:c r="AF1020" s="274" t="str">
        <x:v>Not validated - no control/holdout</x:v>
      </x:c>
      <x:c r="AG1020" s="277" t="str">
        <x:v>Recovered execution only; assignment date and unclaimed-offer denominator unavailable</x:v>
      </x:c>
    </x:row>
    <x:row r="1021">
      <x:c r="A1021" s="252" t="str">
        <x:v>34684533</x:v>
      </x:c>
      <x:c r="B1021" s="253" t="str">
        <x:v>WS1</x:v>
      </x:c>
      <x:c r="C1021" s="253" t="str">
        <x:v>MB8</x:v>
      </x:c>
      <x:c r="D1021" s="262" t="n">
        <x:v>46195.604479166665</x:v>
      </x:c>
      <x:c r="E1021" s="259" t="n">
        <x:v>46195.166666666664</x:v>
      </x:c>
      <x:c r="F1021" s="253" t="str">
        <x:v>794407</x:v>
      </x:c>
      <x:c r="G1021" s="253" t="str">
        <x:v>Tiew2567</x:v>
      </x:c>
      <x:c r="H1021" s="253" t="str">
        <x:v>Yes</x:v>
      </x:c>
      <x:c r="I1021" s="253" t="str">
        <x:v>zhen</x:v>
      </x:c>
      <x:c r="J1021" s="253" t="str">
        <x:v>zhen</x:v>
      </x:c>
      <x:c r="K1021" s="259" t="n">
        <x:v>45922.166666666664</x:v>
      </x:c>
      <x:c r="L1021" s="268" t="str">
        <x:f>IFERROR(VLOOKUP(I1021,'Handler-Team Map'!$A$7:$C$17,2,FALSE),"")</x:f>
      </x:c>
      <x:c r="M1021" s="268" t="str">
        <x:f>IFERROR(VLOOKUP(I1021,'Handler-Team Map'!$A$7:$C$17,3,FALSE),"")</x:f>
      </x:c>
      <x:c r="N1021" s="274" t="str">
        <x:v>FT_VM_DEP150_GET50_5X</x:v>
      </x:c>
      <x:c r="O1021" s="274" t="str">
        <x:v>VIP BONUS - Deposit 150 Get 50 - 5x TO</x:v>
      </x:c>
      <x:c r="P1021" s="274" t="str">
        <x:v>DepositBonus</x:v>
      </x:c>
      <x:c r="Q1021" s="274" t="str">
        <x:v>Approved</x:v>
      </x:c>
      <x:c r="R1021" s="265" t="n">
        <x:v>50</x:v>
      </x:c>
      <x:c r="S1021" s="253" t="str">
        <x:v>Yes</x:v>
      </x:c>
      <x:c r="T1021" s="265" t="n">
        <x:v>23710</x:v>
      </x:c>
      <x:c r="U1021" s="253" t="str">
        <x:f>IF(AND(S1021="Yes",T1021=0),"Yes","No")</x:f>
        <x:v>No</x:v>
      </x:c>
      <x:c r="V1021" s="253" t="str">
        <x:v>Yes</x:v>
      </x:c>
      <x:c r="W1021" s="253" t="str">
        <x:v>Yes</x:v>
      </x:c>
      <x:c r="X1021" s="259" t="n">
        <x:v>46195.166666666664</x:v>
      </x:c>
      <x:c r="Y1021" s="265" t="n">
        <x:v>23410</x:v>
      </x:c>
      <x:c r="Z1021" s="265" t="n">
        <x:v>61190</x:v>
      </x:c>
      <x:c r="AA1021" s="253" t="str">
        <x:f>IF(V1021="No","Maturing",IF(AND(U1021="Yes",Y1021&gt;0),"Yes","No"))</x:f>
        <x:v>No</x:v>
      </x:c>
      <x:c r="AB1021" s="253" t="str">
        <x:f>IF(W1021="No","Maturing",IF(AND(U1021="Yes",Z1021&gt;0),"Yes","No"))</x:f>
        <x:v>No</x:v>
      </x:c>
      <x:c r="AC1021" s="265" t="n">
        <x:v>-4688.89</x:v>
      </x:c>
      <x:c r="AD1021" s="265" t="n">
        <x:v>-25394.75</x:v>
      </x:c>
      <x:c r="AE1021" s="271" t="str"/>
      <x:c r="AF1021" s="274" t="str">
        <x:v>Not validated - no control/holdout</x:v>
      </x:c>
      <x:c r="AG1021" s="277" t="str">
        <x:v>Recovered execution only; assignment date and unclaimed-offer denominator unavailable</x:v>
      </x:c>
    </x:row>
    <x:row r="1022">
      <x:c r="A1022" s="252" t="str">
        <x:v>34684732</x:v>
      </x:c>
      <x:c r="B1022" s="253" t="str">
        <x:v>WS1</x:v>
      </x:c>
      <x:c r="C1022" s="253" t="str">
        <x:v>MB8</x:v>
      </x:c>
      <x:c r="D1022" s="262" t="n">
        <x:v>46195.62601851852</x:v>
      </x:c>
      <x:c r="E1022" s="259" t="n">
        <x:v>46195.166666666664</x:v>
      </x:c>
      <x:c r="F1022" s="253" t="str">
        <x:v>386742</x:v>
      </x:c>
      <x:c r="G1022" s="253" t="str">
        <x:v>Ahmoi63</x:v>
      </x:c>
      <x:c r="H1022" s="253" t="str">
        <x:v>Yes</x:v>
      </x:c>
      <x:c r="I1022" s="253" t="str">
        <x:v>Mikki</x:v>
      </x:c>
      <x:c r="J1022" s="253" t="str">
        <x:v>Mikki</x:v>
      </x:c>
      <x:c r="K1022" s="259" t="n">
        <x:v>45993.166666666664</x:v>
      </x:c>
      <x:c r="L1022" s="268" t="str">
        <x:f>IFERROR(VLOOKUP(I1022,'Handler-Team Map'!$A$7:$C$17,2,FALSE),"")</x:f>
      </x:c>
      <x:c r="M1022" s="268" t="str">
        <x:f>IFERROR(VLOOKUP(I1022,'Handler-Team Map'!$A$7:$C$17,3,FALSE),"")</x:f>
      </x:c>
      <x:c r="N1022" s="274" t="str">
        <x:v>FT_VM_DEP300_GET100_5X</x:v>
      </x:c>
      <x:c r="O1022" s="274" t="str">
        <x:v>VIP BONUS - Deposit 300 Get 100 - 5x TO</x:v>
      </x:c>
      <x:c r="P1022" s="274" t="str">
        <x:v>DepositBonus</x:v>
      </x:c>
      <x:c r="Q1022" s="274" t="str">
        <x:v>Approved</x:v>
      </x:c>
      <x:c r="R1022" s="265" t="n">
        <x:v>100</x:v>
      </x:c>
      <x:c r="S1022" s="253" t="str">
        <x:v>Yes</x:v>
      </x:c>
      <x:c r="T1022" s="265" t="n">
        <x:v>2114</x:v>
      </x:c>
      <x:c r="U1022" s="253" t="str">
        <x:f>IF(AND(S1022="Yes",T1022=0),"Yes","No")</x:f>
        <x:v>No</x:v>
      </x:c>
      <x:c r="V1022" s="253" t="str">
        <x:v>Yes</x:v>
      </x:c>
      <x:c r="W1022" s="253" t="str">
        <x:v>Yes</x:v>
      </x:c>
      <x:c r="X1022" s="259" t="n">
        <x:v>46195.166666666664</x:v>
      </x:c>
      <x:c r="Y1022" s="265" t="n">
        <x:v>4197.08</x:v>
      </x:c>
      <x:c r="Z1022" s="265" t="n">
        <x:v>4247.08</x:v>
      </x:c>
      <x:c r="AA1022" s="253" t="str">
        <x:f>IF(V1022="No","Maturing",IF(AND(U1022="Yes",Y1022&gt;0),"Yes","No"))</x:f>
        <x:v>No</x:v>
      </x:c>
      <x:c r="AB1022" s="253" t="str">
        <x:f>IF(W1022="No","Maturing",IF(AND(U1022="Yes",Z1022&gt;0),"Yes","No"))</x:f>
        <x:v>No</x:v>
      </x:c>
      <x:c r="AC1022" s="265" t="n">
        <x:v>2186.8</x:v>
      </x:c>
      <x:c r="AD1022" s="265" t="n">
        <x:v>2236.91</x:v>
      </x:c>
      <x:c r="AE1022" s="271" t="str"/>
      <x:c r="AF1022" s="274" t="str">
        <x:v>Not validated - no control/holdout</x:v>
      </x:c>
      <x:c r="AG1022" s="277" t="str">
        <x:v>Recovered execution only; assignment date and unclaimed-offer denominator unavailable</x:v>
      </x:c>
    </x:row>
    <x:row r="1023">
      <x:c r="A1023" s="252" t="str">
        <x:v>34685049</x:v>
      </x:c>
      <x:c r="B1023" s="253" t="str">
        <x:v>WS1</x:v>
      </x:c>
      <x:c r="C1023" s="253" t="str">
        <x:v>MB8</x:v>
      </x:c>
      <x:c r="D1023" s="262" t="n">
        <x:v>46195.66112268518</x:v>
      </x:c>
      <x:c r="E1023" s="259" t="n">
        <x:v>46195.166666666664</x:v>
      </x:c>
      <x:c r="F1023" s="253" t="str">
        <x:v>827371</x:v>
      </x:c>
      <x:c r="G1023" s="253" t="str">
        <x:v>marc187</x:v>
      </x:c>
      <x:c r="H1023" s="253" t="str">
        <x:v>Yes</x:v>
      </x:c>
      <x:c r="I1023" s="253" t="str">
        <x:v>Claire</x:v>
      </x:c>
      <x:c r="J1023" s="253" t="str">
        <x:v>Claire</x:v>
      </x:c>
      <x:c r="K1023" s="259" t="n">
        <x:v>45755.166666666664</x:v>
      </x:c>
      <x:c r="L1023" s="268" t="str">
        <x:f>IFERROR(VLOOKUP(I1023,'Handler-Team Map'!$A$7:$C$17,2,FALSE),"")</x:f>
      </x:c>
      <x:c r="M1023" s="268" t="str">
        <x:f>IFERROR(VLOOKUP(I1023,'Handler-Team Map'!$A$7:$C$17,3,FALSE),"")</x:f>
      </x:c>
      <x:c r="N1023" s="274" t="str">
        <x:v>FT_VM_DEP1000_GET1000_2X</x:v>
      </x:c>
      <x:c r="O1023" s="274" t="str">
        <x:v>VIP BONUS - Deposit 1000 Get 1000 - 2x TO</x:v>
      </x:c>
      <x:c r="P1023" s="274" t="str">
        <x:v>DepositBonus</x:v>
      </x:c>
      <x:c r="Q1023" s="274" t="str">
        <x:v>Approved</x:v>
      </x:c>
      <x:c r="R1023" s="265" t="n">
        <x:v>1000</x:v>
      </x:c>
      <x:c r="S1023" s="253" t="str">
        <x:v>Yes</x:v>
      </x:c>
      <x:c r="T1023" s="265" t="n">
        <x:v>1419094.08</x:v>
      </x:c>
      <x:c r="U1023" s="253" t="str">
        <x:f>IF(AND(S1023="Yes",T1023=0),"Yes","No")</x:f>
        <x:v>No</x:v>
      </x:c>
      <x:c r="V1023" s="253" t="str">
        <x:v>Yes</x:v>
      </x:c>
      <x:c r="W1023" s="253" t="str">
        <x:v>Yes</x:v>
      </x:c>
      <x:c r="X1023" s="259" t="n">
        <x:v>46195.166666666664</x:v>
      </x:c>
      <x:c r="Y1023" s="265" t="n">
        <x:v>339820</x:v>
      </x:c>
      <x:c r="Z1023" s="265" t="n">
        <x:v>560699.22</x:v>
      </x:c>
      <x:c r="AA1023" s="253" t="str">
        <x:f>IF(V1023="No","Maturing",IF(AND(U1023="Yes",Y1023&gt;0),"Yes","No"))</x:f>
        <x:v>No</x:v>
      </x:c>
      <x:c r="AB1023" s="253" t="str">
        <x:f>IF(W1023="No","Maturing",IF(AND(U1023="Yes",Z1023&gt;0),"Yes","No"))</x:f>
        <x:v>No</x:v>
      </x:c>
      <x:c r="AC1023" s="265" t="n">
        <x:v>104794.03</x:v>
      </x:c>
      <x:c r="AD1023" s="265" t="n">
        <x:v>134243.5</x:v>
      </x:c>
      <x:c r="AE1023" s="271" t="str"/>
      <x:c r="AF1023" s="274" t="str">
        <x:v>Not validated - no control/holdout</x:v>
      </x:c>
      <x:c r="AG1023" s="277" t="str">
        <x:v>Recovered execution only; assignment date and unclaimed-offer denominator unavailable</x:v>
      </x:c>
    </x:row>
    <x:row r="1024">
      <x:c r="A1024" s="252" t="str">
        <x:v>34685141</x:v>
      </x:c>
      <x:c r="B1024" s="253" t="str">
        <x:v>WS1</x:v>
      </x:c>
      <x:c r="C1024" s="253" t="str">
        <x:v>MB8</x:v>
      </x:c>
      <x:c r="D1024" s="262" t="n">
        <x:v>46195.671168981484</x:v>
      </x:c>
      <x:c r="E1024" s="259" t="n">
        <x:v>46195.166666666664</x:v>
      </x:c>
      <x:c r="F1024" s="253" t="str">
        <x:v>438623</x:v>
      </x:c>
      <x:c r="G1024" s="253" t="str">
        <x:v>Allaxe88</x:v>
      </x:c>
      <x:c r="H1024" s="253" t="str">
        <x:v>Yes</x:v>
      </x:c>
      <x:c r="I1024" s="253" t="str">
        <x:v>Claire</x:v>
      </x:c>
      <x:c r="J1024" s="253" t="str">
        <x:v>Claire</x:v>
      </x:c>
      <x:c r="K1024" s="259" t="n">
        <x:v>46090.166666666664</x:v>
      </x:c>
      <x:c r="L1024" s="268" t="str">
        <x:f>IFERROR(VLOOKUP(I1024,'Handler-Team Map'!$A$7:$C$17,2,FALSE),"")</x:f>
      </x:c>
      <x:c r="M1024" s="268" t="str">
        <x:f>IFERROR(VLOOKUP(I1024,'Handler-Team Map'!$A$7:$C$17,3,FALSE),"")</x:f>
      </x:c>
      <x:c r="N1024" s="274" t="str">
        <x:v>FT_VM_DEP600_GET200_5X</x:v>
      </x:c>
      <x:c r="O1024" s="274" t="str">
        <x:v>VIP BONUS - Deposit 600 Get 200 - 5x TO</x:v>
      </x:c>
      <x:c r="P1024" s="274" t="str">
        <x:v>DepositBonus</x:v>
      </x:c>
      <x:c r="Q1024" s="274" t="str">
        <x:v>Approved</x:v>
      </x:c>
      <x:c r="R1024" s="265" t="n">
        <x:v>200</x:v>
      </x:c>
      <x:c r="S1024" s="253" t="str">
        <x:v>Yes</x:v>
      </x:c>
      <x:c r="T1024" s="265" t="n">
        <x:v>17500</x:v>
      </x:c>
      <x:c r="U1024" s="253" t="str">
        <x:f>IF(AND(S1024="Yes",T1024=0),"Yes","No")</x:f>
        <x:v>No</x:v>
      </x:c>
      <x:c r="V1024" s="253" t="str">
        <x:v>Yes</x:v>
      </x:c>
      <x:c r="W1024" s="253" t="str">
        <x:v>Yes</x:v>
      </x:c>
      <x:c r="X1024" s="259" t="n">
        <x:v>46195.166666666664</x:v>
      </x:c>
      <x:c r="Y1024" s="265" t="n">
        <x:v>7100</x:v>
      </x:c>
      <x:c r="Z1024" s="265" t="n">
        <x:v>7800</x:v>
      </x:c>
      <x:c r="AA1024" s="253" t="str">
        <x:f>IF(V1024="No","Maturing",IF(AND(U1024="Yes",Y1024&gt;0),"Yes","No"))</x:f>
        <x:v>No</x:v>
      </x:c>
      <x:c r="AB1024" s="253" t="str">
        <x:f>IF(W1024="No","Maturing",IF(AND(U1024="Yes",Z1024&gt;0),"Yes","No"))</x:f>
        <x:v>No</x:v>
      </x:c>
      <x:c r="AC1024" s="265" t="n">
        <x:v>10219.95</x:v>
      </x:c>
      <x:c r="AD1024" s="265" t="n">
        <x:v>9938.61</x:v>
      </x:c>
      <x:c r="AE1024" s="271" t="str"/>
      <x:c r="AF1024" s="274" t="str">
        <x:v>Not validated - no control/holdout</x:v>
      </x:c>
      <x:c r="AG1024" s="277" t="str">
        <x:v>Recovered execution only; assignment date and unclaimed-offer denominator unavailable</x:v>
      </x:c>
    </x:row>
    <x:row r="1025">
      <x:c r="A1025" s="252" t="str">
        <x:v>34685568</x:v>
      </x:c>
      <x:c r="B1025" s="253" t="str">
        <x:v>WS1</x:v>
      </x:c>
      <x:c r="C1025" s="253" t="str">
        <x:v>MB8</x:v>
      </x:c>
      <x:c r="D1025" s="262" t="n">
        <x:v>46195.71071759259</x:v>
      </x:c>
      <x:c r="E1025" s="259" t="n">
        <x:v>46195.166666666664</x:v>
      </x:c>
      <x:c r="F1025" s="253" t="str">
        <x:v>839193</x:v>
      </x:c>
      <x:c r="G1025" s="253" t="str">
        <x:v>ckckeat123</x:v>
      </x:c>
      <x:c r="H1025" s="253" t="str">
        <x:v>Yes</x:v>
      </x:c>
      <x:c r="I1025" s="253" t="str"/>
      <x:c r="J1025" s="253" t="str"/>
      <x:c r="K1025" s="259"/>
      <x:c r="L1025" s="268" t="str">
        <x:f>IFERROR(VLOOKUP(I1025,'Handler-Team Map'!$A$7:$C$17,2,FALSE),"")</x:f>
      </x:c>
      <x:c r="M1025" s="268" t="str">
        <x:f>IFERROR(VLOOKUP(I1025,'Handler-Team Map'!$A$7:$C$17,3,FALSE),"")</x:f>
      </x:c>
      <x:c r="N1025" s="274" t="str">
        <x:v>FT_VM_DEP1000_GET500_1X</x:v>
      </x:c>
      <x:c r="O1025" s="274" t="str">
        <x:v>VIP BONUS - Deposit 1000 Get 500 - 1x TO</x:v>
      </x:c>
      <x:c r="P1025" s="274" t="str">
        <x:v>DepositBonus</x:v>
      </x:c>
      <x:c r="Q1025" s="274" t="str">
        <x:v>Approved</x:v>
      </x:c>
      <x:c r="R1025" s="265" t="n">
        <x:v>500</x:v>
      </x:c>
      <x:c r="S1025" s="253" t="str">
        <x:v>Yes</x:v>
      </x:c>
      <x:c r="T1025" s="265" t="n">
        <x:v>0</x:v>
      </x:c>
      <x:c r="U1025" s="253" t="str">
        <x:f>IF(AND(S1025="Yes",T1025=0),"Yes","No")</x:f>
        <x:v>Yes</x:v>
      </x:c>
      <x:c r="V1025" s="253" t="str">
        <x:v>Yes</x:v>
      </x:c>
      <x:c r="W1025" s="253" t="str">
        <x:v>Yes</x:v>
      </x:c>
      <x:c r="X1025" s="259" t="n">
        <x:v>46195.166666666664</x:v>
      </x:c>
      <x:c r="Y1025" s="265" t="n">
        <x:v>1000</x:v>
      </x:c>
      <x:c r="Z1025" s="265" t="n">
        <x:v>1000</x:v>
      </x:c>
      <x:c r="AA1025" s="253" t="str">
        <x:f>IF(V1025="No","Maturing",IF(AND(U1025="Yes",Y1025&gt;0),"Yes","No"))</x:f>
        <x:v>Yes</x:v>
      </x:c>
      <x:c r="AB1025" s="253" t="str">
        <x:f>IF(W1025="No","Maturing",IF(AND(U1025="Yes",Z1025&gt;0),"Yes","No"))</x:f>
        <x:v>Yes</x:v>
      </x:c>
      <x:c r="AC1025" s="265" t="n">
        <x:v>-1083.05</x:v>
      </x:c>
      <x:c r="AD1025" s="265" t="n">
        <x:v>-1083.05</x:v>
      </x:c>
      <x:c r="AE1025" s="271" t="str"/>
      <x:c r="AF1025" s="274" t="str">
        <x:v>Not validated - no control/holdout</x:v>
      </x:c>
      <x:c r="AG1025" s="277" t="str">
        <x:v>Recovered execution only; assignment date and unclaimed-offer denominator unavailable</x:v>
      </x:c>
    </x:row>
    <x:row r="1026">
      <x:c r="A1026" s="252" t="str">
        <x:v>34685994</x:v>
      </x:c>
      <x:c r="B1026" s="253" t="str">
        <x:v>WS1</x:v>
      </x:c>
      <x:c r="C1026" s="253" t="str">
        <x:v>MB8</x:v>
      </x:c>
      <x:c r="D1026" s="262" t="n">
        <x:v>46195.749710648146</x:v>
      </x:c>
      <x:c r="E1026" s="259" t="n">
        <x:v>46195.166666666664</x:v>
      </x:c>
      <x:c r="F1026" s="253" t="str">
        <x:v>532295</x:v>
      </x:c>
      <x:c r="G1026" s="253" t="str">
        <x:v>tonyass</x:v>
      </x:c>
      <x:c r="H1026" s="253" t="str">
        <x:v>Yes</x:v>
      </x:c>
      <x:c r="I1026" s="253" t="str">
        <x:v>Elda</x:v>
      </x:c>
      <x:c r="J1026" s="253" t="str">
        <x:v>Elda</x:v>
      </x:c>
      <x:c r="K1026" s="259" t="n">
        <x:v>45659.166666666664</x:v>
      </x:c>
      <x:c r="L1026" s="268" t="str">
        <x:f>IFERROR(VLOOKUP(I1026,'Handler-Team Map'!$A$7:$C$17,2,FALSE),"")</x:f>
      </x:c>
      <x:c r="M1026" s="268" t="str">
        <x:f>IFERROR(VLOOKUP(I1026,'Handler-Team Map'!$A$7:$C$17,3,FALSE),"")</x:f>
      </x:c>
      <x:c r="N1026" s="274" t="str">
        <x:v>FT_VM_DEP1000_GET500_5X</x:v>
      </x:c>
      <x:c r="O1026" s="274" t="str">
        <x:v>VIP BONUS - Deposit 1000 Get 500 - 5x TO</x:v>
      </x:c>
      <x:c r="P1026" s="274" t="str">
        <x:v>DepositBonus</x:v>
      </x:c>
      <x:c r="Q1026" s="274" t="str">
        <x:v>Approved</x:v>
      </x:c>
      <x:c r="R1026" s="265" t="n">
        <x:v>500</x:v>
      </x:c>
      <x:c r="S1026" s="253" t="str">
        <x:v>Yes</x:v>
      </x:c>
      <x:c r="T1026" s="265" t="n">
        <x:v>7450</x:v>
      </x:c>
      <x:c r="U1026" s="253" t="str">
        <x:f>IF(AND(S1026="Yes",T1026=0),"Yes","No")</x:f>
        <x:v>No</x:v>
      </x:c>
      <x:c r="V1026" s="253" t="str">
        <x:v>Yes</x:v>
      </x:c>
      <x:c r="W1026" s="253" t="str">
        <x:v>Yes</x:v>
      </x:c>
      <x:c r="X1026" s="259" t="n">
        <x:v>46195.166666666664</x:v>
      </x:c>
      <x:c r="Y1026" s="265" t="n">
        <x:v>1000</x:v>
      </x:c>
      <x:c r="Z1026" s="265" t="n">
        <x:v>2000</x:v>
      </x:c>
      <x:c r="AA1026" s="253" t="str">
        <x:f>IF(V1026="No","Maturing",IF(AND(U1026="Yes",Y1026&gt;0),"Yes","No"))</x:f>
        <x:v>No</x:v>
      </x:c>
      <x:c r="AB1026" s="253" t="str">
        <x:f>IF(W1026="No","Maturing",IF(AND(U1026="Yes",Z1026&gt;0),"Yes","No"))</x:f>
        <x:v>No</x:v>
      </x:c>
      <x:c r="AC1026" s="265" t="n">
        <x:v>-104.55</x:v>
      </x:c>
      <x:c r="AD1026" s="265" t="n">
        <x:v>413.26</x:v>
      </x:c>
      <x:c r="AE1026" s="271" t="str"/>
      <x:c r="AF1026" s="274" t="str">
        <x:v>Not validated - no control/holdout</x:v>
      </x:c>
      <x:c r="AG1026" s="277" t="str">
        <x:v>Recovered execution only; assignment date and unclaimed-offer denominator unavailable</x:v>
      </x:c>
    </x:row>
    <x:row r="1027">
      <x:c r="A1027" s="252" t="str">
        <x:v>34687318</x:v>
      </x:c>
      <x:c r="B1027" s="253" t="str">
        <x:v>WS1</x:v>
      </x:c>
      <x:c r="C1027" s="253" t="str">
        <x:v>MB8</x:v>
      </x:c>
      <x:c r="D1027" s="262" t="n">
        <x:v>46195.86688657408</x:v>
      </x:c>
      <x:c r="E1027" s="259" t="n">
        <x:v>46195.166666666664</x:v>
      </x:c>
      <x:c r="F1027" s="253" t="str">
        <x:v>441546</x:v>
      </x:c>
      <x:c r="G1027" s="253" t="str">
        <x:v>Simonckf</x:v>
      </x:c>
      <x:c r="H1027" s="253" t="str">
        <x:v>Yes</x:v>
      </x:c>
      <x:c r="I1027" s="253" t="str">
        <x:v>Serene</x:v>
      </x:c>
      <x:c r="J1027" s="253" t="str">
        <x:v>Serene</x:v>
      </x:c>
      <x:c r="K1027" s="259" t="n">
        <x:v>45831.166666666664</x:v>
      </x:c>
      <x:c r="L1027" s="268" t="str">
        <x:f>IFERROR(VLOOKUP(I1027,'Handler-Team Map'!$A$7:$C$17,2,FALSE),"")</x:f>
      </x:c>
      <x:c r="M1027" s="268" t="str">
        <x:f>IFERROR(VLOOKUP(I1027,'Handler-Team Map'!$A$7:$C$17,3,FALSE),"")</x:f>
      </x:c>
      <x:c r="N1027" s="274" t="str">
        <x:v>FT_VM_DEP1000_GET500_5X</x:v>
      </x:c>
      <x:c r="O1027" s="274" t="str">
        <x:v>VIP BONUS - Deposit 1000 Get 500 - 5x TO</x:v>
      </x:c>
      <x:c r="P1027" s="274" t="str">
        <x:v>DepositBonus</x:v>
      </x:c>
      <x:c r="Q1027" s="274" t="str">
        <x:v>Approved</x:v>
      </x:c>
      <x:c r="R1027" s="265" t="n">
        <x:v>500</x:v>
      </x:c>
      <x:c r="S1027" s="253" t="str">
        <x:v>Yes</x:v>
      </x:c>
      <x:c r="T1027" s="265" t="n">
        <x:v>2746</x:v>
      </x:c>
      <x:c r="U1027" s="253" t="str">
        <x:f>IF(AND(S1027="Yes",T1027=0),"Yes","No")</x:f>
        <x:v>No</x:v>
      </x:c>
      <x:c r="V1027" s="253" t="str">
        <x:v>Yes</x:v>
      </x:c>
      <x:c r="W1027" s="253" t="str">
        <x:v>Yes</x:v>
      </x:c>
      <x:c r="X1027" s="259" t="n">
        <x:v>46195.166666666664</x:v>
      </x:c>
      <x:c r="Y1027" s="265" t="n">
        <x:v>1281</x:v>
      </x:c>
      <x:c r="Z1027" s="265" t="n">
        <x:v>1781</x:v>
      </x:c>
      <x:c r="AA1027" s="253" t="str">
        <x:f>IF(V1027="No","Maturing",IF(AND(U1027="Yes",Y1027&gt;0),"Yes","No"))</x:f>
        <x:v>No</x:v>
      </x:c>
      <x:c r="AB1027" s="253" t="str">
        <x:f>IF(W1027="No","Maturing",IF(AND(U1027="Yes",Z1027&gt;0),"Yes","No"))</x:f>
        <x:v>No</x:v>
      </x:c>
      <x:c r="AC1027" s="265" t="n">
        <x:v>-266.23</x:v>
      </x:c>
      <x:c r="AD1027" s="265" t="n">
        <x:v>234.02</x:v>
      </x:c>
      <x:c r="AE1027" s="271" t="str"/>
      <x:c r="AF1027" s="274" t="str">
        <x:v>Not validated - no control/holdout</x:v>
      </x:c>
      <x:c r="AG1027" s="277" t="str">
        <x:v>Recovered execution only; assignment date and unclaimed-offer denominator unavailable</x:v>
      </x:c>
    </x:row>
    <x:row r="1028">
      <x:c r="A1028" s="252" t="str">
        <x:v>34687588</x:v>
      </x:c>
      <x:c r="B1028" s="253" t="str">
        <x:v>WS1</x:v>
      </x:c>
      <x:c r="C1028" s="253" t="str">
        <x:v>MB8</x:v>
      </x:c>
      <x:c r="D1028" s="262" t="n">
        <x:v>46195.886400462965</x:v>
      </x:c>
      <x:c r="E1028" s="259" t="n">
        <x:v>46195.166666666664</x:v>
      </x:c>
      <x:c r="F1028" s="253" t="str">
        <x:v>937936</x:v>
      </x:c>
      <x:c r="G1028" s="253" t="str">
        <x:v>Aliceyap</x:v>
      </x:c>
      <x:c r="H1028" s="253" t="str">
        <x:v>Yes</x:v>
      </x:c>
      <x:c r="I1028" s="253" t="str">
        <x:v>Serene</x:v>
      </x:c>
      <x:c r="J1028" s="253" t="str">
        <x:v>Serene</x:v>
      </x:c>
      <x:c r="K1028" s="259" t="n">
        <x:v>46077.166666666664</x:v>
      </x:c>
      <x:c r="L1028" s="268" t="str">
        <x:f>IFERROR(VLOOKUP(I1028,'Handler-Team Map'!$A$7:$C$17,2,FALSE),"")</x:f>
      </x:c>
      <x:c r="M1028" s="268" t="str">
        <x:f>IFERROR(VLOOKUP(I1028,'Handler-Team Map'!$A$7:$C$17,3,FALSE),"")</x:f>
      </x:c>
      <x:c r="N1028" s="274" t="str">
        <x:v>FT_VM_DEP1000_GET500_1X</x:v>
      </x:c>
      <x:c r="O1028" s="274" t="str">
        <x:v>VIP BONUS - Deposit 1000 Get 500 - 1x TO</x:v>
      </x:c>
      <x:c r="P1028" s="274" t="str">
        <x:v>DepositBonus</x:v>
      </x:c>
      <x:c r="Q1028" s="274" t="str">
        <x:v>Approved</x:v>
      </x:c>
      <x:c r="R1028" s="265" t="n">
        <x:v>500</x:v>
      </x:c>
      <x:c r="S1028" s="253" t="str">
        <x:v>Yes</x:v>
      </x:c>
      <x:c r="T1028" s="265" t="n">
        <x:v>0</x:v>
      </x:c>
      <x:c r="U1028" s="253" t="str">
        <x:f>IF(AND(S1028="Yes",T1028=0),"Yes","No")</x:f>
        <x:v>Yes</x:v>
      </x:c>
      <x:c r="V1028" s="253" t="str">
        <x:v>Yes</x:v>
      </x:c>
      <x:c r="W1028" s="253" t="str">
        <x:v>Yes</x:v>
      </x:c>
      <x:c r="X1028" s="259" t="n">
        <x:v>46195.166666666664</x:v>
      </x:c>
      <x:c r="Y1028" s="265" t="n">
        <x:v>1000</x:v>
      </x:c>
      <x:c r="Z1028" s="265" t="n">
        <x:v>1000</x:v>
      </x:c>
      <x:c r="AA1028" s="253" t="str">
        <x:f>IF(V1028="No","Maturing",IF(AND(U1028="Yes",Y1028&gt;0),"Yes","No"))</x:f>
        <x:v>Yes</x:v>
      </x:c>
      <x:c r="AB1028" s="253" t="str">
        <x:f>IF(W1028="No","Maturing",IF(AND(U1028="Yes",Z1028&gt;0),"Yes","No"))</x:f>
        <x:v>Yes</x:v>
      </x:c>
      <x:c r="AC1028" s="265" t="n">
        <x:v>-695.68</x:v>
      </x:c>
      <x:c r="AD1028" s="265" t="n">
        <x:v>-695.68</x:v>
      </x:c>
      <x:c r="AE1028" s="271" t="str"/>
      <x:c r="AF1028" s="274" t="str">
        <x:v>Not validated - no control/holdout</x:v>
      </x:c>
      <x:c r="AG1028" s="277" t="str">
        <x:v>Recovered execution only; assignment date and unclaimed-offer denominator unavailable</x:v>
      </x:c>
    </x:row>
    <x:row r="1029">
      <x:c r="A1029" s="252" t="str">
        <x:v>34687837</x:v>
      </x:c>
      <x:c r="B1029" s="253" t="str">
        <x:v>WS1</x:v>
      </x:c>
      <x:c r="C1029" s="253" t="str">
        <x:v>MB8</x:v>
      </x:c>
      <x:c r="D1029" s="262" t="n">
        <x:v>46195.90608796296</x:v>
      </x:c>
      <x:c r="E1029" s="259" t="n">
        <x:v>46195.166666666664</x:v>
      </x:c>
      <x:c r="F1029" s="253" t="str">
        <x:v>235185</x:v>
      </x:c>
      <x:c r="G1029" s="253" t="str">
        <x:v>Lisalisa8282</x:v>
      </x:c>
      <x:c r="H1029" s="253" t="str">
        <x:v>Yes</x:v>
      </x:c>
      <x:c r="I1029" s="253" t="str">
        <x:v>Serene</x:v>
      </x:c>
      <x:c r="J1029" s="253" t="str">
        <x:v>Serene</x:v>
      </x:c>
      <x:c r="K1029" s="259" t="n">
        <x:v>46090.166666666664</x:v>
      </x:c>
      <x:c r="L1029" s="268" t="str">
        <x:f>IFERROR(VLOOKUP(I1029,'Handler-Team Map'!$A$7:$C$17,2,FALSE),"")</x:f>
      </x:c>
      <x:c r="M1029" s="268" t="str">
        <x:f>IFERROR(VLOOKUP(I1029,'Handler-Team Map'!$A$7:$C$17,3,FALSE),"")</x:f>
      </x:c>
      <x:c r="N1029" s="274" t="str">
        <x:v>FT_VM_DEP1000_GET500_1X</x:v>
      </x:c>
      <x:c r="O1029" s="274" t="str">
        <x:v>VIP BONUS - Deposit 1000 Get 500 - 1x TO</x:v>
      </x:c>
      <x:c r="P1029" s="274" t="str">
        <x:v>DepositBonus</x:v>
      </x:c>
      <x:c r="Q1029" s="274" t="str">
        <x:v>Approved</x:v>
      </x:c>
      <x:c r="R1029" s="265" t="n">
        <x:v>500</x:v>
      </x:c>
      <x:c r="S1029" s="253" t="str">
        <x:v>Yes</x:v>
      </x:c>
      <x:c r="T1029" s="265" t="n">
        <x:v>0</x:v>
      </x:c>
      <x:c r="U1029" s="253" t="str">
        <x:f>IF(AND(S1029="Yes",T1029=0),"Yes","No")</x:f>
        <x:v>Yes</x:v>
      </x:c>
      <x:c r="V1029" s="253" t="str">
        <x:v>Yes</x:v>
      </x:c>
      <x:c r="W1029" s="253" t="str">
        <x:v>Yes</x:v>
      </x:c>
      <x:c r="X1029" s="259" t="n">
        <x:v>46195.166666666664</x:v>
      </x:c>
      <x:c r="Y1029" s="265" t="n">
        <x:v>13500</x:v>
      </x:c>
      <x:c r="Z1029" s="265" t="n">
        <x:v>16960</x:v>
      </x:c>
      <x:c r="AA1029" s="253" t="str">
        <x:f>IF(V1029="No","Maturing",IF(AND(U1029="Yes",Y1029&gt;0),"Yes","No"))</x:f>
        <x:v>Yes</x:v>
      </x:c>
      <x:c r="AB1029" s="253" t="str">
        <x:f>IF(W1029="No","Maturing",IF(AND(U1029="Yes",Z1029&gt;0),"Yes","No"))</x:f>
        <x:v>Yes</x:v>
      </x:c>
      <x:c r="AC1029" s="265" t="n">
        <x:v>-8869.1</x:v>
      </x:c>
      <x:c r="AD1029" s="265" t="n">
        <x:v>-5139.82</x:v>
      </x:c>
      <x:c r="AE1029" s="271" t="str"/>
      <x:c r="AF1029" s="274" t="str">
        <x:v>Not validated - no control/holdout</x:v>
      </x:c>
      <x:c r="AG1029" s="277" t="str">
        <x:v>Recovered execution only; assignment date and unclaimed-offer denominator unavailable</x:v>
      </x:c>
    </x:row>
    <x:row r="1030">
      <x:c r="A1030" s="252" t="str">
        <x:v>34687909</x:v>
      </x:c>
      <x:c r="B1030" s="253" t="str">
        <x:v>WS1</x:v>
      </x:c>
      <x:c r="C1030" s="253" t="str">
        <x:v>MB8</x:v>
      </x:c>
      <x:c r="D1030" s="262" t="n">
        <x:v>46195.91111111111</x:v>
      </x:c>
      <x:c r="E1030" s="259" t="n">
        <x:v>46195.166666666664</x:v>
      </x:c>
      <x:c r="F1030" s="253" t="str">
        <x:v>476510</x:v>
      </x:c>
      <x:c r="G1030" s="253" t="str">
        <x:v>giinshen</x:v>
      </x:c>
      <x:c r="H1030" s="253" t="str">
        <x:v>Yes</x:v>
      </x:c>
      <x:c r="I1030" s="253" t="str">
        <x:v>Claire</x:v>
      </x:c>
      <x:c r="J1030" s="253" t="str">
        <x:v>Claire</x:v>
      </x:c>
      <x:c r="K1030" s="259" t="n">
        <x:v>45659.166666666664</x:v>
      </x:c>
      <x:c r="L1030" s="268" t="str">
        <x:f>IFERROR(VLOOKUP(I1030,'Handler-Team Map'!$A$7:$C$17,2,FALSE),"")</x:f>
      </x:c>
      <x:c r="M1030" s="268" t="str">
        <x:f>IFERROR(VLOOKUP(I1030,'Handler-Team Map'!$A$7:$C$17,3,FALSE),"")</x:f>
      </x:c>
      <x:c r="N1030" s="274" t="str">
        <x:v>FT_VM_DEP700_GET300_1X</x:v>
      </x:c>
      <x:c r="O1030" s="274" t="str">
        <x:v>VIP BONUS - Deposit 700 Get 300 - 1x TO</x:v>
      </x:c>
      <x:c r="P1030" s="274" t="str">
        <x:v>DepositBonus</x:v>
      </x:c>
      <x:c r="Q1030" s="274" t="str">
        <x:v>Approved</x:v>
      </x:c>
      <x:c r="R1030" s="265" t="n">
        <x:v>300</x:v>
      </x:c>
      <x:c r="S1030" s="253" t="str">
        <x:v>Yes</x:v>
      </x:c>
      <x:c r="T1030" s="265" t="n">
        <x:v>37950</x:v>
      </x:c>
      <x:c r="U1030" s="253" t="str">
        <x:f>IF(AND(S1030="Yes",T1030=0),"Yes","No")</x:f>
        <x:v>No</x:v>
      </x:c>
      <x:c r="V1030" s="253" t="str">
        <x:v>Yes</x:v>
      </x:c>
      <x:c r="W1030" s="253" t="str">
        <x:v>Yes</x:v>
      </x:c>
      <x:c r="X1030" s="259" t="n">
        <x:v>46195.166666666664</x:v>
      </x:c>
      <x:c r="Y1030" s="265" t="n">
        <x:v>25200</x:v>
      </x:c>
      <x:c r="Z1030" s="265" t="n">
        <x:v>49400</x:v>
      </x:c>
      <x:c r="AA1030" s="253" t="str">
        <x:f>IF(V1030="No","Maturing",IF(AND(U1030="Yes",Y1030&gt;0),"Yes","No"))</x:f>
        <x:v>No</x:v>
      </x:c>
      <x:c r="AB1030" s="253" t="str">
        <x:f>IF(W1030="No","Maturing",IF(AND(U1030="Yes",Z1030&gt;0),"Yes","No"))</x:f>
        <x:v>No</x:v>
      </x:c>
      <x:c r="AC1030" s="265" t="n">
        <x:v>25181.96</x:v>
      </x:c>
      <x:c r="AD1030" s="265" t="n">
        <x:v>24633.98</x:v>
      </x:c>
      <x:c r="AE1030" s="271" t="str"/>
      <x:c r="AF1030" s="274" t="str">
        <x:v>Not validated - no control/holdout</x:v>
      </x:c>
      <x:c r="AG1030" s="277" t="str">
        <x:v>Recovered execution only; assignment date and unclaimed-offer denominator unavailable</x:v>
      </x:c>
    </x:row>
    <x:row r="1031">
      <x:c r="A1031" s="252" t="str">
        <x:v>34688296</x:v>
      </x:c>
      <x:c r="B1031" s="253" t="str">
        <x:v>WS1</x:v>
      </x:c>
      <x:c r="C1031" s="253" t="str">
        <x:v>MB8</x:v>
      </x:c>
      <x:c r="D1031" s="262" t="n">
        <x:v>46195.937048611115</x:v>
      </x:c>
      <x:c r="E1031" s="259" t="n">
        <x:v>46195.166666666664</x:v>
      </x:c>
      <x:c r="F1031" s="253" t="str">
        <x:v>779106</x:v>
      </x:c>
      <x:c r="G1031" s="253" t="str">
        <x:v>babykee</x:v>
      </x:c>
      <x:c r="H1031" s="253" t="str">
        <x:v>Yes</x:v>
      </x:c>
      <x:c r="I1031" s="253" t="str"/>
      <x:c r="J1031" s="253" t="str"/>
      <x:c r="K1031" s="259"/>
      <x:c r="L1031" s="268" t="str">
        <x:f>IFERROR(VLOOKUP(I1031,'Handler-Team Map'!$A$7:$C$17,2,FALSE),"")</x:f>
      </x:c>
      <x:c r="M1031" s="268" t="str">
        <x:f>IFERROR(VLOOKUP(I1031,'Handler-Team Map'!$A$7:$C$17,3,FALSE),"")</x:f>
      </x:c>
      <x:c r="N1031" s="274" t="str">
        <x:v>FT_VM_DEP1000_GET500_1X</x:v>
      </x:c>
      <x:c r="O1031" s="274" t="str">
        <x:v>VIP BONUS - Deposit 1000 Get 500 - 1x TO</x:v>
      </x:c>
      <x:c r="P1031" s="274" t="str">
        <x:v>DepositBonus</x:v>
      </x:c>
      <x:c r="Q1031" s="274" t="str">
        <x:v>Approved</x:v>
      </x:c>
      <x:c r="R1031" s="265" t="n">
        <x:v>500</x:v>
      </x:c>
      <x:c r="S1031" s="253" t="str">
        <x:v>Yes</x:v>
      </x:c>
      <x:c r="T1031" s="265" t="n">
        <x:v>0</x:v>
      </x:c>
      <x:c r="U1031" s="253" t="str">
        <x:f>IF(AND(S1031="Yes",T1031=0),"Yes","No")</x:f>
        <x:v>Yes</x:v>
      </x:c>
      <x:c r="V1031" s="253" t="str">
        <x:v>Yes</x:v>
      </x:c>
      <x:c r="W1031" s="253" t="str">
        <x:v>Yes</x:v>
      </x:c>
      <x:c r="X1031" s="259" t="n">
        <x:v>46195.166666666664</x:v>
      </x:c>
      <x:c r="Y1031" s="265" t="n">
        <x:v>1000</x:v>
      </x:c>
      <x:c r="Z1031" s="265" t="n">
        <x:v>1000</x:v>
      </x:c>
      <x:c r="AA1031" s="253" t="str">
        <x:f>IF(V1031="No","Maturing",IF(AND(U1031="Yes",Y1031&gt;0),"Yes","No"))</x:f>
        <x:v>Yes</x:v>
      </x:c>
      <x:c r="AB1031" s="253" t="str">
        <x:f>IF(W1031="No","Maturing",IF(AND(U1031="Yes",Z1031&gt;0),"Yes","No"))</x:f>
        <x:v>Yes</x:v>
      </x:c>
      <x:c r="AC1031" s="265" t="n">
        <x:v>-333.3</x:v>
      </x:c>
      <x:c r="AD1031" s="265" t="n">
        <x:v>-333.3</x:v>
      </x:c>
      <x:c r="AE1031" s="271" t="str"/>
      <x:c r="AF1031" s="274" t="str">
        <x:v>Not validated - no control/holdout</x:v>
      </x:c>
      <x:c r="AG1031" s="277" t="str">
        <x:v>Recovered execution only; assignment date and unclaimed-offer denominator unavailable</x:v>
      </x:c>
    </x:row>
    <x:row r="1032">
      <x:c r="A1032" s="252" t="str">
        <x:v>34688737</x:v>
      </x:c>
      <x:c r="B1032" s="253" t="str">
        <x:v>WS1</x:v>
      </x:c>
      <x:c r="C1032" s="253" t="str">
        <x:v>MB8</x:v>
      </x:c>
      <x:c r="D1032" s="262" t="n">
        <x:v>46195.96258101852</x:v>
      </x:c>
      <x:c r="E1032" s="259" t="n">
        <x:v>46195.166666666664</x:v>
      </x:c>
      <x:c r="F1032" s="253" t="str">
        <x:v>693045</x:v>
      </x:c>
      <x:c r="G1032" s="253" t="str">
        <x:v>S0109427034</x:v>
      </x:c>
      <x:c r="H1032" s="253" t="str">
        <x:v>Yes</x:v>
      </x:c>
      <x:c r="I1032" s="253" t="str">
        <x:v>Christy</x:v>
      </x:c>
      <x:c r="J1032" s="253" t="str">
        <x:v>Christy</x:v>
      </x:c>
      <x:c r="K1032" s="259" t="n">
        <x:v>45831.166666666664</x:v>
      </x:c>
      <x:c r="L1032" s="268" t="str">
        <x:f>IFERROR(VLOOKUP(I1032,'Handler-Team Map'!$A$7:$C$17,2,FALSE),"")</x:f>
      </x:c>
      <x:c r="M1032" s="268" t="str">
        <x:f>IFERROR(VLOOKUP(I1032,'Handler-Team Map'!$A$7:$C$17,3,FALSE),"")</x:f>
      </x:c>
      <x:c r="N1032" s="274" t="str">
        <x:v>FT_VM_DEP700_GET300_2X</x:v>
      </x:c>
      <x:c r="O1032" s="274" t="str">
        <x:v>VIP BONUS - Deposit 700 Get 300 - 2x TO</x:v>
      </x:c>
      <x:c r="P1032" s="274" t="str">
        <x:v>DepositBonus</x:v>
      </x:c>
      <x:c r="Q1032" s="274" t="str">
        <x:v>Approved</x:v>
      </x:c>
      <x:c r="R1032" s="265" t="n">
        <x:v>300</x:v>
      </x:c>
      <x:c r="S1032" s="253" t="str">
        <x:v>Yes</x:v>
      </x:c>
      <x:c r="T1032" s="265" t="n">
        <x:v>41525.15</x:v>
      </x:c>
      <x:c r="U1032" s="253" t="str">
        <x:f>IF(AND(S1032="Yes",T1032=0),"Yes","No")</x:f>
        <x:v>No</x:v>
      </x:c>
      <x:c r="V1032" s="253" t="str">
        <x:v>Yes</x:v>
      </x:c>
      <x:c r="W1032" s="253" t="str">
        <x:v>Yes</x:v>
      </x:c>
      <x:c r="X1032" s="259" t="n">
        <x:v>46195.166666666664</x:v>
      </x:c>
      <x:c r="Y1032" s="265" t="n">
        <x:v>10260.3</x:v>
      </x:c>
      <x:c r="Z1032" s="265" t="n">
        <x:v>26031.65</x:v>
      </x:c>
      <x:c r="AA1032" s="253" t="str">
        <x:f>IF(V1032="No","Maturing",IF(AND(U1032="Yes",Y1032&gt;0),"Yes","No"))</x:f>
        <x:v>No</x:v>
      </x:c>
      <x:c r="AB1032" s="253" t="str">
        <x:f>IF(W1032="No","Maturing",IF(AND(U1032="Yes",Z1032&gt;0),"Yes","No"))</x:f>
        <x:v>No</x:v>
      </x:c>
      <x:c r="AC1032" s="265" t="n">
        <x:v>6337.1</x:v>
      </x:c>
      <x:c r="AD1032" s="265" t="n">
        <x:v>-22414.71</x:v>
      </x:c>
      <x:c r="AE1032" s="271" t="str"/>
      <x:c r="AF1032" s="274" t="str">
        <x:v>Not validated - no control/holdout</x:v>
      </x:c>
      <x:c r="AG1032" s="277" t="str">
        <x:v>Recovered execution only; assignment date and unclaimed-offer denominator unavailable</x:v>
      </x:c>
    </x:row>
    <x:row r="1033">
      <x:c r="A1033" s="252" t="str">
        <x:v>34689163</x:v>
      </x:c>
      <x:c r="B1033" s="253" t="str">
        <x:v>WS1</x:v>
      </x:c>
      <x:c r="C1033" s="253" t="str">
        <x:v>MB8</x:v>
      </x:c>
      <x:c r="D1033" s="262" t="n">
        <x:v>46195.99177083333</x:v>
      </x:c>
      <x:c r="E1033" s="259" t="n">
        <x:v>46195.166666666664</x:v>
      </x:c>
      <x:c r="F1033" s="253" t="str">
        <x:v>422328</x:v>
      </x:c>
      <x:c r="G1033" s="253" t="str">
        <x:v>yap5643</x:v>
      </x:c>
      <x:c r="H1033" s="253" t="str">
        <x:v>Yes</x:v>
      </x:c>
      <x:c r="I1033" s="253" t="str">
        <x:v>Claire</x:v>
      </x:c>
      <x:c r="J1033" s="253" t="str">
        <x:v>Claire</x:v>
      </x:c>
      <x:c r="K1033" s="259" t="n">
        <x:v>45659.166666666664</x:v>
      </x:c>
      <x:c r="L1033" s="268" t="str">
        <x:f>IFERROR(VLOOKUP(I1033,'Handler-Team Map'!$A$7:$C$17,2,FALSE),"")</x:f>
      </x:c>
      <x:c r="M1033" s="268" t="str">
        <x:f>IFERROR(VLOOKUP(I1033,'Handler-Team Map'!$A$7:$C$17,3,FALSE),"")</x:f>
      </x:c>
      <x:c r="N1033" s="274" t="str">
        <x:v>FT_VM_DEP1000_GET1000_1X</x:v>
      </x:c>
      <x:c r="O1033" s="274" t="str">
        <x:v>VIP BONUS - Deposit 1000 Get 1000 - 1x TO</x:v>
      </x:c>
      <x:c r="P1033" s="274" t="str">
        <x:v>DepositBonus</x:v>
      </x:c>
      <x:c r="Q1033" s="274" t="str">
        <x:v>Approved</x:v>
      </x:c>
      <x:c r="R1033" s="265" t="n">
        <x:v>1000</x:v>
      </x:c>
      <x:c r="S1033" s="253" t="str">
        <x:v>Yes</x:v>
      </x:c>
      <x:c r="T1033" s="265" t="n">
        <x:v>221300</x:v>
      </x:c>
      <x:c r="U1033" s="253" t="str">
        <x:f>IF(AND(S1033="Yes",T1033=0),"Yes","No")</x:f>
        <x:v>No</x:v>
      </x:c>
      <x:c r="V1033" s="253" t="str">
        <x:v>Yes</x:v>
      </x:c>
      <x:c r="W1033" s="253" t="str">
        <x:v>Yes</x:v>
      </x:c>
      <x:c r="X1033" s="259" t="n">
        <x:v>46195.166666666664</x:v>
      </x:c>
      <x:c r="Y1033" s="265" t="n">
        <x:v>23000</x:v>
      </x:c>
      <x:c r="Z1033" s="265" t="n">
        <x:v>48500</x:v>
      </x:c>
      <x:c r="AA1033" s="253" t="str">
        <x:f>IF(V1033="No","Maturing",IF(AND(U1033="Yes",Y1033&gt;0),"Yes","No"))</x:f>
        <x:v>No</x:v>
      </x:c>
      <x:c r="AB1033" s="253" t="str">
        <x:f>IF(W1033="No","Maturing",IF(AND(U1033="Yes",Z1033&gt;0),"Yes","No"))</x:f>
        <x:v>No</x:v>
      </x:c>
      <x:c r="AC1033" s="265" t="n">
        <x:v>22429.25</x:v>
      </x:c>
      <x:c r="AD1033" s="265" t="n">
        <x:v>46870.91</x:v>
      </x:c>
      <x:c r="AE1033" s="271" t="str"/>
      <x:c r="AF1033" s="274" t="str">
        <x:v>Not validated - no control/holdout</x:v>
      </x:c>
      <x:c r="AG1033" s="277" t="str">
        <x:v>Recovered execution only; assignment date and unclaimed-offer denominator unavailable</x:v>
      </x:c>
    </x:row>
    <x:row r="1034">
      <x:c r="A1034" s="252" t="str">
        <x:v>34690187</x:v>
      </x:c>
      <x:c r="B1034" s="253" t="str">
        <x:v>WS1</x:v>
      </x:c>
      <x:c r="C1034" s="253" t="str">
        <x:v>MB8</x:v>
      </x:c>
      <x:c r="D1034" s="262" t="n">
        <x:v>46196.05590277778</x:v>
      </x:c>
      <x:c r="E1034" s="259" t="n">
        <x:v>46196.166666666664</x:v>
      </x:c>
      <x:c r="F1034" s="253" t="str">
        <x:v>195813</x:v>
      </x:c>
      <x:c r="G1034" s="253" t="str">
        <x:v>Veq5774</x:v>
      </x:c>
      <x:c r="H1034" s="253" t="str">
        <x:v>Yes</x:v>
      </x:c>
      <x:c r="I1034" s="253" t="str">
        <x:v>Elda</x:v>
      </x:c>
      <x:c r="J1034" s="253" t="str">
        <x:v>Elda</x:v>
      </x:c>
      <x:c r="K1034" s="259" t="n">
        <x:v>45659.166666666664</x:v>
      </x:c>
      <x:c r="L1034" s="268" t="str">
        <x:f>IFERROR(VLOOKUP(I1034,'Handler-Team Map'!$A$7:$C$17,2,FALSE),"")</x:f>
      </x:c>
      <x:c r="M1034" s="268" t="str">
        <x:f>IFERROR(VLOOKUP(I1034,'Handler-Team Map'!$A$7:$C$17,3,FALSE),"")</x:f>
      </x:c>
      <x:c r="N1034" s="274" t="str">
        <x:v>FT_VM_DEP1000_GET1000_1X</x:v>
      </x:c>
      <x:c r="O1034" s="274" t="str">
        <x:v>VIP BONUS - Deposit 1000 Get 1000 - 1x TO</x:v>
      </x:c>
      <x:c r="P1034" s="274" t="str">
        <x:v>DepositBonus</x:v>
      </x:c>
      <x:c r="Q1034" s="274" t="str">
        <x:v>Approved</x:v>
      </x:c>
      <x:c r="R1034" s="265" t="n">
        <x:v>1000</x:v>
      </x:c>
      <x:c r="S1034" s="253" t="str">
        <x:v>Yes</x:v>
      </x:c>
      <x:c r="T1034" s="265" t="n">
        <x:v>284125</x:v>
      </x:c>
      <x:c r="U1034" s="253" t="str">
        <x:f>IF(AND(S1034="Yes",T1034=0),"Yes","No")</x:f>
        <x:v>No</x:v>
      </x:c>
      <x:c r="V1034" s="253" t="str">
        <x:v>Yes</x:v>
      </x:c>
      <x:c r="W1034" s="253" t="str">
        <x:v>Yes</x:v>
      </x:c>
      <x:c r="X1034" s="259" t="n">
        <x:v>46196.166666666664</x:v>
      </x:c>
      <x:c r="Y1034" s="265" t="n">
        <x:v>59456</x:v>
      </x:c>
      <x:c r="Z1034" s="265" t="n">
        <x:v>112420</x:v>
      </x:c>
      <x:c r="AA1034" s="253" t="str">
        <x:f>IF(V1034="No","Maturing",IF(AND(U1034="Yes",Y1034&gt;0),"Yes","No"))</x:f>
        <x:v>No</x:v>
      </x:c>
      <x:c r="AB1034" s="253" t="str">
        <x:f>IF(W1034="No","Maturing",IF(AND(U1034="Yes",Z1034&gt;0),"Yes","No"))</x:f>
        <x:v>No</x:v>
      </x:c>
      <x:c r="AC1034" s="265" t="n">
        <x:v>57469.58</x:v>
      </x:c>
      <x:c r="AD1034" s="265" t="n">
        <x:v>111251.74</x:v>
      </x:c>
      <x:c r="AE1034" s="271" t="str"/>
      <x:c r="AF1034" s="274" t="str">
        <x:v>Not validated - no control/holdout</x:v>
      </x:c>
      <x:c r="AG1034" s="277" t="str">
        <x:v>Recovered execution only; assignment date and unclaimed-offer denominator unavailable</x:v>
      </x:c>
    </x:row>
    <x:row r="1035">
      <x:c r="A1035" s="252" t="str">
        <x:v>34691414</x:v>
      </x:c>
      <x:c r="B1035" s="253" t="str">
        <x:v>WS1</x:v>
      </x:c>
      <x:c r="C1035" s="253" t="str">
        <x:v>MB8</x:v>
      </x:c>
      <x:c r="D1035" s="262" t="n">
        <x:v>46196.19634259259</x:v>
      </x:c>
      <x:c r="E1035" s="259" t="n">
        <x:v>46196.166666666664</x:v>
      </x:c>
      <x:c r="F1035" s="253" t="str">
        <x:v>3155</x:v>
      </x:c>
      <x:c r="G1035" s="253" t="str">
        <x:v>Boboy92</x:v>
      </x:c>
      <x:c r="H1035" s="253" t="str">
        <x:v>Yes</x:v>
      </x:c>
      <x:c r="I1035" s="253" t="str">
        <x:v>Elda</x:v>
      </x:c>
      <x:c r="J1035" s="253" t="str">
        <x:v>Elda</x:v>
      </x:c>
      <x:c r="K1035" s="259" t="n">
        <x:v>45790.166666666664</x:v>
      </x:c>
      <x:c r="L1035" s="268" t="str">
        <x:f>IFERROR(VLOOKUP(I1035,'Handler-Team Map'!$A$7:$C$17,2,FALSE),"")</x:f>
      </x:c>
      <x:c r="M1035" s="268" t="str">
        <x:f>IFERROR(VLOOKUP(I1035,'Handler-Team Map'!$A$7:$C$17,3,FALSE),"")</x:f>
      </x:c>
      <x:c r="N1035" s="274" t="str">
        <x:v>FT_VM_DEP300_GET100_2X</x:v>
      </x:c>
      <x:c r="O1035" s="274" t="str">
        <x:v>VIP BONUS - Deposit 300 Get 100 - 2x TO</x:v>
      </x:c>
      <x:c r="P1035" s="274" t="str">
        <x:v>DepositBonus</x:v>
      </x:c>
      <x:c r="Q1035" s="274" t="str">
        <x:v>Approved</x:v>
      </x:c>
      <x:c r="R1035" s="265" t="n">
        <x:v>100</x:v>
      </x:c>
      <x:c r="S1035" s="253" t="str">
        <x:v>Yes</x:v>
      </x:c>
      <x:c r="T1035" s="265" t="n">
        <x:v>7140.8</x:v>
      </x:c>
      <x:c r="U1035" s="253" t="str">
        <x:f>IF(AND(S1035="Yes",T1035=0),"Yes","No")</x:f>
        <x:v>No</x:v>
      </x:c>
      <x:c r="V1035" s="253" t="str">
        <x:v>Yes</x:v>
      </x:c>
      <x:c r="W1035" s="253" t="str">
        <x:v>Yes</x:v>
      </x:c>
      <x:c r="X1035" s="259" t="n">
        <x:v>46196.166666666664</x:v>
      </x:c>
      <x:c r="Y1035" s="265" t="n">
        <x:v>300</x:v>
      </x:c>
      <x:c r="Z1035" s="265" t="n">
        <x:v>300</x:v>
      </x:c>
      <x:c r="AA1035" s="253" t="str">
        <x:f>IF(V1035="No","Maturing",IF(AND(U1035="Yes",Y1035&gt;0),"Yes","No"))</x:f>
        <x:v>No</x:v>
      </x:c>
      <x:c r="AB1035" s="253" t="str">
        <x:f>IF(W1035="No","Maturing",IF(AND(U1035="Yes",Z1035&gt;0),"Yes","No"))</x:f>
        <x:v>No</x:v>
      </x:c>
      <x:c r="AC1035" s="265" t="n">
        <x:v>573.31</x:v>
      </x:c>
      <x:c r="AD1035" s="265" t="n">
        <x:v>573.97</x:v>
      </x:c>
      <x:c r="AE1035" s="271" t="str"/>
      <x:c r="AF1035" s="274" t="str">
        <x:v>Not validated - no control/holdout</x:v>
      </x:c>
      <x:c r="AG1035" s="277" t="str">
        <x:v>Recovered execution only; assignment date and unclaimed-offer denominator unavailable</x:v>
      </x:c>
    </x:row>
    <x:row r="1036">
      <x:c r="A1036" s="252" t="str">
        <x:v>34693058</x:v>
      </x:c>
      <x:c r="B1036" s="253" t="str">
        <x:v>WS1</x:v>
      </x:c>
      <x:c r="C1036" s="253" t="str">
        <x:v>MB8</x:v>
      </x:c>
      <x:c r="D1036" s="262" t="n">
        <x:v>46196.488530092596</x:v>
      </x:c>
      <x:c r="E1036" s="259" t="n">
        <x:v>46196.166666666664</x:v>
      </x:c>
      <x:c r="F1036" s="253" t="str">
        <x:v>660411</x:v>
      </x:c>
      <x:c r="G1036" s="253" t="str">
        <x:v>babyshark888</x:v>
      </x:c>
      <x:c r="H1036" s="253" t="str">
        <x:v>Yes</x:v>
      </x:c>
      <x:c r="I1036" s="253" t="str">
        <x:v>Serene</x:v>
      </x:c>
      <x:c r="J1036" s="253" t="str">
        <x:v>Serene</x:v>
      </x:c>
      <x:c r="K1036" s="259" t="n">
        <x:v>45859.166666666664</x:v>
      </x:c>
      <x:c r="L1036" s="268" t="str">
        <x:f>IFERROR(VLOOKUP(I1036,'Handler-Team Map'!$A$7:$C$17,2,FALSE),"")</x:f>
      </x:c>
      <x:c r="M1036" s="268" t="str">
        <x:f>IFERROR(VLOOKUP(I1036,'Handler-Team Map'!$A$7:$C$17,3,FALSE),"")</x:f>
      </x:c>
      <x:c r="N1036" s="274" t="str">
        <x:v>FT_VM_DEP1000_GET500_5X</x:v>
      </x:c>
      <x:c r="O1036" s="274" t="str">
        <x:v>VIP BONUS - Deposit 1000 Get 500 - 5x TO</x:v>
      </x:c>
      <x:c r="P1036" s="274" t="str">
        <x:v>DepositBonus</x:v>
      </x:c>
      <x:c r="Q1036" s="274" t="str">
        <x:v>Approved</x:v>
      </x:c>
      <x:c r="R1036" s="265" t="n">
        <x:v>500</x:v>
      </x:c>
      <x:c r="S1036" s="253" t="str">
        <x:v>Yes</x:v>
      </x:c>
      <x:c r="T1036" s="265" t="n">
        <x:v>36080</x:v>
      </x:c>
      <x:c r="U1036" s="253" t="str">
        <x:f>IF(AND(S1036="Yes",T1036=0),"Yes","No")</x:f>
        <x:v>No</x:v>
      </x:c>
      <x:c r="V1036" s="253" t="str">
        <x:v>Yes</x:v>
      </x:c>
      <x:c r="W1036" s="253" t="str">
        <x:v>Yes</x:v>
      </x:c>
      <x:c r="X1036" s="259" t="n">
        <x:v>46196.166666666664</x:v>
      </x:c>
      <x:c r="Y1036" s="265" t="n">
        <x:v>6030</x:v>
      </x:c>
      <x:c r="Z1036" s="265" t="n">
        <x:v>18310</x:v>
      </x:c>
      <x:c r="AA1036" s="253" t="str">
        <x:f>IF(V1036="No","Maturing",IF(AND(U1036="Yes",Y1036&gt;0),"Yes","No"))</x:f>
        <x:v>No</x:v>
      </x:c>
      <x:c r="AB1036" s="253" t="str">
        <x:f>IF(W1036="No","Maturing",IF(AND(U1036="Yes",Z1036&gt;0),"Yes","No"))</x:f>
        <x:v>No</x:v>
      </x:c>
      <x:c r="AC1036" s="265" t="n">
        <x:v>6029.8</x:v>
      </x:c>
      <x:c r="AD1036" s="265" t="n">
        <x:v>18310.15</x:v>
      </x:c>
      <x:c r="AE1036" s="271" t="str"/>
      <x:c r="AF1036" s="274" t="str">
        <x:v>Not validated - no control/holdout</x:v>
      </x:c>
      <x:c r="AG1036" s="277" t="str">
        <x:v>Recovered execution only; assignment date and unclaimed-offer denominator unavailable</x:v>
      </x:c>
    </x:row>
    <x:row r="1037">
      <x:c r="A1037" s="252" t="str">
        <x:v>34693962</x:v>
      </x:c>
      <x:c r="B1037" s="253" t="str">
        <x:v>WS1</x:v>
      </x:c>
      <x:c r="C1037" s="253" t="str">
        <x:v>MB8</x:v>
      </x:c>
      <x:c r="D1037" s="262" t="n">
        <x:v>46196.586539351854</x:v>
      </x:c>
      <x:c r="E1037" s="259" t="n">
        <x:v>46196.166666666664</x:v>
      </x:c>
      <x:c r="F1037" s="253" t="str">
        <x:v>1120910</x:v>
      </x:c>
      <x:c r="G1037" s="253" t="str">
        <x:v>frederick6911</x:v>
      </x:c>
      <x:c r="H1037" s="253" t="str">
        <x:v>Yes</x:v>
      </x:c>
      <x:c r="I1037" s="253" t="str">
        <x:v>Jiahui</x:v>
      </x:c>
      <x:c r="J1037" s="253" t="str">
        <x:v>Jiahui</x:v>
      </x:c>
      <x:c r="K1037" s="259" t="n">
        <x:v>45811.166666666664</x:v>
      </x:c>
      <x:c r="L1037" s="268" t="str">
        <x:f>IFERROR(VLOOKUP(I1037,'Handler-Team Map'!$A$7:$C$17,2,FALSE),"")</x:f>
      </x:c>
      <x:c r="M1037" s="268" t="str">
        <x:f>IFERROR(VLOOKUP(I1037,'Handler-Team Map'!$A$7:$C$17,3,FALSE),"")</x:f>
      </x:c>
      <x:c r="N1037" s="274" t="str">
        <x:v>FT_VM_DEP1000_GET500_5X</x:v>
      </x:c>
      <x:c r="O1037" s="274" t="str">
        <x:v>VIP BONUS - Deposit 1000 Get 500 - 5x TO</x:v>
      </x:c>
      <x:c r="P1037" s="274" t="str">
        <x:v>DepositBonus</x:v>
      </x:c>
      <x:c r="Q1037" s="274" t="str">
        <x:v>Approved</x:v>
      </x:c>
      <x:c r="R1037" s="265" t="n">
        <x:v>500</x:v>
      </x:c>
      <x:c r="S1037" s="253" t="str">
        <x:v>Yes</x:v>
      </x:c>
      <x:c r="T1037" s="265" t="n">
        <x:v>17700</x:v>
      </x:c>
      <x:c r="U1037" s="253" t="str">
        <x:f>IF(AND(S1037="Yes",T1037=0),"Yes","No")</x:f>
        <x:v>No</x:v>
      </x:c>
      <x:c r="V1037" s="253" t="str">
        <x:v>Yes</x:v>
      </x:c>
      <x:c r="W1037" s="253" t="str">
        <x:v>Yes</x:v>
      </x:c>
      <x:c r="X1037" s="259" t="n">
        <x:v>46196.166666666664</x:v>
      </x:c>
      <x:c r="Y1037" s="265" t="n">
        <x:v>2500</x:v>
      </x:c>
      <x:c r="Z1037" s="265" t="n">
        <x:v>6800</x:v>
      </x:c>
      <x:c r="AA1037" s="253" t="str">
        <x:f>IF(V1037="No","Maturing",IF(AND(U1037="Yes",Y1037&gt;0),"Yes","No"))</x:f>
        <x:v>No</x:v>
      </x:c>
      <x:c r="AB1037" s="253" t="str">
        <x:f>IF(W1037="No","Maturing",IF(AND(U1037="Yes",Z1037&gt;0),"Yes","No"))</x:f>
        <x:v>No</x:v>
      </x:c>
      <x:c r="AC1037" s="265" t="n">
        <x:v>2515.67</x:v>
      </x:c>
      <x:c r="AD1037" s="265" t="n">
        <x:v>3815.3</x:v>
      </x:c>
      <x:c r="AE1037" s="271" t="str"/>
      <x:c r="AF1037" s="274" t="str">
        <x:v>Not validated - no control/holdout</x:v>
      </x:c>
      <x:c r="AG1037" s="277" t="str">
        <x:v>Recovered execution only; assignment date and unclaimed-offer denominator unavailable</x:v>
      </x:c>
    </x:row>
    <x:row r="1038">
      <x:c r="A1038" s="252" t="str">
        <x:v>34694687</x:v>
      </x:c>
      <x:c r="B1038" s="253" t="str">
        <x:v>WS1</x:v>
      </x:c>
      <x:c r="C1038" s="253" t="str">
        <x:v>MB8</x:v>
      </x:c>
      <x:c r="D1038" s="262" t="n">
        <x:v>46196.673530092594</x:v>
      </x:c>
      <x:c r="E1038" s="259" t="n">
        <x:v>46196.166666666664</x:v>
      </x:c>
      <x:c r="F1038" s="253" t="str">
        <x:v>634212</x:v>
      </x:c>
      <x:c r="G1038" s="253" t="str">
        <x:v>kikiwin</x:v>
      </x:c>
      <x:c r="H1038" s="253" t="str">
        <x:v>Yes</x:v>
      </x:c>
      <x:c r="I1038" s="253" t="str">
        <x:v>Jiahui</x:v>
      </x:c>
      <x:c r="J1038" s="253" t="str">
        <x:v>Jiahui</x:v>
      </x:c>
      <x:c r="K1038" s="259" t="n">
        <x:v>45831.166666666664</x:v>
      </x:c>
      <x:c r="L1038" s="268" t="str">
        <x:f>IFERROR(VLOOKUP(I1038,'Handler-Team Map'!$A$7:$C$17,2,FALSE),"")</x:f>
      </x:c>
      <x:c r="M1038" s="268" t="str">
        <x:f>IFERROR(VLOOKUP(I1038,'Handler-Team Map'!$A$7:$C$17,3,FALSE),"")</x:f>
      </x:c>
      <x:c r="N1038" s="274" t="str">
        <x:v>FT_VM_DEP1000_GET700_2X</x:v>
      </x:c>
      <x:c r="O1038" s="274" t="str">
        <x:v>VIP BONUS - Deposit 1000 Get 700 - 2x TO</x:v>
      </x:c>
      <x:c r="P1038" s="274" t="str">
        <x:v>DepositBonus</x:v>
      </x:c>
      <x:c r="Q1038" s="274" t="str">
        <x:v>Approved</x:v>
      </x:c>
      <x:c r="R1038" s="265" t="n">
        <x:v>700</x:v>
      </x:c>
      <x:c r="S1038" s="253" t="str">
        <x:v>Yes</x:v>
      </x:c>
      <x:c r="T1038" s="265" t="n">
        <x:v>100</x:v>
      </x:c>
      <x:c r="U1038" s="253" t="str">
        <x:f>IF(AND(S1038="Yes",T1038=0),"Yes","No")</x:f>
        <x:v>No</x:v>
      </x:c>
      <x:c r="V1038" s="253" t="str">
        <x:v>Yes</x:v>
      </x:c>
      <x:c r="W1038" s="253" t="str">
        <x:v>Yes</x:v>
      </x:c>
      <x:c r="X1038" s="259" t="n">
        <x:v>46196.166666666664</x:v>
      </x:c>
      <x:c r="Y1038" s="265" t="n">
        <x:v>1466</x:v>
      </x:c>
      <x:c r="Z1038" s="265" t="n">
        <x:v>2286</x:v>
      </x:c>
      <x:c r="AA1038" s="253" t="str">
        <x:f>IF(V1038="No","Maturing",IF(AND(U1038="Yes",Y1038&gt;0),"Yes","No"))</x:f>
        <x:v>No</x:v>
      </x:c>
      <x:c r="AB1038" s="253" t="str">
        <x:f>IF(W1038="No","Maturing",IF(AND(U1038="Yes",Z1038&gt;0),"Yes","No"))</x:f>
        <x:v>No</x:v>
      </x:c>
      <x:c r="AC1038" s="265" t="n">
        <x:v>-485.43</x:v>
      </x:c>
      <x:c r="AD1038" s="265" t="n">
        <x:v>-640.7</x:v>
      </x:c>
      <x:c r="AE1038" s="271" t="str"/>
      <x:c r="AF1038" s="274" t="str">
        <x:v>Not validated - no control/holdout</x:v>
      </x:c>
      <x:c r="AG1038" s="277" t="str">
        <x:v>Recovered execution only; assignment date and unclaimed-offer denominator unavailable</x:v>
      </x:c>
    </x:row>
    <x:row r="1039">
      <x:c r="A1039" s="252" t="str">
        <x:v>34697121</x:v>
      </x:c>
      <x:c r="B1039" s="253" t="str">
        <x:v>WS1</x:v>
      </x:c>
      <x:c r="C1039" s="253" t="str">
        <x:v>MB8</x:v>
      </x:c>
      <x:c r="D1039" s="262" t="n">
        <x:v>46196.89136574074</x:v>
      </x:c>
      <x:c r="E1039" s="259" t="n">
        <x:v>46196.166666666664</x:v>
      </x:c>
      <x:c r="F1039" s="253" t="str">
        <x:v>734781</x:v>
      </x:c>
      <x:c r="G1039" s="253" t="str">
        <x:v>WC520</x:v>
      </x:c>
      <x:c r="H1039" s="253" t="str">
        <x:v>Yes</x:v>
      </x:c>
      <x:c r="I1039" s="253" t="str"/>
      <x:c r="J1039" s="253" t="str"/>
      <x:c r="K1039" s="259"/>
      <x:c r="L1039" s="268" t="str">
        <x:f>IFERROR(VLOOKUP(I1039,'Handler-Team Map'!$A$7:$C$17,2,FALSE),"")</x:f>
      </x:c>
      <x:c r="M1039" s="268" t="str">
        <x:f>IFERROR(VLOOKUP(I1039,'Handler-Team Map'!$A$7:$C$17,3,FALSE),"")</x:f>
      </x:c>
      <x:c r="N1039" s="274" t="str">
        <x:v>FT_VM_DEP1000_GET500_1X</x:v>
      </x:c>
      <x:c r="O1039" s="274" t="str">
        <x:v>VIP BONUS - Deposit 1000 Get 500 - 1x TO</x:v>
      </x:c>
      <x:c r="P1039" s="274" t="str">
        <x:v>DepositBonus</x:v>
      </x:c>
      <x:c r="Q1039" s="274" t="str">
        <x:v>Approved</x:v>
      </x:c>
      <x:c r="R1039" s="265" t="n">
        <x:v>500</x:v>
      </x:c>
      <x:c r="S1039" s="253" t="str">
        <x:v>Yes</x:v>
      </x:c>
      <x:c r="T1039" s="265" t="n">
        <x:v>0</x:v>
      </x:c>
      <x:c r="U1039" s="253" t="str">
        <x:f>IF(AND(S1039="Yes",T1039=0),"Yes","No")</x:f>
        <x:v>Yes</x:v>
      </x:c>
      <x:c r="V1039" s="253" t="str">
        <x:v>Yes</x:v>
      </x:c>
      <x:c r="W1039" s="253" t="str">
        <x:v>Yes</x:v>
      </x:c>
      <x:c r="X1039" s="259" t="n">
        <x:v>46196.166666666664</x:v>
      </x:c>
      <x:c r="Y1039" s="265" t="n">
        <x:v>1000</x:v>
      </x:c>
      <x:c r="Z1039" s="265" t="n">
        <x:v>1000</x:v>
      </x:c>
      <x:c r="AA1039" s="253" t="str">
        <x:f>IF(V1039="No","Maturing",IF(AND(U1039="Yes",Y1039&gt;0),"Yes","No"))</x:f>
        <x:v>Yes</x:v>
      </x:c>
      <x:c r="AB1039" s="253" t="str">
        <x:f>IF(W1039="No","Maturing",IF(AND(U1039="Yes",Z1039&gt;0),"Yes","No"))</x:f>
        <x:v>Yes</x:v>
      </x:c>
      <x:c r="AC1039" s="265" t="n">
        <x:v>-162.65</x:v>
      </x:c>
      <x:c r="AD1039" s="265" t="n">
        <x:v>-162.65</x:v>
      </x:c>
      <x:c r="AE1039" s="271" t="str"/>
      <x:c r="AF1039" s="274" t="str">
        <x:v>Not validated - no control/holdout</x:v>
      </x:c>
      <x:c r="AG1039" s="277" t="str">
        <x:v>Recovered execution only; assignment date and unclaimed-offer denominator unavailable</x:v>
      </x:c>
    </x:row>
    <x:row r="1040">
      <x:c r="A1040" s="252" t="str">
        <x:v>34698463</x:v>
      </x:c>
      <x:c r="B1040" s="253" t="str">
        <x:v>WS1</x:v>
      </x:c>
      <x:c r="C1040" s="253" t="str">
        <x:v>MB8</x:v>
      </x:c>
      <x:c r="D1040" s="262" t="n">
        <x:v>46196.98363425926</x:v>
      </x:c>
      <x:c r="E1040" s="259" t="n">
        <x:v>46196.166666666664</x:v>
      </x:c>
      <x:c r="F1040" s="253" t="str">
        <x:v>676889</x:v>
      </x:c>
      <x:c r="G1040" s="253" t="str">
        <x:v>Maths1</x:v>
      </x:c>
      <x:c r="H1040" s="253" t="str">
        <x:v>Yes</x:v>
      </x:c>
      <x:c r="I1040" s="253" t="str"/>
      <x:c r="J1040" s="253" t="str"/>
      <x:c r="K1040" s="259"/>
      <x:c r="L1040" s="268" t="str">
        <x:f>IFERROR(VLOOKUP(I1040,'Handler-Team Map'!$A$7:$C$17,2,FALSE),"")</x:f>
      </x:c>
      <x:c r="M1040" s="268" t="str">
        <x:f>IFERROR(VLOOKUP(I1040,'Handler-Team Map'!$A$7:$C$17,3,FALSE),"")</x:f>
      </x:c>
      <x:c r="N1040" s="274" t="str">
        <x:v>FT_VM_DEP600_GET200_5X</x:v>
      </x:c>
      <x:c r="O1040" s="274" t="str">
        <x:v>VIP BONUS - Deposit 600 Get 200 - 5x TO</x:v>
      </x:c>
      <x:c r="P1040" s="274" t="str">
        <x:v>DepositBonus</x:v>
      </x:c>
      <x:c r="Q1040" s="274" t="str">
        <x:v>Approved</x:v>
      </x:c>
      <x:c r="R1040" s="265" t="n">
        <x:v>200</x:v>
      </x:c>
      <x:c r="S1040" s="253" t="str">
        <x:v>Yes</x:v>
      </x:c>
      <x:c r="T1040" s="265" t="n">
        <x:v>1600</x:v>
      </x:c>
      <x:c r="U1040" s="253" t="str">
        <x:f>IF(AND(S1040="Yes",T1040=0),"Yes","No")</x:f>
        <x:v>No</x:v>
      </x:c>
      <x:c r="V1040" s="253" t="str">
        <x:v>Yes</x:v>
      </x:c>
      <x:c r="W1040" s="253" t="str">
        <x:v>Yes</x:v>
      </x:c>
      <x:c r="X1040" s="259" t="n">
        <x:v>46196.166666666664</x:v>
      </x:c>
      <x:c r="Y1040" s="265" t="n">
        <x:v>1050</x:v>
      </x:c>
      <x:c r="Z1040" s="265" t="n">
        <x:v>1850</x:v>
      </x:c>
      <x:c r="AA1040" s="253" t="str">
        <x:f>IF(V1040="No","Maturing",IF(AND(U1040="Yes",Y1040&gt;0),"Yes","No"))</x:f>
        <x:v>No</x:v>
      </x:c>
      <x:c r="AB1040" s="253" t="str">
        <x:f>IF(W1040="No","Maturing",IF(AND(U1040="Yes",Z1040&gt;0),"Yes","No"))</x:f>
        <x:v>No</x:v>
      </x:c>
      <x:c r="AC1040" s="265" t="n">
        <x:v>1050.18</x:v>
      </x:c>
      <x:c r="AD1040" s="265" t="n">
        <x:v>902.53</x:v>
      </x:c>
      <x:c r="AE1040" s="271" t="str"/>
      <x:c r="AF1040" s="274" t="str">
        <x:v>Not validated - no control/holdout</x:v>
      </x:c>
      <x:c r="AG1040" s="277" t="str">
        <x:v>Recovered execution only; assignment date and unclaimed-offer denominator unavailable</x:v>
      </x:c>
    </x:row>
    <x:row r="1041">
      <x:c r="A1041" s="252" t="str">
        <x:v>34699742</x:v>
      </x:c>
      <x:c r="B1041" s="253" t="str">
        <x:v>WS1</x:v>
      </x:c>
      <x:c r="C1041" s="253" t="str">
        <x:v>MB8</x:v>
      </x:c>
      <x:c r="D1041" s="262" t="n">
        <x:v>46197.08545138889</x:v>
      </x:c>
      <x:c r="E1041" s="259" t="n">
        <x:v>46197.166666666664</x:v>
      </x:c>
      <x:c r="F1041" s="253" t="str">
        <x:v>789103</x:v>
      </x:c>
      <x:c r="G1041" s="253" t="str">
        <x:v>izzatflip96</x:v>
      </x:c>
      <x:c r="H1041" s="253" t="str">
        <x:v>Yes</x:v>
      </x:c>
      <x:c r="I1041" s="253" t="str">
        <x:v>Christy</x:v>
      </x:c>
      <x:c r="J1041" s="253" t="str">
        <x:v>Christy</x:v>
      </x:c>
      <x:c r="K1041" s="259" t="n">
        <x:v>45831.166666666664</x:v>
      </x:c>
      <x:c r="L1041" s="268" t="str">
        <x:f>IFERROR(VLOOKUP(I1041,'Handler-Team Map'!$A$7:$C$17,2,FALSE),"")</x:f>
      </x:c>
      <x:c r="M1041" s="268" t="str">
        <x:f>IFERROR(VLOOKUP(I1041,'Handler-Team Map'!$A$7:$C$17,3,FALSE),"")</x:f>
      </x:c>
      <x:c r="N1041" s="274" t="str">
        <x:v>FT_VM_DEP150_GET50_5X</x:v>
      </x:c>
      <x:c r="O1041" s="274" t="str">
        <x:v>VIP BONUS - Deposit 150 Get 50 - 5x TO</x:v>
      </x:c>
      <x:c r="P1041" s="274" t="str">
        <x:v>DepositBonus</x:v>
      </x:c>
      <x:c r="Q1041" s="274" t="str">
        <x:v>Approved</x:v>
      </x:c>
      <x:c r="R1041" s="265" t="n">
        <x:v>50</x:v>
      </x:c>
      <x:c r="S1041" s="253" t="str">
        <x:v>Yes</x:v>
      </x:c>
      <x:c r="T1041" s="265" t="n">
        <x:v>43676.66</x:v>
      </x:c>
      <x:c r="U1041" s="253" t="str">
        <x:f>IF(AND(S1041="Yes",T1041=0),"Yes","No")</x:f>
        <x:v>No</x:v>
      </x:c>
      <x:c r="V1041" s="253" t="str">
        <x:v>Yes</x:v>
      </x:c>
      <x:c r="W1041" s="253" t="str">
        <x:v>Yes</x:v>
      </x:c>
      <x:c r="X1041" s="259" t="n">
        <x:v>46197.166666666664</x:v>
      </x:c>
      <x:c r="Y1041" s="265" t="n">
        <x:v>19267</x:v>
      </x:c>
      <x:c r="Z1041" s="265" t="n">
        <x:v>22670</x:v>
      </x:c>
      <x:c r="AA1041" s="253" t="str">
        <x:f>IF(V1041="No","Maturing",IF(AND(U1041="Yes",Y1041&gt;0),"Yes","No"))</x:f>
        <x:v>No</x:v>
      </x:c>
      <x:c r="AB1041" s="253" t="str">
        <x:f>IF(W1041="No","Maturing",IF(AND(U1041="Yes",Z1041&gt;0),"Yes","No"))</x:f>
        <x:v>No</x:v>
      </x:c>
      <x:c r="AC1041" s="265" t="n">
        <x:v>618.28</x:v>
      </x:c>
      <x:c r="AD1041" s="265" t="n">
        <x:v>522.54</x:v>
      </x:c>
      <x:c r="AE1041" s="271" t="str"/>
      <x:c r="AF1041" s="274" t="str">
        <x:v>Not validated - no control/holdout</x:v>
      </x:c>
      <x:c r="AG1041" s="277" t="str">
        <x:v>Recovered execution only; assignment date and unclaimed-offer denominator unavailable</x:v>
      </x:c>
    </x:row>
    <x:row r="1042">
      <x:c r="A1042" s="252" t="str">
        <x:v>34700145</x:v>
      </x:c>
      <x:c r="B1042" s="253" t="str">
        <x:v>WS1</x:v>
      </x:c>
      <x:c r="C1042" s="253" t="str">
        <x:v>MB8</x:v>
      </x:c>
      <x:c r="D1042" s="262" t="n">
        <x:v>46197.12920138889</x:v>
      </x:c>
      <x:c r="E1042" s="259" t="n">
        <x:v>46197.166666666664</x:v>
      </x:c>
      <x:c r="F1042" s="253" t="str">
        <x:v>38910</x:v>
      </x:c>
      <x:c r="G1042" s="253" t="str">
        <x:v>Snowy2kaki</x:v>
      </x:c>
      <x:c r="H1042" s="253" t="str">
        <x:v>Yes</x:v>
      </x:c>
      <x:c r="I1042" s="253" t="str">
        <x:v>Claire</x:v>
      </x:c>
      <x:c r="J1042" s="253" t="str">
        <x:v>Claire</x:v>
      </x:c>
      <x:c r="K1042" s="259" t="n">
        <x:v>45659.166666666664</x:v>
      </x:c>
      <x:c r="L1042" s="268" t="str">
        <x:f>IFERROR(VLOOKUP(I1042,'Handler-Team Map'!$A$7:$C$17,2,FALSE),"")</x:f>
      </x:c>
      <x:c r="M1042" s="268" t="str">
        <x:f>IFERROR(VLOOKUP(I1042,'Handler-Team Map'!$A$7:$C$17,3,FALSE),"")</x:f>
      </x:c>
      <x:c r="N1042" s="274" t="str">
        <x:v>FT_VM_DEP800_GET400_1X</x:v>
      </x:c>
      <x:c r="O1042" s="274" t="str">
        <x:v>VIP BONUS - Deposit 800 Get 400 - 1x TO</x:v>
      </x:c>
      <x:c r="P1042" s="274" t="str">
        <x:v>DepositBonus</x:v>
      </x:c>
      <x:c r="Q1042" s="274" t="str">
        <x:v>Approved</x:v>
      </x:c>
      <x:c r="R1042" s="265" t="n">
        <x:v>400</x:v>
      </x:c>
      <x:c r="S1042" s="253" t="str">
        <x:v>Yes</x:v>
      </x:c>
      <x:c r="T1042" s="265" t="n">
        <x:v>108000</x:v>
      </x:c>
      <x:c r="U1042" s="253" t="str">
        <x:f>IF(AND(S1042="Yes",T1042=0),"Yes","No")</x:f>
        <x:v>No</x:v>
      </x:c>
      <x:c r="V1042" s="253" t="str">
        <x:v>Yes</x:v>
      </x:c>
      <x:c r="W1042" s="253" t="str">
        <x:v>Yes</x:v>
      </x:c>
      <x:c r="X1042" s="259" t="n">
        <x:v>46197.166666666664</x:v>
      </x:c>
      <x:c r="Y1042" s="265" t="n">
        <x:v>18500</x:v>
      </x:c>
      <x:c r="Z1042" s="265" t="n">
        <x:v>32500</x:v>
      </x:c>
      <x:c r="AA1042" s="253" t="str">
        <x:f>IF(V1042="No","Maturing",IF(AND(U1042="Yes",Y1042&gt;0),"Yes","No"))</x:f>
        <x:v>No</x:v>
      </x:c>
      <x:c r="AB1042" s="253" t="str">
        <x:f>IF(W1042="No","Maturing",IF(AND(U1042="Yes",Z1042&gt;0),"Yes","No"))</x:f>
        <x:v>No</x:v>
      </x:c>
      <x:c r="AC1042" s="265" t="n">
        <x:v>16682.34</x:v>
      </x:c>
      <x:c r="AD1042" s="265" t="n">
        <x:v>31500.44</x:v>
      </x:c>
      <x:c r="AE1042" s="271" t="str"/>
      <x:c r="AF1042" s="274" t="str">
        <x:v>Not validated - no control/holdout</x:v>
      </x:c>
      <x:c r="AG1042" s="277" t="str">
        <x:v>Recovered execution only; assignment date and unclaimed-offer denominator unavailable</x:v>
      </x:c>
    </x:row>
    <x:row r="1043">
      <x:c r="A1043" s="252" t="str">
        <x:v>34700459</x:v>
      </x:c>
      <x:c r="B1043" s="253" t="str">
        <x:v>WS1</x:v>
      </x:c>
      <x:c r="C1043" s="253" t="str">
        <x:v>MB8</x:v>
      </x:c>
      <x:c r="D1043" s="262" t="n">
        <x:v>46197.17670138889</x:v>
      </x:c>
      <x:c r="E1043" s="259" t="n">
        <x:v>46197.166666666664</x:v>
      </x:c>
      <x:c r="F1043" s="253" t="str">
        <x:v>153724</x:v>
      </x:c>
      <x:c r="G1043" s="253" t="str">
        <x:v>BraderD0N</x:v>
      </x:c>
      <x:c r="H1043" s="253" t="str">
        <x:v>Yes</x:v>
      </x:c>
      <x:c r="I1043" s="253" t="str">
        <x:v>zhen</x:v>
      </x:c>
      <x:c r="J1043" s="253" t="str">
        <x:v>zhen</x:v>
      </x:c>
      <x:c r="K1043" s="259" t="n">
        <x:v>45880.166666666664</x:v>
      </x:c>
      <x:c r="L1043" s="268" t="str">
        <x:f>IFERROR(VLOOKUP(I1043,'Handler-Team Map'!$A$7:$C$17,2,FALSE),"")</x:f>
      </x:c>
      <x:c r="M1043" s="268" t="str">
        <x:f>IFERROR(VLOOKUP(I1043,'Handler-Team Map'!$A$7:$C$17,3,FALSE),"")</x:f>
      </x:c>
      <x:c r="N1043" s="274" t="str">
        <x:v>FT_VM_DEP1000_GET700_2X</x:v>
      </x:c>
      <x:c r="O1043" s="274" t="str">
        <x:v>VIP BONUS - Deposit 1000 Get 700 - 2x TO</x:v>
      </x:c>
      <x:c r="P1043" s="274" t="str">
        <x:v>DepositBonus</x:v>
      </x:c>
      <x:c r="Q1043" s="274" t="str">
        <x:v>Approved</x:v>
      </x:c>
      <x:c r="R1043" s="265" t="n">
        <x:v>700</x:v>
      </x:c>
      <x:c r="S1043" s="253" t="str">
        <x:v>Yes</x:v>
      </x:c>
      <x:c r="T1043" s="265" t="n">
        <x:v>810</x:v>
      </x:c>
      <x:c r="U1043" s="253" t="str">
        <x:f>IF(AND(S1043="Yes",T1043=0),"Yes","No")</x:f>
        <x:v>No</x:v>
      </x:c>
      <x:c r="V1043" s="253" t="str">
        <x:v>Yes</x:v>
      </x:c>
      <x:c r="W1043" s="253" t="str">
        <x:v>Yes</x:v>
      </x:c>
      <x:c r="X1043" s="259" t="n">
        <x:v>46197.166666666664</x:v>
      </x:c>
      <x:c r="Y1043" s="265" t="n">
        <x:v>5575</x:v>
      </x:c>
      <x:c r="Z1043" s="265" t="n">
        <x:v>6155</x:v>
      </x:c>
      <x:c r="AA1043" s="253" t="str">
        <x:f>IF(V1043="No","Maturing",IF(AND(U1043="Yes",Y1043&gt;0),"Yes","No"))</x:f>
        <x:v>No</x:v>
      </x:c>
      <x:c r="AB1043" s="253" t="str">
        <x:f>IF(W1043="No","Maturing",IF(AND(U1043="Yes",Z1043&gt;0),"Yes","No"))</x:f>
        <x:v>No</x:v>
      </x:c>
      <x:c r="AC1043" s="265" t="n">
        <x:v>2112.5</x:v>
      </x:c>
      <x:c r="AD1043" s="265" t="n">
        <x:v>1437.3</x:v>
      </x:c>
      <x:c r="AE1043" s="271" t="str"/>
      <x:c r="AF1043" s="274" t="str">
        <x:v>Not validated - no control/holdout</x:v>
      </x:c>
      <x:c r="AG1043" s="277" t="str">
        <x:v>Recovered execution only; assignment date and unclaimed-offer denominator unavailable</x:v>
      </x:c>
    </x:row>
    <x:row r="1044">
      <x:c r="A1044" s="252" t="str">
        <x:v>34700492</x:v>
      </x:c>
      <x:c r="B1044" s="253" t="str">
        <x:v>WS1</x:v>
      </x:c>
      <x:c r="C1044" s="253" t="str">
        <x:v>MB8</x:v>
      </x:c>
      <x:c r="D1044" s="262" t="n">
        <x:v>46197.18241898148</x:v>
      </x:c>
      <x:c r="E1044" s="259" t="n">
        <x:v>46197.166666666664</x:v>
      </x:c>
      <x:c r="F1044" s="253" t="str">
        <x:v>452826</x:v>
      </x:c>
      <x:c r="G1044" s="253" t="str">
        <x:v>Waiko119</x:v>
      </x:c>
      <x:c r="H1044" s="253" t="str">
        <x:v>Yes</x:v>
      </x:c>
      <x:c r="I1044" s="253" t="str">
        <x:v>Elda</x:v>
      </x:c>
      <x:c r="J1044" s="253" t="str">
        <x:v>Elda</x:v>
      </x:c>
      <x:c r="K1044" s="259" t="n">
        <x:v>45659.166666666664</x:v>
      </x:c>
      <x:c r="L1044" s="268" t="str">
        <x:f>IFERROR(VLOOKUP(I1044,'Handler-Team Map'!$A$7:$C$17,2,FALSE),"")</x:f>
      </x:c>
      <x:c r="M1044" s="268" t="str">
        <x:f>IFERROR(VLOOKUP(I1044,'Handler-Team Map'!$A$7:$C$17,3,FALSE),"")</x:f>
      </x:c>
      <x:c r="N1044" s="274" t="str">
        <x:v>FT_VM_DEP1000_GET800_2X</x:v>
      </x:c>
      <x:c r="O1044" s="274" t="str">
        <x:v>VIP BONUS - Deposit 1000 Get 800 - 2x TO</x:v>
      </x:c>
      <x:c r="P1044" s="274" t="str">
        <x:v>DepositBonus</x:v>
      </x:c>
      <x:c r="Q1044" s="274" t="str">
        <x:v>Approved</x:v>
      </x:c>
      <x:c r="R1044" s="265" t="n">
        <x:v>800</x:v>
      </x:c>
      <x:c r="S1044" s="253" t="str">
        <x:v>Yes</x:v>
      </x:c>
      <x:c r="T1044" s="265" t="n">
        <x:v>2000</x:v>
      </x:c>
      <x:c r="U1044" s="253" t="str">
        <x:f>IF(AND(S1044="Yes",T1044=0),"Yes","No")</x:f>
        <x:v>No</x:v>
      </x:c>
      <x:c r="V1044" s="253" t="str">
        <x:v>Yes</x:v>
      </x:c>
      <x:c r="W1044" s="253" t="str">
        <x:v>Yes</x:v>
      </x:c>
      <x:c r="X1044" s="259" t="n">
        <x:v>46197.166666666664</x:v>
      </x:c>
      <x:c r="Y1044" s="265" t="n">
        <x:v>1000</x:v>
      </x:c>
      <x:c r="Z1044" s="265" t="n">
        <x:v>1000</x:v>
      </x:c>
      <x:c r="AA1044" s="253" t="str">
        <x:f>IF(V1044="No","Maturing",IF(AND(U1044="Yes",Y1044&gt;0),"Yes","No"))</x:f>
        <x:v>No</x:v>
      </x:c>
      <x:c r="AB1044" s="253" t="str">
        <x:f>IF(W1044="No","Maturing",IF(AND(U1044="Yes",Z1044&gt;0),"Yes","No"))</x:f>
        <x:v>No</x:v>
      </x:c>
      <x:c r="AC1044" s="265" t="n">
        <x:v>-1999.95</x:v>
      </x:c>
      <x:c r="AD1044" s="265" t="n">
        <x:v>-1999.95</x:v>
      </x:c>
      <x:c r="AE1044" s="271" t="str"/>
      <x:c r="AF1044" s="274" t="str">
        <x:v>Not validated - no control/holdout</x:v>
      </x:c>
      <x:c r="AG1044" s="277" t="str">
        <x:v>Recovered execution only; assignment date and unclaimed-offer denominator unavailable</x:v>
      </x:c>
    </x:row>
    <x:row r="1045">
      <x:c r="A1045" s="252" t="str">
        <x:v>34700954</x:v>
      </x:c>
      <x:c r="B1045" s="253" t="str">
        <x:v>WS1</x:v>
      </x:c>
      <x:c r="C1045" s="253" t="str">
        <x:v>MB8</x:v>
      </x:c>
      <x:c r="D1045" s="262" t="n">
        <x:v>46197.28104166667</x:v>
      </x:c>
      <x:c r="E1045" s="259" t="n">
        <x:v>46197.166666666664</x:v>
      </x:c>
      <x:c r="F1045" s="253" t="str">
        <x:v>725972</x:v>
      </x:c>
      <x:c r="G1045" s="253" t="str">
        <x:v>chuamek</x:v>
      </x:c>
      <x:c r="H1045" s="253" t="str">
        <x:v>Yes</x:v>
      </x:c>
      <x:c r="I1045" s="253" t="str">
        <x:v>zhen</x:v>
      </x:c>
      <x:c r="J1045" s="253" t="str">
        <x:v>zhen</x:v>
      </x:c>
      <x:c r="K1045" s="259" t="n">
        <x:v>45880.166666666664</x:v>
      </x:c>
      <x:c r="L1045" s="268" t="str">
        <x:f>IFERROR(VLOOKUP(I1045,'Handler-Team Map'!$A$7:$C$17,2,FALSE),"")</x:f>
      </x:c>
      <x:c r="M1045" s="268" t="str">
        <x:f>IFERROR(VLOOKUP(I1045,'Handler-Team Map'!$A$7:$C$17,3,FALSE),"")</x:f>
      </x:c>
      <x:c r="N1045" s="274" t="str">
        <x:v>FT_VM_DEP700_GET300_2X</x:v>
      </x:c>
      <x:c r="O1045" s="274" t="str">
        <x:v>VIP BONUS - Deposit 700 Get 300 - 2x TO</x:v>
      </x:c>
      <x:c r="P1045" s="274" t="str">
        <x:v>DepositBonus</x:v>
      </x:c>
      <x:c r="Q1045" s="274" t="str">
        <x:v>Approved</x:v>
      </x:c>
      <x:c r="R1045" s="265" t="n">
        <x:v>300</x:v>
      </x:c>
      <x:c r="S1045" s="253" t="str">
        <x:v>Yes</x:v>
      </x:c>
      <x:c r="T1045" s="265" t="n">
        <x:v>600</x:v>
      </x:c>
      <x:c r="U1045" s="253" t="str">
        <x:f>IF(AND(S1045="Yes",T1045=0),"Yes","No")</x:f>
        <x:v>No</x:v>
      </x:c>
      <x:c r="V1045" s="253" t="str">
        <x:v>Yes</x:v>
      </x:c>
      <x:c r="W1045" s="253" t="str">
        <x:v>Yes</x:v>
      </x:c>
      <x:c r="X1045" s="259" t="n">
        <x:v>46197.166666666664</x:v>
      </x:c>
      <x:c r="Y1045" s="265" t="n">
        <x:v>700</x:v>
      </x:c>
      <x:c r="Z1045" s="265" t="n">
        <x:v>700</x:v>
      </x:c>
      <x:c r="AA1045" s="253" t="str">
        <x:f>IF(V1045="No","Maturing",IF(AND(U1045="Yes",Y1045&gt;0),"Yes","No"))</x:f>
        <x:v>No</x:v>
      </x:c>
      <x:c r="AB1045" s="253" t="str">
        <x:f>IF(W1045="No","Maturing",IF(AND(U1045="Yes",Z1045&gt;0),"Yes","No"))</x:f>
        <x:v>No</x:v>
      </x:c>
      <x:c r="AC1045" s="265" t="n">
        <x:v>-300</x:v>
      </x:c>
      <x:c r="AD1045" s="265" t="n">
        <x:v>-1578.73</x:v>
      </x:c>
      <x:c r="AE1045" s="271" t="str"/>
      <x:c r="AF1045" s="274" t="str">
        <x:v>Not validated - no control/holdout</x:v>
      </x:c>
      <x:c r="AG1045" s="277" t="str">
        <x:v>Recovered execution only; assignment date and unclaimed-offer denominator unavailable</x:v>
      </x:c>
    </x:row>
    <x:row r="1046">
      <x:c r="A1046" s="252" t="str">
        <x:v>34701521</x:v>
      </x:c>
      <x:c r="B1046" s="253" t="str">
        <x:v>WS1</x:v>
      </x:c>
      <x:c r="C1046" s="253" t="str">
        <x:v>MB8</x:v>
      </x:c>
      <x:c r="D1046" s="262" t="n">
        <x:v>46197.39662037037</x:v>
      </x:c>
      <x:c r="E1046" s="259" t="n">
        <x:v>46197.166666666664</x:v>
      </x:c>
      <x:c r="F1046" s="253" t="str">
        <x:v>631041</x:v>
      </x:c>
      <x:c r="G1046" s="253" t="str">
        <x:v>ThoMas0529</x:v>
      </x:c>
      <x:c r="H1046" s="253" t="str">
        <x:v>Yes</x:v>
      </x:c>
      <x:c r="I1046" s="253" t="str">
        <x:v>Tammy</x:v>
      </x:c>
      <x:c r="J1046" s="253" t="str">
        <x:v>Tammy</x:v>
      </x:c>
      <x:c r="K1046" s="259" t="n">
        <x:v>45951.166666666664</x:v>
      </x:c>
      <x:c r="L1046" s="268" t="str">
        <x:f>IFERROR(VLOOKUP(I1046,'Handler-Team Map'!$A$7:$C$17,2,FALSE),"")</x:f>
      </x:c>
      <x:c r="M1046" s="268" t="str">
        <x:f>IFERROR(VLOOKUP(I1046,'Handler-Team Map'!$A$7:$C$17,3,FALSE),"")</x:f>
      </x:c>
      <x:c r="N1046" s="274" t="str">
        <x:v>FT_VM_DEP1000_GET500_2X</x:v>
      </x:c>
      <x:c r="O1046" s="274" t="str">
        <x:v>VIP BONUS - Deposit 1000 Get 500 - 2x TO</x:v>
      </x:c>
      <x:c r="P1046" s="274" t="str">
        <x:v>DepositBonus</x:v>
      </x:c>
      <x:c r="Q1046" s="274" t="str">
        <x:v>Approved</x:v>
      </x:c>
      <x:c r="R1046" s="265" t="n">
        <x:v>500</x:v>
      </x:c>
      <x:c r="S1046" s="253" t="str">
        <x:v>Yes</x:v>
      </x:c>
      <x:c r="T1046" s="265" t="n">
        <x:v>2000</x:v>
      </x:c>
      <x:c r="U1046" s="253" t="str">
        <x:f>IF(AND(S1046="Yes",T1046=0),"Yes","No")</x:f>
        <x:v>No</x:v>
      </x:c>
      <x:c r="V1046" s="253" t="str">
        <x:v>Yes</x:v>
      </x:c>
      <x:c r="W1046" s="253" t="str">
        <x:v>Yes</x:v>
      </x:c>
      <x:c r="X1046" s="259" t="n">
        <x:v>46197.166666666664</x:v>
      </x:c>
      <x:c r="Y1046" s="265" t="n">
        <x:v>1000</x:v>
      </x:c>
      <x:c r="Z1046" s="265" t="n">
        <x:v>1900</x:v>
      </x:c>
      <x:c r="AA1046" s="253" t="str">
        <x:f>IF(V1046="No","Maturing",IF(AND(U1046="Yes",Y1046&gt;0),"Yes","No"))</x:f>
        <x:v>No</x:v>
      </x:c>
      <x:c r="AB1046" s="253" t="str">
        <x:f>IF(W1046="No","Maturing",IF(AND(U1046="Yes",Z1046&gt;0),"Yes","No"))</x:f>
        <x:v>No</x:v>
      </x:c>
      <x:c r="AC1046" s="265" t="n">
        <x:v>-2000.22</x:v>
      </x:c>
      <x:c r="AD1046" s="265" t="n">
        <x:v>-1101.03</x:v>
      </x:c>
      <x:c r="AE1046" s="271" t="str"/>
      <x:c r="AF1046" s="274" t="str">
        <x:v>Not validated - no control/holdout</x:v>
      </x:c>
      <x:c r="AG1046" s="277" t="str">
        <x:v>Recovered execution only; assignment date and unclaimed-offer denominator unavailable</x:v>
      </x:c>
    </x:row>
    <x:row r="1047">
      <x:c r="A1047" s="252" t="str">
        <x:v>34701834</x:v>
      </x:c>
      <x:c r="B1047" s="253" t="str">
        <x:v>WS1</x:v>
      </x:c>
      <x:c r="C1047" s="253" t="str">
        <x:v>MB8</x:v>
      </x:c>
      <x:c r="D1047" s="262" t="n">
        <x:v>46197.44013888889</x:v>
      </x:c>
      <x:c r="E1047" s="259" t="n">
        <x:v>46197.166666666664</x:v>
      </x:c>
      <x:c r="F1047" s="253" t="str">
        <x:v>302345</x:v>
      </x:c>
      <x:c r="G1047" s="253" t="str">
        <x:v>bujiangfatt</x:v>
      </x:c>
      <x:c r="H1047" s="253" t="str">
        <x:v>Yes</x:v>
      </x:c>
      <x:c r="I1047" s="253" t="str">
        <x:v>Elda</x:v>
      </x:c>
      <x:c r="J1047" s="253" t="str">
        <x:v>Elda</x:v>
      </x:c>
      <x:c r="K1047" s="259" t="n">
        <x:v>45659.166666666664</x:v>
      </x:c>
      <x:c r="L1047" s="268" t="str">
        <x:f>IFERROR(VLOOKUP(I1047,'Handler-Team Map'!$A$7:$C$17,2,FALSE),"")</x:f>
      </x:c>
      <x:c r="M1047" s="268" t="str">
        <x:f>IFERROR(VLOOKUP(I1047,'Handler-Team Map'!$A$7:$C$17,3,FALSE),"")</x:f>
      </x:c>
      <x:c r="N1047" s="274" t="str">
        <x:v>FT_VM_DEP1000_GET500_5X</x:v>
      </x:c>
      <x:c r="O1047" s="274" t="str">
        <x:v>VIP BONUS - Deposit 1000 Get 500 - 5x TO</x:v>
      </x:c>
      <x:c r="P1047" s="274" t="str">
        <x:v>DepositBonus</x:v>
      </x:c>
      <x:c r="Q1047" s="274" t="str">
        <x:v>Approved</x:v>
      </x:c>
      <x:c r="R1047" s="265" t="n">
        <x:v>500</x:v>
      </x:c>
      <x:c r="S1047" s="253" t="str">
        <x:v>Yes</x:v>
      </x:c>
      <x:c r="T1047" s="265" t="n">
        <x:v>41307</x:v>
      </x:c>
      <x:c r="U1047" s="253" t="str">
        <x:f>IF(AND(S1047="Yes",T1047=0),"Yes","No")</x:f>
        <x:v>No</x:v>
      </x:c>
      <x:c r="V1047" s="253" t="str">
        <x:v>Yes</x:v>
      </x:c>
      <x:c r="W1047" s="253" t="str">
        <x:v>Yes</x:v>
      </x:c>
      <x:c r="X1047" s="259" t="n">
        <x:v>46197.166666666664</x:v>
      </x:c>
      <x:c r="Y1047" s="265" t="n">
        <x:v>16650</x:v>
      </x:c>
      <x:c r="Z1047" s="265" t="n">
        <x:v>19080</x:v>
      </x:c>
      <x:c r="AA1047" s="253" t="str">
        <x:f>IF(V1047="No","Maturing",IF(AND(U1047="Yes",Y1047&gt;0),"Yes","No"))</x:f>
        <x:v>No</x:v>
      </x:c>
      <x:c r="AB1047" s="253" t="str">
        <x:f>IF(W1047="No","Maturing",IF(AND(U1047="Yes",Z1047&gt;0),"Yes","No"))</x:f>
        <x:v>No</x:v>
      </x:c>
      <x:c r="AC1047" s="265" t="n">
        <x:v>16540.14</x:v>
      </x:c>
      <x:c r="AD1047" s="265" t="n">
        <x:v>18867.49</x:v>
      </x:c>
      <x:c r="AE1047" s="271" t="str"/>
      <x:c r="AF1047" s="274" t="str">
        <x:v>Not validated - no control/holdout</x:v>
      </x:c>
      <x:c r="AG1047" s="277" t="str">
        <x:v>Recovered execution only; assignment date and unclaimed-offer denominator unavailable</x:v>
      </x:c>
    </x:row>
    <x:row r="1048">
      <x:c r="A1048" s="252" t="str">
        <x:v>34702858</x:v>
      </x:c>
      <x:c r="B1048" s="253" t="str">
        <x:v>WS1</x:v>
      </x:c>
      <x:c r="C1048" s="253" t="str">
        <x:v>MB8</x:v>
      </x:c>
      <x:c r="D1048" s="262" t="n">
        <x:v>46197.55725694444</x:v>
      </x:c>
      <x:c r="E1048" s="259" t="n">
        <x:v>46197.166666666664</x:v>
      </x:c>
      <x:c r="F1048" s="253" t="str">
        <x:v>1110473</x:v>
      </x:c>
      <x:c r="G1048" s="253" t="str">
        <x:v>AlexTingSieSing</x:v>
      </x:c>
      <x:c r="H1048" s="253" t="str">
        <x:v>Yes</x:v>
      </x:c>
      <x:c r="I1048" s="253" t="str">
        <x:v>zhen</x:v>
      </x:c>
      <x:c r="J1048" s="253" t="str">
        <x:v>zhen</x:v>
      </x:c>
      <x:c r="K1048" s="259" t="n">
        <x:v>45922.166666666664</x:v>
      </x:c>
      <x:c r="L1048" s="268" t="str">
        <x:f>IFERROR(VLOOKUP(I1048,'Handler-Team Map'!$A$7:$C$17,2,FALSE),"")</x:f>
      </x:c>
      <x:c r="M1048" s="268" t="str">
        <x:f>IFERROR(VLOOKUP(I1048,'Handler-Team Map'!$A$7:$C$17,3,FALSE),"")</x:f>
      </x:c>
      <x:c r="N1048" s="274" t="str">
        <x:v>FT_VM_DEP1000_GET800_2X</x:v>
      </x:c>
      <x:c r="O1048" s="274" t="str">
        <x:v>VIP BONUS - Deposit 1000 Get 800 - 2x TO</x:v>
      </x:c>
      <x:c r="P1048" s="274" t="str">
        <x:v>DepositBonus</x:v>
      </x:c>
      <x:c r="Q1048" s="274" t="str">
        <x:v>Approved</x:v>
      </x:c>
      <x:c r="R1048" s="265" t="n">
        <x:v>800</x:v>
      </x:c>
      <x:c r="S1048" s="253" t="str">
        <x:v>Yes</x:v>
      </x:c>
      <x:c r="T1048" s="265" t="n">
        <x:v>7850.83</x:v>
      </x:c>
      <x:c r="U1048" s="253" t="str">
        <x:f>IF(AND(S1048="Yes",T1048=0),"Yes","No")</x:f>
        <x:v>No</x:v>
      </x:c>
      <x:c r="V1048" s="253" t="str">
        <x:v>Yes</x:v>
      </x:c>
      <x:c r="W1048" s="253" t="str">
        <x:v>Yes</x:v>
      </x:c>
      <x:c r="X1048" s="259" t="n">
        <x:v>46197.166666666664</x:v>
      </x:c>
      <x:c r="Y1048" s="265" t="n">
        <x:v>2000</x:v>
      </x:c>
      <x:c r="Z1048" s="265" t="n">
        <x:v>2000</x:v>
      </x:c>
      <x:c r="AA1048" s="253" t="str">
        <x:f>IF(V1048="No","Maturing",IF(AND(U1048="Yes",Y1048&gt;0),"Yes","No"))</x:f>
        <x:v>No</x:v>
      </x:c>
      <x:c r="AB1048" s="253" t="str">
        <x:f>IF(W1048="No","Maturing",IF(AND(U1048="Yes",Z1048&gt;0),"Yes","No"))</x:f>
        <x:v>No</x:v>
      </x:c>
      <x:c r="AC1048" s="265" t="n">
        <x:v>600.25</x:v>
      </x:c>
      <x:c r="AD1048" s="265" t="n">
        <x:v>600.25</x:v>
      </x:c>
      <x:c r="AE1048" s="271" t="str"/>
      <x:c r="AF1048" s="274" t="str">
        <x:v>Not validated - no control/holdout</x:v>
      </x:c>
      <x:c r="AG1048" s="277" t="str">
        <x:v>Recovered execution only; assignment date and unclaimed-offer denominator unavailable</x:v>
      </x:c>
    </x:row>
    <x:row r="1049">
      <x:c r="A1049" s="252" t="str">
        <x:v>34704194</x:v>
      </x:c>
      <x:c r="B1049" s="253" t="str">
        <x:v>WS1</x:v>
      </x:c>
      <x:c r="C1049" s="253" t="str">
        <x:v>MB8</x:v>
      </x:c>
      <x:c r="D1049" s="262" t="n">
        <x:v>46197.691157407404</x:v>
      </x:c>
      <x:c r="E1049" s="259" t="n">
        <x:v>46197.166666666664</x:v>
      </x:c>
      <x:c r="F1049" s="253" t="str">
        <x:v>1186487</x:v>
      </x:c>
      <x:c r="G1049" s="253" t="str">
        <x:v>Hello6345</x:v>
      </x:c>
      <x:c r="H1049" s="253" t="str">
        <x:v>Yes</x:v>
      </x:c>
      <x:c r="I1049" s="253" t="str"/>
      <x:c r="J1049" s="253" t="str"/>
      <x:c r="K1049" s="259"/>
      <x:c r="L1049" s="268" t="str">
        <x:f>IFERROR(VLOOKUP(I1049,'Handler-Team Map'!$A$7:$C$17,2,FALSE),"")</x:f>
      </x:c>
      <x:c r="M1049" s="268" t="str">
        <x:f>IFERROR(VLOOKUP(I1049,'Handler-Team Map'!$A$7:$C$17,3,FALSE),"")</x:f>
      </x:c>
      <x:c r="N1049" s="274" t="str">
        <x:v>FT_VM_DEP1000_GET500_1X</x:v>
      </x:c>
      <x:c r="O1049" s="274" t="str">
        <x:v>VIP BONUS - Deposit 1000 Get 500 - 1x TO</x:v>
      </x:c>
      <x:c r="P1049" s="274" t="str">
        <x:v>DepositBonus</x:v>
      </x:c>
      <x:c r="Q1049" s="274" t="str">
        <x:v>Approved</x:v>
      </x:c>
      <x:c r="R1049" s="265" t="n">
        <x:v>500</x:v>
      </x:c>
      <x:c r="S1049" s="253" t="str">
        <x:v>Yes</x:v>
      </x:c>
      <x:c r="T1049" s="265" t="n">
        <x:v>0</x:v>
      </x:c>
      <x:c r="U1049" s="253" t="str">
        <x:f>IF(AND(S1049="Yes",T1049=0),"Yes","No")</x:f>
        <x:v>Yes</x:v>
      </x:c>
      <x:c r="V1049" s="253" t="str">
        <x:v>Yes</x:v>
      </x:c>
      <x:c r="W1049" s="253" t="str">
        <x:v>Yes</x:v>
      </x:c>
      <x:c r="X1049" s="259" t="n">
        <x:v>46197.166666666664</x:v>
      </x:c>
      <x:c r="Y1049" s="265" t="n">
        <x:v>1000</x:v>
      </x:c>
      <x:c r="Z1049" s="265" t="n">
        <x:v>1000</x:v>
      </x:c>
      <x:c r="AA1049" s="253" t="str">
        <x:f>IF(V1049="No","Maturing",IF(AND(U1049="Yes",Y1049&gt;0),"Yes","No"))</x:f>
        <x:v>Yes</x:v>
      </x:c>
      <x:c r="AB1049" s="253" t="str">
        <x:f>IF(W1049="No","Maturing",IF(AND(U1049="Yes",Z1049&gt;0),"Yes","No"))</x:f>
        <x:v>Yes</x:v>
      </x:c>
      <x:c r="AC1049" s="265" t="n">
        <x:v>990.97</x:v>
      </x:c>
      <x:c r="AD1049" s="265" t="n">
        <x:v>990.97</x:v>
      </x:c>
      <x:c r="AE1049" s="271" t="str"/>
      <x:c r="AF1049" s="274" t="str">
        <x:v>Not validated - no control/holdout</x:v>
      </x:c>
      <x:c r="AG1049" s="277" t="str">
        <x:v>Recovered execution only; assignment date and unclaimed-offer denominator unavailable</x:v>
      </x:c>
    </x:row>
    <x:row r="1050">
      <x:c r="A1050" s="252" t="str">
        <x:v>34704276</x:v>
      </x:c>
      <x:c r="B1050" s="253" t="str">
        <x:v>WS1</x:v>
      </x:c>
      <x:c r="C1050" s="253" t="str">
        <x:v>MB8</x:v>
      </x:c>
      <x:c r="D1050" s="262" t="n">
        <x:v>46197.69751157407</x:v>
      </x:c>
      <x:c r="E1050" s="259" t="n">
        <x:v>46197.166666666664</x:v>
      </x:c>
      <x:c r="F1050" s="253" t="str">
        <x:v>215824</x:v>
      </x:c>
      <x:c r="G1050" s="253" t="str">
        <x:v>Dellsam333</x:v>
      </x:c>
      <x:c r="H1050" s="253" t="str">
        <x:v>Yes</x:v>
      </x:c>
      <x:c r="I1050" s="253" t="str">
        <x:v>Claire</x:v>
      </x:c>
      <x:c r="J1050" s="253" t="str">
        <x:v>Claire</x:v>
      </x:c>
      <x:c r="K1050" s="259" t="n">
        <x:v>45659.166666666664</x:v>
      </x:c>
      <x:c r="L1050" s="268" t="str">
        <x:f>IFERROR(VLOOKUP(I1050,'Handler-Team Map'!$A$7:$C$17,2,FALSE),"")</x:f>
      </x:c>
      <x:c r="M1050" s="268" t="str">
        <x:f>IFERROR(VLOOKUP(I1050,'Handler-Team Map'!$A$7:$C$17,3,FALSE),"")</x:f>
      </x:c>
      <x:c r="N1050" s="274" t="str">
        <x:v>FT_VM_DEP1000_GET800_2X</x:v>
      </x:c>
      <x:c r="O1050" s="274" t="str">
        <x:v>VIP BONUS - Deposit 1000 Get 800 - 2x TO</x:v>
      </x:c>
      <x:c r="P1050" s="274" t="str">
        <x:v>DepositBonus</x:v>
      </x:c>
      <x:c r="Q1050" s="274" t="str">
        <x:v>Approved</x:v>
      </x:c>
      <x:c r="R1050" s="265" t="n">
        <x:v>800</x:v>
      </x:c>
      <x:c r="S1050" s="253" t="str">
        <x:v>Yes</x:v>
      </x:c>
      <x:c r="T1050" s="265" t="n">
        <x:v>1000</x:v>
      </x:c>
      <x:c r="U1050" s="253" t="str">
        <x:f>IF(AND(S1050="Yes",T1050=0),"Yes","No")</x:f>
        <x:v>No</x:v>
      </x:c>
      <x:c r="V1050" s="253" t="str">
        <x:v>Yes</x:v>
      </x:c>
      <x:c r="W1050" s="253" t="str">
        <x:v>Yes</x:v>
      </x:c>
      <x:c r="X1050" s="259" t="n">
        <x:v>46197.166666666664</x:v>
      </x:c>
      <x:c r="Y1050" s="265" t="n">
        <x:v>1000</x:v>
      </x:c>
      <x:c r="Z1050" s="265" t="n">
        <x:v>1000</x:v>
      </x:c>
      <x:c r="AA1050" s="253" t="str">
        <x:f>IF(V1050="No","Maturing",IF(AND(U1050="Yes",Y1050&gt;0),"Yes","No"))</x:f>
        <x:v>No</x:v>
      </x:c>
      <x:c r="AB1050" s="253" t="str">
        <x:f>IF(W1050="No","Maturing",IF(AND(U1050="Yes",Z1050&gt;0),"Yes","No"))</x:f>
        <x:v>No</x:v>
      </x:c>
      <x:c r="AC1050" s="265" t="n">
        <x:v>1000</x:v>
      </x:c>
      <x:c r="AD1050" s="265" t="n">
        <x:v>1000</x:v>
      </x:c>
      <x:c r="AE1050" s="271" t="str"/>
      <x:c r="AF1050" s="274" t="str">
        <x:v>Not validated - no control/holdout</x:v>
      </x:c>
      <x:c r="AG1050" s="277" t="str">
        <x:v>Recovered execution only; assignment date and unclaimed-offer denominator unavailable</x:v>
      </x:c>
    </x:row>
    <x:row r="1051">
      <x:c r="A1051" s="252" t="str">
        <x:v>34704485</x:v>
      </x:c>
      <x:c r="B1051" s="253" t="str">
        <x:v>WS1</x:v>
      </x:c>
      <x:c r="C1051" s="253" t="str">
        <x:v>MB8</x:v>
      </x:c>
      <x:c r="D1051" s="262" t="n">
        <x:v>46197.71494212963</x:v>
      </x:c>
      <x:c r="E1051" s="259" t="n">
        <x:v>46197.166666666664</x:v>
      </x:c>
      <x:c r="F1051" s="253" t="str">
        <x:v>1110473</x:v>
      </x:c>
      <x:c r="G1051" s="253" t="str">
        <x:v>AlexTingSieSing</x:v>
      </x:c>
      <x:c r="H1051" s="253" t="str">
        <x:v>Yes</x:v>
      </x:c>
      <x:c r="I1051" s="253" t="str">
        <x:v>zhen</x:v>
      </x:c>
      <x:c r="J1051" s="253" t="str">
        <x:v>zhen</x:v>
      </x:c>
      <x:c r="K1051" s="259" t="n">
        <x:v>45922.166666666664</x:v>
      </x:c>
      <x:c r="L1051" s="268" t="str">
        <x:f>IFERROR(VLOOKUP(I1051,'Handler-Team Map'!$A$7:$C$17,2,FALSE),"")</x:f>
      </x:c>
      <x:c r="M1051" s="268" t="str">
        <x:f>IFERROR(VLOOKUP(I1051,'Handler-Team Map'!$A$7:$C$17,3,FALSE),"")</x:f>
      </x:c>
      <x:c r="N1051" s="274" t="str">
        <x:v>FT_VM_DEP1000_GET500_5X</x:v>
      </x:c>
      <x:c r="O1051" s="274" t="str">
        <x:v>VIP BONUS - Deposit 1000 Get 500 - 5x TO</x:v>
      </x:c>
      <x:c r="P1051" s="274" t="str">
        <x:v>DepositBonus</x:v>
      </x:c>
      <x:c r="Q1051" s="274" t="str">
        <x:v>Approved</x:v>
      </x:c>
      <x:c r="R1051" s="265" t="n">
        <x:v>500</x:v>
      </x:c>
      <x:c r="S1051" s="253" t="str">
        <x:v>Yes</x:v>
      </x:c>
      <x:c r="T1051" s="265" t="n">
        <x:v>7850.83</x:v>
      </x:c>
      <x:c r="U1051" s="253" t="str">
        <x:f>IF(AND(S1051="Yes",T1051=0),"Yes","No")</x:f>
        <x:v>No</x:v>
      </x:c>
      <x:c r="V1051" s="253" t="str">
        <x:v>Yes</x:v>
      </x:c>
      <x:c r="W1051" s="253" t="str">
        <x:v>Yes</x:v>
      </x:c>
      <x:c r="X1051" s="259" t="n">
        <x:v>46197.166666666664</x:v>
      </x:c>
      <x:c r="Y1051" s="265" t="n">
        <x:v>2000</x:v>
      </x:c>
      <x:c r="Z1051" s="265" t="n">
        <x:v>2000</x:v>
      </x:c>
      <x:c r="AA1051" s="253" t="str">
        <x:f>IF(V1051="No","Maturing",IF(AND(U1051="Yes",Y1051&gt;0),"Yes","No"))</x:f>
        <x:v>No</x:v>
      </x:c>
      <x:c r="AB1051" s="253" t="str">
        <x:f>IF(W1051="No","Maturing",IF(AND(U1051="Yes",Z1051&gt;0),"Yes","No"))</x:f>
        <x:v>No</x:v>
      </x:c>
      <x:c r="AC1051" s="265" t="n">
        <x:v>600.25</x:v>
      </x:c>
      <x:c r="AD1051" s="265" t="n">
        <x:v>600.25</x:v>
      </x:c>
      <x:c r="AE1051" s="271" t="str"/>
      <x:c r="AF1051" s="274" t="str">
        <x:v>Not validated - no control/holdout</x:v>
      </x:c>
      <x:c r="AG1051" s="277" t="str">
        <x:v>Recovered execution only; assignment date and unclaimed-offer denominator unavailable</x:v>
      </x:c>
    </x:row>
    <x:row r="1052">
      <x:c r="A1052" s="252" t="str">
        <x:v>34705897</x:v>
      </x:c>
      <x:c r="B1052" s="253" t="str">
        <x:v>WS1</x:v>
      </x:c>
      <x:c r="C1052" s="253" t="str">
        <x:v>MB8</x:v>
      </x:c>
      <x:c r="D1052" s="262" t="n">
        <x:v>46197.812256944446</x:v>
      </x:c>
      <x:c r="E1052" s="259" t="n">
        <x:v>46197.166666666664</x:v>
      </x:c>
      <x:c r="F1052" s="253" t="str">
        <x:v>419229</x:v>
      </x:c>
      <x:c r="G1052" s="253" t="str">
        <x:v>ZERO99</x:v>
      </x:c>
      <x:c r="H1052" s="253" t="str">
        <x:v>Yes</x:v>
      </x:c>
      <x:c r="I1052" s="253" t="str">
        <x:v>Elda</x:v>
      </x:c>
      <x:c r="J1052" s="253" t="str">
        <x:v>Elda</x:v>
      </x:c>
      <x:c r="K1052" s="259" t="n">
        <x:v>45659.166666666664</x:v>
      </x:c>
      <x:c r="L1052" s="268" t="str">
        <x:f>IFERROR(VLOOKUP(I1052,'Handler-Team Map'!$A$7:$C$17,2,FALSE),"")</x:f>
      </x:c>
      <x:c r="M1052" s="268" t="str">
        <x:f>IFERROR(VLOOKUP(I1052,'Handler-Team Map'!$A$7:$C$17,3,FALSE),"")</x:f>
      </x:c>
      <x:c r="N1052" s="274" t="str">
        <x:v>FT_VM_DEP1000_GET800_2X</x:v>
      </x:c>
      <x:c r="O1052" s="274" t="str">
        <x:v>VIP BONUS - Deposit 1000 Get 800 - 2x TO</x:v>
      </x:c>
      <x:c r="P1052" s="274" t="str">
        <x:v>DepositBonus</x:v>
      </x:c>
      <x:c r="Q1052" s="274" t="str">
        <x:v>Approved</x:v>
      </x:c>
      <x:c r="R1052" s="265" t="n">
        <x:v>800</x:v>
      </x:c>
      <x:c r="S1052" s="253" t="str">
        <x:v>Yes</x:v>
      </x:c>
      <x:c r="T1052" s="265" t="n">
        <x:v>3150</x:v>
      </x:c>
      <x:c r="U1052" s="253" t="str">
        <x:f>IF(AND(S1052="Yes",T1052=0),"Yes","No")</x:f>
        <x:v>No</x:v>
      </x:c>
      <x:c r="V1052" s="253" t="str">
        <x:v>Yes</x:v>
      </x:c>
      <x:c r="W1052" s="253" t="str">
        <x:v>Yes</x:v>
      </x:c>
      <x:c r="X1052" s="259" t="n">
        <x:v>46197.166666666664</x:v>
      </x:c>
      <x:c r="Y1052" s="265" t="n">
        <x:v>8000</x:v>
      </x:c>
      <x:c r="Z1052" s="265" t="n">
        <x:v>8290</x:v>
      </x:c>
      <x:c r="AA1052" s="253" t="str">
        <x:f>IF(V1052="No","Maturing",IF(AND(U1052="Yes",Y1052&gt;0),"Yes","No"))</x:f>
        <x:v>No</x:v>
      </x:c>
      <x:c r="AB1052" s="253" t="str">
        <x:f>IF(W1052="No","Maturing",IF(AND(U1052="Yes",Z1052&gt;0),"Yes","No"))</x:f>
        <x:v>No</x:v>
      </x:c>
      <x:c r="AC1052" s="265" t="n">
        <x:v>7662.71</x:v>
      </x:c>
      <x:c r="AD1052" s="265" t="n">
        <x:v>7934.27</x:v>
      </x:c>
      <x:c r="AE1052" s="271" t="str"/>
      <x:c r="AF1052" s="274" t="str">
        <x:v>Not validated - no control/holdout</x:v>
      </x:c>
      <x:c r="AG1052" s="277" t="str">
        <x:v>Recovered execution only; assignment date and unclaimed-offer denominator unavailable</x:v>
      </x:c>
    </x:row>
    <x:row r="1053">
      <x:c r="A1053" s="252" t="str">
        <x:v>34705981</x:v>
      </x:c>
      <x:c r="B1053" s="253" t="str">
        <x:v>WS1</x:v>
      </x:c>
      <x:c r="C1053" s="253" t="str">
        <x:v>MB8</x:v>
      </x:c>
      <x:c r="D1053" s="262" t="n">
        <x:v>46197.81979166667</x:v>
      </x:c>
      <x:c r="E1053" s="259" t="n">
        <x:v>46197.166666666664</x:v>
      </x:c>
      <x:c r="F1053" s="253" t="str">
        <x:v>703632</x:v>
      </x:c>
      <x:c r="G1053" s="253" t="str">
        <x:v>Keyingyeon</x:v>
      </x:c>
      <x:c r="H1053" s="253" t="str">
        <x:v>Yes</x:v>
      </x:c>
      <x:c r="I1053" s="253" t="str">
        <x:v>Tammy</x:v>
      </x:c>
      <x:c r="J1053" s="253" t="str">
        <x:v>Tammy</x:v>
      </x:c>
      <x:c r="K1053" s="259" t="n">
        <x:v>45951.166666666664</x:v>
      </x:c>
      <x:c r="L1053" s="268" t="str">
        <x:f>IFERROR(VLOOKUP(I1053,'Handler-Team Map'!$A$7:$C$17,2,FALSE),"")</x:f>
      </x:c>
      <x:c r="M1053" s="268" t="str">
        <x:f>IFERROR(VLOOKUP(I1053,'Handler-Team Map'!$A$7:$C$17,3,FALSE),"")</x:f>
      </x:c>
      <x:c r="N1053" s="274" t="str">
        <x:v>FT_VM_DEP800_GET400_2X</x:v>
      </x:c>
      <x:c r="O1053" s="274" t="str">
        <x:v>VIP BONUS - Deposit 800 Get 400 - 2x TO</x:v>
      </x:c>
      <x:c r="P1053" s="274" t="str">
        <x:v>DepositBonus</x:v>
      </x:c>
      <x:c r="Q1053" s="274" t="str">
        <x:v>Approved</x:v>
      </x:c>
      <x:c r="R1053" s="265" t="n">
        <x:v>400</x:v>
      </x:c>
      <x:c r="S1053" s="253" t="str">
        <x:v>Yes</x:v>
      </x:c>
      <x:c r="T1053" s="265" t="n">
        <x:v>108441</x:v>
      </x:c>
      <x:c r="U1053" s="253" t="str">
        <x:f>IF(AND(S1053="Yes",T1053=0),"Yes","No")</x:f>
        <x:v>No</x:v>
      </x:c>
      <x:c r="V1053" s="253" t="str">
        <x:v>Yes</x:v>
      </x:c>
      <x:c r="W1053" s="253" t="str">
        <x:v>Yes</x:v>
      </x:c>
      <x:c r="X1053" s="259" t="n">
        <x:v>46197.166666666664</x:v>
      </x:c>
      <x:c r="Y1053" s="265" t="n">
        <x:v>800</x:v>
      </x:c>
      <x:c r="Z1053" s="265" t="n">
        <x:v>5700</x:v>
      </x:c>
      <x:c r="AA1053" s="253" t="str">
        <x:f>IF(V1053="No","Maturing",IF(AND(U1053="Yes",Y1053&gt;0),"Yes","No"))</x:f>
        <x:v>No</x:v>
      </x:c>
      <x:c r="AB1053" s="253" t="str">
        <x:f>IF(W1053="No","Maturing",IF(AND(U1053="Yes",Z1053&gt;0),"Yes","No"))</x:f>
        <x:v>No</x:v>
      </x:c>
      <x:c r="AC1053" s="265" t="n">
        <x:v>790.39</x:v>
      </x:c>
      <x:c r="AD1053" s="265" t="n">
        <x:v>5674.63</x:v>
      </x:c>
      <x:c r="AE1053" s="271" t="str"/>
      <x:c r="AF1053" s="274" t="str">
        <x:v>Not validated - no control/holdout</x:v>
      </x:c>
      <x:c r="AG1053" s="277" t="str">
        <x:v>Recovered execution only; assignment date and unclaimed-offer denominator unavailable</x:v>
      </x:c>
    </x:row>
    <x:row r="1054">
      <x:c r="A1054" s="252" t="str">
        <x:v>34705978</x:v>
      </x:c>
      <x:c r="B1054" s="253" t="str">
        <x:v>WS1</x:v>
      </x:c>
      <x:c r="C1054" s="253" t="str">
        <x:v>MB8</x:v>
      </x:c>
      <x:c r="D1054" s="262" t="n">
        <x:v>46197.81997685185</x:v>
      </x:c>
      <x:c r="E1054" s="259" t="n">
        <x:v>46197.166666666664</x:v>
      </x:c>
      <x:c r="F1054" s="253" t="str">
        <x:v>694503</x:v>
      </x:c>
      <x:c r="G1054" s="253" t="str">
        <x:v>achen63</x:v>
      </x:c>
      <x:c r="H1054" s="253" t="str">
        <x:v>Yes</x:v>
      </x:c>
      <x:c r="I1054" s="253" t="str"/>
      <x:c r="J1054" s="253" t="str"/>
      <x:c r="K1054" s="259"/>
      <x:c r="L1054" s="268" t="str">
        <x:f>IFERROR(VLOOKUP(I1054,'Handler-Team Map'!$A$7:$C$17,2,FALSE),"")</x:f>
      </x:c>
      <x:c r="M1054" s="268" t="str">
        <x:f>IFERROR(VLOOKUP(I1054,'Handler-Team Map'!$A$7:$C$17,3,FALSE),"")</x:f>
      </x:c>
      <x:c r="N1054" s="274" t="str">
        <x:v>FT_VM_DEP1000_GET500_1X</x:v>
      </x:c>
      <x:c r="O1054" s="274" t="str">
        <x:v>VIP BONUS - Deposit 1000 Get 500 - 1x TO</x:v>
      </x:c>
      <x:c r="P1054" s="274" t="str">
        <x:v>DepositBonus</x:v>
      </x:c>
      <x:c r="Q1054" s="274" t="str">
        <x:v>Approved</x:v>
      </x:c>
      <x:c r="R1054" s="265" t="n">
        <x:v>500</x:v>
      </x:c>
      <x:c r="S1054" s="253" t="str">
        <x:v>Yes</x:v>
      </x:c>
      <x:c r="T1054" s="265" t="n">
        <x:v>0</x:v>
      </x:c>
      <x:c r="U1054" s="253" t="str">
        <x:f>IF(AND(S1054="Yes",T1054=0),"Yes","No")</x:f>
        <x:v>Yes</x:v>
      </x:c>
      <x:c r="V1054" s="253" t="str">
        <x:v>Yes</x:v>
      </x:c>
      <x:c r="W1054" s="253" t="str">
        <x:v>Yes</x:v>
      </x:c>
      <x:c r="X1054" s="259" t="n">
        <x:v>46197.166666666664</x:v>
      </x:c>
      <x:c r="Y1054" s="265" t="n">
        <x:v>1000</x:v>
      </x:c>
      <x:c r="Z1054" s="265" t="n">
        <x:v>1000</x:v>
      </x:c>
      <x:c r="AA1054" s="253" t="str">
        <x:f>IF(V1054="No","Maturing",IF(AND(U1054="Yes",Y1054&gt;0),"Yes","No"))</x:f>
        <x:v>Yes</x:v>
      </x:c>
      <x:c r="AB1054" s="253" t="str">
        <x:f>IF(W1054="No","Maturing",IF(AND(U1054="Yes",Z1054&gt;0),"Yes","No"))</x:f>
        <x:v>Yes</x:v>
      </x:c>
      <x:c r="AC1054" s="265" t="n">
        <x:v>-789</x:v>
      </x:c>
      <x:c r="AD1054" s="265" t="n">
        <x:v>-789</x:v>
      </x:c>
      <x:c r="AE1054" s="271" t="str"/>
      <x:c r="AF1054" s="274" t="str">
        <x:v>Not validated - no control/holdout</x:v>
      </x:c>
      <x:c r="AG1054" s="277" t="str">
        <x:v>Recovered execution only; assignment date and unclaimed-offer denominator unavailable</x:v>
      </x:c>
    </x:row>
    <x:row r="1055">
      <x:c r="A1055" s="252" t="str">
        <x:v>34708405</x:v>
      </x:c>
      <x:c r="B1055" s="253" t="str">
        <x:v>WS1</x:v>
      </x:c>
      <x:c r="C1055" s="253" t="str">
        <x:v>MB8</x:v>
      </x:c>
      <x:c r="D1055" s="262" t="n">
        <x:v>46197.98679398148</x:v>
      </x:c>
      <x:c r="E1055" s="259" t="n">
        <x:v>46197.166666666664</x:v>
      </x:c>
      <x:c r="F1055" s="253" t="str">
        <x:v>777311</x:v>
      </x:c>
      <x:c r="G1055" s="253" t="str">
        <x:v>mighty99</x:v>
      </x:c>
      <x:c r="H1055" s="253" t="str">
        <x:v>Yes</x:v>
      </x:c>
      <x:c r="I1055" s="253" t="str">
        <x:v>zhen</x:v>
      </x:c>
      <x:c r="J1055" s="253" t="str">
        <x:v>zhen</x:v>
      </x:c>
      <x:c r="K1055" s="259" t="n">
        <x:v>45922.166666666664</x:v>
      </x:c>
      <x:c r="L1055" s="268" t="str">
        <x:f>IFERROR(VLOOKUP(I1055,'Handler-Team Map'!$A$7:$C$17,2,FALSE),"")</x:f>
      </x:c>
      <x:c r="M1055" s="268" t="str">
        <x:f>IFERROR(VLOOKUP(I1055,'Handler-Team Map'!$A$7:$C$17,3,FALSE),"")</x:f>
      </x:c>
      <x:c r="N1055" s="274" t="str">
        <x:v>FT_VM_DEP1000_GET500_2X</x:v>
      </x:c>
      <x:c r="O1055" s="274" t="str">
        <x:v>VIP BONUS - Deposit 1000 Get 500 - 2x TO</x:v>
      </x:c>
      <x:c r="P1055" s="274" t="str">
        <x:v>DepositBonus</x:v>
      </x:c>
      <x:c r="Q1055" s="274" t="str">
        <x:v>Approved</x:v>
      </x:c>
      <x:c r="R1055" s="265" t="n">
        <x:v>500</x:v>
      </x:c>
      <x:c r="S1055" s="253" t="str">
        <x:v>Yes</x:v>
      </x:c>
      <x:c r="T1055" s="265" t="n">
        <x:v>4890</x:v>
      </x:c>
      <x:c r="U1055" s="253" t="str">
        <x:f>IF(AND(S1055="Yes",T1055=0),"Yes","No")</x:f>
        <x:v>No</x:v>
      </x:c>
      <x:c r="V1055" s="253" t="str">
        <x:v>Yes</x:v>
      </x:c>
      <x:c r="W1055" s="253" t="str">
        <x:v>Yes</x:v>
      </x:c>
      <x:c r="X1055" s="259" t="n">
        <x:v>46197.166666666664</x:v>
      </x:c>
      <x:c r="Y1055" s="265" t="n">
        <x:v>2200</x:v>
      </x:c>
      <x:c r="Z1055" s="265" t="n">
        <x:v>2200</x:v>
      </x:c>
      <x:c r="AA1055" s="253" t="str">
        <x:f>IF(V1055="No","Maturing",IF(AND(U1055="Yes",Y1055&gt;0),"Yes","No"))</x:f>
        <x:v>No</x:v>
      </x:c>
      <x:c r="AB1055" s="253" t="str">
        <x:f>IF(W1055="No","Maturing",IF(AND(U1055="Yes",Z1055&gt;0),"Yes","No"))</x:f>
        <x:v>No</x:v>
      </x:c>
      <x:c r="AC1055" s="265" t="n">
        <x:v>287.38</x:v>
      </x:c>
      <x:c r="AD1055" s="265" t="n">
        <x:v>287.38</x:v>
      </x:c>
      <x:c r="AE1055" s="271" t="str"/>
      <x:c r="AF1055" s="274" t="str">
        <x:v>Not validated - no control/holdout</x:v>
      </x:c>
      <x:c r="AG1055" s="277" t="str">
        <x:v>Recovered execution only; assignment date and unclaimed-offer denominator unavailable</x:v>
      </x:c>
    </x:row>
    <x:row r="1056">
      <x:c r="A1056" s="252" t="str">
        <x:v>34709401</x:v>
      </x:c>
      <x:c r="B1056" s="253" t="str">
        <x:v>WS1</x:v>
      </x:c>
      <x:c r="C1056" s="253" t="str">
        <x:v>MB8</x:v>
      </x:c>
      <x:c r="D1056" s="262" t="n">
        <x:v>46198.04378472222</x:v>
      </x:c>
      <x:c r="E1056" s="259" t="n">
        <x:v>46198.166666666664</x:v>
      </x:c>
      <x:c r="F1056" s="253" t="str">
        <x:v>476126</x:v>
      </x:c>
      <x:c r="G1056" s="253" t="str">
        <x:v>Mahendraj</x:v>
      </x:c>
      <x:c r="H1056" s="253" t="str">
        <x:v>Yes</x:v>
      </x:c>
      <x:c r="I1056" s="253" t="str">
        <x:v>Sheena</x:v>
      </x:c>
      <x:c r="J1056" s="253" t="str">
        <x:v>Sheena</x:v>
      </x:c>
      <x:c r="K1056" s="259" t="n">
        <x:v>46090.166666666664</x:v>
      </x:c>
      <x:c r="L1056" s="268" t="str">
        <x:f>IFERROR(VLOOKUP(I1056,'Handler-Team Map'!$A$7:$C$17,2,FALSE),"")</x:f>
      </x:c>
      <x:c r="M1056" s="268" t="str">
        <x:f>IFERROR(VLOOKUP(I1056,'Handler-Team Map'!$A$7:$C$17,3,FALSE),"")</x:f>
      </x:c>
      <x:c r="N1056" s="274" t="str">
        <x:v>FT_VM_DEP1000_GET500_5X</x:v>
      </x:c>
      <x:c r="O1056" s="274" t="str">
        <x:v>VIP BONUS - Deposit 1000 Get 500 - 5x TO</x:v>
      </x:c>
      <x:c r="P1056" s="274" t="str">
        <x:v>DepositBonus</x:v>
      </x:c>
      <x:c r="Q1056" s="274" t="str">
        <x:v>Approved</x:v>
      </x:c>
      <x:c r="R1056" s="265" t="n">
        <x:v>500</x:v>
      </x:c>
      <x:c r="S1056" s="253" t="str">
        <x:v>Yes</x:v>
      </x:c>
      <x:c r="T1056" s="265" t="n">
        <x:v>2800</x:v>
      </x:c>
      <x:c r="U1056" s="253" t="str">
        <x:f>IF(AND(S1056="Yes",T1056=0),"Yes","No")</x:f>
        <x:v>No</x:v>
      </x:c>
      <x:c r="V1056" s="253" t="str">
        <x:v>Yes</x:v>
      </x:c>
      <x:c r="W1056" s="253" t="str">
        <x:v>Yes</x:v>
      </x:c>
      <x:c r="X1056" s="259" t="n">
        <x:v>46198.166666666664</x:v>
      </x:c>
      <x:c r="Y1056" s="265" t="n">
        <x:v>3900</x:v>
      </x:c>
      <x:c r="Z1056" s="265" t="n">
        <x:v>3900</x:v>
      </x:c>
      <x:c r="AA1056" s="253" t="str">
        <x:f>IF(V1056="No","Maturing",IF(AND(U1056="Yes",Y1056&gt;0),"Yes","No"))</x:f>
        <x:v>No</x:v>
      </x:c>
      <x:c r="AB1056" s="253" t="str">
        <x:f>IF(W1056="No","Maturing",IF(AND(U1056="Yes",Z1056&gt;0),"Yes","No"))</x:f>
        <x:v>No</x:v>
      </x:c>
      <x:c r="AC1056" s="265" t="n">
        <x:v>-350.62</x:v>
      </x:c>
      <x:c r="AD1056" s="265" t="n">
        <x:v>-351.27</x:v>
      </x:c>
      <x:c r="AE1056" s="271" t="str"/>
      <x:c r="AF1056" s="274" t="str">
        <x:v>Not validated - no control/holdout</x:v>
      </x:c>
      <x:c r="AG1056" s="277" t="str">
        <x:v>Recovered execution only; assignment date and unclaimed-offer denominator unavailable</x:v>
      </x:c>
    </x:row>
    <x:row r="1057">
      <x:c r="A1057" s="252" t="str">
        <x:v>34710503</x:v>
      </x:c>
      <x:c r="B1057" s="253" t="str">
        <x:v>WS1</x:v>
      </x:c>
      <x:c r="C1057" s="253" t="str">
        <x:v>MB8</x:v>
      </x:c>
      <x:c r="D1057" s="262" t="n">
        <x:v>46198.12702546296</x:v>
      </x:c>
      <x:c r="E1057" s="259" t="n">
        <x:v>46198.166666666664</x:v>
      </x:c>
      <x:c r="F1057" s="253" t="str">
        <x:v>564867</x:v>
      </x:c>
      <x:c r="G1057" s="253" t="str">
        <x:v>Nageen</x:v>
      </x:c>
      <x:c r="H1057" s="253" t="str">
        <x:v>Yes</x:v>
      </x:c>
      <x:c r="I1057" s="253" t="str">
        <x:v>Claire</x:v>
      </x:c>
      <x:c r="J1057" s="253" t="str">
        <x:v>Claire</x:v>
      </x:c>
      <x:c r="K1057" s="259" t="n">
        <x:v>45659.166666666664</x:v>
      </x:c>
      <x:c r="L1057" s="268" t="str">
        <x:f>IFERROR(VLOOKUP(I1057,'Handler-Team Map'!$A$7:$C$17,2,FALSE),"")</x:f>
      </x:c>
      <x:c r="M1057" s="268" t="str">
        <x:f>IFERROR(VLOOKUP(I1057,'Handler-Team Map'!$A$7:$C$17,3,FALSE),"")</x:f>
      </x:c>
      <x:c r="N1057" s="274" t="str">
        <x:v>FT_VM_DEP800_GET400_2X</x:v>
      </x:c>
      <x:c r="O1057" s="274" t="str">
        <x:v>VIP BONUS - Deposit 800 Get 400 - 2x TO</x:v>
      </x:c>
      <x:c r="P1057" s="274" t="str">
        <x:v>DepositBonus</x:v>
      </x:c>
      <x:c r="Q1057" s="274" t="str">
        <x:v>Approved</x:v>
      </x:c>
      <x:c r="R1057" s="265" t="n">
        <x:v>400</x:v>
      </x:c>
      <x:c r="S1057" s="253" t="str">
        <x:v>Yes</x:v>
      </x:c>
      <x:c r="T1057" s="265" t="n">
        <x:v>81726.28</x:v>
      </x:c>
      <x:c r="U1057" s="253" t="str">
        <x:f>IF(AND(S1057="Yes",T1057=0),"Yes","No")</x:f>
        <x:v>No</x:v>
      </x:c>
      <x:c r="V1057" s="253" t="str">
        <x:v>Yes</x:v>
      </x:c>
      <x:c r="W1057" s="253" t="str">
        <x:v>Yes</x:v>
      </x:c>
      <x:c r="X1057" s="259" t="n">
        <x:v>46198.166666666664</x:v>
      </x:c>
      <x:c r="Y1057" s="265" t="n">
        <x:v>20912</x:v>
      </x:c>
      <x:c r="Z1057" s="265" t="n">
        <x:v>54477</x:v>
      </x:c>
      <x:c r="AA1057" s="253" t="str">
        <x:f>IF(V1057="No","Maturing",IF(AND(U1057="Yes",Y1057&gt;0),"Yes","No"))</x:f>
        <x:v>No</x:v>
      </x:c>
      <x:c r="AB1057" s="253" t="str">
        <x:f>IF(W1057="No","Maturing",IF(AND(U1057="Yes",Z1057&gt;0),"Yes","No"))</x:f>
        <x:v>No</x:v>
      </x:c>
      <x:c r="AC1057" s="265" t="n">
        <x:v>-3444.06</x:v>
      </x:c>
      <x:c r="AD1057" s="265" t="n">
        <x:v>7391.68</x:v>
      </x:c>
      <x:c r="AE1057" s="271" t="str"/>
      <x:c r="AF1057" s="274" t="str">
        <x:v>Not validated - no control/holdout</x:v>
      </x:c>
      <x:c r="AG1057" s="277" t="str">
        <x:v>Recovered execution only; assignment date and unclaimed-offer denominator unavailable</x:v>
      </x:c>
    </x:row>
    <x:row r="1058">
      <x:c r="A1058" s="252" t="str">
        <x:v>34710979</x:v>
      </x:c>
      <x:c r="B1058" s="253" t="str">
        <x:v>WS1</x:v>
      </x:c>
      <x:c r="C1058" s="253" t="str">
        <x:v>MB8</x:v>
      </x:c>
      <x:c r="D1058" s="262" t="n">
        <x:v>46198.193032407406</x:v>
      </x:c>
      <x:c r="E1058" s="259" t="n">
        <x:v>46198.166666666664</x:v>
      </x:c>
      <x:c r="F1058" s="253" t="str">
        <x:v>772894</x:v>
      </x:c>
      <x:c r="G1058" s="253" t="str">
        <x:v>anuar531</x:v>
      </x:c>
      <x:c r="H1058" s="253" t="str">
        <x:v>Yes</x:v>
      </x:c>
      <x:c r="I1058" s="253" t="str">
        <x:v>Claire</x:v>
      </x:c>
      <x:c r="J1058" s="253" t="str">
        <x:v>Claire</x:v>
      </x:c>
      <x:c r="K1058" s="259" t="n">
        <x:v>45659.166666666664</x:v>
      </x:c>
      <x:c r="L1058" s="268" t="str">
        <x:f>IFERROR(VLOOKUP(I1058,'Handler-Team Map'!$A$7:$C$17,2,FALSE),"")</x:f>
      </x:c>
      <x:c r="M1058" s="268" t="str">
        <x:f>IFERROR(VLOOKUP(I1058,'Handler-Team Map'!$A$7:$C$17,3,FALSE),"")</x:f>
      </x:c>
      <x:c r="N1058" s="274" t="str">
        <x:v>FT_VM_DEP1000_GET500_5X</x:v>
      </x:c>
      <x:c r="O1058" s="274" t="str">
        <x:v>VIP BONUS - Deposit 1000 Get 500 - 5x TO</x:v>
      </x:c>
      <x:c r="P1058" s="274" t="str">
        <x:v>DepositBonus</x:v>
      </x:c>
      <x:c r="Q1058" s="274" t="str">
        <x:v>Approved</x:v>
      </x:c>
      <x:c r="R1058" s="265" t="n">
        <x:v>500</x:v>
      </x:c>
      <x:c r="S1058" s="253" t="str">
        <x:v>Yes</x:v>
      </x:c>
      <x:c r="T1058" s="265" t="n">
        <x:v>14682</x:v>
      </x:c>
      <x:c r="U1058" s="253" t="str">
        <x:f>IF(AND(S1058="Yes",T1058=0),"Yes","No")</x:f>
        <x:v>No</x:v>
      </x:c>
      <x:c r="V1058" s="253" t="str">
        <x:v>Yes</x:v>
      </x:c>
      <x:c r="W1058" s="253" t="str">
        <x:v>Yes</x:v>
      </x:c>
      <x:c r="X1058" s="259" t="n">
        <x:v>46198.166666666664</x:v>
      </x:c>
      <x:c r="Y1058" s="265" t="n">
        <x:v>6760</x:v>
      </x:c>
      <x:c r="Z1058" s="265" t="n">
        <x:v>34491</x:v>
      </x:c>
      <x:c r="AA1058" s="253" t="str">
        <x:f>IF(V1058="No","Maturing",IF(AND(U1058="Yes",Y1058&gt;0),"Yes","No"))</x:f>
        <x:v>No</x:v>
      </x:c>
      <x:c r="AB1058" s="253" t="str">
        <x:f>IF(W1058="No","Maturing",IF(AND(U1058="Yes",Z1058&gt;0),"Yes","No"))</x:f>
        <x:v>No</x:v>
      </x:c>
      <x:c r="AC1058" s="265" t="n">
        <x:v>-3136.34</x:v>
      </x:c>
      <x:c r="AD1058" s="265" t="n">
        <x:v>-13811.29</x:v>
      </x:c>
      <x:c r="AE1058" s="271" t="str"/>
      <x:c r="AF1058" s="274" t="str">
        <x:v>Not validated - no control/holdout</x:v>
      </x:c>
      <x:c r="AG1058" s="277" t="str">
        <x:v>Recovered execution only; assignment date and unclaimed-offer denominator unavailable</x:v>
      </x:c>
    </x:row>
    <x:row r="1059">
      <x:c r="A1059" s="252" t="str">
        <x:v>34711290</x:v>
      </x:c>
      <x:c r="B1059" s="253" t="str">
        <x:v>WS1</x:v>
      </x:c>
      <x:c r="C1059" s="253" t="str">
        <x:v>MB8</x:v>
      </x:c>
      <x:c r="D1059" s="262" t="n">
        <x:v>46198.24953703704</x:v>
      </x:c>
      <x:c r="E1059" s="259" t="n">
        <x:v>46198.166666666664</x:v>
      </x:c>
      <x:c r="F1059" s="253" t="str">
        <x:v>565191</x:v>
      </x:c>
      <x:c r="G1059" s="253" t="str">
        <x:v>Sasitaren</x:v>
      </x:c>
      <x:c r="H1059" s="253" t="str">
        <x:v>Yes</x:v>
      </x:c>
      <x:c r="I1059" s="253" t="str">
        <x:v>Kam</x:v>
      </x:c>
      <x:c r="J1059" s="253" t="str">
        <x:v>Kam</x:v>
      </x:c>
      <x:c r="K1059" s="259" t="n">
        <x:v>45951.166666666664</x:v>
      </x:c>
      <x:c r="L1059" s="268" t="str">
        <x:f>IFERROR(VLOOKUP(I1059,'Handler-Team Map'!$A$7:$C$17,2,FALSE),"")</x:f>
      </x:c>
      <x:c r="M1059" s="268" t="str">
        <x:f>IFERROR(VLOOKUP(I1059,'Handler-Team Map'!$A$7:$C$17,3,FALSE),"")</x:f>
      </x:c>
      <x:c r="N1059" s="274" t="str">
        <x:v>FT_VM_DEP1000_GET500_5X</x:v>
      </x:c>
      <x:c r="O1059" s="274" t="str">
        <x:v>VIP BONUS - Deposit 1000 Get 500 - 5x TO</x:v>
      </x:c>
      <x:c r="P1059" s="274" t="str">
        <x:v>DepositBonus</x:v>
      </x:c>
      <x:c r="Q1059" s="274" t="str">
        <x:v>Approved</x:v>
      </x:c>
      <x:c r="R1059" s="265" t="n">
        <x:v>500</x:v>
      </x:c>
      <x:c r="S1059" s="253" t="str">
        <x:v>Yes</x:v>
      </x:c>
      <x:c r="T1059" s="265" t="n">
        <x:v>8253</x:v>
      </x:c>
      <x:c r="U1059" s="253" t="str">
        <x:f>IF(AND(S1059="Yes",T1059=0),"Yes","No")</x:f>
        <x:v>No</x:v>
      </x:c>
      <x:c r="V1059" s="253" t="str">
        <x:v>Yes</x:v>
      </x:c>
      <x:c r="W1059" s="253" t="str">
        <x:v>Yes</x:v>
      </x:c>
      <x:c r="X1059" s="259" t="n">
        <x:v>46198.166666666664</x:v>
      </x:c>
      <x:c r="Y1059" s="265" t="n">
        <x:v>19145</x:v>
      </x:c>
      <x:c r="Z1059" s="265" t="n">
        <x:v>32377</x:v>
      </x:c>
      <x:c r="AA1059" s="253" t="str">
        <x:f>IF(V1059="No","Maturing",IF(AND(U1059="Yes",Y1059&gt;0),"Yes","No"))</x:f>
        <x:v>No</x:v>
      </x:c>
      <x:c r="AB1059" s="253" t="str">
        <x:f>IF(W1059="No","Maturing",IF(AND(U1059="Yes",Z1059&gt;0),"Yes","No"))</x:f>
        <x:v>No</x:v>
      </x:c>
      <x:c r="AC1059" s="265" t="n">
        <x:v>-2622.51</x:v>
      </x:c>
      <x:c r="AD1059" s="265" t="n">
        <x:v>-9081.91</x:v>
      </x:c>
      <x:c r="AE1059" s="271" t="str"/>
      <x:c r="AF1059" s="274" t="str">
        <x:v>Not validated - no control/holdout</x:v>
      </x:c>
      <x:c r="AG1059" s="277" t="str">
        <x:v>Recovered execution only; assignment date and unclaimed-offer denominator unavailable</x:v>
      </x:c>
    </x:row>
    <x:row r="1060">
      <x:c r="A1060" s="252" t="str">
        <x:v>34712188</x:v>
      </x:c>
      <x:c r="B1060" s="253" t="str">
        <x:v>WS1</x:v>
      </x:c>
      <x:c r="C1060" s="253" t="str">
        <x:v>MB8</x:v>
      </x:c>
      <x:c r="D1060" s="262" t="n">
        <x:v>46198.36189814815</x:v>
      </x:c>
      <x:c r="E1060" s="259" t="n">
        <x:v>46198.166666666664</x:v>
      </x:c>
      <x:c r="F1060" s="253" t="str">
        <x:v>112404</x:v>
      </x:c>
      <x:c r="G1060" s="253" t="str">
        <x:v>BossSayaKacak</x:v>
      </x:c>
      <x:c r="H1060" s="253" t="str">
        <x:v>Yes</x:v>
      </x:c>
      <x:c r="I1060" s="253" t="str"/>
      <x:c r="J1060" s="253" t="str"/>
      <x:c r="K1060" s="259"/>
      <x:c r="L1060" s="268" t="str">
        <x:f>IFERROR(VLOOKUP(I1060,'Handler-Team Map'!$A$7:$C$17,2,FALSE),"")</x:f>
      </x:c>
      <x:c r="M1060" s="268" t="str">
        <x:f>IFERROR(VLOOKUP(I1060,'Handler-Team Map'!$A$7:$C$17,3,FALSE),"")</x:f>
      </x:c>
      <x:c r="N1060" s="274" t="str">
        <x:v>FT_VM_DEP1000_GET500_2X</x:v>
      </x:c>
      <x:c r="O1060" s="274" t="str">
        <x:v>VIP BONUS - Deposit 1000 Get 500 - 2x TO</x:v>
      </x:c>
      <x:c r="P1060" s="274" t="str">
        <x:v>DepositBonus</x:v>
      </x:c>
      <x:c r="Q1060" s="274" t="str">
        <x:v>Approved</x:v>
      </x:c>
      <x:c r="R1060" s="265" t="n">
        <x:v>500</x:v>
      </x:c>
      <x:c r="S1060" s="253" t="str">
        <x:v>Yes</x:v>
      </x:c>
      <x:c r="T1060" s="265" t="n">
        <x:v>400</x:v>
      </x:c>
      <x:c r="U1060" s="253" t="str">
        <x:f>IF(AND(S1060="Yes",T1060=0),"Yes","No")</x:f>
        <x:v>No</x:v>
      </x:c>
      <x:c r="V1060" s="253" t="str">
        <x:v>Yes</x:v>
      </x:c>
      <x:c r="W1060" s="253" t="str">
        <x:v>Yes</x:v>
      </x:c>
      <x:c r="X1060" s="259" t="n">
        <x:v>46198.166666666664</x:v>
      </x:c>
      <x:c r="Y1060" s="265" t="n">
        <x:v>1031</x:v>
      </x:c>
      <x:c r="Z1060" s="265" t="n">
        <x:v>1131</x:v>
      </x:c>
      <x:c r="AA1060" s="253" t="str">
        <x:f>IF(V1060="No","Maturing",IF(AND(U1060="Yes",Y1060&gt;0),"Yes","No"))</x:f>
        <x:v>No</x:v>
      </x:c>
      <x:c r="AB1060" s="253" t="str">
        <x:f>IF(W1060="No","Maturing",IF(AND(U1060="Yes",Z1060&gt;0),"Yes","No"))</x:f>
        <x:v>No</x:v>
      </x:c>
      <x:c r="AC1060" s="265" t="n">
        <x:v>-2048.39</x:v>
      </x:c>
      <x:c r="AD1060" s="265" t="n">
        <x:v>-1952.42</x:v>
      </x:c>
      <x:c r="AE1060" s="271" t="str"/>
      <x:c r="AF1060" s="274" t="str">
        <x:v>Not validated - no control/holdout</x:v>
      </x:c>
      <x:c r="AG1060" s="277" t="str">
        <x:v>Recovered execution only; assignment date and unclaimed-offer denominator unavailable</x:v>
      </x:c>
    </x:row>
    <x:row r="1061">
      <x:c r="A1061" s="252" t="str">
        <x:v>34713876</x:v>
      </x:c>
      <x:c r="B1061" s="253" t="str">
        <x:v>WS1</x:v>
      </x:c>
      <x:c r="C1061" s="253" t="str">
        <x:v>MB8</x:v>
      </x:c>
      <x:c r="D1061" s="262" t="n">
        <x:v>46198.50349537037</x:v>
      </x:c>
      <x:c r="E1061" s="259" t="n">
        <x:v>46198.166666666664</x:v>
      </x:c>
      <x:c r="F1061" s="253" t="str">
        <x:v>64201</x:v>
      </x:c>
      <x:c r="G1061" s="253" t="str">
        <x:v>Joker1603</x:v>
      </x:c>
      <x:c r="H1061" s="253" t="str">
        <x:v>Yes</x:v>
      </x:c>
      <x:c r="I1061" s="253" t="str">
        <x:v>Serene</x:v>
      </x:c>
      <x:c r="J1061" s="253" t="str">
        <x:v>Serene</x:v>
      </x:c>
      <x:c r="K1061" s="259" t="n">
        <x:v>46090.166666666664</x:v>
      </x:c>
      <x:c r="L1061" s="268" t="str">
        <x:f>IFERROR(VLOOKUP(I1061,'Handler-Team Map'!$A$7:$C$17,2,FALSE),"")</x:f>
      </x:c>
      <x:c r="M1061" s="268" t="str">
        <x:f>IFERROR(VLOOKUP(I1061,'Handler-Team Map'!$A$7:$C$17,3,FALSE),"")</x:f>
      </x:c>
      <x:c r="N1061" s="274" t="str">
        <x:v>FT_VM_DEP1000_GET1000_1X</x:v>
      </x:c>
      <x:c r="O1061" s="274" t="str">
        <x:v>VIP BONUS - Deposit 1000 Get 1000 - 1x TO</x:v>
      </x:c>
      <x:c r="P1061" s="274" t="str">
        <x:v>DepositBonus</x:v>
      </x:c>
      <x:c r="Q1061" s="274" t="str">
        <x:v>Approved</x:v>
      </x:c>
      <x:c r="R1061" s="265" t="n">
        <x:v>1000</x:v>
      </x:c>
      <x:c r="S1061" s="253" t="str">
        <x:v>Yes</x:v>
      </x:c>
      <x:c r="T1061" s="265" t="n">
        <x:v>1800</x:v>
      </x:c>
      <x:c r="U1061" s="253" t="str">
        <x:f>IF(AND(S1061="Yes",T1061=0),"Yes","No")</x:f>
        <x:v>No</x:v>
      </x:c>
      <x:c r="V1061" s="253" t="str">
        <x:v>Yes</x:v>
      </x:c>
      <x:c r="W1061" s="253" t="str">
        <x:v>Yes</x:v>
      </x:c>
      <x:c r="X1061" s="259" t="n">
        <x:v>46198.166666666664</x:v>
      </x:c>
      <x:c r="Y1061" s="265" t="n">
        <x:v>3200</x:v>
      </x:c>
      <x:c r="Z1061" s="265" t="n">
        <x:v>7650</x:v>
      </x:c>
      <x:c r="AA1061" s="253" t="str">
        <x:f>IF(V1061="No","Maturing",IF(AND(U1061="Yes",Y1061&gt;0),"Yes","No"))</x:f>
        <x:v>No</x:v>
      </x:c>
      <x:c r="AB1061" s="253" t="str">
        <x:f>IF(W1061="No","Maturing",IF(AND(U1061="Yes",Z1061&gt;0),"Yes","No"))</x:f>
        <x:v>No</x:v>
      </x:c>
      <x:c r="AC1061" s="265" t="n">
        <x:v>2814.72</x:v>
      </x:c>
      <x:c r="AD1061" s="265" t="n">
        <x:v>6679.63</x:v>
      </x:c>
      <x:c r="AE1061" s="271" t="str"/>
      <x:c r="AF1061" s="274" t="str">
        <x:v>Not validated - no control/holdout</x:v>
      </x:c>
      <x:c r="AG1061" s="277" t="str">
        <x:v>Recovered execution only; assignment date and unclaimed-offer denominator unavailable</x:v>
      </x:c>
    </x:row>
    <x:row r="1062">
      <x:c r="A1062" s="252" t="str">
        <x:v>34714023</x:v>
      </x:c>
      <x:c r="B1062" s="253" t="str">
        <x:v>WS1</x:v>
      </x:c>
      <x:c r="C1062" s="253" t="str">
        <x:v>MB8</x:v>
      </x:c>
      <x:c r="D1062" s="262" t="n">
        <x:v>46198.51521990741</x:v>
      </x:c>
      <x:c r="E1062" s="259" t="n">
        <x:v>46198.166666666664</x:v>
      </x:c>
      <x:c r="F1062" s="253" t="str">
        <x:v>990003</x:v>
      </x:c>
      <x:c r="G1062" s="253" t="str">
        <x:v>suteraputih</x:v>
      </x:c>
      <x:c r="H1062" s="253" t="str">
        <x:v>Yes</x:v>
      </x:c>
      <x:c r="I1062" s="253" t="str">
        <x:v>zhen</x:v>
      </x:c>
      <x:c r="J1062" s="253" t="str">
        <x:v>zhen</x:v>
      </x:c>
      <x:c r="K1062" s="259" t="n">
        <x:v>45880.166666666664</x:v>
      </x:c>
      <x:c r="L1062" s="268" t="str">
        <x:f>IFERROR(VLOOKUP(I1062,'Handler-Team Map'!$A$7:$C$17,2,FALSE),"")</x:f>
      </x:c>
      <x:c r="M1062" s="268" t="str">
        <x:f>IFERROR(VLOOKUP(I1062,'Handler-Team Map'!$A$7:$C$17,3,FALSE),"")</x:f>
      </x:c>
      <x:c r="N1062" s="274" t="str">
        <x:v>FT_VM_DEP300_GET100_5X</x:v>
      </x:c>
      <x:c r="O1062" s="274" t="str">
        <x:v>VIP BONUS - Deposit 300 Get 100 - 5x TO</x:v>
      </x:c>
      <x:c r="P1062" s="274" t="str">
        <x:v>DepositBonus</x:v>
      </x:c>
      <x:c r="Q1062" s="274" t="str">
        <x:v>Approved</x:v>
      </x:c>
      <x:c r="R1062" s="265" t="n">
        <x:v>100</x:v>
      </x:c>
      <x:c r="S1062" s="253" t="str">
        <x:v>Yes</x:v>
      </x:c>
      <x:c r="T1062" s="265" t="n">
        <x:v>18860</x:v>
      </x:c>
      <x:c r="U1062" s="253" t="str">
        <x:f>IF(AND(S1062="Yes",T1062=0),"Yes","No")</x:f>
        <x:v>No</x:v>
      </x:c>
      <x:c r="V1062" s="253" t="str">
        <x:v>Yes</x:v>
      </x:c>
      <x:c r="W1062" s="253" t="str">
        <x:v>Yes</x:v>
      </x:c>
      <x:c r="X1062" s="259" t="n">
        <x:v>46198.166666666664</x:v>
      </x:c>
      <x:c r="Y1062" s="265" t="n">
        <x:v>9710</x:v>
      </x:c>
      <x:c r="Z1062" s="265" t="n">
        <x:v>12510</x:v>
      </x:c>
      <x:c r="AA1062" s="253" t="str">
        <x:f>IF(V1062="No","Maturing",IF(AND(U1062="Yes",Y1062&gt;0),"Yes","No"))</x:f>
        <x:v>No</x:v>
      </x:c>
      <x:c r="AB1062" s="253" t="str">
        <x:f>IF(W1062="No","Maturing",IF(AND(U1062="Yes",Z1062&gt;0),"Yes","No"))</x:f>
        <x:v>No</x:v>
      </x:c>
      <x:c r="AC1062" s="265" t="n">
        <x:v>5243.12</x:v>
      </x:c>
      <x:c r="AD1062" s="265" t="n">
        <x:v>8042.93</x:v>
      </x:c>
      <x:c r="AE1062" s="271" t="str"/>
      <x:c r="AF1062" s="274" t="str">
        <x:v>Not validated - no control/holdout</x:v>
      </x:c>
      <x:c r="AG1062" s="277" t="str">
        <x:v>Recovered execution only; assignment date and unclaimed-offer denominator unavailable</x:v>
      </x:c>
    </x:row>
    <x:row r="1063">
      <x:c r="A1063" s="252" t="str">
        <x:v>34714530</x:v>
      </x:c>
      <x:c r="B1063" s="253" t="str">
        <x:v>WS1</x:v>
      </x:c>
      <x:c r="C1063" s="253" t="str">
        <x:v>MB8</x:v>
      </x:c>
      <x:c r="D1063" s="262" t="n">
        <x:v>46198.550474537034</x:v>
      </x:c>
      <x:c r="E1063" s="259" t="n">
        <x:v>46198.166666666664</x:v>
      </x:c>
      <x:c r="F1063" s="253" t="str">
        <x:v>782659</x:v>
      </x:c>
      <x:c r="G1063" s="253" t="str">
        <x:v>mdk3747</x:v>
      </x:c>
      <x:c r="H1063" s="253" t="str">
        <x:v>Yes</x:v>
      </x:c>
      <x:c r="I1063" s="253" t="str">
        <x:v>Sheena</x:v>
      </x:c>
      <x:c r="J1063" s="253" t="str">
        <x:v>Sheena</x:v>
      </x:c>
      <x:c r="K1063" s="259" t="n">
        <x:v>46105.166666666664</x:v>
      </x:c>
      <x:c r="L1063" s="268" t="str">
        <x:f>IFERROR(VLOOKUP(I1063,'Handler-Team Map'!$A$7:$C$17,2,FALSE),"")</x:f>
      </x:c>
      <x:c r="M1063" s="268" t="str">
        <x:f>IFERROR(VLOOKUP(I1063,'Handler-Team Map'!$A$7:$C$17,3,FALSE),"")</x:f>
      </x:c>
      <x:c r="N1063" s="274" t="str">
        <x:v>FT_VM_DEP300_GET100_5X</x:v>
      </x:c>
      <x:c r="O1063" s="274" t="str">
        <x:v>VIP BONUS - Deposit 300 Get 100 - 5x TO</x:v>
      </x:c>
      <x:c r="P1063" s="274" t="str">
        <x:v>DepositBonus</x:v>
      </x:c>
      <x:c r="Q1063" s="274" t="str">
        <x:v>Approved</x:v>
      </x:c>
      <x:c r="R1063" s="265" t="n">
        <x:v>100</x:v>
      </x:c>
      <x:c r="S1063" s="253" t="str">
        <x:v>Yes</x:v>
      </x:c>
      <x:c r="T1063" s="265" t="n">
        <x:v>72134</x:v>
      </x:c>
      <x:c r="U1063" s="253" t="str">
        <x:f>IF(AND(S1063="Yes",T1063=0),"Yes","No")</x:f>
        <x:v>No</x:v>
      </x:c>
      <x:c r="V1063" s="253" t="str">
        <x:v>Yes</x:v>
      </x:c>
      <x:c r="W1063" s="253" t="str">
        <x:v>Yes</x:v>
      </x:c>
      <x:c r="X1063" s="259" t="n">
        <x:v>46198.166666666664</x:v>
      </x:c>
      <x:c r="Y1063" s="265" t="n">
        <x:v>27306</x:v>
      </x:c>
      <x:c r="Z1063" s="265" t="n">
        <x:v>57149</x:v>
      </x:c>
      <x:c r="AA1063" s="253" t="str">
        <x:f>IF(V1063="No","Maturing",IF(AND(U1063="Yes",Y1063&gt;0),"Yes","No"))</x:f>
        <x:v>No</x:v>
      </x:c>
      <x:c r="AB1063" s="253" t="str">
        <x:f>IF(W1063="No","Maturing",IF(AND(U1063="Yes",Z1063&gt;0),"Yes","No"))</x:f>
        <x:v>No</x:v>
      </x:c>
      <x:c r="AC1063" s="265" t="n">
        <x:v>10788.68</x:v>
      </x:c>
      <x:c r="AD1063" s="265" t="n">
        <x:v>3652.25</x:v>
      </x:c>
      <x:c r="AE1063" s="271" t="str"/>
      <x:c r="AF1063" s="274" t="str">
        <x:v>Not validated - no control/holdout</x:v>
      </x:c>
      <x:c r="AG1063" s="277" t="str">
        <x:v>Recovered execution only; assignment date and unclaimed-offer denominator unavailable</x:v>
      </x:c>
    </x:row>
    <x:row r="1064">
      <x:c r="A1064" s="252" t="str">
        <x:v>34714543</x:v>
      </x:c>
      <x:c r="B1064" s="253" t="str">
        <x:v>WS1</x:v>
      </x:c>
      <x:c r="C1064" s="253" t="str">
        <x:v>MB8</x:v>
      </x:c>
      <x:c r="D1064" s="262" t="n">
        <x:v>46198.55163194444</x:v>
      </x:c>
      <x:c r="E1064" s="259" t="n">
        <x:v>46198.166666666664</x:v>
      </x:c>
      <x:c r="F1064" s="253" t="str">
        <x:v>567203</x:v>
      </x:c>
      <x:c r="G1064" s="253" t="str">
        <x:v>Booboo</x:v>
      </x:c>
      <x:c r="H1064" s="253" t="str">
        <x:v>Yes</x:v>
      </x:c>
      <x:c r="I1064" s="253" t="str">
        <x:v>Elda</x:v>
      </x:c>
      <x:c r="J1064" s="253" t="str">
        <x:v>Elda</x:v>
      </x:c>
      <x:c r="K1064" s="259" t="n">
        <x:v>45659.166666666664</x:v>
      </x:c>
      <x:c r="L1064" s="268" t="str">
        <x:f>IFERROR(VLOOKUP(I1064,'Handler-Team Map'!$A$7:$C$17,2,FALSE),"")</x:f>
      </x:c>
      <x:c r="M1064" s="268" t="str">
        <x:f>IFERROR(VLOOKUP(I1064,'Handler-Team Map'!$A$7:$C$17,3,FALSE),"")</x:f>
      </x:c>
      <x:c r="N1064" s="274" t="str">
        <x:v>FT_VM_DEP1000_GET500_5X</x:v>
      </x:c>
      <x:c r="O1064" s="274" t="str">
        <x:v>VIP BONUS - Deposit 1000 Get 500 - 5x TO</x:v>
      </x:c>
      <x:c r="P1064" s="274" t="str">
        <x:v>DepositBonus</x:v>
      </x:c>
      <x:c r="Q1064" s="274" t="str">
        <x:v>Approved</x:v>
      </x:c>
      <x:c r="R1064" s="265" t="n">
        <x:v>500</x:v>
      </x:c>
      <x:c r="S1064" s="253" t="str">
        <x:v>Yes</x:v>
      </x:c>
      <x:c r="T1064" s="265" t="n">
        <x:v>50014.23</x:v>
      </x:c>
      <x:c r="U1064" s="253" t="str">
        <x:f>IF(AND(S1064="Yes",T1064=0),"Yes","No")</x:f>
        <x:v>No</x:v>
      </x:c>
      <x:c r="V1064" s="253" t="str">
        <x:v>Yes</x:v>
      </x:c>
      <x:c r="W1064" s="253" t="str">
        <x:v>Yes</x:v>
      </x:c>
      <x:c r="X1064" s="259" t="n">
        <x:v>46198.166666666664</x:v>
      </x:c>
      <x:c r="Y1064" s="265" t="n">
        <x:v>5647</x:v>
      </x:c>
      <x:c r="Z1064" s="265" t="n">
        <x:v>12684</x:v>
      </x:c>
      <x:c r="AA1064" s="253" t="str">
        <x:f>IF(V1064="No","Maturing",IF(AND(U1064="Yes",Y1064&gt;0),"Yes","No"))</x:f>
        <x:v>No</x:v>
      </x:c>
      <x:c r="AB1064" s="253" t="str">
        <x:f>IF(W1064="No","Maturing",IF(AND(U1064="Yes",Z1064&gt;0),"Yes","No"))</x:f>
        <x:v>No</x:v>
      </x:c>
      <x:c r="AC1064" s="265" t="n">
        <x:v>3736.71</x:v>
      </x:c>
      <x:c r="AD1064" s="265" t="n">
        <x:v>9491.54</x:v>
      </x:c>
      <x:c r="AE1064" s="271" t="str"/>
      <x:c r="AF1064" s="274" t="str">
        <x:v>Not validated - no control/holdout</x:v>
      </x:c>
      <x:c r="AG1064" s="277" t="str">
        <x:v>Recovered execution only; assignment date and unclaimed-offer denominator unavailable</x:v>
      </x:c>
    </x:row>
    <x:row r="1065">
      <x:c r="A1065" s="252" t="str">
        <x:v>34715507</x:v>
      </x:c>
      <x:c r="B1065" s="253" t="str">
        <x:v>WS1</x:v>
      </x:c>
      <x:c r="C1065" s="253" t="str">
        <x:v>MB8</x:v>
      </x:c>
      <x:c r="D1065" s="262" t="n">
        <x:v>46198.60775462963</x:v>
      </x:c>
      <x:c r="E1065" s="259" t="n">
        <x:v>46198.166666666664</x:v>
      </x:c>
      <x:c r="F1065" s="253" t="str">
        <x:v>534007</x:v>
      </x:c>
      <x:c r="G1065" s="253" t="str">
        <x:v>sahilyar15</x:v>
      </x:c>
      <x:c r="H1065" s="253" t="str">
        <x:v>Yes</x:v>
      </x:c>
      <x:c r="I1065" s="253" t="str">
        <x:v>Tammy</x:v>
      </x:c>
      <x:c r="J1065" s="253" t="str">
        <x:v>Tammy</x:v>
      </x:c>
      <x:c r="K1065" s="259" t="n">
        <x:v>45951.166666666664</x:v>
      </x:c>
      <x:c r="L1065" s="268" t="str">
        <x:f>IFERROR(VLOOKUP(I1065,'Handler-Team Map'!$A$7:$C$17,2,FALSE),"")</x:f>
      </x:c>
      <x:c r="M1065" s="268" t="str">
        <x:f>IFERROR(VLOOKUP(I1065,'Handler-Team Map'!$A$7:$C$17,3,FALSE),"")</x:f>
      </x:c>
      <x:c r="N1065" s="274" t="str">
        <x:v>FT_VM_DEP1000_GET500_5X</x:v>
      </x:c>
      <x:c r="O1065" s="274" t="str">
        <x:v>VIP BONUS - Deposit 1000 Get 500 - 5x TO</x:v>
      </x:c>
      <x:c r="P1065" s="274" t="str">
        <x:v>DepositBonus</x:v>
      </x:c>
      <x:c r="Q1065" s="274" t="str">
        <x:v>Approved</x:v>
      </x:c>
      <x:c r="R1065" s="265" t="n">
        <x:v>500</x:v>
      </x:c>
      <x:c r="S1065" s="253" t="str">
        <x:v>Yes</x:v>
      </x:c>
      <x:c r="T1065" s="265" t="n">
        <x:v>4775</x:v>
      </x:c>
      <x:c r="U1065" s="253" t="str">
        <x:f>IF(AND(S1065="Yes",T1065=0),"Yes","No")</x:f>
        <x:v>No</x:v>
      </x:c>
      <x:c r="V1065" s="253" t="str">
        <x:v>Yes</x:v>
      </x:c>
      <x:c r="W1065" s="253" t="str">
        <x:v>Yes</x:v>
      </x:c>
      <x:c r="X1065" s="259" t="n">
        <x:v>46198.166666666664</x:v>
      </x:c>
      <x:c r="Y1065" s="265" t="n">
        <x:v>1800</x:v>
      </x:c>
      <x:c r="Z1065" s="265" t="n">
        <x:v>6800</x:v>
      </x:c>
      <x:c r="AA1065" s="253" t="str">
        <x:f>IF(V1065="No","Maturing",IF(AND(U1065="Yes",Y1065&gt;0),"Yes","No"))</x:f>
        <x:v>No</x:v>
      </x:c>
      <x:c r="AB1065" s="253" t="str">
        <x:f>IF(W1065="No","Maturing",IF(AND(U1065="Yes",Z1065&gt;0),"Yes","No"))</x:f>
        <x:v>No</x:v>
      </x:c>
      <x:c r="AC1065" s="265" t="n">
        <x:v>-0.15</x:v>
      </x:c>
      <x:c r="AD1065" s="265" t="n">
        <x:v>2149.74</x:v>
      </x:c>
      <x:c r="AE1065" s="271" t="str"/>
      <x:c r="AF1065" s="274" t="str">
        <x:v>Not validated - no control/holdout</x:v>
      </x:c>
      <x:c r="AG1065" s="277" t="str">
        <x:v>Recovered execution only; assignment date and unclaimed-offer denominator unavailable</x:v>
      </x:c>
    </x:row>
    <x:row r="1066">
      <x:c r="A1066" s="252" t="str">
        <x:v>34715966</x:v>
      </x:c>
      <x:c r="B1066" s="253" t="str">
        <x:v>WS1</x:v>
      </x:c>
      <x:c r="C1066" s="253" t="str">
        <x:v>MB8</x:v>
      </x:c>
      <x:c r="D1066" s="262" t="n">
        <x:v>46198.63657407407</x:v>
      </x:c>
      <x:c r="E1066" s="259" t="n">
        <x:v>46198.166666666664</x:v>
      </x:c>
      <x:c r="F1066" s="253" t="str">
        <x:v>778235</x:v>
      </x:c>
      <x:c r="G1066" s="253" t="str">
        <x:v>Aimanaziman</x:v>
      </x:c>
      <x:c r="H1066" s="253" t="str">
        <x:v>Yes</x:v>
      </x:c>
      <x:c r="I1066" s="253" t="str">
        <x:v>Mikki</x:v>
      </x:c>
      <x:c r="J1066" s="253" t="str">
        <x:v>Mikki</x:v>
      </x:c>
      <x:c r="K1066" s="259" t="n">
        <x:v>46077.166666666664</x:v>
      </x:c>
      <x:c r="L1066" s="268" t="str">
        <x:f>IFERROR(VLOOKUP(I1066,'Handler-Team Map'!$A$7:$C$17,2,FALSE),"")</x:f>
      </x:c>
      <x:c r="M1066" s="268" t="str">
        <x:f>IFERROR(VLOOKUP(I1066,'Handler-Team Map'!$A$7:$C$17,3,FALSE),"")</x:f>
      </x:c>
      <x:c r="N1066" s="274" t="str">
        <x:v>FT_VM_DEP1000_GET500_1X</x:v>
      </x:c>
      <x:c r="O1066" s="274" t="str">
        <x:v>VIP BONUS - Deposit 1000 Get 500 - 1x TO</x:v>
      </x:c>
      <x:c r="P1066" s="274" t="str">
        <x:v>DepositBonus</x:v>
      </x:c>
      <x:c r="Q1066" s="274" t="str">
        <x:v>Approved</x:v>
      </x:c>
      <x:c r="R1066" s="265" t="n">
        <x:v>500</x:v>
      </x:c>
      <x:c r="S1066" s="253" t="str">
        <x:v>Yes</x:v>
      </x:c>
      <x:c r="T1066" s="265" t="n">
        <x:v>0</x:v>
      </x:c>
      <x:c r="U1066" s="253" t="str">
        <x:f>IF(AND(S1066="Yes",T1066=0),"Yes","No")</x:f>
        <x:v>Yes</x:v>
      </x:c>
      <x:c r="V1066" s="253" t="str">
        <x:v>Yes</x:v>
      </x:c>
      <x:c r="W1066" s="253" t="str">
        <x:v>Yes</x:v>
      </x:c>
      <x:c r="X1066" s="259" t="n">
        <x:v>46198.166666666664</x:v>
      </x:c>
      <x:c r="Y1066" s="265" t="n">
        <x:v>1000</x:v>
      </x:c>
      <x:c r="Z1066" s="265" t="n">
        <x:v>1000</x:v>
      </x:c>
      <x:c r="AA1066" s="253" t="str">
        <x:f>IF(V1066="No","Maturing",IF(AND(U1066="Yes",Y1066&gt;0),"Yes","No"))</x:f>
        <x:v>Yes</x:v>
      </x:c>
      <x:c r="AB1066" s="253" t="str">
        <x:f>IF(W1066="No","Maturing",IF(AND(U1066="Yes",Z1066&gt;0),"Yes","No"))</x:f>
        <x:v>Yes</x:v>
      </x:c>
      <x:c r="AC1066" s="265" t="n">
        <x:v>-4530.02</x:v>
      </x:c>
      <x:c r="AD1066" s="265" t="n">
        <x:v>-4530.02</x:v>
      </x:c>
      <x:c r="AE1066" s="271" t="str"/>
      <x:c r="AF1066" s="274" t="str">
        <x:v>Not validated - no control/holdout</x:v>
      </x:c>
      <x:c r="AG1066" s="277" t="str">
        <x:v>Recovered execution only; assignment date and unclaimed-offer denominator unavailable</x:v>
      </x:c>
    </x:row>
    <x:row r="1067">
      <x:c r="A1067" s="252" t="str">
        <x:v>34716153</x:v>
      </x:c>
      <x:c r="B1067" s="253" t="str">
        <x:v>WS1</x:v>
      </x:c>
      <x:c r="C1067" s="253" t="str">
        <x:v>MB8</x:v>
      </x:c>
      <x:c r="D1067" s="262" t="n">
        <x:v>46198.64974537037</x:v>
      </x:c>
      <x:c r="E1067" s="259" t="n">
        <x:v>46198.166666666664</x:v>
      </x:c>
      <x:c r="F1067" s="253" t="str">
        <x:v>773496</x:v>
      </x:c>
      <x:c r="G1067" s="253" t="str">
        <x:v>Nazrul8182</x:v>
      </x:c>
      <x:c r="H1067" s="253" t="str">
        <x:v>Yes</x:v>
      </x:c>
      <x:c r="I1067" s="253" t="str">
        <x:v>zhen</x:v>
      </x:c>
      <x:c r="J1067" s="253" t="str">
        <x:v>zhen</x:v>
      </x:c>
      <x:c r="K1067" s="259" t="n">
        <x:v>45922.166666666664</x:v>
      </x:c>
      <x:c r="L1067" s="268" t="str">
        <x:f>IFERROR(VLOOKUP(I1067,'Handler-Team Map'!$A$7:$C$17,2,FALSE),"")</x:f>
      </x:c>
      <x:c r="M1067" s="268" t="str">
        <x:f>IFERROR(VLOOKUP(I1067,'Handler-Team Map'!$A$7:$C$17,3,FALSE),"")</x:f>
      </x:c>
      <x:c r="N1067" s="274" t="str">
        <x:v>FT_VM_DEP1000_GET800_2X</x:v>
      </x:c>
      <x:c r="O1067" s="274" t="str">
        <x:v>VIP BONUS - Deposit 1000 Get 800 - 2x TO</x:v>
      </x:c>
      <x:c r="P1067" s="274" t="str">
        <x:v>DepositBonus</x:v>
      </x:c>
      <x:c r="Q1067" s="274" t="str">
        <x:v>Approved</x:v>
      </x:c>
      <x:c r="R1067" s="265" t="n">
        <x:v>800</x:v>
      </x:c>
      <x:c r="S1067" s="253" t="str">
        <x:v>Yes</x:v>
      </x:c>
      <x:c r="T1067" s="265" t="n">
        <x:v>2500</x:v>
      </x:c>
      <x:c r="U1067" s="253" t="str">
        <x:f>IF(AND(S1067="Yes",T1067=0),"Yes","No")</x:f>
        <x:v>No</x:v>
      </x:c>
      <x:c r="V1067" s="253" t="str">
        <x:v>Yes</x:v>
      </x:c>
      <x:c r="W1067" s="253" t="str">
        <x:v>Yes</x:v>
      </x:c>
      <x:c r="X1067" s="259" t="n">
        <x:v>46198.166666666664</x:v>
      </x:c>
      <x:c r="Y1067" s="265" t="n">
        <x:v>3000</x:v>
      </x:c>
      <x:c r="Z1067" s="265" t="n">
        <x:v>5500</x:v>
      </x:c>
      <x:c r="AA1067" s="253" t="str">
        <x:f>IF(V1067="No","Maturing",IF(AND(U1067="Yes",Y1067&gt;0),"Yes","No"))</x:f>
        <x:v>No</x:v>
      </x:c>
      <x:c r="AB1067" s="253" t="str">
        <x:f>IF(W1067="No","Maturing",IF(AND(U1067="Yes",Z1067&gt;0),"Yes","No"))</x:f>
        <x:v>No</x:v>
      </x:c>
      <x:c r="AC1067" s="265" t="n">
        <x:v>2996.25</x:v>
      </x:c>
      <x:c r="AD1067" s="265" t="n">
        <x:v>5500.19</x:v>
      </x:c>
      <x:c r="AE1067" s="271" t="str"/>
      <x:c r="AF1067" s="274" t="str">
        <x:v>Not validated - no control/holdout</x:v>
      </x:c>
      <x:c r="AG1067" s="277" t="str">
        <x:v>Recovered execution only; assignment date and unclaimed-offer denominator unavailable</x:v>
      </x:c>
    </x:row>
    <x:row r="1068">
      <x:c r="A1068" s="252" t="str">
        <x:v>34717036</x:v>
      </x:c>
      <x:c r="B1068" s="253" t="str">
        <x:v>WS1</x:v>
      </x:c>
      <x:c r="C1068" s="253" t="str">
        <x:v>MB8</x:v>
      </x:c>
      <x:c r="D1068" s="262" t="n">
        <x:v>46198.702939814815</x:v>
      </x:c>
      <x:c r="E1068" s="259" t="n">
        <x:v>46198.166666666664</x:v>
      </x:c>
      <x:c r="F1068" s="253" t="str">
        <x:v>940819</x:v>
      </x:c>
      <x:c r="G1068" s="253" t="str">
        <x:v>Js7611</x:v>
      </x:c>
      <x:c r="H1068" s="253" t="str">
        <x:v>Yes</x:v>
      </x:c>
      <x:c r="I1068" s="253" t="str">
        <x:v>Tammy</x:v>
      </x:c>
      <x:c r="J1068" s="253" t="str">
        <x:v>Tammy</x:v>
      </x:c>
      <x:c r="K1068" s="259" t="n">
        <x:v>45951.166666666664</x:v>
      </x:c>
      <x:c r="L1068" s="268" t="str">
        <x:f>IFERROR(VLOOKUP(I1068,'Handler-Team Map'!$A$7:$C$17,2,FALSE),"")</x:f>
      </x:c>
      <x:c r="M1068" s="268" t="str">
        <x:f>IFERROR(VLOOKUP(I1068,'Handler-Team Map'!$A$7:$C$17,3,FALSE),"")</x:f>
      </x:c>
      <x:c r="N1068" s="274" t="str">
        <x:v>FT_VM_DEP1000_GET500_5X</x:v>
      </x:c>
      <x:c r="O1068" s="274" t="str">
        <x:v>VIP BONUS - Deposit 1000 Get 500 - 5x TO</x:v>
      </x:c>
      <x:c r="P1068" s="274" t="str">
        <x:v>DepositBonus</x:v>
      </x:c>
      <x:c r="Q1068" s="274" t="str">
        <x:v>Approved</x:v>
      </x:c>
      <x:c r="R1068" s="265" t="n">
        <x:v>500</x:v>
      </x:c>
      <x:c r="S1068" s="253" t="str">
        <x:v>Yes</x:v>
      </x:c>
      <x:c r="T1068" s="265" t="n">
        <x:v>6878</x:v>
      </x:c>
      <x:c r="U1068" s="253" t="str">
        <x:f>IF(AND(S1068="Yes",T1068=0),"Yes","No")</x:f>
        <x:v>No</x:v>
      </x:c>
      <x:c r="V1068" s="253" t="str">
        <x:v>Yes</x:v>
      </x:c>
      <x:c r="W1068" s="253" t="str">
        <x:v>Yes</x:v>
      </x:c>
      <x:c r="X1068" s="259" t="n">
        <x:v>46198.166666666664</x:v>
      </x:c>
      <x:c r="Y1068" s="265" t="n">
        <x:v>9367</x:v>
      </x:c>
      <x:c r="Z1068" s="265" t="n">
        <x:v>10397</x:v>
      </x:c>
      <x:c r="AA1068" s="253" t="str">
        <x:f>IF(V1068="No","Maturing",IF(AND(U1068="Yes",Y1068&gt;0),"Yes","No"))</x:f>
        <x:v>No</x:v>
      </x:c>
      <x:c r="AB1068" s="253" t="str">
        <x:f>IF(W1068="No","Maturing",IF(AND(U1068="Yes",Z1068&gt;0),"Yes","No"))</x:f>
        <x:v>No</x:v>
      </x:c>
      <x:c r="AC1068" s="265" t="n">
        <x:v>2486.81</x:v>
      </x:c>
      <x:c r="AD1068" s="265" t="n">
        <x:v>2846.72</x:v>
      </x:c>
      <x:c r="AE1068" s="271" t="str"/>
      <x:c r="AF1068" s="274" t="str">
        <x:v>Not validated - no control/holdout</x:v>
      </x:c>
      <x:c r="AG1068" s="277" t="str">
        <x:v>Recovered execution only; assignment date and unclaimed-offer denominator unavailable</x:v>
      </x:c>
    </x:row>
    <x:row r="1069">
      <x:c r="A1069" s="252" t="str">
        <x:v>34717444</x:v>
      </x:c>
      <x:c r="B1069" s="253" t="str">
        <x:v>WS1</x:v>
      </x:c>
      <x:c r="C1069" s="253" t="str">
        <x:v>MB8</x:v>
      </x:c>
      <x:c r="D1069" s="262" t="n">
        <x:v>46198.72802083333</x:v>
      </x:c>
      <x:c r="E1069" s="259" t="n">
        <x:v>46198.166666666664</x:v>
      </x:c>
      <x:c r="F1069" s="253" t="str">
        <x:v>587646</x:v>
      </x:c>
      <x:c r="G1069" s="253" t="str">
        <x:v>arilrich</x:v>
      </x:c>
      <x:c r="H1069" s="253" t="str">
        <x:v>Yes</x:v>
      </x:c>
      <x:c r="I1069" s="253" t="str">
        <x:v>Christy</x:v>
      </x:c>
      <x:c r="J1069" s="253" t="str">
        <x:v>Christy</x:v>
      </x:c>
      <x:c r="K1069" s="259" t="n">
        <x:v>45831.166666666664</x:v>
      </x:c>
      <x:c r="L1069" s="268" t="str">
        <x:f>IFERROR(VLOOKUP(I1069,'Handler-Team Map'!$A$7:$C$17,2,FALSE),"")</x:f>
      </x:c>
      <x:c r="M1069" s="268" t="str">
        <x:f>IFERROR(VLOOKUP(I1069,'Handler-Team Map'!$A$7:$C$17,3,FALSE),"")</x:f>
      </x:c>
      <x:c r="N1069" s="274" t="str">
        <x:v>FT_VM_DEP1000_GET500_5X</x:v>
      </x:c>
      <x:c r="O1069" s="274" t="str">
        <x:v>VIP BONUS - Deposit 1000 Get 500 - 5x TO</x:v>
      </x:c>
      <x:c r="P1069" s="274" t="str">
        <x:v>DepositBonus</x:v>
      </x:c>
      <x:c r="Q1069" s="274" t="str">
        <x:v>Approved</x:v>
      </x:c>
      <x:c r="R1069" s="265" t="n">
        <x:v>500</x:v>
      </x:c>
      <x:c r="S1069" s="253" t="str">
        <x:v>Yes</x:v>
      </x:c>
      <x:c r="T1069" s="265" t="n">
        <x:v>2446</x:v>
      </x:c>
      <x:c r="U1069" s="253" t="str">
        <x:f>IF(AND(S1069="Yes",T1069=0),"Yes","No")</x:f>
        <x:v>No</x:v>
      </x:c>
      <x:c r="V1069" s="253" t="str">
        <x:v>Yes</x:v>
      </x:c>
      <x:c r="W1069" s="253" t="str">
        <x:v>Yes</x:v>
      </x:c>
      <x:c r="X1069" s="259" t="n">
        <x:v>46198.166666666664</x:v>
      </x:c>
      <x:c r="Y1069" s="265" t="n">
        <x:v>1685</x:v>
      </x:c>
      <x:c r="Z1069" s="265" t="n">
        <x:v>3085</x:v>
      </x:c>
      <x:c r="AA1069" s="253" t="str">
        <x:f>IF(V1069="No","Maturing",IF(AND(U1069="Yes",Y1069&gt;0),"Yes","No"))</x:f>
        <x:v>No</x:v>
      </x:c>
      <x:c r="AB1069" s="253" t="str">
        <x:f>IF(W1069="No","Maturing",IF(AND(U1069="Yes",Z1069&gt;0),"Yes","No"))</x:f>
        <x:v>No</x:v>
      </x:c>
      <x:c r="AC1069" s="265" t="n">
        <x:v>-1856.76</x:v>
      </x:c>
      <x:c r="AD1069" s="265" t="n">
        <x:v>-3256.18</x:v>
      </x:c>
      <x:c r="AE1069" s="271" t="str"/>
      <x:c r="AF1069" s="274" t="str">
        <x:v>Not validated - no control/holdout</x:v>
      </x:c>
      <x:c r="AG1069" s="277" t="str">
        <x:v>Recovered execution only; assignment date and unclaimed-offer denominator unavailable</x:v>
      </x:c>
    </x:row>
    <x:row r="1070">
      <x:c r="A1070" s="252" t="str">
        <x:v>34717742</x:v>
      </x:c>
      <x:c r="B1070" s="253" t="str">
        <x:v>WS1</x:v>
      </x:c>
      <x:c r="C1070" s="253" t="str">
        <x:v>MB8</x:v>
      </x:c>
      <x:c r="D1070" s="262" t="n">
        <x:v>46198.748773148145</x:v>
      </x:c>
      <x:c r="E1070" s="259" t="n">
        <x:v>46198.166666666664</x:v>
      </x:c>
      <x:c r="F1070" s="253" t="str">
        <x:v>651033</x:v>
      </x:c>
      <x:c r="G1070" s="253" t="str">
        <x:v>Marley051018</x:v>
      </x:c>
      <x:c r="H1070" s="253" t="str">
        <x:v>Yes</x:v>
      </x:c>
      <x:c r="I1070" s="253" t="str">
        <x:v>Elda</x:v>
      </x:c>
      <x:c r="J1070" s="253" t="str">
        <x:v>Elda</x:v>
      </x:c>
      <x:c r="K1070" s="259" t="n">
        <x:v>46090.166666666664</x:v>
      </x:c>
      <x:c r="L1070" s="268" t="str">
        <x:f>IFERROR(VLOOKUP(I1070,'Handler-Team Map'!$A$7:$C$17,2,FALSE),"")</x:f>
      </x:c>
      <x:c r="M1070" s="268" t="str">
        <x:f>IFERROR(VLOOKUP(I1070,'Handler-Team Map'!$A$7:$C$17,3,FALSE),"")</x:f>
      </x:c>
      <x:c r="N1070" s="274" t="str">
        <x:v>FT_VM_DEP300_GET100_5X</x:v>
      </x:c>
      <x:c r="O1070" s="274" t="str">
        <x:v>VIP BONUS - Deposit 300 Get 100 - 5x TO</x:v>
      </x:c>
      <x:c r="P1070" s="274" t="str">
        <x:v>DepositBonus</x:v>
      </x:c>
      <x:c r="Q1070" s="274" t="str">
        <x:v>Approved</x:v>
      </x:c>
      <x:c r="R1070" s="265" t="n">
        <x:v>100</x:v>
      </x:c>
      <x:c r="S1070" s="253" t="str">
        <x:v>Yes</x:v>
      </x:c>
      <x:c r="T1070" s="265" t="n">
        <x:v>0</x:v>
      </x:c>
      <x:c r="U1070" s="253" t="str">
        <x:f>IF(AND(S1070="Yes",T1070=0),"Yes","No")</x:f>
        <x:v>Yes</x:v>
      </x:c>
      <x:c r="V1070" s="253" t="str">
        <x:v>Yes</x:v>
      </x:c>
      <x:c r="W1070" s="253" t="str">
        <x:v>Yes</x:v>
      </x:c>
      <x:c r="X1070" s="259" t="n">
        <x:v>46198.166666666664</x:v>
      </x:c>
      <x:c r="Y1070" s="265" t="n">
        <x:v>3363</x:v>
      </x:c>
      <x:c r="Z1070" s="265" t="n">
        <x:v>4123</x:v>
      </x:c>
      <x:c r="AA1070" s="253" t="str">
        <x:f>IF(V1070="No","Maturing",IF(AND(U1070="Yes",Y1070&gt;0),"Yes","No"))</x:f>
        <x:v>Yes</x:v>
      </x:c>
      <x:c r="AB1070" s="253" t="str">
        <x:f>IF(W1070="No","Maturing",IF(AND(U1070="Yes",Z1070&gt;0),"Yes","No"))</x:f>
        <x:v>Yes</x:v>
      </x:c>
      <x:c r="AC1070" s="265" t="n">
        <x:v>742.96</x:v>
      </x:c>
      <x:c r="AD1070" s="265" t="n">
        <x:v>1826.24</x:v>
      </x:c>
      <x:c r="AE1070" s="271" t="str"/>
      <x:c r="AF1070" s="274" t="str">
        <x:v>Not validated - no control/holdout</x:v>
      </x:c>
      <x:c r="AG1070" s="277" t="str">
        <x:v>Recovered execution only; assignment date and unclaimed-offer denominator unavailable</x:v>
      </x:c>
    </x:row>
    <x:row r="1071">
      <x:c r="A1071" s="252" t="str">
        <x:v>34717984</x:v>
      </x:c>
      <x:c r="B1071" s="253" t="str">
        <x:v>WS1</x:v>
      </x:c>
      <x:c r="C1071" s="253" t="str">
        <x:v>MB8</x:v>
      </x:c>
      <x:c r="D1071" s="262" t="n">
        <x:v>46198.763391203705</x:v>
      </x:c>
      <x:c r="E1071" s="259" t="n">
        <x:v>46198.166666666664</x:v>
      </x:c>
      <x:c r="F1071" s="253" t="str">
        <x:v>539</x:v>
      </x:c>
      <x:c r="G1071" s="253" t="str">
        <x:v>sslssl</x:v>
      </x:c>
      <x:c r="H1071" s="253" t="str">
        <x:v>Yes</x:v>
      </x:c>
      <x:c r="I1071" s="253" t="str">
        <x:v>Elda</x:v>
      </x:c>
      <x:c r="J1071" s="253" t="str">
        <x:v>Elda</x:v>
      </x:c>
      <x:c r="K1071" s="259" t="n">
        <x:v>45659.166666666664</x:v>
      </x:c>
      <x:c r="L1071" s="268" t="str">
        <x:f>IFERROR(VLOOKUP(I1071,'Handler-Team Map'!$A$7:$C$17,2,FALSE),"")</x:f>
      </x:c>
      <x:c r="M1071" s="268" t="str">
        <x:f>IFERROR(VLOOKUP(I1071,'Handler-Team Map'!$A$7:$C$17,3,FALSE),"")</x:f>
      </x:c>
      <x:c r="N1071" s="274" t="str">
        <x:v>FT_VM_DEP1000_GET500_5X</x:v>
      </x:c>
      <x:c r="O1071" s="274" t="str">
        <x:v>VIP BONUS - Deposit 1000 Get 500 - 5x TO</x:v>
      </x:c>
      <x:c r="P1071" s="274" t="str">
        <x:v>DepositBonus</x:v>
      </x:c>
      <x:c r="Q1071" s="274" t="str">
        <x:v>Approved</x:v>
      </x:c>
      <x:c r="R1071" s="265" t="n">
        <x:v>500</x:v>
      </x:c>
      <x:c r="S1071" s="253" t="str">
        <x:v>Yes</x:v>
      </x:c>
      <x:c r="T1071" s="265" t="n">
        <x:v>689290</x:v>
      </x:c>
      <x:c r="U1071" s="253" t="str">
        <x:f>IF(AND(S1071="Yes",T1071=0),"Yes","No")</x:f>
        <x:v>No</x:v>
      </x:c>
      <x:c r="V1071" s="253" t="str">
        <x:v>Yes</x:v>
      </x:c>
      <x:c r="W1071" s="253" t="str">
        <x:v>Yes</x:v>
      </x:c>
      <x:c r="X1071" s="259" t="n">
        <x:v>46198.166666666664</x:v>
      </x:c>
      <x:c r="Y1071" s="265" t="n">
        <x:v>128696</x:v>
      </x:c>
      <x:c r="Z1071" s="265" t="n">
        <x:v>141434</x:v>
      </x:c>
      <x:c r="AA1071" s="253" t="str">
        <x:f>IF(V1071="No","Maturing",IF(AND(U1071="Yes",Y1071&gt;0),"Yes","No"))</x:f>
        <x:v>No</x:v>
      </x:c>
      <x:c r="AB1071" s="253" t="str">
        <x:f>IF(W1071="No","Maturing",IF(AND(U1071="Yes",Z1071&gt;0),"Yes","No"))</x:f>
        <x:v>No</x:v>
      </x:c>
      <x:c r="AC1071" s="265" t="n">
        <x:v>78697.24</x:v>
      </x:c>
      <x:c r="AD1071" s="265" t="n">
        <x:v>81633.79</x:v>
      </x:c>
      <x:c r="AE1071" s="271" t="str"/>
      <x:c r="AF1071" s="274" t="str">
        <x:v>Not validated - no control/holdout</x:v>
      </x:c>
      <x:c r="AG1071" s="277" t="str">
        <x:v>Recovered execution only; assignment date and unclaimed-offer denominator unavailable</x:v>
      </x:c>
    </x:row>
    <x:row r="1072">
      <x:c r="A1072" s="252" t="str">
        <x:v>34718479</x:v>
      </x:c>
      <x:c r="B1072" s="253" t="str">
        <x:v>WS1</x:v>
      </x:c>
      <x:c r="C1072" s="253" t="str">
        <x:v>MB8</x:v>
      </x:c>
      <x:c r="D1072" s="262" t="n">
        <x:v>46198.791354166664</x:v>
      </x:c>
      <x:c r="E1072" s="259" t="n">
        <x:v>46198.166666666664</x:v>
      </x:c>
      <x:c r="F1072" s="253" t="str">
        <x:v>666090</x:v>
      </x:c>
      <x:c r="G1072" s="253" t="str">
        <x:v>Anthony1</x:v>
      </x:c>
      <x:c r="H1072" s="253" t="str">
        <x:v>Yes</x:v>
      </x:c>
      <x:c r="I1072" s="253" t="str">
        <x:v>Mikki</x:v>
      </x:c>
      <x:c r="J1072" s="253" t="str">
        <x:v>Mikki</x:v>
      </x:c>
      <x:c r="K1072" s="259" t="n">
        <x:v>45993.166666666664</x:v>
      </x:c>
      <x:c r="L1072" s="268" t="str">
        <x:f>IFERROR(VLOOKUP(I1072,'Handler-Team Map'!$A$7:$C$17,2,FALSE),"")</x:f>
      </x:c>
      <x:c r="M1072" s="268" t="str">
        <x:f>IFERROR(VLOOKUP(I1072,'Handler-Team Map'!$A$7:$C$17,3,FALSE),"")</x:f>
      </x:c>
      <x:c r="N1072" s="274" t="str">
        <x:v>FT_VM_DEP700_GET300_2X</x:v>
      </x:c>
      <x:c r="O1072" s="274" t="str">
        <x:v>VIP BONUS - Deposit 700 Get 300 - 2x TO</x:v>
      </x:c>
      <x:c r="P1072" s="274" t="str">
        <x:v>DepositBonus</x:v>
      </x:c>
      <x:c r="Q1072" s="274" t="str">
        <x:v>Approved</x:v>
      </x:c>
      <x:c r="R1072" s="265" t="n">
        <x:v>300</x:v>
      </x:c>
      <x:c r="S1072" s="253" t="str">
        <x:v>Yes</x:v>
      </x:c>
      <x:c r="T1072" s="265" t="n">
        <x:v>1300</x:v>
      </x:c>
      <x:c r="U1072" s="253" t="str">
        <x:f>IF(AND(S1072="Yes",T1072=0),"Yes","No")</x:f>
        <x:v>No</x:v>
      </x:c>
      <x:c r="V1072" s="253" t="str">
        <x:v>Yes</x:v>
      </x:c>
      <x:c r="W1072" s="253" t="str">
        <x:v>Yes</x:v>
      </x:c>
      <x:c r="X1072" s="259" t="n">
        <x:v>46198.166666666664</x:v>
      </x:c>
      <x:c r="Y1072" s="265" t="n">
        <x:v>1590</x:v>
      </x:c>
      <x:c r="Z1072" s="265" t="n">
        <x:v>1590</x:v>
      </x:c>
      <x:c r="AA1072" s="253" t="str">
        <x:f>IF(V1072="No","Maturing",IF(AND(U1072="Yes",Y1072&gt;0),"Yes","No"))</x:f>
        <x:v>No</x:v>
      </x:c>
      <x:c r="AB1072" s="253" t="str">
        <x:f>IF(W1072="No","Maturing",IF(AND(U1072="Yes",Z1072&gt;0),"Yes","No"))</x:f>
        <x:v>No</x:v>
      </x:c>
      <x:c r="AC1072" s="265" t="n">
        <x:v>651.48</x:v>
      </x:c>
      <x:c r="AD1072" s="265" t="n">
        <x:v>651.48</x:v>
      </x:c>
      <x:c r="AE1072" s="271" t="str"/>
      <x:c r="AF1072" s="274" t="str">
        <x:v>Not validated - no control/holdout</x:v>
      </x:c>
      <x:c r="AG1072" s="277" t="str">
        <x:v>Recovered execution only; assignment date and unclaimed-offer denominator unavailable</x:v>
      </x:c>
    </x:row>
    <x:row r="1073">
      <x:c r="A1073" s="252" t="str">
        <x:v>34718824</x:v>
      </x:c>
      <x:c r="B1073" s="253" t="str">
        <x:v>WS1</x:v>
      </x:c>
      <x:c r="C1073" s="253" t="str">
        <x:v>MB8</x:v>
      </x:c>
      <x:c r="D1073" s="262" t="n">
        <x:v>46198.814722222225</x:v>
      </x:c>
      <x:c r="E1073" s="259" t="n">
        <x:v>46198.166666666664</x:v>
      </x:c>
      <x:c r="F1073" s="253" t="str">
        <x:v>600413</x:v>
      </x:c>
      <x:c r="G1073" s="253" t="str">
        <x:v>Fung1302</x:v>
      </x:c>
      <x:c r="H1073" s="253" t="str">
        <x:v>Yes</x:v>
      </x:c>
      <x:c r="I1073" s="253" t="str">
        <x:v>Christy</x:v>
      </x:c>
      <x:c r="J1073" s="253" t="str">
        <x:v>Christy</x:v>
      </x:c>
      <x:c r="K1073" s="259" t="n">
        <x:v>45859.166666666664</x:v>
      </x:c>
      <x:c r="L1073" s="268" t="str">
        <x:f>IFERROR(VLOOKUP(I1073,'Handler-Team Map'!$A$7:$C$17,2,FALSE),"")</x:f>
      </x:c>
      <x:c r="M1073" s="268" t="str">
        <x:f>IFERROR(VLOOKUP(I1073,'Handler-Team Map'!$A$7:$C$17,3,FALSE),"")</x:f>
      </x:c>
      <x:c r="N1073" s="274" t="str">
        <x:v>FT_VM_DEP1000_GET500_1X</x:v>
      </x:c>
      <x:c r="O1073" s="274" t="str">
        <x:v>VIP BONUS - Deposit 1000 Get 500 - 1x TO</x:v>
      </x:c>
      <x:c r="P1073" s="274" t="str">
        <x:v>DepositBonus</x:v>
      </x:c>
      <x:c r="Q1073" s="274" t="str">
        <x:v>Approved</x:v>
      </x:c>
      <x:c r="R1073" s="265" t="n">
        <x:v>500</x:v>
      </x:c>
      <x:c r="S1073" s="253" t="str">
        <x:v>Yes</x:v>
      </x:c>
      <x:c r="T1073" s="265" t="n">
        <x:v>0</x:v>
      </x:c>
      <x:c r="U1073" s="253" t="str">
        <x:f>IF(AND(S1073="Yes",T1073=0),"Yes","No")</x:f>
        <x:v>Yes</x:v>
      </x:c>
      <x:c r="V1073" s="253" t="str">
        <x:v>Yes</x:v>
      </x:c>
      <x:c r="W1073" s="253" t="str">
        <x:v>Yes</x:v>
      </x:c>
      <x:c r="X1073" s="259" t="n">
        <x:v>46198.166666666664</x:v>
      </x:c>
      <x:c r="Y1073" s="265" t="n">
        <x:v>1849</x:v>
      </x:c>
      <x:c r="Z1073" s="265" t="n">
        <x:v>1849</x:v>
      </x:c>
      <x:c r="AA1073" s="253" t="str">
        <x:f>IF(V1073="No","Maturing",IF(AND(U1073="Yes",Y1073&gt;0),"Yes","No"))</x:f>
        <x:v>Yes</x:v>
      </x:c>
      <x:c r="AB1073" s="253" t="str">
        <x:f>IF(W1073="No","Maturing",IF(AND(U1073="Yes",Z1073&gt;0),"Yes","No"))</x:f>
        <x:v>Yes</x:v>
      </x:c>
      <x:c r="AC1073" s="265" t="n">
        <x:v>349</x:v>
      </x:c>
      <x:c r="AD1073" s="265" t="n">
        <x:v>259.29</x:v>
      </x:c>
      <x:c r="AE1073" s="271" t="str"/>
      <x:c r="AF1073" s="274" t="str">
        <x:v>Not validated - no control/holdout</x:v>
      </x:c>
      <x:c r="AG1073" s="277" t="str">
        <x:v>Recovered execution only; assignment date and unclaimed-offer denominator unavailable</x:v>
      </x:c>
    </x:row>
    <x:row r="1074">
      <x:c r="A1074" s="252" t="str">
        <x:v>34719940</x:v>
      </x:c>
      <x:c r="B1074" s="253" t="str">
        <x:v>WS1</x:v>
      </x:c>
      <x:c r="C1074" s="253" t="str">
        <x:v>MB8</x:v>
      </x:c>
      <x:c r="D1074" s="262" t="n">
        <x:v>46198.88575231482</x:v>
      </x:c>
      <x:c r="E1074" s="259" t="n">
        <x:v>46198.166666666664</x:v>
      </x:c>
      <x:c r="F1074" s="253" t="str">
        <x:v>629259</x:v>
      </x:c>
      <x:c r="G1074" s="253" t="str">
        <x:v>rayyanchua1991</x:v>
      </x:c>
      <x:c r="H1074" s="253" t="str">
        <x:v>Yes</x:v>
      </x:c>
      <x:c r="I1074" s="253" t="str">
        <x:v>zhen</x:v>
      </x:c>
      <x:c r="J1074" s="253" t="str">
        <x:v>zhen</x:v>
      </x:c>
      <x:c r="K1074" s="259" t="n">
        <x:v>45880.166666666664</x:v>
      </x:c>
      <x:c r="L1074" s="268" t="str">
        <x:f>IFERROR(VLOOKUP(I1074,'Handler-Team Map'!$A$7:$C$17,2,FALSE),"")</x:f>
      </x:c>
      <x:c r="M1074" s="268" t="str">
        <x:f>IFERROR(VLOOKUP(I1074,'Handler-Team Map'!$A$7:$C$17,3,FALSE),"")</x:f>
      </x:c>
      <x:c r="N1074" s="274" t="str">
        <x:v>FT_VM_DEP1000_GET500_5X</x:v>
      </x:c>
      <x:c r="O1074" s="274" t="str">
        <x:v>VIP BONUS - Deposit 1000 Get 500 - 5x TO</x:v>
      </x:c>
      <x:c r="P1074" s="274" t="str">
        <x:v>DepositBonus</x:v>
      </x:c>
      <x:c r="Q1074" s="274" t="str">
        <x:v>Approved</x:v>
      </x:c>
      <x:c r="R1074" s="265" t="n">
        <x:v>500</x:v>
      </x:c>
      <x:c r="S1074" s="253" t="str">
        <x:v>Yes</x:v>
      </x:c>
      <x:c r="T1074" s="265" t="n">
        <x:v>4485</x:v>
      </x:c>
      <x:c r="U1074" s="253" t="str">
        <x:f>IF(AND(S1074="Yes",T1074=0),"Yes","No")</x:f>
        <x:v>No</x:v>
      </x:c>
      <x:c r="V1074" s="253" t="str">
        <x:v>Yes</x:v>
      </x:c>
      <x:c r="W1074" s="253" t="str">
        <x:v>Yes</x:v>
      </x:c>
      <x:c r="X1074" s="259" t="n">
        <x:v>46198.166666666664</x:v>
      </x:c>
      <x:c r="Y1074" s="265" t="n">
        <x:v>4000</x:v>
      </x:c>
      <x:c r="Z1074" s="265" t="n">
        <x:v>5070</x:v>
      </x:c>
      <x:c r="AA1074" s="253" t="str">
        <x:f>IF(V1074="No","Maturing",IF(AND(U1074="Yes",Y1074&gt;0),"Yes","No"))</x:f>
        <x:v>No</x:v>
      </x:c>
      <x:c r="AB1074" s="253" t="str">
        <x:f>IF(W1074="No","Maturing",IF(AND(U1074="Yes",Z1074&gt;0),"Yes","No"))</x:f>
        <x:v>No</x:v>
      </x:c>
      <x:c r="AC1074" s="265" t="n">
        <x:v>2200</x:v>
      </x:c>
      <x:c r="AD1074" s="265" t="n">
        <x:v>3010</x:v>
      </x:c>
      <x:c r="AE1074" s="271" t="str"/>
      <x:c r="AF1074" s="274" t="str">
        <x:v>Not validated - no control/holdout</x:v>
      </x:c>
      <x:c r="AG1074" s="277" t="str">
        <x:v>Recovered execution only; assignment date and unclaimed-offer denominator unavailable</x:v>
      </x:c>
    </x:row>
    <x:row r="1075">
      <x:c r="A1075" s="252" t="str">
        <x:v>34720161</x:v>
      </x:c>
      <x:c r="B1075" s="253" t="str">
        <x:v>WS1</x:v>
      </x:c>
      <x:c r="C1075" s="253" t="str">
        <x:v>MB8</x:v>
      </x:c>
      <x:c r="D1075" s="262" t="n">
        <x:v>46198.89884259259</x:v>
      </x:c>
      <x:c r="E1075" s="259" t="n">
        <x:v>46198.166666666664</x:v>
      </x:c>
      <x:c r="F1075" s="253" t="str">
        <x:v>609181</x:v>
      </x:c>
      <x:c r="G1075" s="253" t="str">
        <x:v>Tamyusiong</x:v>
      </x:c>
      <x:c r="H1075" s="253" t="str">
        <x:v>Yes</x:v>
      </x:c>
      <x:c r="I1075" s="253" t="str">
        <x:v>Christy</x:v>
      </x:c>
      <x:c r="J1075" s="253" t="str">
        <x:v>Christy</x:v>
      </x:c>
      <x:c r="K1075" s="259" t="n">
        <x:v>45859.166666666664</x:v>
      </x:c>
      <x:c r="L1075" s="268" t="str">
        <x:f>IFERROR(VLOOKUP(I1075,'Handler-Team Map'!$A$7:$C$17,2,FALSE),"")</x:f>
      </x:c>
      <x:c r="M1075" s="268" t="str">
        <x:f>IFERROR(VLOOKUP(I1075,'Handler-Team Map'!$A$7:$C$17,3,FALSE),"")</x:f>
      </x:c>
      <x:c r="N1075" s="274" t="str">
        <x:v>FT_VM_DEP1000_GET500_5X</x:v>
      </x:c>
      <x:c r="O1075" s="274" t="str">
        <x:v>VIP BONUS - Deposit 1000 Get 500 - 5x TO</x:v>
      </x:c>
      <x:c r="P1075" s="274" t="str">
        <x:v>DepositBonus</x:v>
      </x:c>
      <x:c r="Q1075" s="274" t="str">
        <x:v>Approved</x:v>
      </x:c>
      <x:c r="R1075" s="265" t="n">
        <x:v>500</x:v>
      </x:c>
      <x:c r="S1075" s="253" t="str">
        <x:v>Yes</x:v>
      </x:c>
      <x:c r="T1075" s="265" t="n">
        <x:v>1900</x:v>
      </x:c>
      <x:c r="U1075" s="253" t="str">
        <x:f>IF(AND(S1075="Yes",T1075=0),"Yes","No")</x:f>
        <x:v>No</x:v>
      </x:c>
      <x:c r="V1075" s="253" t="str">
        <x:v>Yes</x:v>
      </x:c>
      <x:c r="W1075" s="253" t="str">
        <x:v>Yes</x:v>
      </x:c>
      <x:c r="X1075" s="259" t="n">
        <x:v>46198.166666666664</x:v>
      </x:c>
      <x:c r="Y1075" s="265" t="n">
        <x:v>4550</x:v>
      </x:c>
      <x:c r="Z1075" s="265" t="n">
        <x:v>5950</x:v>
      </x:c>
      <x:c r="AA1075" s="253" t="str">
        <x:f>IF(V1075="No","Maturing",IF(AND(U1075="Yes",Y1075&gt;0),"Yes","No"))</x:f>
        <x:v>No</x:v>
      </x:c>
      <x:c r="AB1075" s="253" t="str">
        <x:f>IF(W1075="No","Maturing",IF(AND(U1075="Yes",Z1075&gt;0),"Yes","No"))</x:f>
        <x:v>No</x:v>
      </x:c>
      <x:c r="AC1075" s="265" t="n">
        <x:v>-572.5</x:v>
      </x:c>
      <x:c r="AD1075" s="265" t="n">
        <x:v>-2015.69</x:v>
      </x:c>
      <x:c r="AE1075" s="271" t="str"/>
      <x:c r="AF1075" s="274" t="str">
        <x:v>Not validated - no control/holdout</x:v>
      </x:c>
      <x:c r="AG1075" s="277" t="str">
        <x:v>Recovered execution only; assignment date and unclaimed-offer denominator unavailable</x:v>
      </x:c>
    </x:row>
    <x:row r="1076">
      <x:c r="A1076" s="252" t="str">
        <x:v>34720372</x:v>
      </x:c>
      <x:c r="B1076" s="253" t="str">
        <x:v>WS1</x:v>
      </x:c>
      <x:c r="C1076" s="253" t="str">
        <x:v>MB8</x:v>
      </x:c>
      <x:c r="D1076" s="262" t="n">
        <x:v>46198.91200231481</x:v>
      </x:c>
      <x:c r="E1076" s="259" t="n">
        <x:v>46198.166666666664</x:v>
      </x:c>
      <x:c r="F1076" s="253" t="str">
        <x:v>1025832</x:v>
      </x:c>
      <x:c r="G1076" s="253" t="str">
        <x:v>Kenyongwk</x:v>
      </x:c>
      <x:c r="H1076" s="253" t="str">
        <x:v>Yes</x:v>
      </x:c>
      <x:c r="I1076" s="253" t="str">
        <x:v>zhen</x:v>
      </x:c>
      <x:c r="J1076" s="253" t="str">
        <x:v>zhen</x:v>
      </x:c>
      <x:c r="K1076" s="259" t="n">
        <x:v>45985.166666666664</x:v>
      </x:c>
      <x:c r="L1076" s="268" t="str">
        <x:f>IFERROR(VLOOKUP(I1076,'Handler-Team Map'!$A$7:$C$17,2,FALSE),"")</x:f>
      </x:c>
      <x:c r="M1076" s="268" t="str">
        <x:f>IFERROR(VLOOKUP(I1076,'Handler-Team Map'!$A$7:$C$17,3,FALSE),"")</x:f>
      </x:c>
      <x:c r="N1076" s="274" t="str">
        <x:v>FT_VM_DEP600_GET200_5X</x:v>
      </x:c>
      <x:c r="O1076" s="274" t="str">
        <x:v>VIP BONUS - Deposit 600 Get 200 - 5x TO</x:v>
      </x:c>
      <x:c r="P1076" s="274" t="str">
        <x:v>DepositBonus</x:v>
      </x:c>
      <x:c r="Q1076" s="274" t="str">
        <x:v>Approved</x:v>
      </x:c>
      <x:c r="R1076" s="265" t="n">
        <x:v>200</x:v>
      </x:c>
      <x:c r="S1076" s="253" t="str">
        <x:v>Yes</x:v>
      </x:c>
      <x:c r="T1076" s="265" t="n">
        <x:v>57100</x:v>
      </x:c>
      <x:c r="U1076" s="253" t="str">
        <x:f>IF(AND(S1076="Yes",T1076=0),"Yes","No")</x:f>
        <x:v>No</x:v>
      </x:c>
      <x:c r="V1076" s="253" t="str">
        <x:v>Yes</x:v>
      </x:c>
      <x:c r="W1076" s="253" t="str">
        <x:v>Yes</x:v>
      </x:c>
      <x:c r="X1076" s="259" t="n">
        <x:v>46198.166666666664</x:v>
      </x:c>
      <x:c r="Y1076" s="265" t="n">
        <x:v>7700</x:v>
      </x:c>
      <x:c r="Z1076" s="265" t="n">
        <x:v>14600</x:v>
      </x:c>
      <x:c r="AA1076" s="253" t="str">
        <x:f>IF(V1076="No","Maturing",IF(AND(U1076="Yes",Y1076&gt;0),"Yes","No"))</x:f>
        <x:v>No</x:v>
      </x:c>
      <x:c r="AB1076" s="253" t="str">
        <x:f>IF(W1076="No","Maturing",IF(AND(U1076="Yes",Z1076&gt;0),"Yes","No"))</x:f>
        <x:v>No</x:v>
      </x:c>
      <x:c r="AC1076" s="265" t="n">
        <x:v>3601.03</x:v>
      </x:c>
      <x:c r="AD1076" s="265" t="n">
        <x:v>7990.78</x:v>
      </x:c>
      <x:c r="AE1076" s="271" t="str"/>
      <x:c r="AF1076" s="274" t="str">
        <x:v>Not validated - no control/holdout</x:v>
      </x:c>
      <x:c r="AG1076" s="277" t="str">
        <x:v>Recovered execution only; assignment date and unclaimed-offer denominator unavailable</x:v>
      </x:c>
    </x:row>
    <x:row r="1077">
      <x:c r="A1077" s="252" t="str">
        <x:v>34721064</x:v>
      </x:c>
      <x:c r="B1077" s="253" t="str">
        <x:v>WS1</x:v>
      </x:c>
      <x:c r="C1077" s="253" t="str">
        <x:v>MB8</x:v>
      </x:c>
      <x:c r="D1077" s="262" t="n">
        <x:v>46198.94756944444</x:v>
      </x:c>
      <x:c r="E1077" s="259" t="n">
        <x:v>46198.166666666664</x:v>
      </x:c>
      <x:c r="F1077" s="253" t="str">
        <x:v>37007</x:v>
      </x:c>
      <x:c r="G1077" s="253" t="str">
        <x:v>KuLelaki</x:v>
      </x:c>
      <x:c r="H1077" s="253" t="str">
        <x:v>Yes</x:v>
      </x:c>
      <x:c r="I1077" s="253" t="str">
        <x:v>Elda</x:v>
      </x:c>
      <x:c r="J1077" s="253" t="str">
        <x:v>Elda</x:v>
      </x:c>
      <x:c r="K1077" s="259" t="n">
        <x:v>45659.166666666664</x:v>
      </x:c>
      <x:c r="L1077" s="268" t="str">
        <x:f>IFERROR(VLOOKUP(I1077,'Handler-Team Map'!$A$7:$C$17,2,FALSE),"")</x:f>
      </x:c>
      <x:c r="M1077" s="268" t="str">
        <x:f>IFERROR(VLOOKUP(I1077,'Handler-Team Map'!$A$7:$C$17,3,FALSE),"")</x:f>
      </x:c>
      <x:c r="N1077" s="274" t="str">
        <x:v>FT_VM_DEP1000_GET800_2X</x:v>
      </x:c>
      <x:c r="O1077" s="274" t="str">
        <x:v>VIP BONUS - Deposit 1000 Get 800 - 2x TO</x:v>
      </x:c>
      <x:c r="P1077" s="274" t="str">
        <x:v>DepositBonus</x:v>
      </x:c>
      <x:c r="Q1077" s="274" t="str">
        <x:v>Approved</x:v>
      </x:c>
      <x:c r="R1077" s="265" t="n">
        <x:v>800</x:v>
      </x:c>
      <x:c r="S1077" s="253" t="str">
        <x:v>Yes</x:v>
      </x:c>
      <x:c r="T1077" s="265" t="n">
        <x:v>2900</x:v>
      </x:c>
      <x:c r="U1077" s="253" t="str">
        <x:f>IF(AND(S1077="Yes",T1077=0),"Yes","No")</x:f>
        <x:v>No</x:v>
      </x:c>
      <x:c r="V1077" s="253" t="str">
        <x:v>Yes</x:v>
      </x:c>
      <x:c r="W1077" s="253" t="str">
        <x:v>Yes</x:v>
      </x:c>
      <x:c r="X1077" s="259" t="n">
        <x:v>46198.166666666664</x:v>
      </x:c>
      <x:c r="Y1077" s="265" t="n">
        <x:v>2050</x:v>
      </x:c>
      <x:c r="Z1077" s="265" t="n">
        <x:v>2050</x:v>
      </x:c>
      <x:c r="AA1077" s="253" t="str">
        <x:f>IF(V1077="No","Maturing",IF(AND(U1077="Yes",Y1077&gt;0),"Yes","No"))</x:f>
        <x:v>No</x:v>
      </x:c>
      <x:c r="AB1077" s="253" t="str">
        <x:f>IF(W1077="No","Maturing",IF(AND(U1077="Yes",Z1077&gt;0),"Yes","No"))</x:f>
        <x:v>No</x:v>
      </x:c>
      <x:c r="AC1077" s="265" t="n">
        <x:v>23.42</x:v>
      </x:c>
      <x:c r="AD1077" s="265" t="n">
        <x:v>23.42</x:v>
      </x:c>
      <x:c r="AE1077" s="271" t="str"/>
      <x:c r="AF1077" s="274" t="str">
        <x:v>Not validated - no control/holdout</x:v>
      </x:c>
      <x:c r="AG1077" s="277" t="str">
        <x:v>Recovered execution only; assignment date and unclaimed-offer denominator unavailable</x:v>
      </x:c>
    </x:row>
    <x:row r="1078">
      <x:c r="A1078" s="252" t="str">
        <x:v>34721289</x:v>
      </x:c>
      <x:c r="B1078" s="253" t="str">
        <x:v>WS1</x:v>
      </x:c>
      <x:c r="C1078" s="253" t="str">
        <x:v>MB8</x:v>
      </x:c>
      <x:c r="D1078" s="262" t="n">
        <x:v>46198.95936342593</x:v>
      </x:c>
      <x:c r="E1078" s="259" t="n">
        <x:v>46198.166666666664</x:v>
      </x:c>
      <x:c r="F1078" s="253" t="str">
        <x:v>672000</x:v>
      </x:c>
      <x:c r="G1078" s="253" t="str">
        <x:v>Alexseng67</x:v>
      </x:c>
      <x:c r="H1078" s="253" t="str">
        <x:v>Yes</x:v>
      </x:c>
      <x:c r="I1078" s="253" t="str"/>
      <x:c r="J1078" s="253" t="str"/>
      <x:c r="K1078" s="259"/>
      <x:c r="L1078" s="268" t="str">
        <x:f>IFERROR(VLOOKUP(I1078,'Handler-Team Map'!$A$7:$C$17,2,FALSE),"")</x:f>
      </x:c>
      <x:c r="M1078" s="268" t="str">
        <x:f>IFERROR(VLOOKUP(I1078,'Handler-Team Map'!$A$7:$C$17,3,FALSE),"")</x:f>
      </x:c>
      <x:c r="N1078" s="274" t="str">
        <x:v>FT_VM_DEP700_GET300_2X</x:v>
      </x:c>
      <x:c r="O1078" s="274" t="str">
        <x:v>VIP BONUS - Deposit 700 Get 300 - 2x TO</x:v>
      </x:c>
      <x:c r="P1078" s="274" t="str">
        <x:v>DepositBonus</x:v>
      </x:c>
      <x:c r="Q1078" s="274" t="str">
        <x:v>Approved</x:v>
      </x:c>
      <x:c r="R1078" s="265" t="n">
        <x:v>300</x:v>
      </x:c>
      <x:c r="S1078" s="253" t="str">
        <x:v>Yes</x:v>
      </x:c>
      <x:c r="T1078" s="265" t="n">
        <x:v>500</x:v>
      </x:c>
      <x:c r="U1078" s="253" t="str">
        <x:f>IF(AND(S1078="Yes",T1078=0),"Yes","No")</x:f>
        <x:v>No</x:v>
      </x:c>
      <x:c r="V1078" s="253" t="str">
        <x:v>Yes</x:v>
      </x:c>
      <x:c r="W1078" s="253" t="str">
        <x:v>Yes</x:v>
      </x:c>
      <x:c r="X1078" s="259" t="n">
        <x:v>46198.166666666664</x:v>
      </x:c>
      <x:c r="Y1078" s="265" t="n">
        <x:v>1250</x:v>
      </x:c>
      <x:c r="Z1078" s="265" t="n">
        <x:v>3875</x:v>
      </x:c>
      <x:c r="AA1078" s="253" t="str">
        <x:f>IF(V1078="No","Maturing",IF(AND(U1078="Yes",Y1078&gt;0),"Yes","No"))</x:f>
        <x:v>No</x:v>
      </x:c>
      <x:c r="AB1078" s="253" t="str">
        <x:f>IF(W1078="No","Maturing",IF(AND(U1078="Yes",Z1078&gt;0),"Yes","No"))</x:f>
        <x:v>No</x:v>
      </x:c>
      <x:c r="AC1078" s="265" t="n">
        <x:v>-883.59</x:v>
      </x:c>
      <x:c r="AD1078" s="265" t="n">
        <x:v>-1525.65</x:v>
      </x:c>
      <x:c r="AE1078" s="271" t="str"/>
      <x:c r="AF1078" s="274" t="str">
        <x:v>Not validated - no control/holdout</x:v>
      </x:c>
      <x:c r="AG1078" s="277" t="str">
        <x:v>Recovered execution only; assignment date and unclaimed-offer denominator unavailable</x:v>
      </x:c>
    </x:row>
    <x:row r="1079">
      <x:c r="A1079" s="252" t="str">
        <x:v>34723828</x:v>
      </x:c>
      <x:c r="B1079" s="253" t="str">
        <x:v>WS1</x:v>
      </x:c>
      <x:c r="C1079" s="253" t="str">
        <x:v>MB8</x:v>
      </x:c>
      <x:c r="D1079" s="262" t="n">
        <x:v>46199.08731481482</x:v>
      </x:c>
      <x:c r="E1079" s="259" t="n">
        <x:v>46199.166666666664</x:v>
      </x:c>
      <x:c r="F1079" s="253" t="str">
        <x:v>335410</x:v>
      </x:c>
      <x:c r="G1079" s="253" t="str">
        <x:v>Joe6866</x:v>
      </x:c>
      <x:c r="H1079" s="253" t="str">
        <x:v>Yes</x:v>
      </x:c>
      <x:c r="I1079" s="253" t="str">
        <x:v>Elda</x:v>
      </x:c>
      <x:c r="J1079" s="253" t="str">
        <x:v>Elda</x:v>
      </x:c>
      <x:c r="K1079" s="259" t="n">
        <x:v>45659.166666666664</x:v>
      </x:c>
      <x:c r="L1079" s="268" t="str">
        <x:f>IFERROR(VLOOKUP(I1079,'Handler-Team Map'!$A$7:$C$17,2,FALSE),"")</x:f>
      </x:c>
      <x:c r="M1079" s="268" t="str">
        <x:f>IFERROR(VLOOKUP(I1079,'Handler-Team Map'!$A$7:$C$17,3,FALSE),"")</x:f>
      </x:c>
      <x:c r="N1079" s="274" t="str">
        <x:v>FT_VM_DEP1000_GET900_1X</x:v>
      </x:c>
      <x:c r="O1079" s="274" t="str">
        <x:v>VIP BONUS - Deposit 1000 Get 900 - 1x TO</x:v>
      </x:c>
      <x:c r="P1079" s="274" t="str">
        <x:v>DepositBonus</x:v>
      </x:c>
      <x:c r="Q1079" s="274" t="str">
        <x:v>Approved</x:v>
      </x:c>
      <x:c r="R1079" s="265" t="n">
        <x:v>900</x:v>
      </x:c>
      <x:c r="S1079" s="253" t="str">
        <x:v>Yes</x:v>
      </x:c>
      <x:c r="T1079" s="265" t="n">
        <x:v>1000</x:v>
      </x:c>
      <x:c r="U1079" s="253" t="str">
        <x:f>IF(AND(S1079="Yes",T1079=0),"Yes","No")</x:f>
        <x:v>No</x:v>
      </x:c>
      <x:c r="V1079" s="253" t="str">
        <x:v>Yes</x:v>
      </x:c>
      <x:c r="W1079" s="253" t="str">
        <x:v>Yes</x:v>
      </x:c>
      <x:c r="X1079" s="259" t="n">
        <x:v>46199.166666666664</x:v>
      </x:c>
      <x:c r="Y1079" s="265" t="n">
        <x:v>1000</x:v>
      </x:c>
      <x:c r="Z1079" s="265" t="n">
        <x:v>1000</x:v>
      </x:c>
      <x:c r="AA1079" s="253" t="str">
        <x:f>IF(V1079="No","Maturing",IF(AND(U1079="Yes",Y1079&gt;0),"Yes","No"))</x:f>
        <x:v>No</x:v>
      </x:c>
      <x:c r="AB1079" s="253" t="str">
        <x:f>IF(W1079="No","Maturing",IF(AND(U1079="Yes",Z1079&gt;0),"Yes","No"))</x:f>
        <x:v>No</x:v>
      </x:c>
      <x:c r="AC1079" s="265" t="n">
        <x:v>1000.09</x:v>
      </x:c>
      <x:c r="AD1079" s="265" t="n">
        <x:v>998.31</x:v>
      </x:c>
      <x:c r="AE1079" s="271" t="str"/>
      <x:c r="AF1079" s="274" t="str">
        <x:v>Not validated - no control/holdout</x:v>
      </x:c>
      <x:c r="AG1079" s="277" t="str">
        <x:v>Recovered execution only; assignment date and unclaimed-offer denominator unavailable</x:v>
      </x:c>
    </x:row>
    <x:row r="1080">
      <x:c r="A1080" s="252" t="str">
        <x:v>34724439</x:v>
      </x:c>
      <x:c r="B1080" s="253" t="str">
        <x:v>WS1</x:v>
      </x:c>
      <x:c r="C1080" s="253" t="str">
        <x:v>MB8</x:v>
      </x:c>
      <x:c r="D1080" s="262" t="n">
        <x:v>46199.13862268518</x:v>
      </x:c>
      <x:c r="E1080" s="259" t="n">
        <x:v>46199.166666666664</x:v>
      </x:c>
      <x:c r="F1080" s="253" t="str">
        <x:v>203213</x:v>
      </x:c>
      <x:c r="G1080" s="253" t="str">
        <x:v>Demson88</x:v>
      </x:c>
      <x:c r="H1080" s="253" t="str">
        <x:v>Yes</x:v>
      </x:c>
      <x:c r="I1080" s="253" t="str">
        <x:v>Elda</x:v>
      </x:c>
      <x:c r="J1080" s="253" t="str">
        <x:v>Elda</x:v>
      </x:c>
      <x:c r="K1080" s="259" t="n">
        <x:v>45790.166666666664</x:v>
      </x:c>
      <x:c r="L1080" s="268" t="str">
        <x:f>IFERROR(VLOOKUP(I1080,'Handler-Team Map'!$A$7:$C$17,2,FALSE),"")</x:f>
      </x:c>
      <x:c r="M1080" s="268" t="str">
        <x:f>IFERROR(VLOOKUP(I1080,'Handler-Team Map'!$A$7:$C$17,3,FALSE),"")</x:f>
      </x:c>
      <x:c r="N1080" s="274" t="str">
        <x:v>FT_VM_DEP150_GET50_5X</x:v>
      </x:c>
      <x:c r="O1080" s="274" t="str">
        <x:v>VIP BONUS - Deposit 150 Get 50 - 5x TO</x:v>
      </x:c>
      <x:c r="P1080" s="274" t="str">
        <x:v>DepositBonus</x:v>
      </x:c>
      <x:c r="Q1080" s="274" t="str">
        <x:v>Approved</x:v>
      </x:c>
      <x:c r="R1080" s="265" t="n">
        <x:v>50</x:v>
      </x:c>
      <x:c r="S1080" s="253" t="str">
        <x:v>Yes</x:v>
      </x:c>
      <x:c r="T1080" s="265" t="n">
        <x:v>163</x:v>
      </x:c>
      <x:c r="U1080" s="253" t="str">
        <x:f>IF(AND(S1080="Yes",T1080=0),"Yes","No")</x:f>
        <x:v>No</x:v>
      </x:c>
      <x:c r="V1080" s="253" t="str">
        <x:v>Yes</x:v>
      </x:c>
      <x:c r="W1080" s="253" t="str">
        <x:v>Yes</x:v>
      </x:c>
      <x:c r="X1080" s="259" t="n">
        <x:v>46199.166666666664</x:v>
      </x:c>
      <x:c r="Y1080" s="265" t="n">
        <x:v>150</x:v>
      </x:c>
      <x:c r="Z1080" s="265" t="n">
        <x:v>150</x:v>
      </x:c>
      <x:c r="AA1080" s="253" t="str">
        <x:f>IF(V1080="No","Maturing",IF(AND(U1080="Yes",Y1080&gt;0),"Yes","No"))</x:f>
        <x:v>No</x:v>
      </x:c>
      <x:c r="AB1080" s="253" t="str">
        <x:f>IF(W1080="No","Maturing",IF(AND(U1080="Yes",Z1080&gt;0),"Yes","No"))</x:f>
        <x:v>No</x:v>
      </x:c>
      <x:c r="AC1080" s="265" t="n">
        <x:v>149.8</x:v>
      </x:c>
      <x:c r="AD1080" s="265" t="n">
        <x:v>149.76</x:v>
      </x:c>
      <x:c r="AE1080" s="271" t="str"/>
      <x:c r="AF1080" s="274" t="str">
        <x:v>Not validated - no control/holdout</x:v>
      </x:c>
      <x:c r="AG1080" s="277" t="str">
        <x:v>Recovered execution only; assignment date and unclaimed-offer denominator unavailable</x:v>
      </x:c>
    </x:row>
    <x:row r="1081">
      <x:c r="A1081" s="252" t="str">
        <x:v>34724639</x:v>
      </x:c>
      <x:c r="B1081" s="253" t="str">
        <x:v>WS1</x:v>
      </x:c>
      <x:c r="C1081" s="253" t="str">
        <x:v>MB8</x:v>
      </x:c>
      <x:c r="D1081" s="262" t="n">
        <x:v>46199.160787037035</x:v>
      </x:c>
      <x:c r="E1081" s="259" t="n">
        <x:v>46199.166666666664</x:v>
      </x:c>
      <x:c r="F1081" s="253" t="str">
        <x:v>527905</x:v>
      </x:c>
      <x:c r="G1081" s="253" t="str">
        <x:v>Desperado7</x:v>
      </x:c>
      <x:c r="H1081" s="253" t="str">
        <x:v>Yes</x:v>
      </x:c>
      <x:c r="I1081" s="253" t="str">
        <x:v>Tammy</x:v>
      </x:c>
      <x:c r="J1081" s="253" t="str">
        <x:v>Tammy</x:v>
      </x:c>
      <x:c r="K1081" s="259" t="n">
        <x:v>46014.166666666664</x:v>
      </x:c>
      <x:c r="L1081" s="268" t="str">
        <x:f>IFERROR(VLOOKUP(I1081,'Handler-Team Map'!$A$7:$C$17,2,FALSE),"")</x:f>
      </x:c>
      <x:c r="M1081" s="268" t="str">
        <x:f>IFERROR(VLOOKUP(I1081,'Handler-Team Map'!$A$7:$C$17,3,FALSE),"")</x:f>
      </x:c>
      <x:c r="N1081" s="274" t="str">
        <x:v>FT_VM_DEP800_GET400_1X</x:v>
      </x:c>
      <x:c r="O1081" s="274" t="str">
        <x:v>VIP BONUS - Deposit 800 Get 400 - 1x TO</x:v>
      </x:c>
      <x:c r="P1081" s="274" t="str">
        <x:v>DepositBonus</x:v>
      </x:c>
      <x:c r="Q1081" s="274" t="str">
        <x:v>Approved</x:v>
      </x:c>
      <x:c r="R1081" s="265" t="n">
        <x:v>400</x:v>
      </x:c>
      <x:c r="S1081" s="253" t="str">
        <x:v>Yes</x:v>
      </x:c>
      <x:c r="T1081" s="265" t="n">
        <x:v>150</x:v>
      </x:c>
      <x:c r="U1081" s="253" t="str">
        <x:f>IF(AND(S1081="Yes",T1081=0),"Yes","No")</x:f>
        <x:v>No</x:v>
      </x:c>
      <x:c r="V1081" s="253" t="str">
        <x:v>Yes</x:v>
      </x:c>
      <x:c r="W1081" s="253" t="str">
        <x:v>Yes</x:v>
      </x:c>
      <x:c r="X1081" s="259" t="n">
        <x:v>46199.166666666664</x:v>
      </x:c>
      <x:c r="Y1081" s="265" t="n">
        <x:v>1003</x:v>
      </x:c>
      <x:c r="Z1081" s="265" t="n">
        <x:v>1390</x:v>
      </x:c>
      <x:c r="AA1081" s="253" t="str">
        <x:f>IF(V1081="No","Maturing",IF(AND(U1081="Yes",Y1081&gt;0),"Yes","No"))</x:f>
        <x:v>No</x:v>
      </x:c>
      <x:c r="AB1081" s="253" t="str">
        <x:f>IF(W1081="No","Maturing",IF(AND(U1081="Yes",Z1081&gt;0),"Yes","No"))</x:f>
        <x:v>No</x:v>
      </x:c>
      <x:c r="AC1081" s="265" t="n">
        <x:v>-89.75</x:v>
      </x:c>
      <x:c r="AD1081" s="265" t="n">
        <x:v>-585.33</x:v>
      </x:c>
      <x:c r="AE1081" s="271" t="str"/>
      <x:c r="AF1081" s="274" t="str">
        <x:v>Not validated - no control/holdout</x:v>
      </x:c>
      <x:c r="AG1081" s="277" t="str">
        <x:v>Recovered execution only; assignment date and unclaimed-offer denominator unavailable</x:v>
      </x:c>
    </x:row>
    <x:row r="1082">
      <x:c r="A1082" s="252" t="str">
        <x:v>34724738</x:v>
      </x:c>
      <x:c r="B1082" s="253" t="str">
        <x:v>WS1</x:v>
      </x:c>
      <x:c r="C1082" s="253" t="str">
        <x:v>MB8</x:v>
      </x:c>
      <x:c r="D1082" s="262" t="n">
        <x:v>46199.168854166666</x:v>
      </x:c>
      <x:c r="E1082" s="259" t="n">
        <x:v>46199.166666666664</x:v>
      </x:c>
      <x:c r="F1082" s="253" t="str">
        <x:v>940813</x:v>
      </x:c>
      <x:c r="G1082" s="253" t="str">
        <x:v>Kiat8</x:v>
      </x:c>
      <x:c r="H1082" s="253" t="str">
        <x:v>Yes</x:v>
      </x:c>
      <x:c r="I1082" s="253" t="str">
        <x:v>zhen</x:v>
      </x:c>
      <x:c r="J1082" s="253" t="str">
        <x:v>zhen</x:v>
      </x:c>
      <x:c r="K1082" s="259" t="n">
        <x:v>45880.166666666664</x:v>
      </x:c>
      <x:c r="L1082" s="268" t="str">
        <x:f>IFERROR(VLOOKUP(I1082,'Handler-Team Map'!$A$7:$C$17,2,FALSE),"")</x:f>
      </x:c>
      <x:c r="M1082" s="268" t="str">
        <x:f>IFERROR(VLOOKUP(I1082,'Handler-Team Map'!$A$7:$C$17,3,FALSE),"")</x:f>
      </x:c>
      <x:c r="N1082" s="274" t="str">
        <x:v>FT_VM_DEP1000_GET500_5X</x:v>
      </x:c>
      <x:c r="O1082" s="274" t="str">
        <x:v>VIP BONUS - Deposit 1000 Get 500 - 5x TO</x:v>
      </x:c>
      <x:c r="P1082" s="274" t="str">
        <x:v>DepositBonus</x:v>
      </x:c>
      <x:c r="Q1082" s="274" t="str">
        <x:v>Approved</x:v>
      </x:c>
      <x:c r="R1082" s="265" t="n">
        <x:v>500</x:v>
      </x:c>
      <x:c r="S1082" s="253" t="str">
        <x:v>Yes</x:v>
      </x:c>
      <x:c r="T1082" s="265" t="n">
        <x:v>11817</x:v>
      </x:c>
      <x:c r="U1082" s="253" t="str">
        <x:f>IF(AND(S1082="Yes",T1082=0),"Yes","No")</x:f>
        <x:v>No</x:v>
      </x:c>
      <x:c r="V1082" s="253" t="str">
        <x:v>Yes</x:v>
      </x:c>
      <x:c r="W1082" s="253" t="str">
        <x:v>Yes</x:v>
      </x:c>
      <x:c r="X1082" s="259" t="n">
        <x:v>46199.166666666664</x:v>
      </x:c>
      <x:c r="Y1082" s="265" t="n">
        <x:v>4000</x:v>
      </x:c>
      <x:c r="Z1082" s="265" t="n">
        <x:v>4383</x:v>
      </x:c>
      <x:c r="AA1082" s="253" t="str">
        <x:f>IF(V1082="No","Maturing",IF(AND(U1082="Yes",Y1082&gt;0),"Yes","No"))</x:f>
        <x:v>No</x:v>
      </x:c>
      <x:c r="AB1082" s="253" t="str">
        <x:f>IF(W1082="No","Maturing",IF(AND(U1082="Yes",Z1082&gt;0),"Yes","No"))</x:f>
        <x:v>No</x:v>
      </x:c>
      <x:c r="AC1082" s="265" t="n">
        <x:v>399.54</x:v>
      </x:c>
      <x:c r="AD1082" s="265" t="n">
        <x:v>782.68</x:v>
      </x:c>
      <x:c r="AE1082" s="271" t="str"/>
      <x:c r="AF1082" s="274" t="str">
        <x:v>Not validated - no control/holdout</x:v>
      </x:c>
      <x:c r="AG1082" s="277" t="str">
        <x:v>Recovered execution only; assignment date and unclaimed-offer denominator unavailable</x:v>
      </x:c>
    </x:row>
    <x:row r="1083">
      <x:c r="A1083" s="252" t="str">
        <x:v>34724854</x:v>
      </x:c>
      <x:c r="B1083" s="253" t="str">
        <x:v>WS1</x:v>
      </x:c>
      <x:c r="C1083" s="253" t="str">
        <x:v>MB8</x:v>
      </x:c>
      <x:c r="D1083" s="262" t="n">
        <x:v>46199.18369212963</x:v>
      </x:c>
      <x:c r="E1083" s="259" t="n">
        <x:v>46199.166666666664</x:v>
      </x:c>
      <x:c r="F1083" s="253" t="str">
        <x:v>521114</x:v>
      </x:c>
      <x:c r="G1083" s="253" t="str">
        <x:v>Nzboss8181</x:v>
      </x:c>
      <x:c r="H1083" s="253" t="str">
        <x:v>Yes</x:v>
      </x:c>
      <x:c r="I1083" s="253" t="str">
        <x:v>Claire</x:v>
      </x:c>
      <x:c r="J1083" s="253" t="str">
        <x:v>Claire</x:v>
      </x:c>
      <x:c r="K1083" s="259" t="n">
        <x:v>45659.166666666664</x:v>
      </x:c>
      <x:c r="L1083" s="268" t="str">
        <x:f>IFERROR(VLOOKUP(I1083,'Handler-Team Map'!$A$7:$C$17,2,FALSE),"")</x:f>
      </x:c>
      <x:c r="M1083" s="268" t="str">
        <x:f>IFERROR(VLOOKUP(I1083,'Handler-Team Map'!$A$7:$C$17,3,FALSE),"")</x:f>
      </x:c>
      <x:c r="N1083" s="274" t="str">
        <x:v>FT_VM_DEP1000_GET500_5X</x:v>
      </x:c>
      <x:c r="O1083" s="274" t="str">
        <x:v>VIP BONUS - Deposit 1000 Get 500 - 5x TO</x:v>
      </x:c>
      <x:c r="P1083" s="274" t="str">
        <x:v>DepositBonus</x:v>
      </x:c>
      <x:c r="Q1083" s="274" t="str">
        <x:v>Approved</x:v>
      </x:c>
      <x:c r="R1083" s="265" t="n">
        <x:v>500</x:v>
      </x:c>
      <x:c r="S1083" s="253" t="str">
        <x:v>Yes</x:v>
      </x:c>
      <x:c r="T1083" s="265" t="n">
        <x:v>274700</x:v>
      </x:c>
      <x:c r="U1083" s="253" t="str">
        <x:f>IF(AND(S1083="Yes",T1083=0),"Yes","No")</x:f>
        <x:v>No</x:v>
      </x:c>
      <x:c r="V1083" s="253" t="str">
        <x:v>Yes</x:v>
      </x:c>
      <x:c r="W1083" s="253" t="str">
        <x:v>Yes</x:v>
      </x:c>
      <x:c r="X1083" s="259" t="n">
        <x:v>46199.166666666664</x:v>
      </x:c>
      <x:c r="Y1083" s="265" t="n">
        <x:v>86900</x:v>
      </x:c>
      <x:c r="Z1083" s="265" t="n">
        <x:v>166800</x:v>
      </x:c>
      <x:c r="AA1083" s="253" t="str">
        <x:f>IF(V1083="No","Maturing",IF(AND(U1083="Yes",Y1083&gt;0),"Yes","No"))</x:f>
        <x:v>No</x:v>
      </x:c>
      <x:c r="AB1083" s="253" t="str">
        <x:f>IF(W1083="No","Maturing",IF(AND(U1083="Yes",Z1083&gt;0),"Yes","No"))</x:f>
        <x:v>No</x:v>
      </x:c>
      <x:c r="AC1083" s="265" t="n">
        <x:v>47003.87</x:v>
      </x:c>
      <x:c r="AD1083" s="265" t="n">
        <x:v>111500.01</x:v>
      </x:c>
      <x:c r="AE1083" s="271" t="str"/>
      <x:c r="AF1083" s="274" t="str">
        <x:v>Not validated - no control/holdout</x:v>
      </x:c>
      <x:c r="AG1083" s="277" t="str">
        <x:v>Recovered execution only; assignment date and unclaimed-offer denominator unavailable</x:v>
      </x:c>
    </x:row>
    <x:row r="1084">
      <x:c r="A1084" s="252" t="str">
        <x:v>34725509</x:v>
      </x:c>
      <x:c r="B1084" s="253" t="str">
        <x:v>WS1</x:v>
      </x:c>
      <x:c r="C1084" s="253" t="str">
        <x:v>MB8</x:v>
      </x:c>
      <x:c r="D1084" s="262" t="n">
        <x:v>46199.29604166667</x:v>
      </x:c>
      <x:c r="E1084" s="259" t="n">
        <x:v>46199.166666666664</x:v>
      </x:c>
      <x:c r="F1084" s="253" t="str">
        <x:v>807445</x:v>
      </x:c>
      <x:c r="G1084" s="253" t="str">
        <x:v>Reren</x:v>
      </x:c>
      <x:c r="H1084" s="253" t="str">
        <x:v>Yes</x:v>
      </x:c>
      <x:c r="I1084" s="253" t="str">
        <x:v>Sheena</x:v>
      </x:c>
      <x:c r="J1084" s="253" t="str">
        <x:v>Sheena</x:v>
      </x:c>
      <x:c r="K1084" s="259" t="n">
        <x:v>45866.166666666664</x:v>
      </x:c>
      <x:c r="L1084" s="268" t="str">
        <x:f>IFERROR(VLOOKUP(I1084,'Handler-Team Map'!$A$7:$C$17,2,FALSE),"")</x:f>
      </x:c>
      <x:c r="M1084" s="268" t="str">
        <x:f>IFERROR(VLOOKUP(I1084,'Handler-Team Map'!$A$7:$C$17,3,FALSE),"")</x:f>
      </x:c>
      <x:c r="N1084" s="274" t="str">
        <x:v>FT_VM_DEP1000_GET500_2X</x:v>
      </x:c>
      <x:c r="O1084" s="274" t="str">
        <x:v>VIP BONUS - Deposit 1000 Get 500 - 2x TO</x:v>
      </x:c>
      <x:c r="P1084" s="274" t="str">
        <x:v>DepositBonus</x:v>
      </x:c>
      <x:c r="Q1084" s="274" t="str">
        <x:v>Approved</x:v>
      </x:c>
      <x:c r="R1084" s="265" t="n">
        <x:v>500</x:v>
      </x:c>
      <x:c r="S1084" s="253" t="str">
        <x:v>Yes</x:v>
      </x:c>
      <x:c r="T1084" s="265" t="n">
        <x:v>2435</x:v>
      </x:c>
      <x:c r="U1084" s="253" t="str">
        <x:f>IF(AND(S1084="Yes",T1084=0),"Yes","No")</x:f>
        <x:v>No</x:v>
      </x:c>
      <x:c r="V1084" s="253" t="str">
        <x:v>Yes</x:v>
      </x:c>
      <x:c r="W1084" s="253" t="str">
        <x:v>Yes</x:v>
      </x:c>
      <x:c r="X1084" s="259" t="n">
        <x:v>46199.166666666664</x:v>
      </x:c>
      <x:c r="Y1084" s="265" t="n">
        <x:v>3700</x:v>
      </x:c>
      <x:c r="Z1084" s="265" t="n">
        <x:v>4150</x:v>
      </x:c>
      <x:c r="AA1084" s="253" t="str">
        <x:f>IF(V1084="No","Maturing",IF(AND(U1084="Yes",Y1084&gt;0),"Yes","No"))</x:f>
        <x:v>No</x:v>
      </x:c>
      <x:c r="AB1084" s="253" t="str">
        <x:f>IF(W1084="No","Maturing",IF(AND(U1084="Yes",Z1084&gt;0),"Yes","No"))</x:f>
        <x:v>No</x:v>
      </x:c>
      <x:c r="AC1084" s="265" t="n">
        <x:v>3718.51</x:v>
      </x:c>
      <x:c r="AD1084" s="265" t="n">
        <x:v>4169.55</x:v>
      </x:c>
      <x:c r="AE1084" s="271" t="str"/>
      <x:c r="AF1084" s="274" t="str">
        <x:v>Not validated - no control/holdout</x:v>
      </x:c>
      <x:c r="AG1084" s="277" t="str">
        <x:v>Recovered execution only; assignment date and unclaimed-offer denominator unavailable</x:v>
      </x:c>
    </x:row>
    <x:row r="1085">
      <x:c r="A1085" s="252" t="str">
        <x:v>34726220</x:v>
      </x:c>
      <x:c r="B1085" s="253" t="str">
        <x:v>WS1</x:v>
      </x:c>
      <x:c r="C1085" s="253" t="str">
        <x:v>MB8</x:v>
      </x:c>
      <x:c r="D1085" s="262" t="n">
        <x:v>46199.393171296295</x:v>
      </x:c>
      <x:c r="E1085" s="259" t="n">
        <x:v>46199.166666666664</x:v>
      </x:c>
      <x:c r="F1085" s="253" t="str">
        <x:v>997788</x:v>
      </x:c>
      <x:c r="G1085" s="253" t="str">
        <x:v>hbk960309</x:v>
      </x:c>
      <x:c r="H1085" s="253" t="str">
        <x:v>Yes</x:v>
      </x:c>
      <x:c r="I1085" s="253" t="str">
        <x:v>Serene</x:v>
      </x:c>
      <x:c r="J1085" s="253" t="str">
        <x:v>Serene</x:v>
      </x:c>
      <x:c r="K1085" s="259" t="n">
        <x:v>46090.166666666664</x:v>
      </x:c>
      <x:c r="L1085" s="268" t="str">
        <x:f>IFERROR(VLOOKUP(I1085,'Handler-Team Map'!$A$7:$C$17,2,FALSE),"")</x:f>
      </x:c>
      <x:c r="M1085" s="268" t="str">
        <x:f>IFERROR(VLOOKUP(I1085,'Handler-Team Map'!$A$7:$C$17,3,FALSE),"")</x:f>
      </x:c>
      <x:c r="N1085" s="274" t="str">
        <x:v>FT_VM_DEP600_GET200_5X</x:v>
      </x:c>
      <x:c r="O1085" s="274" t="str">
        <x:v>VIP BONUS - Deposit 600 Get 200 - 5x TO</x:v>
      </x:c>
      <x:c r="P1085" s="274" t="str">
        <x:v>DepositBonus</x:v>
      </x:c>
      <x:c r="Q1085" s="274" t="str">
        <x:v>Approved</x:v>
      </x:c>
      <x:c r="R1085" s="265" t="n">
        <x:v>200</x:v>
      </x:c>
      <x:c r="S1085" s="253" t="str">
        <x:v>Yes</x:v>
      </x:c>
      <x:c r="T1085" s="265" t="n">
        <x:v>51692</x:v>
      </x:c>
      <x:c r="U1085" s="253" t="str">
        <x:f>IF(AND(S1085="Yes",T1085=0),"Yes","No")</x:f>
        <x:v>No</x:v>
      </x:c>
      <x:c r="V1085" s="253" t="str">
        <x:v>Yes</x:v>
      </x:c>
      <x:c r="W1085" s="253" t="str">
        <x:v>Yes</x:v>
      </x:c>
      <x:c r="X1085" s="259" t="n">
        <x:v>46199.166666666664</x:v>
      </x:c>
      <x:c r="Y1085" s="265" t="n">
        <x:v>24950</x:v>
      </x:c>
      <x:c r="Z1085" s="265" t="n">
        <x:v>44550</x:v>
      </x:c>
      <x:c r="AA1085" s="253" t="str">
        <x:f>IF(V1085="No","Maturing",IF(AND(U1085="Yes",Y1085&gt;0),"Yes","No"))</x:f>
        <x:v>No</x:v>
      </x:c>
      <x:c r="AB1085" s="253" t="str">
        <x:f>IF(W1085="No","Maturing",IF(AND(U1085="Yes",Z1085&gt;0),"Yes","No"))</x:f>
        <x:v>No</x:v>
      </x:c>
      <x:c r="AC1085" s="265" t="n">
        <x:v>11660.49</x:v>
      </x:c>
      <x:c r="AD1085" s="265" t="n">
        <x:v>-39357.92</x:v>
      </x:c>
      <x:c r="AE1085" s="271" t="str"/>
      <x:c r="AF1085" s="274" t="str">
        <x:v>Not validated - no control/holdout</x:v>
      </x:c>
      <x:c r="AG1085" s="277" t="str">
        <x:v>Recovered execution only; assignment date and unclaimed-offer denominator unavailable</x:v>
      </x:c>
    </x:row>
    <x:row r="1086">
      <x:c r="A1086" s="252" t="str">
        <x:v>34726928</x:v>
      </x:c>
      <x:c r="B1086" s="253" t="str">
        <x:v>WS1</x:v>
      </x:c>
      <x:c r="C1086" s="253" t="str">
        <x:v>MB8</x:v>
      </x:c>
      <x:c r="D1086" s="262" t="n">
        <x:v>46199.46493055556</x:v>
      </x:c>
      <x:c r="E1086" s="259" t="n">
        <x:v>46199.166666666664</x:v>
      </x:c>
      <x:c r="F1086" s="253" t="str">
        <x:v>113180</x:v>
      </x:c>
      <x:c r="G1086" s="253" t="str">
        <x:v>Hazel</x:v>
      </x:c>
      <x:c r="H1086" s="253" t="str">
        <x:v>Yes</x:v>
      </x:c>
      <x:c r="I1086" s="253" t="str">
        <x:v>Serene</x:v>
      </x:c>
      <x:c r="J1086" s="253" t="str">
        <x:v>Serene</x:v>
      </x:c>
      <x:c r="K1086" s="259" t="n">
        <x:v>45831.166666666664</x:v>
      </x:c>
      <x:c r="L1086" s="268" t="str">
        <x:f>IFERROR(VLOOKUP(I1086,'Handler-Team Map'!$A$7:$C$17,2,FALSE),"")</x:f>
      </x:c>
      <x:c r="M1086" s="268" t="str">
        <x:f>IFERROR(VLOOKUP(I1086,'Handler-Team Map'!$A$7:$C$17,3,FALSE),"")</x:f>
      </x:c>
      <x:c r="N1086" s="274" t="str">
        <x:v>FT_VM_DEP1000_GET500_5X</x:v>
      </x:c>
      <x:c r="O1086" s="274" t="str">
        <x:v>VIP BONUS - Deposit 1000 Get 500 - 5x TO</x:v>
      </x:c>
      <x:c r="P1086" s="274" t="str">
        <x:v>DepositBonus</x:v>
      </x:c>
      <x:c r="Q1086" s="274" t="str">
        <x:v>Approved</x:v>
      </x:c>
      <x:c r="R1086" s="265" t="n">
        <x:v>500</x:v>
      </x:c>
      <x:c r="S1086" s="253" t="str">
        <x:v>Yes</x:v>
      </x:c>
      <x:c r="T1086" s="265" t="n">
        <x:v>4795</x:v>
      </x:c>
      <x:c r="U1086" s="253" t="str">
        <x:f>IF(AND(S1086="Yes",T1086=0),"Yes","No")</x:f>
        <x:v>No</x:v>
      </x:c>
      <x:c r="V1086" s="253" t="str">
        <x:v>Yes</x:v>
      </x:c>
      <x:c r="W1086" s="253" t="str">
        <x:v>Yes</x:v>
      </x:c>
      <x:c r="X1086" s="259" t="n">
        <x:v>46199.166666666664</x:v>
      </x:c>
      <x:c r="Y1086" s="265" t="n">
        <x:v>1650</x:v>
      </x:c>
      <x:c r="Z1086" s="265" t="n">
        <x:v>1750</x:v>
      </x:c>
      <x:c r="AA1086" s="253" t="str">
        <x:f>IF(V1086="No","Maturing",IF(AND(U1086="Yes",Y1086&gt;0),"Yes","No"))</x:f>
        <x:v>No</x:v>
      </x:c>
      <x:c r="AB1086" s="253" t="str">
        <x:f>IF(W1086="No","Maturing",IF(AND(U1086="Yes",Z1086&gt;0),"Yes","No"))</x:f>
        <x:v>No</x:v>
      </x:c>
      <x:c r="AC1086" s="265" t="n">
        <x:v>1428.74</x:v>
      </x:c>
      <x:c r="AD1086" s="265" t="n">
        <x:v>676.43</x:v>
      </x:c>
      <x:c r="AE1086" s="271" t="str"/>
      <x:c r="AF1086" s="274" t="str">
        <x:v>Not validated - no control/holdout</x:v>
      </x:c>
      <x:c r="AG1086" s="277" t="str">
        <x:v>Recovered execution only; assignment date and unclaimed-offer denominator unavailable</x:v>
      </x:c>
    </x:row>
    <x:row r="1087">
      <x:c r="A1087" s="252" t="str">
        <x:v>34727926</x:v>
      </x:c>
      <x:c r="B1087" s="253" t="str">
        <x:v>WS1</x:v>
      </x:c>
      <x:c r="C1087" s="253" t="str">
        <x:v>MB8</x:v>
      </x:c>
      <x:c r="D1087" s="262" t="n">
        <x:v>46199.560636574075</x:v>
      </x:c>
      <x:c r="E1087" s="259" t="n">
        <x:v>46199.166666666664</x:v>
      </x:c>
      <x:c r="F1087" s="253" t="str">
        <x:v>269339</x:v>
      </x:c>
      <x:c r="G1087" s="253" t="str">
        <x:v>Gohan123</x:v>
      </x:c>
      <x:c r="H1087" s="253" t="str">
        <x:v>Yes</x:v>
      </x:c>
      <x:c r="I1087" s="253" t="str">
        <x:v>zhen</x:v>
      </x:c>
      <x:c r="J1087" s="253" t="str">
        <x:v>zhen</x:v>
      </x:c>
      <x:c r="K1087" s="259" t="n">
        <x:v>45985.166666666664</x:v>
      </x:c>
      <x:c r="L1087" s="268" t="str">
        <x:f>IFERROR(VLOOKUP(I1087,'Handler-Team Map'!$A$7:$C$17,2,FALSE),"")</x:f>
      </x:c>
      <x:c r="M1087" s="268" t="str">
        <x:f>IFERROR(VLOOKUP(I1087,'Handler-Team Map'!$A$7:$C$17,3,FALSE),"")</x:f>
      </x:c>
      <x:c r="N1087" s="274" t="str">
        <x:v>FT_VM_DEP1000_GET500_5X</x:v>
      </x:c>
      <x:c r="O1087" s="274" t="str">
        <x:v>VIP BONUS - Deposit 1000 Get 500 - 5x TO</x:v>
      </x:c>
      <x:c r="P1087" s="274" t="str">
        <x:v>DepositBonus</x:v>
      </x:c>
      <x:c r="Q1087" s="274" t="str">
        <x:v>Approved</x:v>
      </x:c>
      <x:c r="R1087" s="265" t="n">
        <x:v>500</x:v>
      </x:c>
      <x:c r="S1087" s="253" t="str">
        <x:v>Yes</x:v>
      </x:c>
      <x:c r="T1087" s="265" t="n">
        <x:v>40620</x:v>
      </x:c>
      <x:c r="U1087" s="253" t="str">
        <x:f>IF(AND(S1087="Yes",T1087=0),"Yes","No")</x:f>
        <x:v>No</x:v>
      </x:c>
      <x:c r="V1087" s="253" t="str">
        <x:v>Yes</x:v>
      </x:c>
      <x:c r="W1087" s="253" t="str">
        <x:v>Yes</x:v>
      </x:c>
      <x:c r="X1087" s="259" t="n">
        <x:v>46199.166666666664</x:v>
      </x:c>
      <x:c r="Y1087" s="265" t="n">
        <x:v>15750</x:v>
      </x:c>
      <x:c r="Z1087" s="265" t="n">
        <x:v>35800</x:v>
      </x:c>
      <x:c r="AA1087" s="253" t="str">
        <x:f>IF(V1087="No","Maturing",IF(AND(U1087="Yes",Y1087&gt;0),"Yes","No"))</x:f>
        <x:v>No</x:v>
      </x:c>
      <x:c r="AB1087" s="253" t="str">
        <x:f>IF(W1087="No","Maturing",IF(AND(U1087="Yes",Z1087&gt;0),"Yes","No"))</x:f>
        <x:v>No</x:v>
      </x:c>
      <x:c r="AC1087" s="265" t="n">
        <x:v>16809.82</x:v>
      </x:c>
      <x:c r="AD1087" s="265" t="n">
        <x:v>-13489.51</x:v>
      </x:c>
      <x:c r="AE1087" s="271" t="str"/>
      <x:c r="AF1087" s="274" t="str">
        <x:v>Not validated - no control/holdout</x:v>
      </x:c>
      <x:c r="AG1087" s="277" t="str">
        <x:v>Recovered execution only; assignment date and unclaimed-offer denominator unavailable</x:v>
      </x:c>
    </x:row>
    <x:row r="1088">
      <x:c r="A1088" s="252" t="str">
        <x:v>34729331</x:v>
      </x:c>
      <x:c r="B1088" s="253" t="str">
        <x:v>WS1</x:v>
      </x:c>
      <x:c r="C1088" s="253" t="str">
        <x:v>MB8</x:v>
      </x:c>
      <x:c r="D1088" s="262" t="n">
        <x:v>46199.67045138889</x:v>
      </x:c>
      <x:c r="E1088" s="259" t="n">
        <x:v>46199.166666666664</x:v>
      </x:c>
      <x:c r="F1088" s="253" t="str">
        <x:v>300292</x:v>
      </x:c>
      <x:c r="G1088" s="253" t="str">
        <x:v>Samlim</x:v>
      </x:c>
      <x:c r="H1088" s="253" t="str">
        <x:v>Yes</x:v>
      </x:c>
      <x:c r="I1088" s="253" t="str">
        <x:v>zhen</x:v>
      </x:c>
      <x:c r="J1088" s="253" t="str">
        <x:v>zhen</x:v>
      </x:c>
      <x:c r="K1088" s="259" t="n">
        <x:v>45985.166666666664</x:v>
      </x:c>
      <x:c r="L1088" s="268" t="str">
        <x:f>IFERROR(VLOOKUP(I1088,'Handler-Team Map'!$A$7:$C$17,2,FALSE),"")</x:f>
      </x:c>
      <x:c r="M1088" s="268" t="str">
        <x:f>IFERROR(VLOOKUP(I1088,'Handler-Team Map'!$A$7:$C$17,3,FALSE),"")</x:f>
      </x:c>
      <x:c r="N1088" s="274" t="str">
        <x:v>FT_VM_DEP600_GET200_5X</x:v>
      </x:c>
      <x:c r="O1088" s="274" t="str">
        <x:v>VIP BONUS - Deposit 600 Get 200 - 5x TO</x:v>
      </x:c>
      <x:c r="P1088" s="274" t="str">
        <x:v>DepositBonus</x:v>
      </x:c>
      <x:c r="Q1088" s="274" t="str">
        <x:v>Approved</x:v>
      </x:c>
      <x:c r="R1088" s="265" t="n">
        <x:v>200</x:v>
      </x:c>
      <x:c r="S1088" s="253" t="str">
        <x:v>Yes</x:v>
      </x:c>
      <x:c r="T1088" s="265" t="n">
        <x:v>141187</x:v>
      </x:c>
      <x:c r="U1088" s="253" t="str">
        <x:f>IF(AND(S1088="Yes",T1088=0),"Yes","No")</x:f>
        <x:v>No</x:v>
      </x:c>
      <x:c r="V1088" s="253" t="str">
        <x:v>Yes</x:v>
      </x:c>
      <x:c r="W1088" s="253" t="str">
        <x:v>Yes</x:v>
      </x:c>
      <x:c r="X1088" s="259" t="n">
        <x:v>46199.166666666664</x:v>
      </x:c>
      <x:c r="Y1088" s="265" t="n">
        <x:v>44930</x:v>
      </x:c>
      <x:c r="Z1088" s="265" t="n">
        <x:v>59560</x:v>
      </x:c>
      <x:c r="AA1088" s="253" t="str">
        <x:f>IF(V1088="No","Maturing",IF(AND(U1088="Yes",Y1088&gt;0),"Yes","No"))</x:f>
        <x:v>No</x:v>
      </x:c>
      <x:c r="AB1088" s="253" t="str">
        <x:f>IF(W1088="No","Maturing",IF(AND(U1088="Yes",Z1088&gt;0),"Yes","No"))</x:f>
        <x:v>No</x:v>
      </x:c>
      <x:c r="AC1088" s="265" t="n">
        <x:v>-12623.21</x:v>
      </x:c>
      <x:c r="AD1088" s="265" t="n">
        <x:v>-12008.14</x:v>
      </x:c>
      <x:c r="AE1088" s="271" t="str"/>
      <x:c r="AF1088" s="274" t="str">
        <x:v>Not validated - no control/holdout</x:v>
      </x:c>
      <x:c r="AG1088" s="277" t="str">
        <x:v>Recovered execution only; assignment date and unclaimed-offer denominator unavailable</x:v>
      </x:c>
    </x:row>
    <x:row r="1089">
      <x:c r="A1089" s="252" t="str">
        <x:v>34729386</x:v>
      </x:c>
      <x:c r="B1089" s="253" t="str">
        <x:v>WS1</x:v>
      </x:c>
      <x:c r="C1089" s="253" t="str">
        <x:v>MB8</x:v>
      </x:c>
      <x:c r="D1089" s="262" t="n">
        <x:v>46199.674259259256</x:v>
      </x:c>
      <x:c r="E1089" s="259" t="n">
        <x:v>46199.166666666664</x:v>
      </x:c>
      <x:c r="F1089" s="253" t="str">
        <x:v>218256</x:v>
      </x:c>
      <x:c r="G1089" s="253" t="str">
        <x:v>Bobby2626</x:v>
      </x:c>
      <x:c r="H1089" s="253" t="str">
        <x:v>Yes</x:v>
      </x:c>
      <x:c r="I1089" s="253" t="str">
        <x:v>Elda</x:v>
      </x:c>
      <x:c r="J1089" s="253" t="str">
        <x:v>Elda</x:v>
      </x:c>
      <x:c r="K1089" s="259" t="n">
        <x:v>45659.166666666664</x:v>
      </x:c>
      <x:c r="L1089" s="268" t="str">
        <x:f>IFERROR(VLOOKUP(I1089,'Handler-Team Map'!$A$7:$C$17,2,FALSE),"")</x:f>
      </x:c>
      <x:c r="M1089" s="268" t="str">
        <x:f>IFERROR(VLOOKUP(I1089,'Handler-Team Map'!$A$7:$C$17,3,FALSE),"")</x:f>
      </x:c>
      <x:c r="N1089" s="274" t="str">
        <x:v>FT_VM_DEP600_GET200_5X</x:v>
      </x:c>
      <x:c r="O1089" s="274" t="str">
        <x:v>VIP BONUS - Deposit 600 Get 200 - 5x TO</x:v>
      </x:c>
      <x:c r="P1089" s="274" t="str">
        <x:v>DepositBonus</x:v>
      </x:c>
      <x:c r="Q1089" s="274" t="str">
        <x:v>Approved</x:v>
      </x:c>
      <x:c r="R1089" s="265" t="n">
        <x:v>200</x:v>
      </x:c>
      <x:c r="S1089" s="253" t="str">
        <x:v>Yes</x:v>
      </x:c>
      <x:c r="T1089" s="265" t="n">
        <x:v>50300</x:v>
      </x:c>
      <x:c r="U1089" s="253" t="str">
        <x:f>IF(AND(S1089="Yes",T1089=0),"Yes","No")</x:f>
        <x:v>No</x:v>
      </x:c>
      <x:c r="V1089" s="253" t="str">
        <x:v>Yes</x:v>
      </x:c>
      <x:c r="W1089" s="253" t="str">
        <x:v>Yes</x:v>
      </x:c>
      <x:c r="X1089" s="259" t="n">
        <x:v>46199.166666666664</x:v>
      </x:c>
      <x:c r="Y1089" s="265" t="n">
        <x:v>35600</x:v>
      </x:c>
      <x:c r="Z1089" s="265" t="n">
        <x:v>64600</x:v>
      </x:c>
      <x:c r="AA1089" s="253" t="str">
        <x:f>IF(V1089="No","Maturing",IF(AND(U1089="Yes",Y1089&gt;0),"Yes","No"))</x:f>
        <x:v>No</x:v>
      </x:c>
      <x:c r="AB1089" s="253" t="str">
        <x:f>IF(W1089="No","Maturing",IF(AND(U1089="Yes",Z1089&gt;0),"Yes","No"))</x:f>
        <x:v>No</x:v>
      </x:c>
      <x:c r="AC1089" s="265" t="n">
        <x:v>112872.27</x:v>
      </x:c>
      <x:c r="AD1089" s="265" t="n">
        <x:v>109262.33</x:v>
      </x:c>
      <x:c r="AE1089" s="271" t="str"/>
      <x:c r="AF1089" s="274" t="str">
        <x:v>Not validated - no control/holdout</x:v>
      </x:c>
      <x:c r="AG1089" s="277" t="str">
        <x:v>Recovered execution only; assignment date and unclaimed-offer denominator unavailable</x:v>
      </x:c>
    </x:row>
    <x:row r="1090">
      <x:c r="A1090" s="252" t="str">
        <x:v>34730413</x:v>
      </x:c>
      <x:c r="B1090" s="253" t="str">
        <x:v>WS1</x:v>
      </x:c>
      <x:c r="C1090" s="253" t="str">
        <x:v>MB8</x:v>
      </x:c>
      <x:c r="D1090" s="262" t="n">
        <x:v>46199.73699074074</x:v>
      </x:c>
      <x:c r="E1090" s="259" t="n">
        <x:v>46199.166666666664</x:v>
      </x:c>
      <x:c r="F1090" s="253" t="str">
        <x:v>401057</x:v>
      </x:c>
      <x:c r="G1090" s="253" t="str">
        <x:v>discus71</x:v>
      </x:c>
      <x:c r="H1090" s="253" t="str">
        <x:v>Yes</x:v>
      </x:c>
      <x:c r="I1090" s="253" t="str">
        <x:v>zhen</x:v>
      </x:c>
      <x:c r="J1090" s="253" t="str">
        <x:v>zhen</x:v>
      </x:c>
      <x:c r="K1090" s="259" t="n">
        <x:v>45922.166666666664</x:v>
      </x:c>
      <x:c r="L1090" s="268" t="str">
        <x:f>IFERROR(VLOOKUP(I1090,'Handler-Team Map'!$A$7:$C$17,2,FALSE),"")</x:f>
      </x:c>
      <x:c r="M1090" s="268" t="str">
        <x:f>IFERROR(VLOOKUP(I1090,'Handler-Team Map'!$A$7:$C$17,3,FALSE),"")</x:f>
      </x:c>
      <x:c r="N1090" s="274" t="str">
        <x:v>FT_VM_DEP1000_GET500_5X</x:v>
      </x:c>
      <x:c r="O1090" s="274" t="str">
        <x:v>VIP BONUS - Deposit 1000 Get 500 - 5x TO</x:v>
      </x:c>
      <x:c r="P1090" s="274" t="str">
        <x:v>DepositBonus</x:v>
      </x:c>
      <x:c r="Q1090" s="274" t="str">
        <x:v>Approved</x:v>
      </x:c>
      <x:c r="R1090" s="265" t="n">
        <x:v>500</x:v>
      </x:c>
      <x:c r="S1090" s="253" t="str">
        <x:v>Yes</x:v>
      </x:c>
      <x:c r="T1090" s="265" t="n">
        <x:v>2000</x:v>
      </x:c>
      <x:c r="U1090" s="253" t="str">
        <x:f>IF(AND(S1090="Yes",T1090=0),"Yes","No")</x:f>
        <x:v>No</x:v>
      </x:c>
      <x:c r="V1090" s="253" t="str">
        <x:v>Yes</x:v>
      </x:c>
      <x:c r="W1090" s="253" t="str">
        <x:v>Yes</x:v>
      </x:c>
      <x:c r="X1090" s="259" t="n">
        <x:v>46199.166666666664</x:v>
      </x:c>
      <x:c r="Y1090" s="265" t="n">
        <x:v>1000</x:v>
      </x:c>
      <x:c r="Z1090" s="265" t="n">
        <x:v>1000</x:v>
      </x:c>
      <x:c r="AA1090" s="253" t="str">
        <x:f>IF(V1090="No","Maturing",IF(AND(U1090="Yes",Y1090&gt;0),"Yes","No"))</x:f>
        <x:v>No</x:v>
      </x:c>
      <x:c r="AB1090" s="253" t="str">
        <x:f>IF(W1090="No","Maturing",IF(AND(U1090="Yes",Z1090&gt;0),"Yes","No"))</x:f>
        <x:v>No</x:v>
      </x:c>
      <x:c r="AC1090" s="265" t="n">
        <x:v>1000.74</x:v>
      </x:c>
      <x:c r="AD1090" s="265" t="n">
        <x:v>999.95</x:v>
      </x:c>
      <x:c r="AE1090" s="271" t="str"/>
      <x:c r="AF1090" s="274" t="str">
        <x:v>Not validated - no control/holdout</x:v>
      </x:c>
      <x:c r="AG1090" s="277" t="str">
        <x:v>Recovered execution only; assignment date and unclaimed-offer denominator unavailable</x:v>
      </x:c>
    </x:row>
    <x:row r="1091">
      <x:c r="A1091" s="252" t="str">
        <x:v>34732063</x:v>
      </x:c>
      <x:c r="B1091" s="253" t="str">
        <x:v>WS1</x:v>
      </x:c>
      <x:c r="C1091" s="253" t="str">
        <x:v>MB8</x:v>
      </x:c>
      <x:c r="D1091" s="262" t="n">
        <x:v>46199.8440625</x:v>
      </x:c>
      <x:c r="E1091" s="259" t="n">
        <x:v>46199.166666666664</x:v>
      </x:c>
      <x:c r="F1091" s="253" t="str">
        <x:v>726288</x:v>
      </x:c>
      <x:c r="G1091" s="253" t="str">
        <x:v>TeohWayne08</x:v>
      </x:c>
      <x:c r="H1091" s="253" t="str">
        <x:v>Yes</x:v>
      </x:c>
      <x:c r="I1091" s="253" t="str"/>
      <x:c r="J1091" s="253" t="str"/>
      <x:c r="K1091" s="259"/>
      <x:c r="L1091" s="268" t="str">
        <x:f>IFERROR(VLOOKUP(I1091,'Handler-Team Map'!$A$7:$C$17,2,FALSE),"")</x:f>
      </x:c>
      <x:c r="M1091" s="268" t="str">
        <x:f>IFERROR(VLOOKUP(I1091,'Handler-Team Map'!$A$7:$C$17,3,FALSE),"")</x:f>
      </x:c>
      <x:c r="N1091" s="274" t="str">
        <x:v>FT_VM_DEP1000_GET500_1X</x:v>
      </x:c>
      <x:c r="O1091" s="274" t="str">
        <x:v>VIP BONUS - Deposit 1000 Get 500 - 1x TO</x:v>
      </x:c>
      <x:c r="P1091" s="274" t="str">
        <x:v>DepositBonus</x:v>
      </x:c>
      <x:c r="Q1091" s="274" t="str">
        <x:v>Approved</x:v>
      </x:c>
      <x:c r="R1091" s="265" t="n">
        <x:v>500</x:v>
      </x:c>
      <x:c r="S1091" s="253" t="str">
        <x:v>Yes</x:v>
      </x:c>
      <x:c r="T1091" s="265" t="n">
        <x:v>0</x:v>
      </x:c>
      <x:c r="U1091" s="253" t="str">
        <x:f>IF(AND(S1091="Yes",T1091=0),"Yes","No")</x:f>
        <x:v>Yes</x:v>
      </x:c>
      <x:c r="V1091" s="253" t="str">
        <x:v>Yes</x:v>
      </x:c>
      <x:c r="W1091" s="253" t="str">
        <x:v>Yes</x:v>
      </x:c>
      <x:c r="X1091" s="259" t="n">
        <x:v>46199.166666666664</x:v>
      </x:c>
      <x:c r="Y1091" s="265" t="n">
        <x:v>1000</x:v>
      </x:c>
      <x:c r="Z1091" s="265" t="n">
        <x:v>1000</x:v>
      </x:c>
      <x:c r="AA1091" s="253" t="str">
        <x:f>IF(V1091="No","Maturing",IF(AND(U1091="Yes",Y1091&gt;0),"Yes","No"))</x:f>
        <x:v>Yes</x:v>
      </x:c>
      <x:c r="AB1091" s="253" t="str">
        <x:f>IF(W1091="No","Maturing",IF(AND(U1091="Yes",Z1091&gt;0),"Yes","No"))</x:f>
        <x:v>Yes</x:v>
      </x:c>
      <x:c r="AC1091" s="265" t="n">
        <x:v>-1972.76</x:v>
      </x:c>
      <x:c r="AD1091" s="265" t="n">
        <x:v>-1972.76</x:v>
      </x:c>
      <x:c r="AE1091" s="271" t="str"/>
      <x:c r="AF1091" s="274" t="str">
        <x:v>Not validated - no control/holdout</x:v>
      </x:c>
      <x:c r="AG1091" s="277" t="str">
        <x:v>Recovered execution only; assignment date and unclaimed-offer denominator unavailable</x:v>
      </x:c>
    </x:row>
    <x:row r="1092">
      <x:c r="A1092" s="252" t="str">
        <x:v>34736879</x:v>
      </x:c>
      <x:c r="B1092" s="253" t="str">
        <x:v>WS1</x:v>
      </x:c>
      <x:c r="C1092" s="253" t="str">
        <x:v>MB8</x:v>
      </x:c>
      <x:c r="D1092" s="262" t="n">
        <x:v>46200.06898148148</x:v>
      </x:c>
      <x:c r="E1092" s="259" t="n">
        <x:v>46200.166666666664</x:v>
      </x:c>
      <x:c r="F1092" s="253" t="str">
        <x:v>625208</x:v>
      </x:c>
      <x:c r="G1092" s="253" t="str">
        <x:v>Utin84</x:v>
      </x:c>
      <x:c r="H1092" s="253" t="str">
        <x:v>Yes</x:v>
      </x:c>
      <x:c r="I1092" s="253" t="str">
        <x:v>Serene</x:v>
      </x:c>
      <x:c r="J1092" s="253" t="str">
        <x:v>Serene</x:v>
      </x:c>
      <x:c r="K1092" s="259" t="n">
        <x:v>45804.166666666664</x:v>
      </x:c>
      <x:c r="L1092" s="268" t="str">
        <x:f>IFERROR(VLOOKUP(I1092,'Handler-Team Map'!$A$7:$C$17,2,FALSE),"")</x:f>
      </x:c>
      <x:c r="M1092" s="268" t="str">
        <x:f>IFERROR(VLOOKUP(I1092,'Handler-Team Map'!$A$7:$C$17,3,FALSE),"")</x:f>
      </x:c>
      <x:c r="N1092" s="274" t="str">
        <x:v>FT_VM_DEP1000_GET800_1X</x:v>
      </x:c>
      <x:c r="O1092" s="274" t="str">
        <x:v>VIP BONUS - Deposit 1000 Get 800 - 1x TO</x:v>
      </x:c>
      <x:c r="P1092" s="274" t="str">
        <x:v>DepositBonus</x:v>
      </x:c>
      <x:c r="Q1092" s="274" t="str">
        <x:v>Approved</x:v>
      </x:c>
      <x:c r="R1092" s="265" t="n">
        <x:v>800</x:v>
      </x:c>
      <x:c r="S1092" s="253" t="str">
        <x:v>Yes</x:v>
      </x:c>
      <x:c r="T1092" s="265" t="n">
        <x:v>0</x:v>
      </x:c>
      <x:c r="U1092" s="253" t="str">
        <x:f>IF(AND(S1092="Yes",T1092=0),"Yes","No")</x:f>
        <x:v>Yes</x:v>
      </x:c>
      <x:c r="V1092" s="253" t="str">
        <x:v>Yes</x:v>
      </x:c>
      <x:c r="W1092" s="253" t="str">
        <x:v>Yes</x:v>
      </x:c>
      <x:c r="X1092" s="259" t="n">
        <x:v>46200.166666666664</x:v>
      </x:c>
      <x:c r="Y1092" s="265" t="n">
        <x:v>1000</x:v>
      </x:c>
      <x:c r="Z1092" s="265" t="n">
        <x:v>1450</x:v>
      </x:c>
      <x:c r="AA1092" s="253" t="str">
        <x:f>IF(V1092="No","Maturing",IF(AND(U1092="Yes",Y1092&gt;0),"Yes","No"))</x:f>
        <x:v>Yes</x:v>
      </x:c>
      <x:c r="AB1092" s="253" t="str">
        <x:f>IF(W1092="No","Maturing",IF(AND(U1092="Yes",Z1092&gt;0),"Yes","No"))</x:f>
        <x:v>Yes</x:v>
      </x:c>
      <x:c r="AC1092" s="265" t="n">
        <x:v>-1655.87</x:v>
      </x:c>
      <x:c r="AD1092" s="265" t="n">
        <x:v>-1616.66</x:v>
      </x:c>
      <x:c r="AE1092" s="271" t="str"/>
      <x:c r="AF1092" s="274" t="str">
        <x:v>Not validated - no control/holdout</x:v>
      </x:c>
      <x:c r="AG1092" s="277" t="str">
        <x:v>Recovered execution only; assignment date and unclaimed-offer denominator unavailable</x:v>
      </x:c>
    </x:row>
    <x:row r="1093">
      <x:c r="A1093" s="252" t="str">
        <x:v>34739288</x:v>
      </x:c>
      <x:c r="B1093" s="253" t="str">
        <x:v>WS1</x:v>
      </x:c>
      <x:c r="C1093" s="253" t="str">
        <x:v>MB8</x:v>
      </x:c>
      <x:c r="D1093" s="262" t="n">
        <x:v>46200.30302083334</x:v>
      </x:c>
      <x:c r="E1093" s="259" t="n">
        <x:v>46200.166666666664</x:v>
      </x:c>
      <x:c r="F1093" s="253" t="str">
        <x:v>82259</x:v>
      </x:c>
      <x:c r="G1093" s="253" t="str">
        <x:v>Arsad</x:v>
      </x:c>
      <x:c r="H1093" s="253" t="str">
        <x:v>Yes</x:v>
      </x:c>
      <x:c r="I1093" s="253" t="str">
        <x:v>Claire</x:v>
      </x:c>
      <x:c r="J1093" s="253" t="str">
        <x:v>Claire</x:v>
      </x:c>
      <x:c r="K1093" s="259" t="n">
        <x:v>46090.166666666664</x:v>
      </x:c>
      <x:c r="L1093" s="268" t="str">
        <x:f>IFERROR(VLOOKUP(I1093,'Handler-Team Map'!$A$7:$C$17,2,FALSE),"")</x:f>
      </x:c>
      <x:c r="M1093" s="268" t="str">
        <x:f>IFERROR(VLOOKUP(I1093,'Handler-Team Map'!$A$7:$C$17,3,FALSE),"")</x:f>
      </x:c>
      <x:c r="N1093" s="274" t="str">
        <x:v>FT_VM_DEP1000_GET500_1X</x:v>
      </x:c>
      <x:c r="O1093" s="274" t="str">
        <x:v>VIP BONUS - Deposit 1000 Get 500 - 1x TO</x:v>
      </x:c>
      <x:c r="P1093" s="274" t="str">
        <x:v>DepositBonus</x:v>
      </x:c>
      <x:c r="Q1093" s="274" t="str">
        <x:v>Approved</x:v>
      </x:c>
      <x:c r="R1093" s="265" t="n">
        <x:v>500</x:v>
      </x:c>
      <x:c r="S1093" s="253" t="str">
        <x:v>Yes</x:v>
      </x:c>
      <x:c r="T1093" s="265" t="n">
        <x:v>30</x:v>
      </x:c>
      <x:c r="U1093" s="253" t="str">
        <x:f>IF(AND(S1093="Yes",T1093=0),"Yes","No")</x:f>
        <x:v>No</x:v>
      </x:c>
      <x:c r="V1093" s="253" t="str">
        <x:v>Yes</x:v>
      </x:c>
      <x:c r="W1093" s="253" t="str">
        <x:v>Yes</x:v>
      </x:c>
      <x:c r="X1093" s="259" t="n">
        <x:v>46200.166666666664</x:v>
      </x:c>
      <x:c r="Y1093" s="265" t="n">
        <x:v>1000</x:v>
      </x:c>
      <x:c r="Z1093" s="265" t="n">
        <x:v>1030</x:v>
      </x:c>
      <x:c r="AA1093" s="253" t="str">
        <x:f>IF(V1093="No","Maturing",IF(AND(U1093="Yes",Y1093&gt;0),"Yes","No"))</x:f>
        <x:v>No</x:v>
      </x:c>
      <x:c r="AB1093" s="253" t="str">
        <x:f>IF(W1093="No","Maturing",IF(AND(U1093="Yes",Z1093&gt;0),"Yes","No"))</x:f>
        <x:v>No</x:v>
      </x:c>
      <x:c r="AC1093" s="265" t="n">
        <x:v>-750.44</x:v>
      </x:c>
      <x:c r="AD1093" s="265" t="n">
        <x:v>-820.7</x:v>
      </x:c>
      <x:c r="AE1093" s="271" t="str"/>
      <x:c r="AF1093" s="274" t="str">
        <x:v>Not validated - no control/holdout</x:v>
      </x:c>
      <x:c r="AG1093" s="277" t="str">
        <x:v>Recovered execution only; assignment date and unclaimed-offer denominator unavailable</x:v>
      </x:c>
    </x:row>
    <x:row r="1094">
      <x:c r="A1094" s="252" t="str">
        <x:v>34743266</x:v>
      </x:c>
      <x:c r="B1094" s="253" t="str">
        <x:v>WS1</x:v>
      </x:c>
      <x:c r="C1094" s="253" t="str">
        <x:v>MB8</x:v>
      </x:c>
      <x:c r="D1094" s="262" t="n">
        <x:v>46200.69236111111</x:v>
      </x:c>
      <x:c r="E1094" s="259" t="n">
        <x:v>46200.166666666664</x:v>
      </x:c>
      <x:c r="F1094" s="253" t="str">
        <x:v>442581</x:v>
      </x:c>
      <x:c r="G1094" s="253" t="str">
        <x:v>Royloh1288</x:v>
      </x:c>
      <x:c r="H1094" s="253" t="str">
        <x:v>Yes</x:v>
      </x:c>
      <x:c r="I1094" s="253" t="str">
        <x:v>Jiahui</x:v>
      </x:c>
      <x:c r="J1094" s="253" t="str">
        <x:v>Jiahui</x:v>
      </x:c>
      <x:c r="K1094" s="259" t="n">
        <x:v>46090.166666666664</x:v>
      </x:c>
      <x:c r="L1094" s="268" t="str">
        <x:f>IFERROR(VLOOKUP(I1094,'Handler-Team Map'!$A$7:$C$17,2,FALSE),"")</x:f>
      </x:c>
      <x:c r="M1094" s="268" t="str">
        <x:f>IFERROR(VLOOKUP(I1094,'Handler-Team Map'!$A$7:$C$17,3,FALSE),"")</x:f>
      </x:c>
      <x:c r="N1094" s="274" t="str">
        <x:v>FT_VM_DEP1000_GET500_1X</x:v>
      </x:c>
      <x:c r="O1094" s="274" t="str">
        <x:v>VIP BONUS - Deposit 1000 Get 500 - 1x TO</x:v>
      </x:c>
      <x:c r="P1094" s="274" t="str">
        <x:v>DepositBonus</x:v>
      </x:c>
      <x:c r="Q1094" s="274" t="str">
        <x:v>Approved</x:v>
      </x:c>
      <x:c r="R1094" s="265" t="n">
        <x:v>500</x:v>
      </x:c>
      <x:c r="S1094" s="253" t="str">
        <x:v>Yes</x:v>
      </x:c>
      <x:c r="T1094" s="265" t="n">
        <x:v>450</x:v>
      </x:c>
      <x:c r="U1094" s="253" t="str">
        <x:f>IF(AND(S1094="Yes",T1094=0),"Yes","No")</x:f>
        <x:v>No</x:v>
      </x:c>
      <x:c r="V1094" s="253" t="str">
        <x:v>Yes</x:v>
      </x:c>
      <x:c r="W1094" s="253" t="str">
        <x:v>Yes</x:v>
      </x:c>
      <x:c r="X1094" s="259" t="n">
        <x:v>46200.166666666664</x:v>
      </x:c>
      <x:c r="Y1094" s="265" t="n">
        <x:v>4550</x:v>
      </x:c>
      <x:c r="Z1094" s="265" t="n">
        <x:v>7950</x:v>
      </x:c>
      <x:c r="AA1094" s="253" t="str">
        <x:f>IF(V1094="No","Maturing",IF(AND(U1094="Yes",Y1094&gt;0),"Yes","No"))</x:f>
        <x:v>No</x:v>
      </x:c>
      <x:c r="AB1094" s="253" t="str">
        <x:f>IF(W1094="No","Maturing",IF(AND(U1094="Yes",Z1094&gt;0),"Yes","No"))</x:f>
        <x:v>No</x:v>
      </x:c>
      <x:c r="AC1094" s="265" t="n">
        <x:v>-1940.7</x:v>
      </x:c>
      <x:c r="AD1094" s="265" t="n">
        <x:v>-444.69</x:v>
      </x:c>
      <x:c r="AE1094" s="271" t="str"/>
      <x:c r="AF1094" s="274" t="str">
        <x:v>Not validated - no control/holdout</x:v>
      </x:c>
      <x:c r="AG1094" s="277" t="str">
        <x:v>Recovered execution only; assignment date and unclaimed-offer denominator unavailable</x:v>
      </x:c>
    </x:row>
    <x:row r="1095">
      <x:c r="A1095" s="252" t="str">
        <x:v>34744144</x:v>
      </x:c>
      <x:c r="B1095" s="253" t="str">
        <x:v>WS1</x:v>
      </x:c>
      <x:c r="C1095" s="253" t="str">
        <x:v>MB8</x:v>
      </x:c>
      <x:c r="D1095" s="262" t="n">
        <x:v>46200.75342592593</x:v>
      </x:c>
      <x:c r="E1095" s="259" t="n">
        <x:v>46200.166666666664</x:v>
      </x:c>
      <x:c r="F1095" s="253" t="str">
        <x:v>908861</x:v>
      </x:c>
      <x:c r="G1095" s="253" t="str">
        <x:v>Stars103</x:v>
      </x:c>
      <x:c r="H1095" s="253" t="str">
        <x:v>Yes</x:v>
      </x:c>
      <x:c r="I1095" s="253" t="str">
        <x:v>Jiahui</x:v>
      </x:c>
      <x:c r="J1095" s="253" t="str">
        <x:v>Jiahui</x:v>
      </x:c>
      <x:c r="K1095" s="259" t="n">
        <x:v>45659.166666666664</x:v>
      </x:c>
      <x:c r="L1095" s="268" t="str">
        <x:f>IFERROR(VLOOKUP(I1095,'Handler-Team Map'!$A$7:$C$17,2,FALSE),"")</x:f>
      </x:c>
      <x:c r="M1095" s="268" t="str">
        <x:f>IFERROR(VLOOKUP(I1095,'Handler-Team Map'!$A$7:$C$17,3,FALSE),"")</x:f>
      </x:c>
      <x:c r="N1095" s="274" t="str">
        <x:v>FT_VM_DEP1000_GET500_1X</x:v>
      </x:c>
      <x:c r="O1095" s="274" t="str">
        <x:v>VIP BONUS - Deposit 1000 Get 500 - 1x TO</x:v>
      </x:c>
      <x:c r="P1095" s="274" t="str">
        <x:v>DepositBonus</x:v>
      </x:c>
      <x:c r="Q1095" s="274" t="str">
        <x:v>Approved</x:v>
      </x:c>
      <x:c r="R1095" s="265" t="n">
        <x:v>500</x:v>
      </x:c>
      <x:c r="S1095" s="253" t="str">
        <x:v>Yes</x:v>
      </x:c>
      <x:c r="T1095" s="265" t="n">
        <x:v>0</x:v>
      </x:c>
      <x:c r="U1095" s="253" t="str">
        <x:f>IF(AND(S1095="Yes",T1095=0),"Yes","No")</x:f>
        <x:v>Yes</x:v>
      </x:c>
      <x:c r="V1095" s="253" t="str">
        <x:v>Yes</x:v>
      </x:c>
      <x:c r="W1095" s="253" t="str">
        <x:v>Yes</x:v>
      </x:c>
      <x:c r="X1095" s="259" t="n">
        <x:v>46200.166666666664</x:v>
      </x:c>
      <x:c r="Y1095" s="265" t="n">
        <x:v>21730</x:v>
      </x:c>
      <x:c r="Z1095" s="265" t="n">
        <x:v>63505</x:v>
      </x:c>
      <x:c r="AA1095" s="253" t="str">
        <x:f>IF(V1095="No","Maturing",IF(AND(U1095="Yes",Y1095&gt;0),"Yes","No"))</x:f>
        <x:v>Yes</x:v>
      </x:c>
      <x:c r="AB1095" s="253" t="str">
        <x:f>IF(W1095="No","Maturing",IF(AND(U1095="Yes",Z1095&gt;0),"Yes","No"))</x:f>
        <x:v>Yes</x:v>
      </x:c>
      <x:c r="AC1095" s="265" t="n">
        <x:v>-21656.45</x:v>
      </x:c>
      <x:c r="AD1095" s="265" t="n">
        <x:v>-6515.22</x:v>
      </x:c>
      <x:c r="AE1095" s="271" t="str"/>
      <x:c r="AF1095" s="274" t="str">
        <x:v>Not validated - no control/holdout</x:v>
      </x:c>
      <x:c r="AG1095" s="277" t="str">
        <x:v>Recovered execution only; assignment date and unclaimed-offer denominator unavailable</x:v>
      </x:c>
    </x:row>
    <x:row r="1096">
      <x:c r="A1096" s="252" t="str">
        <x:v>34744697</x:v>
      </x:c>
      <x:c r="B1096" s="253" t="str">
        <x:v>WS1</x:v>
      </x:c>
      <x:c r="C1096" s="253" t="str">
        <x:v>MB8</x:v>
      </x:c>
      <x:c r="D1096" s="262" t="n">
        <x:v>46200.787314814814</x:v>
      </x:c>
      <x:c r="E1096" s="259" t="n">
        <x:v>46200.166666666664</x:v>
      </x:c>
      <x:c r="F1096" s="253" t="str">
        <x:v>1199974</x:v>
      </x:c>
      <x:c r="G1096" s="253" t="str">
        <x:v>Nazli3612</x:v>
      </x:c>
      <x:c r="H1096" s="253" t="str">
        <x:v>Yes</x:v>
      </x:c>
      <x:c r="I1096" s="253" t="str"/>
      <x:c r="J1096" s="253" t="str"/>
      <x:c r="K1096" s="259"/>
      <x:c r="L1096" s="268" t="str">
        <x:f>IFERROR(VLOOKUP(I1096,'Handler-Team Map'!$A$7:$C$17,2,FALSE),"")</x:f>
      </x:c>
      <x:c r="M1096" s="268" t="str">
        <x:f>IFERROR(VLOOKUP(I1096,'Handler-Team Map'!$A$7:$C$17,3,FALSE),"")</x:f>
      </x:c>
      <x:c r="N1096" s="274" t="str">
        <x:v>FT_VM_DEP300_GET100_5X</x:v>
      </x:c>
      <x:c r="O1096" s="274" t="str">
        <x:v>VIP BONUS - Deposit 300 Get 100 - 5x TO</x:v>
      </x:c>
      <x:c r="P1096" s="274" t="str">
        <x:v>DepositBonus</x:v>
      </x:c>
      <x:c r="Q1096" s="274" t="str">
        <x:v>Approved</x:v>
      </x:c>
      <x:c r="R1096" s="265" t="n">
        <x:v>100</x:v>
      </x:c>
      <x:c r="S1096" s="253" t="str">
        <x:v>Yes</x:v>
      </x:c>
      <x:c r="T1096" s="265" t="n">
        <x:v>45990</x:v>
      </x:c>
      <x:c r="U1096" s="253" t="str">
        <x:f>IF(AND(S1096="Yes",T1096=0),"Yes","No")</x:f>
        <x:v>No</x:v>
      </x:c>
      <x:c r="V1096" s="253" t="str">
        <x:v>Yes</x:v>
      </x:c>
      <x:c r="W1096" s="253" t="str">
        <x:v>Yes</x:v>
      </x:c>
      <x:c r="X1096" s="259" t="n">
        <x:v>46200.166666666664</x:v>
      </x:c>
      <x:c r="Y1096" s="265" t="n">
        <x:v>7510</x:v>
      </x:c>
      <x:c r="Z1096" s="265" t="n">
        <x:v>17630</x:v>
      </x:c>
      <x:c r="AA1096" s="253" t="str">
        <x:f>IF(V1096="No","Maturing",IF(AND(U1096="Yes",Y1096&gt;0),"Yes","No"))</x:f>
        <x:v>No</x:v>
      </x:c>
      <x:c r="AB1096" s="253" t="str">
        <x:f>IF(W1096="No","Maturing",IF(AND(U1096="Yes",Z1096&gt;0),"Yes","No"))</x:f>
        <x:v>No</x:v>
      </x:c>
      <x:c r="AC1096" s="265" t="n">
        <x:v>5209.63</x:v>
      </x:c>
      <x:c r="AD1096" s="265" t="n">
        <x:v>11430.2</x:v>
      </x:c>
      <x:c r="AE1096" s="271" t="str"/>
      <x:c r="AF1096" s="274" t="str">
        <x:v>Not validated - no control/holdout</x:v>
      </x:c>
      <x:c r="AG1096" s="277" t="str">
        <x:v>Recovered execution only; assignment date and unclaimed-offer denominator unavailable</x:v>
      </x:c>
    </x:row>
    <x:row r="1097">
      <x:c r="A1097" s="252" t="str">
        <x:v>34747448</x:v>
      </x:c>
      <x:c r="B1097" s="253" t="str">
        <x:v>WS1</x:v>
      </x:c>
      <x:c r="C1097" s="253" t="str">
        <x:v>MB8</x:v>
      </x:c>
      <x:c r="D1097" s="262" t="n">
        <x:v>46200.97204861111</x:v>
      </x:c>
      <x:c r="E1097" s="259" t="n">
        <x:v>46200.166666666664</x:v>
      </x:c>
      <x:c r="F1097" s="253" t="str">
        <x:v>858071</x:v>
      </x:c>
      <x:c r="G1097" s="253" t="str">
        <x:v>Joey789</x:v>
      </x:c>
      <x:c r="H1097" s="253" t="str">
        <x:v>Yes</x:v>
      </x:c>
      <x:c r="I1097" s="253" t="str">
        <x:v>zhen</x:v>
      </x:c>
      <x:c r="J1097" s="253" t="str">
        <x:v>zhen</x:v>
      </x:c>
      <x:c r="K1097" s="259" t="n">
        <x:v>45880.166666666664</x:v>
      </x:c>
      <x:c r="L1097" s="268" t="str">
        <x:f>IFERROR(VLOOKUP(I1097,'Handler-Team Map'!$A$7:$C$17,2,FALSE),"")</x:f>
      </x:c>
      <x:c r="M1097" s="268" t="str">
        <x:f>IFERROR(VLOOKUP(I1097,'Handler-Team Map'!$A$7:$C$17,3,FALSE),"")</x:f>
      </x:c>
      <x:c r="N1097" s="274" t="str">
        <x:v>FT_VM_DEP800_GET400_2X</x:v>
      </x:c>
      <x:c r="O1097" s="274" t="str">
        <x:v>VIP BONUS - Deposit 800 Get 400 - 2x TO</x:v>
      </x:c>
      <x:c r="P1097" s="274" t="str">
        <x:v>DepositBonus</x:v>
      </x:c>
      <x:c r="Q1097" s="274" t="str">
        <x:v>Approved</x:v>
      </x:c>
      <x:c r="R1097" s="265" t="n">
        <x:v>400</x:v>
      </x:c>
      <x:c r="S1097" s="253" t="str">
        <x:v>Yes</x:v>
      </x:c>
      <x:c r="T1097" s="265" t="n">
        <x:v>99</x:v>
      </x:c>
      <x:c r="U1097" s="253" t="str">
        <x:f>IF(AND(S1097="Yes",T1097=0),"Yes","No")</x:f>
        <x:v>No</x:v>
      </x:c>
      <x:c r="V1097" s="253" t="str">
        <x:v>Yes</x:v>
      </x:c>
      <x:c r="W1097" s="253" t="str">
        <x:v>Yes</x:v>
      </x:c>
      <x:c r="X1097" s="259" t="n">
        <x:v>46200.166666666664</x:v>
      </x:c>
      <x:c r="Y1097" s="265" t="n">
        <x:v>38530</x:v>
      </x:c>
      <x:c r="Z1097" s="265" t="n">
        <x:v>76050</x:v>
      </x:c>
      <x:c r="AA1097" s="253" t="str">
        <x:f>IF(V1097="No","Maturing",IF(AND(U1097="Yes",Y1097&gt;0),"Yes","No"))</x:f>
        <x:v>No</x:v>
      </x:c>
      <x:c r="AB1097" s="253" t="str">
        <x:f>IF(W1097="No","Maturing",IF(AND(U1097="Yes",Z1097&gt;0),"Yes","No"))</x:f>
        <x:v>No</x:v>
      </x:c>
      <x:c r="AC1097" s="265" t="n">
        <x:v>-10725.64</x:v>
      </x:c>
      <x:c r="AD1097" s="265" t="n">
        <x:v>11160.46</x:v>
      </x:c>
      <x:c r="AE1097" s="271" t="str"/>
      <x:c r="AF1097" s="274" t="str">
        <x:v>Not validated - no control/holdout</x:v>
      </x:c>
      <x:c r="AG1097" s="277" t="str">
        <x:v>Recovered execution only; assignment date and unclaimed-offer denominator unavailable</x:v>
      </x:c>
    </x:row>
    <x:row r="1098">
      <x:c r="A1098" s="252" t="str">
        <x:v>34748561</x:v>
      </x:c>
      <x:c r="B1098" s="253" t="str">
        <x:v>WS1</x:v>
      </x:c>
      <x:c r="C1098" s="253" t="str">
        <x:v>MB8</x:v>
      </x:c>
      <x:c r="D1098" s="262" t="n">
        <x:v>46201.02819444444</x:v>
      </x:c>
      <x:c r="E1098" s="259" t="n">
        <x:v>46201.166666666664</x:v>
      </x:c>
      <x:c r="F1098" s="253" t="str">
        <x:v>284757</x:v>
      </x:c>
      <x:c r="G1098" s="253" t="str">
        <x:v>patrickchik</x:v>
      </x:c>
      <x:c r="H1098" s="253" t="str">
        <x:v>Yes</x:v>
      </x:c>
      <x:c r="I1098" s="253" t="str">
        <x:v>Christy</x:v>
      </x:c>
      <x:c r="J1098" s="253" t="str">
        <x:v>Christy</x:v>
      </x:c>
      <x:c r="K1098" s="259" t="n">
        <x:v>45859.166666666664</x:v>
      </x:c>
      <x:c r="L1098" s="268" t="str">
        <x:f>IFERROR(VLOOKUP(I1098,'Handler-Team Map'!$A$7:$C$17,2,FALSE),"")</x:f>
      </x:c>
      <x:c r="M1098" s="268" t="str">
        <x:f>IFERROR(VLOOKUP(I1098,'Handler-Team Map'!$A$7:$C$17,3,FALSE),"")</x:f>
      </x:c>
      <x:c r="N1098" s="274" t="str">
        <x:v>FT_VM_DEP1000_GET500_1X</x:v>
      </x:c>
      <x:c r="O1098" s="274" t="str">
        <x:v>VIP BONUS - Deposit 1000 Get 500 - 1x TO</x:v>
      </x:c>
      <x:c r="P1098" s="274" t="str">
        <x:v>DepositBonus</x:v>
      </x:c>
      <x:c r="Q1098" s="274" t="str">
        <x:v>Approved</x:v>
      </x:c>
      <x:c r="R1098" s="265" t="n">
        <x:v>500</x:v>
      </x:c>
      <x:c r="S1098" s="253" t="str">
        <x:v>Yes</x:v>
      </x:c>
      <x:c r="T1098" s="265" t="n">
        <x:v>0</x:v>
      </x:c>
      <x:c r="U1098" s="253" t="str">
        <x:f>IF(AND(S1098="Yes",T1098=0),"Yes","No")</x:f>
        <x:v>Yes</x:v>
      </x:c>
      <x:c r="V1098" s="253" t="str">
        <x:v>Yes</x:v>
      </x:c>
      <x:c r="W1098" s="253" t="str">
        <x:v>Yes</x:v>
      </x:c>
      <x:c r="X1098" s="259" t="n">
        <x:v>46201.166666666664</x:v>
      </x:c>
      <x:c r="Y1098" s="265" t="n">
        <x:v>1000</x:v>
      </x:c>
      <x:c r="Z1098" s="265" t="n">
        <x:v>1000</x:v>
      </x:c>
      <x:c r="AA1098" s="253" t="str">
        <x:f>IF(V1098="No","Maturing",IF(AND(U1098="Yes",Y1098&gt;0),"Yes","No"))</x:f>
        <x:v>Yes</x:v>
      </x:c>
      <x:c r="AB1098" s="253" t="str">
        <x:f>IF(W1098="No","Maturing",IF(AND(U1098="Yes",Z1098&gt;0),"Yes","No"))</x:f>
        <x:v>Yes</x:v>
      </x:c>
      <x:c r="AC1098" s="265" t="n">
        <x:v>692.3</x:v>
      </x:c>
      <x:c r="AD1098" s="265" t="n">
        <x:v>692.3</x:v>
      </x:c>
      <x:c r="AE1098" s="271" t="str"/>
      <x:c r="AF1098" s="274" t="str">
        <x:v>Not validated - no control/holdout</x:v>
      </x:c>
      <x:c r="AG1098" s="277" t="str">
        <x:v>Recovered execution only; assignment date and unclaimed-offer denominator unavailable</x:v>
      </x:c>
    </x:row>
    <x:row r="1099">
      <x:c r="A1099" s="252" t="str">
        <x:v>34748923</x:v>
      </x:c>
      <x:c r="B1099" s="253" t="str">
        <x:v>WS1</x:v>
      </x:c>
      <x:c r="C1099" s="253" t="str">
        <x:v>MB8</x:v>
      </x:c>
      <x:c r="D1099" s="262" t="n">
        <x:v>46201.042858796296</x:v>
      </x:c>
      <x:c r="E1099" s="259" t="n">
        <x:v>46201.166666666664</x:v>
      </x:c>
      <x:c r="F1099" s="253" t="str">
        <x:v>654855</x:v>
      </x:c>
      <x:c r="G1099" s="253" t="str">
        <x:v>uuidsa741</x:v>
      </x:c>
      <x:c r="H1099" s="253" t="str">
        <x:v>Yes</x:v>
      </x:c>
      <x:c r="I1099" s="253" t="str"/>
      <x:c r="J1099" s="253" t="str"/>
      <x:c r="K1099" s="259"/>
      <x:c r="L1099" s="268" t="str">
        <x:f>IFERROR(VLOOKUP(I1099,'Handler-Team Map'!$A$7:$C$17,2,FALSE),"")</x:f>
      </x:c>
      <x:c r="M1099" s="268" t="str">
        <x:f>IFERROR(VLOOKUP(I1099,'Handler-Team Map'!$A$7:$C$17,3,FALSE),"")</x:f>
      </x:c>
      <x:c r="N1099" s="274" t="str">
        <x:v>FT_VM_DEP700_GET300_2X</x:v>
      </x:c>
      <x:c r="O1099" s="274" t="str">
        <x:v>VIP BONUS - Deposit 700 Get 300 - 2x TO</x:v>
      </x:c>
      <x:c r="P1099" s="274" t="str">
        <x:v>DepositBonus</x:v>
      </x:c>
      <x:c r="Q1099" s="274" t="str">
        <x:v>Approved</x:v>
      </x:c>
      <x:c r="R1099" s="265" t="n">
        <x:v>300</x:v>
      </x:c>
      <x:c r="S1099" s="253" t="str">
        <x:v>Yes</x:v>
      </x:c>
      <x:c r="T1099" s="265" t="n">
        <x:v>700</x:v>
      </x:c>
      <x:c r="U1099" s="253" t="str">
        <x:f>IF(AND(S1099="Yes",T1099=0),"Yes","No")</x:f>
        <x:v>No</x:v>
      </x:c>
      <x:c r="V1099" s="253" t="str">
        <x:v>Yes</x:v>
      </x:c>
      <x:c r="W1099" s="253" t="str">
        <x:v>Yes</x:v>
      </x:c>
      <x:c r="X1099" s="259" t="n">
        <x:v>46201.166666666664</x:v>
      </x:c>
      <x:c r="Y1099" s="265" t="n">
        <x:v>700</x:v>
      </x:c>
      <x:c r="Z1099" s="265" t="n">
        <x:v>700</x:v>
      </x:c>
      <x:c r="AA1099" s="253" t="str">
        <x:f>IF(V1099="No","Maturing",IF(AND(U1099="Yes",Y1099&gt;0),"Yes","No"))</x:f>
        <x:v>No</x:v>
      </x:c>
      <x:c r="AB1099" s="253" t="str">
        <x:f>IF(W1099="No","Maturing",IF(AND(U1099="Yes",Z1099&gt;0),"Yes","No"))</x:f>
        <x:v>No</x:v>
      </x:c>
      <x:c r="AC1099" s="265" t="n">
        <x:v>-614.94</x:v>
      </x:c>
      <x:c r="AD1099" s="265" t="n">
        <x:v>-405.29</x:v>
      </x:c>
      <x:c r="AE1099" s="271" t="str"/>
      <x:c r="AF1099" s="274" t="str">
        <x:v>Not validated - no control/holdout</x:v>
      </x:c>
      <x:c r="AG1099" s="277" t="str">
        <x:v>Recovered execution only; assignment date and unclaimed-offer denominator unavailable</x:v>
      </x:c>
    </x:row>
    <x:row r="1100">
      <x:c r="A1100" s="252" t="str">
        <x:v>34752496</x:v>
      </x:c>
      <x:c r="B1100" s="253" t="str">
        <x:v>WS1</x:v>
      </x:c>
      <x:c r="C1100" s="253" t="str">
        <x:v>MB8</x:v>
      </x:c>
      <x:c r="D1100" s="262" t="n">
        <x:v>46201.390601851854</x:v>
      </x:c>
      <x:c r="E1100" s="259" t="n">
        <x:v>46201.166666666664</x:v>
      </x:c>
      <x:c r="F1100" s="253" t="str">
        <x:v>428603</x:v>
      </x:c>
      <x:c r="G1100" s="253" t="str">
        <x:v>renz45</x:v>
      </x:c>
      <x:c r="H1100" s="253" t="str">
        <x:v>Yes</x:v>
      </x:c>
      <x:c r="I1100" s="253" t="str">
        <x:v>zhen</x:v>
      </x:c>
      <x:c r="J1100" s="253" t="str">
        <x:v>zhen</x:v>
      </x:c>
      <x:c r="K1100" s="259" t="n">
        <x:v>46090.166666666664</x:v>
      </x:c>
      <x:c r="L1100" s="268" t="str">
        <x:f>IFERROR(VLOOKUP(I1100,'Handler-Team Map'!$A$7:$C$17,2,FALSE),"")</x:f>
      </x:c>
      <x:c r="M1100" s="268" t="str">
        <x:f>IFERROR(VLOOKUP(I1100,'Handler-Team Map'!$A$7:$C$17,3,FALSE),"")</x:f>
      </x:c>
      <x:c r="N1100" s="274" t="str">
        <x:v>FT_VM_DEP1000_GET500_5X</x:v>
      </x:c>
      <x:c r="O1100" s="274" t="str">
        <x:v>VIP BONUS - Deposit 1000 Get 500 - 5x TO</x:v>
      </x:c>
      <x:c r="P1100" s="274" t="str">
        <x:v>DepositBonus</x:v>
      </x:c>
      <x:c r="Q1100" s="274" t="str">
        <x:v>Approved</x:v>
      </x:c>
      <x:c r="R1100" s="265" t="n">
        <x:v>500</x:v>
      </x:c>
      <x:c r="S1100" s="253" t="str">
        <x:v>Yes</x:v>
      </x:c>
      <x:c r="T1100" s="265" t="n">
        <x:v>4572</x:v>
      </x:c>
      <x:c r="U1100" s="253" t="str">
        <x:f>IF(AND(S1100="Yes",T1100=0),"Yes","No")</x:f>
        <x:v>No</x:v>
      </x:c>
      <x:c r="V1100" s="253" t="str">
        <x:v>Yes</x:v>
      </x:c>
      <x:c r="W1100" s="253" t="str">
        <x:v>Yes</x:v>
      </x:c>
      <x:c r="X1100" s="259" t="n">
        <x:v>46201.166666666664</x:v>
      </x:c>
      <x:c r="Y1100" s="265" t="n">
        <x:v>5530</x:v>
      </x:c>
      <x:c r="Z1100" s="265" t="n">
        <x:v>10880</x:v>
      </x:c>
      <x:c r="AA1100" s="253" t="str">
        <x:f>IF(V1100="No","Maturing",IF(AND(U1100="Yes",Y1100&gt;0),"Yes","No"))</x:f>
        <x:v>No</x:v>
      </x:c>
      <x:c r="AB1100" s="253" t="str">
        <x:f>IF(W1100="No","Maturing",IF(AND(U1100="Yes",Z1100&gt;0),"Yes","No"))</x:f>
        <x:v>No</x:v>
      </x:c>
      <x:c r="AC1100" s="265" t="n">
        <x:v>-4218.67</x:v>
      </x:c>
      <x:c r="AD1100" s="265" t="n">
        <x:v>-3437.4</x:v>
      </x:c>
      <x:c r="AE1100" s="271" t="str"/>
      <x:c r="AF1100" s="274" t="str">
        <x:v>Not validated - no control/holdout</x:v>
      </x:c>
      <x:c r="AG1100" s="277" t="str">
        <x:v>Recovered execution only; assignment date and unclaimed-offer denominator unavailable</x:v>
      </x:c>
    </x:row>
    <x:row r="1101">
      <x:c r="A1101" s="252" t="str">
        <x:v>34753050</x:v>
      </x:c>
      <x:c r="B1101" s="253" t="str">
        <x:v>WS1</x:v>
      </x:c>
      <x:c r="C1101" s="253" t="str">
        <x:v>MB8</x:v>
      </x:c>
      <x:c r="D1101" s="262" t="n">
        <x:v>46201.4375</x:v>
      </x:c>
      <x:c r="E1101" s="259" t="n">
        <x:v>46201.166666666664</x:v>
      </x:c>
      <x:c r="F1101" s="253" t="str">
        <x:v>354942</x:v>
      </x:c>
      <x:c r="G1101" s="253" t="str">
        <x:v>koitchinwei</x:v>
      </x:c>
      <x:c r="H1101" s="253" t="str">
        <x:v>Yes</x:v>
      </x:c>
      <x:c r="I1101" s="253" t="str">
        <x:v>Sheena</x:v>
      </x:c>
      <x:c r="J1101" s="253" t="str">
        <x:v>Sheena</x:v>
      </x:c>
      <x:c r="K1101" s="259" t="n">
        <x:v>45912.166666666664</x:v>
      </x:c>
      <x:c r="L1101" s="268" t="str">
        <x:f>IFERROR(VLOOKUP(I1101,'Handler-Team Map'!$A$7:$C$17,2,FALSE),"")</x:f>
      </x:c>
      <x:c r="M1101" s="268" t="str">
        <x:f>IFERROR(VLOOKUP(I1101,'Handler-Team Map'!$A$7:$C$17,3,FALSE),"")</x:f>
      </x:c>
      <x:c r="N1101" s="274" t="str">
        <x:v>FT_VM_DEP1000_GET800_1X</x:v>
      </x:c>
      <x:c r="O1101" s="274" t="str">
        <x:v>VIP BONUS - Deposit 1000 Get 800 - 1x TO</x:v>
      </x:c>
      <x:c r="P1101" s="274" t="str">
        <x:v>DepositBonus</x:v>
      </x:c>
      <x:c r="Q1101" s="274" t="str">
        <x:v>Approved</x:v>
      </x:c>
      <x:c r="R1101" s="265" t="n">
        <x:v>800</x:v>
      </x:c>
      <x:c r="S1101" s="253" t="str">
        <x:v>Yes</x:v>
      </x:c>
      <x:c r="T1101" s="265" t="n">
        <x:v>0</x:v>
      </x:c>
      <x:c r="U1101" s="253" t="str">
        <x:f>IF(AND(S1101="Yes",T1101=0),"Yes","No")</x:f>
        <x:v>Yes</x:v>
      </x:c>
      <x:c r="V1101" s="253" t="str">
        <x:v>Yes</x:v>
      </x:c>
      <x:c r="W1101" s="253" t="str">
        <x:v>Yes</x:v>
      </x:c>
      <x:c r="X1101" s="259" t="n">
        <x:v>46201.166666666664</x:v>
      </x:c>
      <x:c r="Y1101" s="265" t="n">
        <x:v>1000</x:v>
      </x:c>
      <x:c r="Z1101" s="265" t="n">
        <x:v>2000</x:v>
      </x:c>
      <x:c r="AA1101" s="253" t="str">
        <x:f>IF(V1101="No","Maturing",IF(AND(U1101="Yes",Y1101&gt;0),"Yes","No"))</x:f>
        <x:v>Yes</x:v>
      </x:c>
      <x:c r="AB1101" s="253" t="str">
        <x:f>IF(W1101="No","Maturing",IF(AND(U1101="Yes",Z1101&gt;0),"Yes","No"))</x:f>
        <x:v>Yes</x:v>
      </x:c>
      <x:c r="AC1101" s="265" t="n">
        <x:v>1000</x:v>
      </x:c>
      <x:c r="AD1101" s="265" t="n">
        <x:v>499.69</x:v>
      </x:c>
      <x:c r="AE1101" s="271" t="str"/>
      <x:c r="AF1101" s="274" t="str">
        <x:v>Not validated - no control/holdout</x:v>
      </x:c>
      <x:c r="AG1101" s="277" t="str">
        <x:v>Recovered execution only; assignment date and unclaimed-offer denominator unavailable</x:v>
      </x:c>
    </x:row>
    <x:row r="1102">
      <x:c r="A1102" s="252" t="str">
        <x:v>34758273</x:v>
      </x:c>
      <x:c r="B1102" s="253" t="str">
        <x:v>WS1</x:v>
      </x:c>
      <x:c r="C1102" s="253" t="str">
        <x:v>MB8</x:v>
      </x:c>
      <x:c r="D1102" s="262" t="n">
        <x:v>46201.84664351852</x:v>
      </x:c>
      <x:c r="E1102" s="259" t="n">
        <x:v>46201.166666666664</x:v>
      </x:c>
      <x:c r="F1102" s="253" t="str">
        <x:v>956073</x:v>
      </x:c>
      <x:c r="G1102" s="253" t="str">
        <x:v>lkchen</x:v>
      </x:c>
      <x:c r="H1102" s="253" t="str">
        <x:v>Yes</x:v>
      </x:c>
      <x:c r="I1102" s="253" t="str"/>
      <x:c r="J1102" s="253" t="str"/>
      <x:c r="K1102" s="259"/>
      <x:c r="L1102" s="268" t="str">
        <x:f>IFERROR(VLOOKUP(I1102,'Handler-Team Map'!$A$7:$C$17,2,FALSE),"")</x:f>
      </x:c>
      <x:c r="M1102" s="268" t="str">
        <x:f>IFERROR(VLOOKUP(I1102,'Handler-Team Map'!$A$7:$C$17,3,FALSE),"")</x:f>
      </x:c>
      <x:c r="N1102" s="274" t="str">
        <x:v>FT_VM_DEP700_GET300_2X</x:v>
      </x:c>
      <x:c r="O1102" s="274" t="str">
        <x:v>VIP BONUS - Deposit 700 Get 300 - 2x TO</x:v>
      </x:c>
      <x:c r="P1102" s="274" t="str">
        <x:v>DepositBonus</x:v>
      </x:c>
      <x:c r="Q1102" s="274" t="str">
        <x:v>Approved</x:v>
      </x:c>
      <x:c r="R1102" s="265" t="n">
        <x:v>300</x:v>
      </x:c>
      <x:c r="S1102" s="253" t="str">
        <x:v>Yes</x:v>
      </x:c>
      <x:c r="T1102" s="265" t="n">
        <x:v>700</x:v>
      </x:c>
      <x:c r="U1102" s="253" t="str">
        <x:f>IF(AND(S1102="Yes",T1102=0),"Yes","No")</x:f>
        <x:v>No</x:v>
      </x:c>
      <x:c r="V1102" s="253" t="str">
        <x:v>Yes</x:v>
      </x:c>
      <x:c r="W1102" s="253" t="str">
        <x:v>Yes</x:v>
      </x:c>
      <x:c r="X1102" s="259" t="n">
        <x:v>46201.166666666664</x:v>
      </x:c>
      <x:c r="Y1102" s="265" t="n">
        <x:v>700</x:v>
      </x:c>
      <x:c r="Z1102" s="265" t="n">
        <x:v>700</x:v>
      </x:c>
      <x:c r="AA1102" s="253" t="str">
        <x:f>IF(V1102="No","Maturing",IF(AND(U1102="Yes",Y1102&gt;0),"Yes","No"))</x:f>
        <x:v>No</x:v>
      </x:c>
      <x:c r="AB1102" s="253" t="str">
        <x:f>IF(W1102="No","Maturing",IF(AND(U1102="Yes",Z1102&gt;0),"Yes","No"))</x:f>
        <x:v>No</x:v>
      </x:c>
      <x:c r="AC1102" s="265" t="n">
        <x:v>-1609.52</x:v>
      </x:c>
      <x:c r="AD1102" s="265" t="n">
        <x:v>-1609.52</x:v>
      </x:c>
      <x:c r="AE1102" s="271" t="str"/>
      <x:c r="AF1102" s="274" t="str">
        <x:v>Not validated - no control/holdout</x:v>
      </x:c>
      <x:c r="AG1102" s="277" t="str">
        <x:v>Recovered execution only; assignment date and unclaimed-offer denominator unavailable</x:v>
      </x:c>
    </x:row>
    <x:row r="1103">
      <x:c r="A1103" s="252" t="str">
        <x:v>34763592</x:v>
      </x:c>
      <x:c r="B1103" s="253" t="str">
        <x:v>WS1</x:v>
      </x:c>
      <x:c r="C1103" s="253" t="str">
        <x:v>MB8</x:v>
      </x:c>
      <x:c r="D1103" s="262" t="n">
        <x:v>46202.30601851852</x:v>
      </x:c>
      <x:c r="E1103" s="259" t="n">
        <x:v>46202.166666666664</x:v>
      </x:c>
      <x:c r="F1103" s="253" t="str">
        <x:v>708763</x:v>
      </x:c>
      <x:c r="G1103" s="253" t="str">
        <x:v>Matthewshen03</x:v>
      </x:c>
      <x:c r="H1103" s="253" t="str">
        <x:v>Yes</x:v>
      </x:c>
      <x:c r="I1103" s="253" t="str"/>
      <x:c r="J1103" s="253" t="str"/>
      <x:c r="K1103" s="259"/>
      <x:c r="L1103" s="268" t="str">
        <x:f>IFERROR(VLOOKUP(I1103,'Handler-Team Map'!$A$7:$C$17,2,FALSE),"")</x:f>
      </x:c>
      <x:c r="M1103" s="268" t="str">
        <x:f>IFERROR(VLOOKUP(I1103,'Handler-Team Map'!$A$7:$C$17,3,FALSE),"")</x:f>
      </x:c>
      <x:c r="N1103" s="274" t="str">
        <x:v>FT_VM_DEP700_GET300_2X</x:v>
      </x:c>
      <x:c r="O1103" s="274" t="str">
        <x:v>VIP BONUS - Deposit 700 Get 300 - 2x TO</x:v>
      </x:c>
      <x:c r="P1103" s="274" t="str">
        <x:v>DepositBonus</x:v>
      </x:c>
      <x:c r="Q1103" s="274" t="str">
        <x:v>Approved</x:v>
      </x:c>
      <x:c r="R1103" s="265" t="n">
        <x:v>300</x:v>
      </x:c>
      <x:c r="S1103" s="253" t="str">
        <x:v>Yes</x:v>
      </x:c>
      <x:c r="T1103" s="265" t="n">
        <x:v>188</x:v>
      </x:c>
      <x:c r="U1103" s="253" t="str">
        <x:f>IF(AND(S1103="Yes",T1103=0),"Yes","No")</x:f>
        <x:v>No</x:v>
      </x:c>
      <x:c r="V1103" s="253" t="str">
        <x:v>Yes</x:v>
      </x:c>
      <x:c r="W1103" s="253" t="str">
        <x:v>Yes</x:v>
      </x:c>
      <x:c r="X1103" s="259" t="n">
        <x:v>46202.166666666664</x:v>
      </x:c>
      <x:c r="Y1103" s="265" t="n">
        <x:v>750</x:v>
      </x:c>
      <x:c r="Z1103" s="265" t="n">
        <x:v>750</x:v>
      </x:c>
      <x:c r="AA1103" s="253" t="str">
        <x:f>IF(V1103="No","Maturing",IF(AND(U1103="Yes",Y1103&gt;0),"Yes","No"))</x:f>
        <x:v>No</x:v>
      </x:c>
      <x:c r="AB1103" s="253" t="str">
        <x:f>IF(W1103="No","Maturing",IF(AND(U1103="Yes",Z1103&gt;0),"Yes","No"))</x:f>
        <x:v>No</x:v>
      </x:c>
      <x:c r="AC1103" s="265" t="n">
        <x:v>738.31</x:v>
      </x:c>
      <x:c r="AD1103" s="265" t="n">
        <x:v>750.23</x:v>
      </x:c>
      <x:c r="AE1103" s="271" t="str"/>
      <x:c r="AF1103" s="274" t="str">
        <x:v>Not validated - no control/holdout</x:v>
      </x:c>
      <x:c r="AG1103" s="277" t="str">
        <x:v>Recovered execution only; assignment date and unclaimed-offer denominator unavailable</x:v>
      </x:c>
    </x:row>
    <x:row r="1104">
      <x:c r="A1104" s="252" t="str">
        <x:v>34763604</x:v>
      </x:c>
      <x:c r="B1104" s="253" t="str">
        <x:v>WS1</x:v>
      </x:c>
      <x:c r="C1104" s="253" t="str">
        <x:v>MB8</x:v>
      </x:c>
      <x:c r="D1104" s="262" t="n">
        <x:v>46202.309907407405</x:v>
      </x:c>
      <x:c r="E1104" s="259" t="n">
        <x:v>46202.166666666664</x:v>
      </x:c>
      <x:c r="F1104" s="253" t="str">
        <x:v>815519</x:v>
      </x:c>
      <x:c r="G1104" s="253" t="str">
        <x:v>Mac1228</x:v>
      </x:c>
      <x:c r="H1104" s="253" t="str">
        <x:v>Yes</x:v>
      </x:c>
      <x:c r="I1104" s="253" t="str">
        <x:v>Tammy</x:v>
      </x:c>
      <x:c r="J1104" s="253" t="str">
        <x:v>Tammy</x:v>
      </x:c>
      <x:c r="K1104" s="259" t="n">
        <x:v>45951.166666666664</x:v>
      </x:c>
      <x:c r="L1104" s="268" t="str">
        <x:f>IFERROR(VLOOKUP(I1104,'Handler-Team Map'!$A$7:$C$17,2,FALSE),"")</x:f>
      </x:c>
      <x:c r="M1104" s="268" t="str">
        <x:f>IFERROR(VLOOKUP(I1104,'Handler-Team Map'!$A$7:$C$17,3,FALSE),"")</x:f>
      </x:c>
      <x:c r="N1104" s="274" t="str">
        <x:v>FT_VM_DEP150_GET50_5X</x:v>
      </x:c>
      <x:c r="O1104" s="274" t="str">
        <x:v>VIP BONUS - Deposit 150 Get 50 - 5x TO</x:v>
      </x:c>
      <x:c r="P1104" s="274" t="str">
        <x:v>DepositBonus</x:v>
      </x:c>
      <x:c r="Q1104" s="274" t="str">
        <x:v>Approved</x:v>
      </x:c>
      <x:c r="R1104" s="265" t="n">
        <x:v>50</x:v>
      </x:c>
      <x:c r="S1104" s="253" t="str">
        <x:v>Yes</x:v>
      </x:c>
      <x:c r="T1104" s="265" t="n">
        <x:v>59000</x:v>
      </x:c>
      <x:c r="U1104" s="253" t="str">
        <x:f>IF(AND(S1104="Yes",T1104=0),"Yes","No")</x:f>
        <x:v>No</x:v>
      </x:c>
      <x:c r="V1104" s="253" t="str">
        <x:v>Yes</x:v>
      </x:c>
      <x:c r="W1104" s="253" t="str">
        <x:v>Yes</x:v>
      </x:c>
      <x:c r="X1104" s="259" t="n">
        <x:v>46202.166666666664</x:v>
      </x:c>
      <x:c r="Y1104" s="265" t="n">
        <x:v>21500</x:v>
      </x:c>
      <x:c r="Z1104" s="265" t="n">
        <x:v>31150</x:v>
      </x:c>
      <x:c r="AA1104" s="253" t="str">
        <x:f>IF(V1104="No","Maturing",IF(AND(U1104="Yes",Y1104&gt;0),"Yes","No"))</x:f>
        <x:v>No</x:v>
      </x:c>
      <x:c r="AB1104" s="253" t="str">
        <x:f>IF(W1104="No","Maturing",IF(AND(U1104="Yes",Z1104&gt;0),"Yes","No"))</x:f>
        <x:v>No</x:v>
      </x:c>
      <x:c r="AC1104" s="265" t="n">
        <x:v>15946.1</x:v>
      </x:c>
      <x:c r="AD1104" s="265" t="n">
        <x:v>25535.08</x:v>
      </x:c>
      <x:c r="AE1104" s="271" t="str"/>
      <x:c r="AF1104" s="274" t="str">
        <x:v>Not validated - no control/holdout</x:v>
      </x:c>
      <x:c r="AG1104" s="277" t="str">
        <x:v>Recovered execution only; assignment date and unclaimed-offer denominator unavailable</x:v>
      </x:c>
    </x:row>
    <x:row r="1105">
      <x:c r="A1105" s="252" t="str">
        <x:v>34764903</x:v>
      </x:c>
      <x:c r="B1105" s="253" t="str">
        <x:v>WS1</x:v>
      </x:c>
      <x:c r="C1105" s="253" t="str">
        <x:v>MB8</x:v>
      </x:c>
      <x:c r="D1105" s="262" t="n">
        <x:v>46202.48721064815</x:v>
      </x:c>
      <x:c r="E1105" s="259" t="n">
        <x:v>46202.166666666664</x:v>
      </x:c>
      <x:c r="F1105" s="253" t="str">
        <x:v>688879</x:v>
      </x:c>
      <x:c r="G1105" s="253" t="str">
        <x:v>Bulla123</x:v>
      </x:c>
      <x:c r="H1105" s="253" t="str">
        <x:v>Yes</x:v>
      </x:c>
      <x:c r="I1105" s="253" t="str">
        <x:v>Jiahui</x:v>
      </x:c>
      <x:c r="J1105" s="253" t="str">
        <x:v>Jiahui</x:v>
      </x:c>
      <x:c r="K1105" s="259" t="n">
        <x:v>45831.166666666664</x:v>
      </x:c>
      <x:c r="L1105" s="268" t="str">
        <x:f>IFERROR(VLOOKUP(I1105,'Handler-Team Map'!$A$7:$C$17,2,FALSE),"")</x:f>
      </x:c>
      <x:c r="M1105" s="268" t="str">
        <x:f>IFERROR(VLOOKUP(I1105,'Handler-Team Map'!$A$7:$C$17,3,FALSE),"")</x:f>
      </x:c>
      <x:c r="N1105" s="274" t="str">
        <x:v>FT_VM_DEP1000_GET700_1X</x:v>
      </x:c>
      <x:c r="O1105" s="274" t="str">
        <x:v>VIP BONUS - Deposit 1000 Get 700 - 1x TO</x:v>
      </x:c>
      <x:c r="P1105" s="274" t="str">
        <x:v>DepositBonus</x:v>
      </x:c>
      <x:c r="Q1105" s="274" t="str">
        <x:v>Approved</x:v>
      </x:c>
      <x:c r="R1105" s="265" t="n">
        <x:v>700</x:v>
      </x:c>
      <x:c r="S1105" s="253" t="str">
        <x:v>Yes</x:v>
      </x:c>
      <x:c r="T1105" s="265" t="n">
        <x:v>0</x:v>
      </x:c>
      <x:c r="U1105" s="253" t="str">
        <x:f>IF(AND(S1105="Yes",T1105=0),"Yes","No")</x:f>
        <x:v>Yes</x:v>
      </x:c>
      <x:c r="V1105" s="253" t="str">
        <x:v>Yes</x:v>
      </x:c>
      <x:c r="W1105" s="253" t="str">
        <x:v>Yes</x:v>
      </x:c>
      <x:c r="X1105" s="259" t="n">
        <x:v>46202.166666666664</x:v>
      </x:c>
      <x:c r="Y1105" s="265" t="n">
        <x:v>1000</x:v>
      </x:c>
      <x:c r="Z1105" s="265" t="n">
        <x:v>1000</x:v>
      </x:c>
      <x:c r="AA1105" s="253" t="str">
        <x:f>IF(V1105="No","Maturing",IF(AND(U1105="Yes",Y1105&gt;0),"Yes","No"))</x:f>
        <x:v>Yes</x:v>
      </x:c>
      <x:c r="AB1105" s="253" t="str">
        <x:f>IF(W1105="No","Maturing",IF(AND(U1105="Yes",Z1105&gt;0),"Yes","No"))</x:f>
        <x:v>Yes</x:v>
      </x:c>
      <x:c r="AC1105" s="265" t="n">
        <x:v>-501.41</x:v>
      </x:c>
      <x:c r="AD1105" s="265" t="n">
        <x:v>-501.31</x:v>
      </x:c>
      <x:c r="AE1105" s="271" t="str"/>
      <x:c r="AF1105" s="274" t="str">
        <x:v>Not validated - no control/holdout</x:v>
      </x:c>
      <x:c r="AG1105" s="277" t="str">
        <x:v>Recovered execution only; assignment date and unclaimed-offer denominator unavailable</x:v>
      </x:c>
    </x:row>
    <x:row r="1106">
      <x:c r="A1106" s="252" t="str">
        <x:v>34764977</x:v>
      </x:c>
      <x:c r="B1106" s="253" t="str">
        <x:v>WS1</x:v>
      </x:c>
      <x:c r="C1106" s="253" t="str">
        <x:v>MB8</x:v>
      </x:c>
      <x:c r="D1106" s="262" t="n">
        <x:v>46202.496400462966</x:v>
      </x:c>
      <x:c r="E1106" s="259" t="n">
        <x:v>46202.166666666664</x:v>
      </x:c>
      <x:c r="F1106" s="253" t="str">
        <x:v>1135684</x:v>
      </x:c>
      <x:c r="G1106" s="253" t="str">
        <x:v>vins88</x:v>
      </x:c>
      <x:c r="H1106" s="253" t="str">
        <x:v>Yes</x:v>
      </x:c>
      <x:c r="I1106" s="253" t="str"/>
      <x:c r="J1106" s="253" t="str"/>
      <x:c r="K1106" s="259"/>
      <x:c r="L1106" s="268" t="str">
        <x:f>IFERROR(VLOOKUP(I1106,'Handler-Team Map'!$A$7:$C$17,2,FALSE),"")</x:f>
      </x:c>
      <x:c r="M1106" s="268" t="str">
        <x:f>IFERROR(VLOOKUP(I1106,'Handler-Team Map'!$A$7:$C$17,3,FALSE),"")</x:f>
      </x:c>
      <x:c r="N1106" s="274" t="str">
        <x:v>FT_VM_DEP700_GET300_2X</x:v>
      </x:c>
      <x:c r="O1106" s="274" t="str">
        <x:v>VIP BONUS - Deposit 700 Get 300 - 2x TO</x:v>
      </x:c>
      <x:c r="P1106" s="274" t="str">
        <x:v>DepositBonus</x:v>
      </x:c>
      <x:c r="Q1106" s="274" t="str">
        <x:v>Approved</x:v>
      </x:c>
      <x:c r="R1106" s="265" t="n">
        <x:v>300</x:v>
      </x:c>
      <x:c r="S1106" s="253" t="str">
        <x:v>Yes</x:v>
      </x:c>
      <x:c r="T1106" s="265" t="n">
        <x:v>0</x:v>
      </x:c>
      <x:c r="U1106" s="253" t="str">
        <x:f>IF(AND(S1106="Yes",T1106=0),"Yes","No")</x:f>
        <x:v>Yes</x:v>
      </x:c>
      <x:c r="V1106" s="253" t="str">
        <x:v>Yes</x:v>
      </x:c>
      <x:c r="W1106" s="253" t="str">
        <x:v>Yes</x:v>
      </x:c>
      <x:c r="X1106" s="259" t="n">
        <x:v>46202.166666666664</x:v>
      </x:c>
      <x:c r="Y1106" s="265" t="n">
        <x:v>700</x:v>
      </x:c>
      <x:c r="Z1106" s="265" t="n">
        <x:v>700</x:v>
      </x:c>
      <x:c r="AA1106" s="253" t="str">
        <x:f>IF(V1106="No","Maturing",IF(AND(U1106="Yes",Y1106&gt;0),"Yes","No"))</x:f>
        <x:v>Yes</x:v>
      </x:c>
      <x:c r="AB1106" s="253" t="str">
        <x:f>IF(W1106="No","Maturing",IF(AND(U1106="Yes",Z1106&gt;0),"Yes","No"))</x:f>
        <x:v>Yes</x:v>
      </x:c>
      <x:c r="AC1106" s="265" t="n">
        <x:v>-110.22</x:v>
      </x:c>
      <x:c r="AD1106" s="265" t="n">
        <x:v>-110.22</x:v>
      </x:c>
      <x:c r="AE1106" s="271" t="str"/>
      <x:c r="AF1106" s="274" t="str">
        <x:v>Not validated - no control/holdout</x:v>
      </x:c>
      <x:c r="AG1106" s="277" t="str">
        <x:v>Recovered execution only; assignment date and unclaimed-offer denominator unavailable</x:v>
      </x:c>
    </x:row>
    <x:row r="1107">
      <x:c r="A1107" s="252" t="str">
        <x:v>34765444</x:v>
      </x:c>
      <x:c r="B1107" s="253" t="str">
        <x:v>WS1</x:v>
      </x:c>
      <x:c r="C1107" s="253" t="str">
        <x:v>MB8</x:v>
      </x:c>
      <x:c r="D1107" s="262" t="n">
        <x:v>46202.53381944444</x:v>
      </x:c>
      <x:c r="E1107" s="259" t="n">
        <x:v>46202.166666666664</x:v>
      </x:c>
      <x:c r="F1107" s="253" t="str">
        <x:v>432234</x:v>
      </x:c>
      <x:c r="G1107" s="253" t="str">
        <x:v>geechew85</x:v>
      </x:c>
      <x:c r="H1107" s="253" t="str">
        <x:v>Yes</x:v>
      </x:c>
      <x:c r="I1107" s="253" t="str">
        <x:v>zhen</x:v>
      </x:c>
      <x:c r="J1107" s="253" t="str">
        <x:v>zhen</x:v>
      </x:c>
      <x:c r="K1107" s="259" t="n">
        <x:v>45922.166666666664</x:v>
      </x:c>
      <x:c r="L1107" s="268" t="str">
        <x:f>IFERROR(VLOOKUP(I1107,'Handler-Team Map'!$A$7:$C$17,2,FALSE),"")</x:f>
      </x:c>
      <x:c r="M1107" s="268" t="str">
        <x:f>IFERROR(VLOOKUP(I1107,'Handler-Team Map'!$A$7:$C$17,3,FALSE),"")</x:f>
      </x:c>
      <x:c r="N1107" s="274" t="str">
        <x:v>FT_VM_DEP1000_GET500_5X</x:v>
      </x:c>
      <x:c r="O1107" s="274" t="str">
        <x:v>VIP BONUS - Deposit 1000 Get 500 - 5x TO</x:v>
      </x:c>
      <x:c r="P1107" s="274" t="str">
        <x:v>DepositBonus</x:v>
      </x:c>
      <x:c r="Q1107" s="274" t="str">
        <x:v>Approved</x:v>
      </x:c>
      <x:c r="R1107" s="265" t="n">
        <x:v>500</x:v>
      </x:c>
      <x:c r="S1107" s="253" t="str">
        <x:v>Yes</x:v>
      </x:c>
      <x:c r="T1107" s="265" t="n">
        <x:v>11927.12</x:v>
      </x:c>
      <x:c r="U1107" s="253" t="str">
        <x:f>IF(AND(S1107="Yes",T1107=0),"Yes","No")</x:f>
        <x:v>No</x:v>
      </x:c>
      <x:c r="V1107" s="253" t="str">
        <x:v>Yes</x:v>
      </x:c>
      <x:c r="W1107" s="253" t="str">
        <x:v>Yes</x:v>
      </x:c>
      <x:c r="X1107" s="259" t="n">
        <x:v>46202.166666666664</x:v>
      </x:c>
      <x:c r="Y1107" s="265" t="n">
        <x:v>5183</x:v>
      </x:c>
      <x:c r="Z1107" s="265" t="n">
        <x:v>6179.2</x:v>
      </x:c>
      <x:c r="AA1107" s="253" t="str">
        <x:f>IF(V1107="No","Maturing",IF(AND(U1107="Yes",Y1107&gt;0),"Yes","No"))</x:f>
        <x:v>No</x:v>
      </x:c>
      <x:c r="AB1107" s="253" t="str">
        <x:f>IF(W1107="No","Maturing",IF(AND(U1107="Yes",Z1107&gt;0),"Yes","No"))</x:f>
        <x:v>No</x:v>
      </x:c>
      <x:c r="AC1107" s="265" t="n">
        <x:v>-3326.84</x:v>
      </x:c>
      <x:c r="AD1107" s="265" t="n">
        <x:v>-2333.83</x:v>
      </x:c>
      <x:c r="AE1107" s="271" t="str"/>
      <x:c r="AF1107" s="274" t="str">
        <x:v>Not validated - no control/holdout</x:v>
      </x:c>
      <x:c r="AG1107" s="277" t="str">
        <x:v>Recovered execution only; assignment date and unclaimed-offer denominator unavailable</x:v>
      </x:c>
    </x:row>
    <x:row r="1108">
      <x:c r="A1108" s="252" t="str">
        <x:v>34765844</x:v>
      </x:c>
      <x:c r="B1108" s="253" t="str">
        <x:v>WS1</x:v>
      </x:c>
      <x:c r="C1108" s="253" t="str">
        <x:v>MB8</x:v>
      </x:c>
      <x:c r="D1108" s="262" t="n">
        <x:v>46202.56784722222</x:v>
      </x:c>
      <x:c r="E1108" s="259" t="n">
        <x:v>46202.166666666664</x:v>
      </x:c>
      <x:c r="F1108" s="253" t="str">
        <x:v>566199</x:v>
      </x:c>
      <x:c r="G1108" s="253" t="str">
        <x:v>PyanMybet93</x:v>
      </x:c>
      <x:c r="H1108" s="253" t="str">
        <x:v>Yes</x:v>
      </x:c>
      <x:c r="I1108" s="253" t="str">
        <x:v>zhen</x:v>
      </x:c>
      <x:c r="J1108" s="253" t="str">
        <x:v>zhen</x:v>
      </x:c>
      <x:c r="K1108" s="259" t="n">
        <x:v>45880.166666666664</x:v>
      </x:c>
      <x:c r="L1108" s="268" t="str">
        <x:f>IFERROR(VLOOKUP(I1108,'Handler-Team Map'!$A$7:$C$17,2,FALSE),"")</x:f>
      </x:c>
      <x:c r="M1108" s="268" t="str">
        <x:f>IFERROR(VLOOKUP(I1108,'Handler-Team Map'!$A$7:$C$17,3,FALSE),"")</x:f>
      </x:c>
      <x:c r="N1108" s="274" t="str">
        <x:v>FT_VM_DEP150_GET50_5X</x:v>
      </x:c>
      <x:c r="O1108" s="274" t="str">
        <x:v>VIP BONUS - Deposit 150 Get 50 - 5x TO</x:v>
      </x:c>
      <x:c r="P1108" s="274" t="str">
        <x:v>DepositBonus</x:v>
      </x:c>
      <x:c r="Q1108" s="274" t="str">
        <x:v>Approved</x:v>
      </x:c>
      <x:c r="R1108" s="265" t="n">
        <x:v>50</x:v>
      </x:c>
      <x:c r="S1108" s="253" t="str">
        <x:v>Yes</x:v>
      </x:c>
      <x:c r="T1108" s="265" t="n">
        <x:v>12678.8</x:v>
      </x:c>
      <x:c r="U1108" s="253" t="str">
        <x:f>IF(AND(S1108="Yes",T1108=0),"Yes","No")</x:f>
        <x:v>No</x:v>
      </x:c>
      <x:c r="V1108" s="253" t="str">
        <x:v>Yes</x:v>
      </x:c>
      <x:c r="W1108" s="253" t="str">
        <x:v>Yes</x:v>
      </x:c>
      <x:c r="X1108" s="259" t="n">
        <x:v>46202.166666666664</x:v>
      </x:c>
      <x:c r="Y1108" s="265" t="n">
        <x:v>6054</x:v>
      </x:c>
      <x:c r="Z1108" s="265" t="n">
        <x:v>7185</x:v>
      </x:c>
      <x:c r="AA1108" s="253" t="str">
        <x:f>IF(V1108="No","Maturing",IF(AND(U1108="Yes",Y1108&gt;0),"Yes","No"))</x:f>
        <x:v>No</x:v>
      </x:c>
      <x:c r="AB1108" s="253" t="str">
        <x:f>IF(W1108="No","Maturing",IF(AND(U1108="Yes",Z1108&gt;0),"Yes","No"))</x:f>
        <x:v>No</x:v>
      </x:c>
      <x:c r="AC1108" s="265" t="n">
        <x:v>-123.16</x:v>
      </x:c>
      <x:c r="AD1108" s="265" t="n">
        <x:v>286.15</x:v>
      </x:c>
      <x:c r="AE1108" s="271" t="str"/>
      <x:c r="AF1108" s="274" t="str">
        <x:v>Not validated - no control/holdout</x:v>
      </x:c>
      <x:c r="AG1108" s="277" t="str">
        <x:v>Recovered execution only; assignment date and unclaimed-offer denominator unavailable</x:v>
      </x:c>
    </x:row>
    <x:row r="1109">
      <x:c r="A1109" s="252" t="str">
        <x:v>34766068</x:v>
      </x:c>
      <x:c r="B1109" s="253" t="str">
        <x:v>WS1</x:v>
      </x:c>
      <x:c r="C1109" s="253" t="str">
        <x:v>MB8</x:v>
      </x:c>
      <x:c r="D1109" s="262" t="n">
        <x:v>46202.58731481482</x:v>
      </x:c>
      <x:c r="E1109" s="259" t="n">
        <x:v>46202.166666666664</x:v>
      </x:c>
      <x:c r="F1109" s="253" t="str">
        <x:v>539</x:v>
      </x:c>
      <x:c r="G1109" s="253" t="str">
        <x:v>sslssl</x:v>
      </x:c>
      <x:c r="H1109" s="253" t="str">
        <x:v>Yes</x:v>
      </x:c>
      <x:c r="I1109" s="253" t="str">
        <x:v>Elda</x:v>
      </x:c>
      <x:c r="J1109" s="253" t="str">
        <x:v>Elda</x:v>
      </x:c>
      <x:c r="K1109" s="259" t="n">
        <x:v>45659.166666666664</x:v>
      </x:c>
      <x:c r="L1109" s="268" t="str">
        <x:f>IFERROR(VLOOKUP(I1109,'Handler-Team Map'!$A$7:$C$17,2,FALSE),"")</x:f>
      </x:c>
      <x:c r="M1109" s="268" t="str">
        <x:f>IFERROR(VLOOKUP(I1109,'Handler-Team Map'!$A$7:$C$17,3,FALSE),"")</x:f>
      </x:c>
      <x:c r="N1109" s="274" t="str">
        <x:v>FT_VM_DEP1000_GET1000_1X</x:v>
      </x:c>
      <x:c r="O1109" s="274" t="str">
        <x:v>VIP BONUS - Deposit 1000 Get 1000 - 1x TO</x:v>
      </x:c>
      <x:c r="P1109" s="274" t="str">
        <x:v>DepositBonus</x:v>
      </x:c>
      <x:c r="Q1109" s="274" t="str">
        <x:v>Approved</x:v>
      </x:c>
      <x:c r="R1109" s="265" t="n">
        <x:v>1000</x:v>
      </x:c>
      <x:c r="S1109" s="253" t="str">
        <x:v>Yes</x:v>
      </x:c>
      <x:c r="T1109" s="265" t="n">
        <x:v>694608</x:v>
      </x:c>
      <x:c r="U1109" s="253" t="str">
        <x:f>IF(AND(S1109="Yes",T1109=0),"Yes","No")</x:f>
        <x:v>No</x:v>
      </x:c>
      <x:c r="V1109" s="253" t="str">
        <x:v>Yes</x:v>
      </x:c>
      <x:c r="W1109" s="253" t="str">
        <x:v>Yes</x:v>
      </x:c>
      <x:c r="X1109" s="259" t="n">
        <x:v>46202.166666666664</x:v>
      </x:c>
      <x:c r="Y1109" s="265" t="n">
        <x:v>42832</x:v>
      </x:c>
      <x:c r="Z1109" s="265" t="n">
        <x:v>61484</x:v>
      </x:c>
      <x:c r="AA1109" s="253" t="str">
        <x:f>IF(V1109="No","Maturing",IF(AND(U1109="Yes",Y1109&gt;0),"Yes","No"))</x:f>
        <x:v>No</x:v>
      </x:c>
      <x:c r="AB1109" s="253" t="str">
        <x:f>IF(W1109="No","Maturing",IF(AND(U1109="Yes",Z1109&gt;0),"Yes","No"))</x:f>
        <x:v>No</x:v>
      </x:c>
      <x:c r="AC1109" s="265" t="n">
        <x:v>42832.41</x:v>
      </x:c>
      <x:c r="AD1109" s="265" t="n">
        <x:v>52673.11</x:v>
      </x:c>
      <x:c r="AE1109" s="271" t="str"/>
      <x:c r="AF1109" s="274" t="str">
        <x:v>Not validated - no control/holdout</x:v>
      </x:c>
      <x:c r="AG1109" s="277" t="str">
        <x:v>Recovered execution only; assignment date and unclaimed-offer denominator unavailable</x:v>
      </x:c>
    </x:row>
    <x:row r="1110">
      <x:c r="A1110" s="252" t="str">
        <x:v>34766156</x:v>
      </x:c>
      <x:c r="B1110" s="253" t="str">
        <x:v>WS1</x:v>
      </x:c>
      <x:c r="C1110" s="253" t="str">
        <x:v>MB8</x:v>
      </x:c>
      <x:c r="D1110" s="262" t="n">
        <x:v>46202.593726851854</x:v>
      </x:c>
      <x:c r="E1110" s="259" t="n">
        <x:v>46202.166666666664</x:v>
      </x:c>
      <x:c r="F1110" s="253" t="str">
        <x:v>772894</x:v>
      </x:c>
      <x:c r="G1110" s="253" t="str">
        <x:v>anuar531</x:v>
      </x:c>
      <x:c r="H1110" s="253" t="str">
        <x:v>Yes</x:v>
      </x:c>
      <x:c r="I1110" s="253" t="str">
        <x:v>Claire</x:v>
      </x:c>
      <x:c r="J1110" s="253" t="str">
        <x:v>Claire</x:v>
      </x:c>
      <x:c r="K1110" s="259" t="n">
        <x:v>45659.166666666664</x:v>
      </x:c>
      <x:c r="L1110" s="268" t="str">
        <x:f>IFERROR(VLOOKUP(I1110,'Handler-Team Map'!$A$7:$C$17,2,FALSE),"")</x:f>
      </x:c>
      <x:c r="M1110" s="268" t="str">
        <x:f>IFERROR(VLOOKUP(I1110,'Handler-Team Map'!$A$7:$C$17,3,FALSE),"")</x:f>
      </x:c>
      <x:c r="N1110" s="274" t="str">
        <x:v>FT_VM_DEP1000_GET500_5X</x:v>
      </x:c>
      <x:c r="O1110" s="274" t="str">
        <x:v>VIP BONUS - Deposit 1000 Get 500 - 5x TO</x:v>
      </x:c>
      <x:c r="P1110" s="274" t="str">
        <x:v>DepositBonus</x:v>
      </x:c>
      <x:c r="Q1110" s="274" t="str">
        <x:v>Approved</x:v>
      </x:c>
      <x:c r="R1110" s="265" t="n">
        <x:v>500</x:v>
      </x:c>
      <x:c r="S1110" s="253" t="str">
        <x:v>Yes</x:v>
      </x:c>
      <x:c r="T1110" s="265" t="n">
        <x:v>18902</x:v>
      </x:c>
      <x:c r="U1110" s="253" t="str">
        <x:f>IF(AND(S1110="Yes",T1110=0),"Yes","No")</x:f>
        <x:v>No</x:v>
      </x:c>
      <x:c r="V1110" s="253" t="str">
        <x:v>Yes</x:v>
      </x:c>
      <x:c r="W1110" s="253" t="str">
        <x:v>Yes</x:v>
      </x:c>
      <x:c r="X1110" s="259" t="n">
        <x:v>46202.166666666664</x:v>
      </x:c>
      <x:c r="Y1110" s="265" t="n">
        <x:v>12436</x:v>
      </x:c>
      <x:c r="Z1110" s="265" t="n">
        <x:v>44058</x:v>
      </x:c>
      <x:c r="AA1110" s="253" t="str">
        <x:f>IF(V1110="No","Maturing",IF(AND(U1110="Yes",Y1110&gt;0),"Yes","No"))</x:f>
        <x:v>No</x:v>
      </x:c>
      <x:c r="AB1110" s="253" t="str">
        <x:f>IF(W1110="No","Maturing",IF(AND(U1110="Yes",Z1110&gt;0),"Yes","No"))</x:f>
        <x:v>No</x:v>
      </x:c>
      <x:c r="AC1110" s="265" t="n">
        <x:v>-13750.9</x:v>
      </x:c>
      <x:c r="AD1110" s="265" t="n">
        <x:v>-22973</x:v>
      </x:c>
      <x:c r="AE1110" s="271" t="str"/>
      <x:c r="AF1110" s="274" t="str">
        <x:v>Not validated - no control/holdout</x:v>
      </x:c>
      <x:c r="AG1110" s="277" t="str">
        <x:v>Recovered execution only; assignment date and unclaimed-offer denominator unavailable</x:v>
      </x:c>
    </x:row>
    <x:row r="1111">
      <x:c r="A1111" s="252" t="str">
        <x:v>34766538</x:v>
      </x:c>
      <x:c r="B1111" s="253" t="str">
        <x:v>WS1</x:v>
      </x:c>
      <x:c r="C1111" s="253" t="str">
        <x:v>MB8</x:v>
      </x:c>
      <x:c r="D1111" s="262" t="n">
        <x:v>46202.62763888889</x:v>
      </x:c>
      <x:c r="E1111" s="259" t="n">
        <x:v>46202.166666666664</x:v>
      </x:c>
      <x:c r="F1111" s="253" t="str">
        <x:v>788432</x:v>
      </x:c>
      <x:c r="G1111" s="253" t="str">
        <x:v>Jerrytan999</x:v>
      </x:c>
      <x:c r="H1111" s="253" t="str">
        <x:v>Yes</x:v>
      </x:c>
      <x:c r="I1111" s="253" t="str">
        <x:v>zhen</x:v>
      </x:c>
      <x:c r="J1111" s="253" t="str">
        <x:v>zhen</x:v>
      </x:c>
      <x:c r="K1111" s="259" t="n">
        <x:v>45880.166666666664</x:v>
      </x:c>
      <x:c r="L1111" s="268" t="str">
        <x:f>IFERROR(VLOOKUP(I1111,'Handler-Team Map'!$A$7:$C$17,2,FALSE),"")</x:f>
      </x:c>
      <x:c r="M1111" s="268" t="str">
        <x:f>IFERROR(VLOOKUP(I1111,'Handler-Team Map'!$A$7:$C$17,3,FALSE),"")</x:f>
      </x:c>
      <x:c r="N1111" s="274" t="str">
        <x:v>FT_VM_DEP800_GET400_2X</x:v>
      </x:c>
      <x:c r="O1111" s="274" t="str">
        <x:v>VIP BONUS - Deposit 800 Get 400 - 2x TO</x:v>
      </x:c>
      <x:c r="P1111" s="274" t="str">
        <x:v>DepositBonus</x:v>
      </x:c>
      <x:c r="Q1111" s="274" t="str">
        <x:v>Approved</x:v>
      </x:c>
      <x:c r="R1111" s="265" t="n">
        <x:v>400</x:v>
      </x:c>
      <x:c r="S1111" s="253" t="str">
        <x:v>Yes</x:v>
      </x:c>
      <x:c r="T1111" s="265" t="n">
        <x:v>40</x:v>
      </x:c>
      <x:c r="U1111" s="253" t="str">
        <x:f>IF(AND(S1111="Yes",T1111=0),"Yes","No")</x:f>
        <x:v>No</x:v>
      </x:c>
      <x:c r="V1111" s="253" t="str">
        <x:v>Yes</x:v>
      </x:c>
      <x:c r="W1111" s="253" t="str">
        <x:v>Yes</x:v>
      </x:c>
      <x:c r="X1111" s="259" t="n">
        <x:v>46202.166666666664</x:v>
      </x:c>
      <x:c r="Y1111" s="265" t="n">
        <x:v>800</x:v>
      </x:c>
      <x:c r="Z1111" s="265" t="n">
        <x:v>800</x:v>
      </x:c>
      <x:c r="AA1111" s="253" t="str">
        <x:f>IF(V1111="No","Maturing",IF(AND(U1111="Yes",Y1111&gt;0),"Yes","No"))</x:f>
        <x:v>No</x:v>
      </x:c>
      <x:c r="AB1111" s="253" t="str">
        <x:f>IF(W1111="No","Maturing",IF(AND(U1111="Yes",Z1111&gt;0),"Yes","No"))</x:f>
        <x:v>No</x:v>
      </x:c>
      <x:c r="AC1111" s="265" t="n">
        <x:v>800.32</x:v>
      </x:c>
      <x:c r="AD1111" s="265" t="n">
        <x:v>800.29</x:v>
      </x:c>
      <x:c r="AE1111" s="271" t="str"/>
      <x:c r="AF1111" s="274" t="str">
        <x:v>Not validated - no control/holdout</x:v>
      </x:c>
      <x:c r="AG1111" s="277" t="str">
        <x:v>Recovered execution only; assignment date and unclaimed-offer denominator unavailable</x:v>
      </x:c>
    </x:row>
    <x:row r="1112">
      <x:c r="A1112" s="252" t="str">
        <x:v>34766564</x:v>
      </x:c>
      <x:c r="B1112" s="253" t="str">
        <x:v>WS1</x:v>
      </x:c>
      <x:c r="C1112" s="253" t="str">
        <x:v>MB8</x:v>
      </x:c>
      <x:c r="D1112" s="262" t="n">
        <x:v>46202.63114583334</x:v>
      </x:c>
      <x:c r="E1112" s="259" t="n">
        <x:v>46202.166666666664</x:v>
      </x:c>
      <x:c r="F1112" s="253" t="str">
        <x:v>827371</x:v>
      </x:c>
      <x:c r="G1112" s="253" t="str">
        <x:v>marc187</x:v>
      </x:c>
      <x:c r="H1112" s="253" t="str">
        <x:v>Yes</x:v>
      </x:c>
      <x:c r="I1112" s="253" t="str">
        <x:v>Claire</x:v>
      </x:c>
      <x:c r="J1112" s="253" t="str">
        <x:v>Claire</x:v>
      </x:c>
      <x:c r="K1112" s="259" t="n">
        <x:v>45755.166666666664</x:v>
      </x:c>
      <x:c r="L1112" s="268" t="str">
        <x:f>IFERROR(VLOOKUP(I1112,'Handler-Team Map'!$A$7:$C$17,2,FALSE),"")</x:f>
      </x:c>
      <x:c r="M1112" s="268" t="str">
        <x:f>IFERROR(VLOOKUP(I1112,'Handler-Team Map'!$A$7:$C$17,3,FALSE),"")</x:f>
      </x:c>
      <x:c r="N1112" s="274" t="str">
        <x:v>FT_VM_DEP1000_GET1000_2X</x:v>
      </x:c>
      <x:c r="O1112" s="274" t="str">
        <x:v>VIP BONUS - Deposit 1000 Get 1000 - 2x TO</x:v>
      </x:c>
      <x:c r="P1112" s="274" t="str">
        <x:v>DepositBonus</x:v>
      </x:c>
      <x:c r="Q1112" s="274" t="str">
        <x:v>Approved</x:v>
      </x:c>
      <x:c r="R1112" s="265" t="n">
        <x:v>1000</x:v>
      </x:c>
      <x:c r="S1112" s="253" t="str">
        <x:v>Yes</x:v>
      </x:c>
      <x:c r="T1112" s="265" t="n">
        <x:v>1444270</x:v>
      </x:c>
      <x:c r="U1112" s="253" t="str">
        <x:f>IF(AND(S1112="Yes",T1112=0),"Yes","No")</x:f>
        <x:v>No</x:v>
      </x:c>
      <x:c r="V1112" s="253" t="str">
        <x:v>Yes</x:v>
      </x:c>
      <x:c r="W1112" s="253" t="str">
        <x:v>Yes</x:v>
      </x:c>
      <x:c r="X1112" s="259" t="n">
        <x:v>46202.166666666664</x:v>
      </x:c>
      <x:c r="Y1112" s="265" t="n">
        <x:v>220879.22</x:v>
      </x:c>
      <x:c r="Z1112" s="265" t="n">
        <x:v>593058.11</x:v>
      </x:c>
      <x:c r="AA1112" s="253" t="str">
        <x:f>IF(V1112="No","Maturing",IF(AND(U1112="Yes",Y1112&gt;0),"Yes","No"))</x:f>
        <x:v>No</x:v>
      </x:c>
      <x:c r="AB1112" s="253" t="str">
        <x:f>IF(W1112="No","Maturing",IF(AND(U1112="Yes",Z1112&gt;0),"Yes","No"))</x:f>
        <x:v>No</x:v>
      </x:c>
      <x:c r="AC1112" s="265" t="n">
        <x:v>29449.47</x:v>
      </x:c>
      <x:c r="AD1112" s="265" t="n">
        <x:v>206769.79</x:v>
      </x:c>
      <x:c r="AE1112" s="271" t="str"/>
      <x:c r="AF1112" s="274" t="str">
        <x:v>Not validated - no control/holdout</x:v>
      </x:c>
      <x:c r="AG1112" s="277" t="str">
        <x:v>Recovered execution only; assignment date and unclaimed-offer denominator unavailable</x:v>
      </x:c>
    </x:row>
    <x:row r="1113">
      <x:c r="A1113" s="252" t="str">
        <x:v>34766582</x:v>
      </x:c>
      <x:c r="B1113" s="253" t="str">
        <x:v>WS1</x:v>
      </x:c>
      <x:c r="C1113" s="253" t="str"/>
      <x:c r="D1113" s="262" t="n">
        <x:v>46202.632569444446</x:v>
      </x:c>
      <x:c r="E1113" s="259" t="n">
        <x:v>46202.166666666664</x:v>
      </x:c>
      <x:c r="F1113" s="253" t="str">
        <x:v>635404</x:v>
      </x:c>
      <x:c r="G1113" s="253" t="str"/>
      <x:c r="H1113" s="253" t="str">
        <x:v>Yes</x:v>
      </x:c>
      <x:c r="I1113" s="253" t="str">
        <x:v>Claire</x:v>
      </x:c>
      <x:c r="J1113" s="253" t="str">
        <x:v>Claire</x:v>
      </x:c>
      <x:c r="K1113" s="259" t="n">
        <x:v>45659.166666666664</x:v>
      </x:c>
      <x:c r="L1113" s="268" t="str">
        <x:f>IFERROR(VLOOKUP(I1113,'Handler-Team Map'!$A$7:$C$17,2,FALSE),"")</x:f>
      </x:c>
      <x:c r="M1113" s="268" t="str">
        <x:f>IFERROR(VLOOKUP(I1113,'Handler-Team Map'!$A$7:$C$17,3,FALSE),"")</x:f>
      </x:c>
      <x:c r="N1113" s="274" t="str">
        <x:v>FT_VM_DEP700_GET300_2X</x:v>
      </x:c>
      <x:c r="O1113" s="274" t="str">
        <x:v>VIP BONUS - Deposit 700 Get 300 - 2x TO</x:v>
      </x:c>
      <x:c r="P1113" s="274" t="str">
        <x:v>DepositBonus</x:v>
      </x:c>
      <x:c r="Q1113" s="274" t="str">
        <x:v>Approved</x:v>
      </x:c>
      <x:c r="R1113" s="265" t="n">
        <x:v>300</x:v>
      </x:c>
      <x:c r="S1113" s="253" t="str">
        <x:v>No</x:v>
      </x:c>
      <x:c r="T1113" s="265" t="n">
        <x:v>44611</x:v>
      </x:c>
      <x:c r="U1113" s="253" t="str">
        <x:f>IF(AND(S1113="Yes",T1113=0),"Yes","No")</x:f>
        <x:v>No</x:v>
      </x:c>
      <x:c r="V1113" s="253" t="str">
        <x:v>Yes</x:v>
      </x:c>
      <x:c r="W1113" s="253" t="str">
        <x:v>Yes</x:v>
      </x:c>
      <x:c r="X1113" s="259" t="n">
        <x:v>46202.166666666664</x:v>
      </x:c>
      <x:c r="Y1113" s="265" t="n">
        <x:v>10600</x:v>
      </x:c>
      <x:c r="Z1113" s="265" t="n">
        <x:v>29880</x:v>
      </x:c>
      <x:c r="AA1113" s="253" t="str">
        <x:f>IF(V1113="No","Maturing",IF(AND(U1113="Yes",Y1113&gt;0),"Yes","No"))</x:f>
        <x:v>No</x:v>
      </x:c>
      <x:c r="AB1113" s="253" t="str">
        <x:f>IF(W1113="No","Maturing",IF(AND(U1113="Yes",Z1113&gt;0),"Yes","No"))</x:f>
        <x:v>No</x:v>
      </x:c>
      <x:c r="AC1113" s="265" t="n">
        <x:v>-86033.56</x:v>
      </x:c>
      <x:c r="AD1113" s="265" t="n">
        <x:v>-92746.65</x:v>
      </x:c>
      <x:c r="AE1113" s="271" t="str"/>
      <x:c r="AF1113" s="274" t="str">
        <x:v>Not validated - no control/holdout</x:v>
      </x:c>
      <x:c r="AG1113" s="277" t="str">
        <x:v>Recovered execution only; assignment date and unclaimed-offer denominator unavailable</x:v>
      </x:c>
    </x:row>
    <x:row r="1114">
      <x:c r="A1114" s="252" t="str">
        <x:v>34766709</x:v>
      </x:c>
      <x:c r="B1114" s="253" t="str">
        <x:v>WS1</x:v>
      </x:c>
      <x:c r="C1114" s="253" t="str">
        <x:v>MB8</x:v>
      </x:c>
      <x:c r="D1114" s="262" t="n">
        <x:v>46202.643912037034</x:v>
      </x:c>
      <x:c r="E1114" s="259" t="n">
        <x:v>46202.166666666664</x:v>
      </x:c>
      <x:c r="F1114" s="253" t="str">
        <x:v>306733</x:v>
      </x:c>
      <x:c r="G1114" s="253" t="str">
        <x:v>HC5140</x:v>
      </x:c>
      <x:c r="H1114" s="253" t="str">
        <x:v>Yes</x:v>
      </x:c>
      <x:c r="I1114" s="253" t="str">
        <x:v>Claire</x:v>
      </x:c>
      <x:c r="J1114" s="253" t="str">
        <x:v>Claire</x:v>
      </x:c>
      <x:c r="K1114" s="259" t="n">
        <x:v>45659.166666666664</x:v>
      </x:c>
      <x:c r="L1114" s="268" t="str">
        <x:f>IFERROR(VLOOKUP(I1114,'Handler-Team Map'!$A$7:$C$17,2,FALSE),"")</x:f>
      </x:c>
      <x:c r="M1114" s="268" t="str">
        <x:f>IFERROR(VLOOKUP(I1114,'Handler-Team Map'!$A$7:$C$17,3,FALSE),"")</x:f>
      </x:c>
      <x:c r="N1114" s="274" t="str">
        <x:v>FT_VM_DEP1000_GET500_5X</x:v>
      </x:c>
      <x:c r="O1114" s="274" t="str">
        <x:v>VIP BONUS - Deposit 1000 Get 500 - 5x TO</x:v>
      </x:c>
      <x:c r="P1114" s="274" t="str">
        <x:v>DepositBonus</x:v>
      </x:c>
      <x:c r="Q1114" s="274" t="str">
        <x:v>Approved</x:v>
      </x:c>
      <x:c r="R1114" s="265" t="n">
        <x:v>500</x:v>
      </x:c>
      <x:c r="S1114" s="253" t="str">
        <x:v>Yes</x:v>
      </x:c>
      <x:c r="T1114" s="265" t="n">
        <x:v>103594</x:v>
      </x:c>
      <x:c r="U1114" s="253" t="str">
        <x:f>IF(AND(S1114="Yes",T1114=0),"Yes","No")</x:f>
        <x:v>No</x:v>
      </x:c>
      <x:c r="V1114" s="253" t="str">
        <x:v>Yes</x:v>
      </x:c>
      <x:c r="W1114" s="253" t="str">
        <x:v>Yes</x:v>
      </x:c>
      <x:c r="X1114" s="259" t="n">
        <x:v>46202.166666666664</x:v>
      </x:c>
      <x:c r="Y1114" s="265" t="n">
        <x:v>3430</x:v>
      </x:c>
      <x:c r="Z1114" s="265" t="n">
        <x:v>7940</x:v>
      </x:c>
      <x:c r="AA1114" s="253" t="str">
        <x:f>IF(V1114="No","Maturing",IF(AND(U1114="Yes",Y1114&gt;0),"Yes","No"))</x:f>
        <x:v>No</x:v>
      </x:c>
      <x:c r="AB1114" s="253" t="str">
        <x:f>IF(W1114="No","Maturing",IF(AND(U1114="Yes",Z1114&gt;0),"Yes","No"))</x:f>
        <x:v>No</x:v>
      </x:c>
      <x:c r="AC1114" s="265" t="n">
        <x:v>3427.69</x:v>
      </x:c>
      <x:c r="AD1114" s="265" t="n">
        <x:v>141</x:v>
      </x:c>
      <x:c r="AE1114" s="271" t="str"/>
      <x:c r="AF1114" s="274" t="str">
        <x:v>Not validated - no control/holdout</x:v>
      </x:c>
      <x:c r="AG1114" s="277" t="str">
        <x:v>Recovered execution only; assignment date and unclaimed-offer denominator unavailable</x:v>
      </x:c>
    </x:row>
    <x:row r="1115">
      <x:c r="A1115" s="252" t="str">
        <x:v>34766759</x:v>
      </x:c>
      <x:c r="B1115" s="253" t="str">
        <x:v>WS1</x:v>
      </x:c>
      <x:c r="C1115" s="253" t="str">
        <x:v>MB8</x:v>
      </x:c>
      <x:c r="D1115" s="262" t="n">
        <x:v>46202.65074074074</x:v>
      </x:c>
      <x:c r="E1115" s="259" t="n">
        <x:v>46202.166666666664</x:v>
      </x:c>
      <x:c r="F1115" s="253" t="str">
        <x:v>268246</x:v>
      </x:c>
      <x:c r="G1115" s="253" t="str">
        <x:v>Win124</x:v>
      </x:c>
      <x:c r="H1115" s="253" t="str">
        <x:v>Yes</x:v>
      </x:c>
      <x:c r="I1115" s="253" t="str">
        <x:v>Claire</x:v>
      </x:c>
      <x:c r="J1115" s="253" t="str">
        <x:v>Claire</x:v>
      </x:c>
      <x:c r="K1115" s="259" t="n">
        <x:v>45659.166666666664</x:v>
      </x:c>
      <x:c r="L1115" s="268" t="str">
        <x:f>IFERROR(VLOOKUP(I1115,'Handler-Team Map'!$A$7:$C$17,2,FALSE),"")</x:f>
      </x:c>
      <x:c r="M1115" s="268" t="str">
        <x:f>IFERROR(VLOOKUP(I1115,'Handler-Team Map'!$A$7:$C$17,3,FALSE),"")</x:f>
      </x:c>
      <x:c r="N1115" s="274" t="str">
        <x:v>FT_VM_DEP1000_GET1000_1X</x:v>
      </x:c>
      <x:c r="O1115" s="274" t="str">
        <x:v>VIP BONUS - Deposit 1000 Get 1000 - 1x TO</x:v>
      </x:c>
      <x:c r="P1115" s="274" t="str">
        <x:v>DepositBonus</x:v>
      </x:c>
      <x:c r="Q1115" s="274" t="str">
        <x:v>Approved</x:v>
      </x:c>
      <x:c r="R1115" s="265" t="n">
        <x:v>1000</x:v>
      </x:c>
      <x:c r="S1115" s="253" t="str">
        <x:v>Yes</x:v>
      </x:c>
      <x:c r="T1115" s="265" t="n">
        <x:v>1331295</x:v>
      </x:c>
      <x:c r="U1115" s="253" t="str">
        <x:f>IF(AND(S1115="Yes",T1115=0),"Yes","No")</x:f>
        <x:v>No</x:v>
      </x:c>
      <x:c r="V1115" s="253" t="str">
        <x:v>Yes</x:v>
      </x:c>
      <x:c r="W1115" s="253" t="str">
        <x:v>Yes</x:v>
      </x:c>
      <x:c r="X1115" s="259" t="n">
        <x:v>46202.166666666664</x:v>
      </x:c>
      <x:c r="Y1115" s="265" t="n">
        <x:v>271100</x:v>
      </x:c>
      <x:c r="Z1115" s="265" t="n">
        <x:v>564200</x:v>
      </x:c>
      <x:c r="AA1115" s="253" t="str">
        <x:f>IF(V1115="No","Maturing",IF(AND(U1115="Yes",Y1115&gt;0),"Yes","No"))</x:f>
        <x:v>No</x:v>
      </x:c>
      <x:c r="AB1115" s="253" t="str">
        <x:f>IF(W1115="No","Maturing",IF(AND(U1115="Yes",Z1115&gt;0),"Yes","No"))</x:f>
        <x:v>No</x:v>
      </x:c>
      <x:c r="AC1115" s="265" t="n">
        <x:v>61200.17</x:v>
      </x:c>
      <x:c r="AD1115" s="265" t="n">
        <x:v>106394.37</x:v>
      </x:c>
      <x:c r="AE1115" s="271" t="str"/>
      <x:c r="AF1115" s="274" t="str">
        <x:v>Not validated - no control/holdout</x:v>
      </x:c>
      <x:c r="AG1115" s="277" t="str">
        <x:v>Recovered execution only; assignment date and unclaimed-offer denominator unavailable</x:v>
      </x:c>
    </x:row>
    <x:row r="1116">
      <x:c r="A1116" s="252" t="str">
        <x:v>34766984</x:v>
      </x:c>
      <x:c r="B1116" s="253" t="str">
        <x:v>WS1</x:v>
      </x:c>
      <x:c r="C1116" s="253" t="str">
        <x:v>MB8</x:v>
      </x:c>
      <x:c r="D1116" s="262" t="n">
        <x:v>46202.67107638889</x:v>
      </x:c>
      <x:c r="E1116" s="259" t="n">
        <x:v>46202.166666666664</x:v>
      </x:c>
      <x:c r="F1116" s="253" t="str">
        <x:v>195813</x:v>
      </x:c>
      <x:c r="G1116" s="253" t="str">
        <x:v>Veq5774</x:v>
      </x:c>
      <x:c r="H1116" s="253" t="str">
        <x:v>Yes</x:v>
      </x:c>
      <x:c r="I1116" s="253" t="str">
        <x:v>Elda</x:v>
      </x:c>
      <x:c r="J1116" s="253" t="str">
        <x:v>Elda</x:v>
      </x:c>
      <x:c r="K1116" s="259" t="n">
        <x:v>45659.166666666664</x:v>
      </x:c>
      <x:c r="L1116" s="268" t="str">
        <x:f>IFERROR(VLOOKUP(I1116,'Handler-Team Map'!$A$7:$C$17,2,FALSE),"")</x:f>
      </x:c>
      <x:c r="M1116" s="268" t="str">
        <x:f>IFERROR(VLOOKUP(I1116,'Handler-Team Map'!$A$7:$C$17,3,FALSE),"")</x:f>
      </x:c>
      <x:c r="N1116" s="274" t="str">
        <x:v>FT_VM_DEP1000_GET1000_1X</x:v>
      </x:c>
      <x:c r="O1116" s="274" t="str">
        <x:v>VIP BONUS - Deposit 1000 Get 1000 - 1x TO</x:v>
      </x:c>
      <x:c r="P1116" s="274" t="str">
        <x:v>DepositBonus</x:v>
      </x:c>
      <x:c r="Q1116" s="274" t="str">
        <x:v>Approved</x:v>
      </x:c>
      <x:c r="R1116" s="265" t="n">
        <x:v>1000</x:v>
      </x:c>
      <x:c r="S1116" s="253" t="str">
        <x:v>Yes</x:v>
      </x:c>
      <x:c r="T1116" s="265" t="n">
        <x:v>303613</x:v>
      </x:c>
      <x:c r="U1116" s="253" t="str">
        <x:f>IF(AND(S1116="Yes",T1116=0),"Yes","No")</x:f>
        <x:v>No</x:v>
      </x:c>
      <x:c r="V1116" s="253" t="str">
        <x:v>Yes</x:v>
      </x:c>
      <x:c r="W1116" s="253" t="str">
        <x:v>Yes</x:v>
      </x:c>
      <x:c r="X1116" s="259" t="n">
        <x:v>46202.166666666664</x:v>
      </x:c>
      <x:c r="Y1116" s="265" t="n">
        <x:v>52964</x:v>
      </x:c>
      <x:c r="Z1116" s="265" t="n">
        <x:v>101948</x:v>
      </x:c>
      <x:c r="AA1116" s="253" t="str">
        <x:f>IF(V1116="No","Maturing",IF(AND(U1116="Yes",Y1116&gt;0),"Yes","No"))</x:f>
        <x:v>No</x:v>
      </x:c>
      <x:c r="AB1116" s="253" t="str">
        <x:f>IF(W1116="No","Maturing",IF(AND(U1116="Yes",Z1116&gt;0),"Yes","No"))</x:f>
        <x:v>No</x:v>
      </x:c>
      <x:c r="AC1116" s="265" t="n">
        <x:v>53208.04</x:v>
      </x:c>
      <x:c r="AD1116" s="265" t="n">
        <x:v>102190.73</x:v>
      </x:c>
      <x:c r="AE1116" s="271" t="str"/>
      <x:c r="AF1116" s="274" t="str">
        <x:v>Not validated - no control/holdout</x:v>
      </x:c>
      <x:c r="AG1116" s="277" t="str">
        <x:v>Recovered execution only; assignment date and unclaimed-offer denominator unavailable</x:v>
      </x:c>
    </x:row>
    <x:row r="1117">
      <x:c r="A1117" s="252" t="str">
        <x:v>34767030</x:v>
      </x:c>
      <x:c r="B1117" s="253" t="str">
        <x:v>WS1</x:v>
      </x:c>
      <x:c r="C1117" s="253" t="str">
        <x:v>MB8</x:v>
      </x:c>
      <x:c r="D1117" s="262" t="n">
        <x:v>46202.674722222226</x:v>
      </x:c>
      <x:c r="E1117" s="259" t="n">
        <x:v>46202.166666666664</x:v>
      </x:c>
      <x:c r="F1117" s="253" t="str">
        <x:v>49986</x:v>
      </x:c>
      <x:c r="G1117" s="253" t="str">
        <x:v>De1973</x:v>
      </x:c>
      <x:c r="H1117" s="253" t="str">
        <x:v>Yes</x:v>
      </x:c>
      <x:c r="I1117" s="253" t="str">
        <x:v>Elda</x:v>
      </x:c>
      <x:c r="J1117" s="253" t="str">
        <x:v>Elda</x:v>
      </x:c>
      <x:c r="K1117" s="259" t="n">
        <x:v>45659.166666666664</x:v>
      </x:c>
      <x:c r="L1117" s="268" t="str">
        <x:f>IFERROR(VLOOKUP(I1117,'Handler-Team Map'!$A$7:$C$17,2,FALSE),"")</x:f>
      </x:c>
      <x:c r="M1117" s="268" t="str">
        <x:f>IFERROR(VLOOKUP(I1117,'Handler-Team Map'!$A$7:$C$17,3,FALSE),"")</x:f>
      </x:c>
      <x:c r="N1117" s="274" t="str">
        <x:v>FT_VM_DEP1200_GET600_2X</x:v>
      </x:c>
      <x:c r="O1117" s="274" t="str">
        <x:v>VIP BONUS - Deposit 1200 Get 600 - 2x TO</x:v>
      </x:c>
      <x:c r="P1117" s="274" t="str">
        <x:v>DepositBonus</x:v>
      </x:c>
      <x:c r="Q1117" s="274" t="str">
        <x:v>Approved</x:v>
      </x:c>
      <x:c r="R1117" s="265" t="n">
        <x:v>600</x:v>
      </x:c>
      <x:c r="S1117" s="253" t="str">
        <x:v>Yes</x:v>
      </x:c>
      <x:c r="T1117" s="265" t="n">
        <x:v>321885.88</x:v>
      </x:c>
      <x:c r="U1117" s="253" t="str">
        <x:f>IF(AND(S1117="Yes",T1117=0),"Yes","No")</x:f>
        <x:v>No</x:v>
      </x:c>
      <x:c r="V1117" s="253" t="str">
        <x:v>Yes</x:v>
      </x:c>
      <x:c r="W1117" s="253" t="str">
        <x:v>Yes</x:v>
      </x:c>
      <x:c r="X1117" s="259" t="n">
        <x:v>46202.166666666664</x:v>
      </x:c>
      <x:c r="Y1117" s="265" t="n">
        <x:v>89791</x:v>
      </x:c>
      <x:c r="Z1117" s="265" t="n">
        <x:v>158829</x:v>
      </x:c>
      <x:c r="AA1117" s="253" t="str">
        <x:f>IF(V1117="No","Maturing",IF(AND(U1117="Yes",Y1117&gt;0),"Yes","No"))</x:f>
        <x:v>No</x:v>
      </x:c>
      <x:c r="AB1117" s="253" t="str">
        <x:f>IF(W1117="No","Maturing",IF(AND(U1117="Yes",Z1117&gt;0),"Yes","No"))</x:f>
        <x:v>No</x:v>
      </x:c>
      <x:c r="AC1117" s="265" t="n">
        <x:v>18525.54</x:v>
      </x:c>
      <x:c r="AD1117" s="265" t="n">
        <x:v>38162.43</x:v>
      </x:c>
      <x:c r="AE1117" s="271" t="str"/>
      <x:c r="AF1117" s="274" t="str">
        <x:v>Not validated - no control/holdout</x:v>
      </x:c>
      <x:c r="AG1117" s="277" t="str">
        <x:v>Recovered execution only; assignment date and unclaimed-offer denominator unavailable</x:v>
      </x:c>
    </x:row>
    <x:row r="1118">
      <x:c r="A1118" s="252" t="str">
        <x:v>34767267</x:v>
      </x:c>
      <x:c r="B1118" s="253" t="str">
        <x:v>WS1</x:v>
      </x:c>
      <x:c r="C1118" s="253" t="str">
        <x:v>MB8</x:v>
      </x:c>
      <x:c r="D1118" s="262" t="n">
        <x:v>46202.6915625</x:v>
      </x:c>
      <x:c r="E1118" s="259" t="n">
        <x:v>46202.166666666664</x:v>
      </x:c>
      <x:c r="F1118" s="253" t="str">
        <x:v>968815</x:v>
      </x:c>
      <x:c r="G1118" s="253" t="str">
        <x:v>Ateng9110</x:v>
      </x:c>
      <x:c r="H1118" s="253" t="str">
        <x:v>Yes</x:v>
      </x:c>
      <x:c r="I1118" s="253" t="str"/>
      <x:c r="J1118" s="253" t="str"/>
      <x:c r="K1118" s="259"/>
      <x:c r="L1118" s="268" t="str">
        <x:f>IFERROR(VLOOKUP(I1118,'Handler-Team Map'!$A$7:$C$17,2,FALSE),"")</x:f>
      </x:c>
      <x:c r="M1118" s="268" t="str">
        <x:f>IFERROR(VLOOKUP(I1118,'Handler-Team Map'!$A$7:$C$17,3,FALSE),"")</x:f>
      </x:c>
      <x:c r="N1118" s="274" t="str">
        <x:v>FT_VM_DEP1000_GET500_1X</x:v>
      </x:c>
      <x:c r="O1118" s="274" t="str">
        <x:v>VIP BONUS - Deposit 1000 Get 500 - 1x TO</x:v>
      </x:c>
      <x:c r="P1118" s="274" t="str">
        <x:v>DepositBonus</x:v>
      </x:c>
      <x:c r="Q1118" s="274" t="str">
        <x:v>Approved</x:v>
      </x:c>
      <x:c r="R1118" s="265" t="n">
        <x:v>500</x:v>
      </x:c>
      <x:c r="S1118" s="253" t="str">
        <x:v>Yes</x:v>
      </x:c>
      <x:c r="T1118" s="265" t="n">
        <x:v>1000</x:v>
      </x:c>
      <x:c r="U1118" s="253" t="str">
        <x:f>IF(AND(S1118="Yes",T1118=0),"Yes","No")</x:f>
        <x:v>No</x:v>
      </x:c>
      <x:c r="V1118" s="253" t="str">
        <x:v>Yes</x:v>
      </x:c>
      <x:c r="W1118" s="253" t="str">
        <x:v>Yes</x:v>
      </x:c>
      <x:c r="X1118" s="259" t="n">
        <x:v>46202.166666666664</x:v>
      </x:c>
      <x:c r="Y1118" s="265" t="n">
        <x:v>1800</x:v>
      </x:c>
      <x:c r="Z1118" s="265" t="n">
        <x:v>2540</x:v>
      </x:c>
      <x:c r="AA1118" s="253" t="str">
        <x:f>IF(V1118="No","Maturing",IF(AND(U1118="Yes",Y1118&gt;0),"Yes","No"))</x:f>
        <x:v>No</x:v>
      </x:c>
      <x:c r="AB1118" s="253" t="str">
        <x:f>IF(W1118="No","Maturing",IF(AND(U1118="Yes",Z1118&gt;0),"Yes","No"))</x:f>
        <x:v>No</x:v>
      </x:c>
      <x:c r="AC1118" s="265" t="n">
        <x:v>1299.15</x:v>
      </x:c>
      <x:c r="AD1118" s="265" t="n">
        <x:v>40.73</x:v>
      </x:c>
      <x:c r="AE1118" s="271" t="str"/>
      <x:c r="AF1118" s="274" t="str">
        <x:v>Not validated - no control/holdout</x:v>
      </x:c>
      <x:c r="AG1118" s="277" t="str">
        <x:v>Recovered execution only; assignment date and unclaimed-offer denominator unavailable</x:v>
      </x:c>
    </x:row>
    <x:row r="1119">
      <x:c r="A1119" s="252" t="str">
        <x:v>34767276</x:v>
      </x:c>
      <x:c r="B1119" s="253" t="str">
        <x:v>WS1</x:v>
      </x:c>
      <x:c r="C1119" s="253" t="str">
        <x:v>MB8</x:v>
      </x:c>
      <x:c r="D1119" s="262" t="n">
        <x:v>46202.692291666666</x:v>
      </x:c>
      <x:c r="E1119" s="259" t="n">
        <x:v>46202.166666666664</x:v>
      </x:c>
      <x:c r="F1119" s="253" t="str">
        <x:v>476510</x:v>
      </x:c>
      <x:c r="G1119" s="253" t="str">
        <x:v>giinshen</x:v>
      </x:c>
      <x:c r="H1119" s="253" t="str">
        <x:v>Yes</x:v>
      </x:c>
      <x:c r="I1119" s="253" t="str">
        <x:v>Claire</x:v>
      </x:c>
      <x:c r="J1119" s="253" t="str">
        <x:v>Claire</x:v>
      </x:c>
      <x:c r="K1119" s="259" t="n">
        <x:v>45659.166666666664</x:v>
      </x:c>
      <x:c r="L1119" s="268" t="str">
        <x:f>IFERROR(VLOOKUP(I1119,'Handler-Team Map'!$A$7:$C$17,2,FALSE),"")</x:f>
      </x:c>
      <x:c r="M1119" s="268" t="str">
        <x:f>IFERROR(VLOOKUP(I1119,'Handler-Team Map'!$A$7:$C$17,3,FALSE),"")</x:f>
      </x:c>
      <x:c r="N1119" s="274" t="str">
        <x:v>FT_VM_DEP1200_GET600_1X</x:v>
      </x:c>
      <x:c r="O1119" s="274" t="str">
        <x:v>VIP BONUS - Deposit 1200 Get 600 - 1x TO</x:v>
      </x:c>
      <x:c r="P1119" s="274" t="str">
        <x:v>DepositBonus</x:v>
      </x:c>
      <x:c r="Q1119" s="274" t="str">
        <x:v>Approved</x:v>
      </x:c>
      <x:c r="R1119" s="265" t="n">
        <x:v>600</x:v>
      </x:c>
      <x:c r="S1119" s="253" t="str">
        <x:v>Yes</x:v>
      </x:c>
      <x:c r="T1119" s="265" t="n">
        <x:v>55900</x:v>
      </x:c>
      <x:c r="U1119" s="253" t="str">
        <x:f>IF(AND(S1119="Yes",T1119=0),"Yes","No")</x:f>
        <x:v>No</x:v>
      </x:c>
      <x:c r="V1119" s="253" t="str">
        <x:v>Yes</x:v>
      </x:c>
      <x:c r="W1119" s="253" t="str">
        <x:v>Yes</x:v>
      </x:c>
      <x:c r="X1119" s="259" t="n">
        <x:v>46202.166666666664</x:v>
      </x:c>
      <x:c r="Y1119" s="265" t="n">
        <x:v>24200</x:v>
      </x:c>
      <x:c r="Z1119" s="265" t="n">
        <x:v>77800</x:v>
      </x:c>
      <x:c r="AA1119" s="253" t="str">
        <x:f>IF(V1119="No","Maturing",IF(AND(U1119="Yes",Y1119&gt;0),"Yes","No"))</x:f>
        <x:v>No</x:v>
      </x:c>
      <x:c r="AB1119" s="253" t="str">
        <x:f>IF(W1119="No","Maturing",IF(AND(U1119="Yes",Z1119&gt;0),"Yes","No"))</x:f>
        <x:v>No</x:v>
      </x:c>
      <x:c r="AC1119" s="265" t="n">
        <x:v>-547.98</x:v>
      </x:c>
      <x:c r="AD1119" s="265" t="n">
        <x:v>-20088.59</x:v>
      </x:c>
      <x:c r="AE1119" s="271" t="str"/>
      <x:c r="AF1119" s="274" t="str">
        <x:v>Not validated - no control/holdout</x:v>
      </x:c>
      <x:c r="AG1119" s="277" t="str">
        <x:v>Recovered execution only; assignment date and unclaimed-offer denominator unavailable</x:v>
      </x:c>
    </x:row>
    <x:row r="1120">
      <x:c r="A1120" s="252" t="str">
        <x:v>34767324</x:v>
      </x:c>
      <x:c r="B1120" s="253" t="str">
        <x:v>WS1</x:v>
      </x:c>
      <x:c r="C1120" s="253" t="str">
        <x:v>MB8</x:v>
      </x:c>
      <x:c r="D1120" s="262" t="n">
        <x:v>46202.69625</x:v>
      </x:c>
      <x:c r="E1120" s="259" t="n">
        <x:v>46202.166666666664</x:v>
      </x:c>
      <x:c r="F1120" s="253" t="str">
        <x:v>349222</x:v>
      </x:c>
      <x:c r="G1120" s="253" t="str">
        <x:v>Hanstarabas910</x:v>
      </x:c>
      <x:c r="H1120" s="253" t="str">
        <x:v>Yes</x:v>
      </x:c>
      <x:c r="I1120" s="253" t="str">
        <x:v>Kam</x:v>
      </x:c>
      <x:c r="J1120" s="253" t="str">
        <x:v>Kam</x:v>
      </x:c>
      <x:c r="K1120" s="259" t="n">
        <x:v>45951.166666666664</x:v>
      </x:c>
      <x:c r="L1120" s="268" t="str">
        <x:f>IFERROR(VLOOKUP(I1120,'Handler-Team Map'!$A$7:$C$17,2,FALSE),"")</x:f>
      </x:c>
      <x:c r="M1120" s="268" t="str">
        <x:f>IFERROR(VLOOKUP(I1120,'Handler-Team Map'!$A$7:$C$17,3,FALSE),"")</x:f>
      </x:c>
      <x:c r="N1120" s="274" t="str">
        <x:v>FT_VM_DEP600_GET200_5X</x:v>
      </x:c>
      <x:c r="O1120" s="274" t="str">
        <x:v>VIP BONUS - Deposit 600 Get 200 - 5x TO</x:v>
      </x:c>
      <x:c r="P1120" s="274" t="str">
        <x:v>DepositBonus</x:v>
      </x:c>
      <x:c r="Q1120" s="274" t="str">
        <x:v>Approved</x:v>
      </x:c>
      <x:c r="R1120" s="265" t="n">
        <x:v>200</x:v>
      </x:c>
      <x:c r="S1120" s="253" t="str">
        <x:v>Yes</x:v>
      </x:c>
      <x:c r="T1120" s="265" t="n">
        <x:v>28050</x:v>
      </x:c>
      <x:c r="U1120" s="253" t="str">
        <x:f>IF(AND(S1120="Yes",T1120=0),"Yes","No")</x:f>
        <x:v>No</x:v>
      </x:c>
      <x:c r="V1120" s="253" t="str">
        <x:v>Yes</x:v>
      </x:c>
      <x:c r="W1120" s="253" t="str">
        <x:v>Yes</x:v>
      </x:c>
      <x:c r="X1120" s="259" t="n">
        <x:v>46202.166666666664</x:v>
      </x:c>
      <x:c r="Y1120" s="265" t="n">
        <x:v>12030</x:v>
      </x:c>
      <x:c r="Z1120" s="265" t="n">
        <x:v>22780</x:v>
      </x:c>
      <x:c r="AA1120" s="253" t="str">
        <x:f>IF(V1120="No","Maturing",IF(AND(U1120="Yes",Y1120&gt;0),"Yes","No"))</x:f>
        <x:v>No</x:v>
      </x:c>
      <x:c r="AB1120" s="253" t="str">
        <x:f>IF(W1120="No","Maturing",IF(AND(U1120="Yes",Z1120&gt;0),"Yes","No"))</x:f>
        <x:v>No</x:v>
      </x:c>
      <x:c r="AC1120" s="265" t="n">
        <x:v>7980.31</x:v>
      </x:c>
      <x:c r="AD1120" s="265" t="n">
        <x:v>11780.7</x:v>
      </x:c>
      <x:c r="AE1120" s="271" t="str"/>
      <x:c r="AF1120" s="274" t="str">
        <x:v>Not validated - no control/holdout</x:v>
      </x:c>
      <x:c r="AG1120" s="277" t="str">
        <x:v>Recovered execution only; assignment date and unclaimed-offer denominator unavailable</x:v>
      </x:c>
    </x:row>
    <x:row r="1121">
      <x:c r="A1121" s="252" t="str">
        <x:v>34767420</x:v>
      </x:c>
      <x:c r="B1121" s="253" t="str">
        <x:v>WS1</x:v>
      </x:c>
      <x:c r="C1121" s="253" t="str">
        <x:v>MB8</x:v>
      </x:c>
      <x:c r="D1121" s="262" t="n">
        <x:v>46202.70537037037</x:v>
      </x:c>
      <x:c r="E1121" s="259" t="n">
        <x:v>46202.166666666664</x:v>
      </x:c>
      <x:c r="F1121" s="253" t="str">
        <x:v>834759</x:v>
      </x:c>
      <x:c r="G1121" s="253" t="str">
        <x:v>chenyeow</x:v>
      </x:c>
      <x:c r="H1121" s="253" t="str">
        <x:v>Yes</x:v>
      </x:c>
      <x:c r="I1121" s="253" t="str">
        <x:v>zhen</x:v>
      </x:c>
      <x:c r="J1121" s="253" t="str">
        <x:v>zhen</x:v>
      </x:c>
      <x:c r="K1121" s="259" t="n">
        <x:v>45922.166666666664</x:v>
      </x:c>
      <x:c r="L1121" s="268" t="str">
        <x:f>IFERROR(VLOOKUP(I1121,'Handler-Team Map'!$A$7:$C$17,2,FALSE),"")</x:f>
      </x:c>
      <x:c r="M1121" s="268" t="str">
        <x:f>IFERROR(VLOOKUP(I1121,'Handler-Team Map'!$A$7:$C$17,3,FALSE),"")</x:f>
      </x:c>
      <x:c r="N1121" s="274" t="str">
        <x:v>FT_VM_DEP1000_GET500_5X</x:v>
      </x:c>
      <x:c r="O1121" s="274" t="str">
        <x:v>VIP BONUS - Deposit 1000 Get 500 - 5x TO</x:v>
      </x:c>
      <x:c r="P1121" s="274" t="str">
        <x:v>DepositBonus</x:v>
      </x:c>
      <x:c r="Q1121" s="274" t="str">
        <x:v>Approved</x:v>
      </x:c>
      <x:c r="R1121" s="265" t="n">
        <x:v>500</x:v>
      </x:c>
      <x:c r="S1121" s="253" t="str">
        <x:v>Yes</x:v>
      </x:c>
      <x:c r="T1121" s="265" t="n">
        <x:v>35950</x:v>
      </x:c>
      <x:c r="U1121" s="253" t="str">
        <x:f>IF(AND(S1121="Yes",T1121=0),"Yes","No")</x:f>
        <x:v>No</x:v>
      </x:c>
      <x:c r="V1121" s="253" t="str">
        <x:v>Yes</x:v>
      </x:c>
      <x:c r="W1121" s="253" t="str">
        <x:v>Yes</x:v>
      </x:c>
      <x:c r="X1121" s="259" t="n">
        <x:v>46202.166666666664</x:v>
      </x:c>
      <x:c r="Y1121" s="265" t="n">
        <x:v>14000</x:v>
      </x:c>
      <x:c r="Z1121" s="265" t="n">
        <x:v>16000</x:v>
      </x:c>
      <x:c r="AA1121" s="253" t="str">
        <x:f>IF(V1121="No","Maturing",IF(AND(U1121="Yes",Y1121&gt;0),"Yes","No"))</x:f>
        <x:v>No</x:v>
      </x:c>
      <x:c r="AB1121" s="253" t="str">
        <x:f>IF(W1121="No","Maturing",IF(AND(U1121="Yes",Z1121&gt;0),"Yes","No"))</x:f>
        <x:v>No</x:v>
      </x:c>
      <x:c r="AC1121" s="265" t="n">
        <x:v>10150.29</x:v>
      </x:c>
      <x:c r="AD1121" s="265" t="n">
        <x:v>12078.27</x:v>
      </x:c>
      <x:c r="AE1121" s="271" t="str"/>
      <x:c r="AF1121" s="274" t="str">
        <x:v>Not validated - no control/holdout</x:v>
      </x:c>
      <x:c r="AG1121" s="277" t="str">
        <x:v>Recovered execution only; assignment date and unclaimed-offer denominator unavailable</x:v>
      </x:c>
    </x:row>
    <x:row r="1122">
      <x:c r="A1122" s="252" t="str">
        <x:v>34767438</x:v>
      </x:c>
      <x:c r="B1122" s="253" t="str">
        <x:v>WS1</x:v>
      </x:c>
      <x:c r="C1122" s="253" t="str">
        <x:v>MB8</x:v>
      </x:c>
      <x:c r="D1122" s="262" t="n">
        <x:v>46202.70596064815</x:v>
      </x:c>
      <x:c r="E1122" s="259" t="n">
        <x:v>46202.166666666664</x:v>
      </x:c>
      <x:c r="F1122" s="253" t="str">
        <x:v>14040</x:v>
      </x:c>
      <x:c r="G1122" s="253" t="str">
        <x:v>waikin1994</x:v>
      </x:c>
      <x:c r="H1122" s="253" t="str">
        <x:v>Yes</x:v>
      </x:c>
      <x:c r="I1122" s="253" t="str">
        <x:v>Serene</x:v>
      </x:c>
      <x:c r="J1122" s="253" t="str">
        <x:v>Serene</x:v>
      </x:c>
      <x:c r="K1122" s="259" t="n">
        <x:v>45859.166666666664</x:v>
      </x:c>
      <x:c r="L1122" s="268" t="str">
        <x:f>IFERROR(VLOOKUP(I1122,'Handler-Team Map'!$A$7:$C$17,2,FALSE),"")</x:f>
      </x:c>
      <x:c r="M1122" s="268" t="str">
        <x:f>IFERROR(VLOOKUP(I1122,'Handler-Team Map'!$A$7:$C$17,3,FALSE),"")</x:f>
      </x:c>
      <x:c r="N1122" s="274" t="str">
        <x:v>FT_VM_DEP600_GET200_5X</x:v>
      </x:c>
      <x:c r="O1122" s="274" t="str">
        <x:v>VIP BONUS - Deposit 600 Get 200 - 5x TO</x:v>
      </x:c>
      <x:c r="P1122" s="274" t="str">
        <x:v>DepositBonus</x:v>
      </x:c>
      <x:c r="Q1122" s="274" t="str">
        <x:v>Approved</x:v>
      </x:c>
      <x:c r="R1122" s="265" t="n">
        <x:v>200</x:v>
      </x:c>
      <x:c r="S1122" s="253" t="str">
        <x:v>Yes</x:v>
      </x:c>
      <x:c r="T1122" s="265" t="n">
        <x:v>27100</x:v>
      </x:c>
      <x:c r="U1122" s="253" t="str">
        <x:f>IF(AND(S1122="Yes",T1122=0),"Yes","No")</x:f>
        <x:v>No</x:v>
      </x:c>
      <x:c r="V1122" s="253" t="str">
        <x:v>Yes</x:v>
      </x:c>
      <x:c r="W1122" s="253" t="str">
        <x:v>Yes</x:v>
      </x:c>
      <x:c r="X1122" s="259" t="n">
        <x:v>46202.166666666664</x:v>
      </x:c>
      <x:c r="Y1122" s="265" t="n">
        <x:v>3100</x:v>
      </x:c>
      <x:c r="Z1122" s="265" t="n">
        <x:v>3450</x:v>
      </x:c>
      <x:c r="AA1122" s="253" t="str">
        <x:f>IF(V1122="No","Maturing",IF(AND(U1122="Yes",Y1122&gt;0),"Yes","No"))</x:f>
        <x:v>No</x:v>
      </x:c>
      <x:c r="AB1122" s="253" t="str">
        <x:f>IF(W1122="No","Maturing",IF(AND(U1122="Yes",Z1122&gt;0),"Yes","No"))</x:f>
        <x:v>No</x:v>
      </x:c>
      <x:c r="AC1122" s="265" t="n">
        <x:v>3106.9</x:v>
      </x:c>
      <x:c r="AD1122" s="265" t="n">
        <x:v>3456.7</x:v>
      </x:c>
      <x:c r="AE1122" s="271" t="str"/>
      <x:c r="AF1122" s="274" t="str">
        <x:v>Not validated - no control/holdout</x:v>
      </x:c>
      <x:c r="AG1122" s="277" t="str">
        <x:v>Recovered execution only; assignment date and unclaimed-offer denominator unavailable</x:v>
      </x:c>
    </x:row>
    <x:row r="1123">
      <x:c r="A1123" s="252" t="str">
        <x:v>34767584</x:v>
      </x:c>
      <x:c r="B1123" s="253" t="str">
        <x:v>WS1</x:v>
      </x:c>
      <x:c r="C1123" s="253" t="str">
        <x:v>MB8</x:v>
      </x:c>
      <x:c r="D1123" s="262" t="n">
        <x:v>46202.717569444445</x:v>
      </x:c>
      <x:c r="E1123" s="259" t="n">
        <x:v>46202.166666666664</x:v>
      </x:c>
      <x:c r="F1123" s="253" t="str">
        <x:v>361491</x:v>
      </x:c>
      <x:c r="G1123" s="253" t="str">
        <x:v>Goldrich88</x:v>
      </x:c>
      <x:c r="H1123" s="253" t="str">
        <x:v>Yes</x:v>
      </x:c>
      <x:c r="I1123" s="253" t="str">
        <x:v>Serene</x:v>
      </x:c>
      <x:c r="J1123" s="253" t="str">
        <x:v>Serene</x:v>
      </x:c>
      <x:c r="K1123" s="259" t="n">
        <x:v>45859.166666666664</x:v>
      </x:c>
      <x:c r="L1123" s="268" t="str">
        <x:f>IFERROR(VLOOKUP(I1123,'Handler-Team Map'!$A$7:$C$17,2,FALSE),"")</x:f>
      </x:c>
      <x:c r="M1123" s="268" t="str">
        <x:f>IFERROR(VLOOKUP(I1123,'Handler-Team Map'!$A$7:$C$17,3,FALSE),"")</x:f>
      </x:c>
      <x:c r="N1123" s="274" t="str">
        <x:v>FT_VM_DEP150_GET50_5X</x:v>
      </x:c>
      <x:c r="O1123" s="274" t="str">
        <x:v>VIP BONUS - Deposit 150 Get 50 - 5x TO</x:v>
      </x:c>
      <x:c r="P1123" s="274" t="str">
        <x:v>DepositBonus</x:v>
      </x:c>
      <x:c r="Q1123" s="274" t="str">
        <x:v>Approved</x:v>
      </x:c>
      <x:c r="R1123" s="265" t="n">
        <x:v>50</x:v>
      </x:c>
      <x:c r="S1123" s="253" t="str">
        <x:v>Yes</x:v>
      </x:c>
      <x:c r="T1123" s="265" t="n">
        <x:v>38555</x:v>
      </x:c>
      <x:c r="U1123" s="253" t="str">
        <x:f>IF(AND(S1123="Yes",T1123=0),"Yes","No")</x:f>
        <x:v>No</x:v>
      </x:c>
      <x:c r="V1123" s="253" t="str">
        <x:v>Yes</x:v>
      </x:c>
      <x:c r="W1123" s="253" t="str">
        <x:v>Yes</x:v>
      </x:c>
      <x:c r="X1123" s="259" t="n">
        <x:v>46202.166666666664</x:v>
      </x:c>
      <x:c r="Y1123" s="265" t="n">
        <x:v>3000</x:v>
      </x:c>
      <x:c r="Z1123" s="265" t="n">
        <x:v>3000</x:v>
      </x:c>
      <x:c r="AA1123" s="253" t="str">
        <x:f>IF(V1123="No","Maturing",IF(AND(U1123="Yes",Y1123&gt;0),"Yes","No"))</x:f>
        <x:v>No</x:v>
      </x:c>
      <x:c r="AB1123" s="253" t="str">
        <x:f>IF(W1123="No","Maturing",IF(AND(U1123="Yes",Z1123&gt;0),"Yes","No"))</x:f>
        <x:v>No</x:v>
      </x:c>
      <x:c r="AC1123" s="265" t="n">
        <x:v>2995.28</x:v>
      </x:c>
      <x:c r="AD1123" s="265" t="n">
        <x:v>2995.28</x:v>
      </x:c>
      <x:c r="AE1123" s="271" t="str"/>
      <x:c r="AF1123" s="274" t="str">
        <x:v>Not validated - no control/holdout</x:v>
      </x:c>
      <x:c r="AG1123" s="277" t="str">
        <x:v>Recovered execution only; assignment date and unclaimed-offer denominator unavailable</x:v>
      </x:c>
    </x:row>
    <x:row r="1124">
      <x:c r="A1124" s="252" t="str">
        <x:v>34768016</x:v>
      </x:c>
      <x:c r="B1124" s="253" t="str">
        <x:v>WS1</x:v>
      </x:c>
      <x:c r="C1124" s="253" t="str">
        <x:v>MB8</x:v>
      </x:c>
      <x:c r="D1124" s="262" t="n">
        <x:v>46202.74784722222</x:v>
      </x:c>
      <x:c r="E1124" s="259" t="n">
        <x:v>46202.166666666664</x:v>
      </x:c>
      <x:c r="F1124" s="253" t="str">
        <x:v>532295</x:v>
      </x:c>
      <x:c r="G1124" s="253" t="str">
        <x:v>tonyass</x:v>
      </x:c>
      <x:c r="H1124" s="253" t="str">
        <x:v>Yes</x:v>
      </x:c>
      <x:c r="I1124" s="253" t="str">
        <x:v>Elda</x:v>
      </x:c>
      <x:c r="J1124" s="253" t="str">
        <x:v>Elda</x:v>
      </x:c>
      <x:c r="K1124" s="259" t="n">
        <x:v>45659.166666666664</x:v>
      </x:c>
      <x:c r="L1124" s="268" t="str">
        <x:f>IFERROR(VLOOKUP(I1124,'Handler-Team Map'!$A$7:$C$17,2,FALSE),"")</x:f>
      </x:c>
      <x:c r="M1124" s="268" t="str">
        <x:f>IFERROR(VLOOKUP(I1124,'Handler-Team Map'!$A$7:$C$17,3,FALSE),"")</x:f>
      </x:c>
      <x:c r="N1124" s="274" t="str">
        <x:v>FT_VM_DEP1000_GET500_5X</x:v>
      </x:c>
      <x:c r="O1124" s="274" t="str">
        <x:v>VIP BONUS - Deposit 1000 Get 500 - 5x TO</x:v>
      </x:c>
      <x:c r="P1124" s="274" t="str">
        <x:v>DepositBonus</x:v>
      </x:c>
      <x:c r="Q1124" s="274" t="str">
        <x:v>Approved</x:v>
      </x:c>
      <x:c r="R1124" s="265" t="n">
        <x:v>500</x:v>
      </x:c>
      <x:c r="S1124" s="253" t="str">
        <x:v>Yes</x:v>
      </x:c>
      <x:c r="T1124" s="265" t="n">
        <x:v>7400</x:v>
      </x:c>
      <x:c r="U1124" s="253" t="str">
        <x:f>IF(AND(S1124="Yes",T1124=0),"Yes","No")</x:f>
        <x:v>No</x:v>
      </x:c>
      <x:c r="V1124" s="253" t="str">
        <x:v>Yes</x:v>
      </x:c>
      <x:c r="W1124" s="253" t="str">
        <x:v>Yes</x:v>
      </x:c>
      <x:c r="X1124" s="259" t="n">
        <x:v>46202.166666666664</x:v>
      </x:c>
      <x:c r="Y1124" s="265" t="n">
        <x:v>1000</x:v>
      </x:c>
      <x:c r="Z1124" s="265" t="n">
        <x:v>1900</x:v>
      </x:c>
      <x:c r="AA1124" s="253" t="str">
        <x:f>IF(V1124="No","Maturing",IF(AND(U1124="Yes",Y1124&gt;0),"Yes","No"))</x:f>
        <x:v>No</x:v>
      </x:c>
      <x:c r="AB1124" s="253" t="str">
        <x:f>IF(W1124="No","Maturing",IF(AND(U1124="Yes",Z1124&gt;0),"Yes","No"))</x:f>
        <x:v>No</x:v>
      </x:c>
      <x:c r="AC1124" s="265" t="n">
        <x:v>517.81</x:v>
      </x:c>
      <x:c r="AD1124" s="265" t="n">
        <x:v>1208.43</x:v>
      </x:c>
      <x:c r="AE1124" s="271" t="str"/>
      <x:c r="AF1124" s="274" t="str">
        <x:v>Not validated - no control/holdout</x:v>
      </x:c>
      <x:c r="AG1124" s="277" t="str">
        <x:v>Recovered execution only; assignment date and unclaimed-offer denominator unavailable</x:v>
      </x:c>
    </x:row>
    <x:row r="1125">
      <x:c r="A1125" s="252" t="str">
        <x:v>34768917</x:v>
      </x:c>
      <x:c r="B1125" s="253" t="str">
        <x:v>WS1</x:v>
      </x:c>
      <x:c r="C1125" s="253" t="str">
        <x:v>MB8</x:v>
      </x:c>
      <x:c r="D1125" s="262" t="n">
        <x:v>46202.81421296296</x:v>
      </x:c>
      <x:c r="E1125" s="259" t="n">
        <x:v>46202.166666666664</x:v>
      </x:c>
      <x:c r="F1125" s="253" t="str">
        <x:v>203662</x:v>
      </x:c>
      <x:c r="G1125" s="253" t="str">
        <x:v>Muinfaizal</x:v>
      </x:c>
      <x:c r="H1125" s="253" t="str">
        <x:v>Yes</x:v>
      </x:c>
      <x:c r="I1125" s="253" t="str">
        <x:v>Elda</x:v>
      </x:c>
      <x:c r="J1125" s="253" t="str">
        <x:v>Elda</x:v>
      </x:c>
      <x:c r="K1125" s="259" t="n">
        <x:v>45790.166666666664</x:v>
      </x:c>
      <x:c r="L1125" s="268" t="str">
        <x:f>IFERROR(VLOOKUP(I1125,'Handler-Team Map'!$A$7:$C$17,2,FALSE),"")</x:f>
      </x:c>
      <x:c r="M1125" s="268" t="str">
        <x:f>IFERROR(VLOOKUP(I1125,'Handler-Team Map'!$A$7:$C$17,3,FALSE),"")</x:f>
      </x:c>
      <x:c r="N1125" s="274" t="str">
        <x:v>FT_VM_DEP1000_GET500_5X</x:v>
      </x:c>
      <x:c r="O1125" s="274" t="str">
        <x:v>VIP BONUS - Deposit 1000 Get 500 - 5x TO</x:v>
      </x:c>
      <x:c r="P1125" s="274" t="str">
        <x:v>DepositBonus</x:v>
      </x:c>
      <x:c r="Q1125" s="274" t="str">
        <x:v>Approved</x:v>
      </x:c>
      <x:c r="R1125" s="265" t="n">
        <x:v>500</x:v>
      </x:c>
      <x:c r="S1125" s="253" t="str">
        <x:v>Yes</x:v>
      </x:c>
      <x:c r="T1125" s="265" t="n">
        <x:v>18623.75</x:v>
      </x:c>
      <x:c r="U1125" s="253" t="str">
        <x:f>IF(AND(S1125="Yes",T1125=0),"Yes","No")</x:f>
        <x:v>No</x:v>
      </x:c>
      <x:c r="V1125" s="253" t="str">
        <x:v>Yes</x:v>
      </x:c>
      <x:c r="W1125" s="253" t="str">
        <x:v>Yes</x:v>
      </x:c>
      <x:c r="X1125" s="259" t="n">
        <x:v>46202.166666666664</x:v>
      </x:c>
      <x:c r="Y1125" s="265" t="n">
        <x:v>10772.75</x:v>
      </x:c>
      <x:c r="Z1125" s="265" t="n">
        <x:v>11639.85</x:v>
      </x:c>
      <x:c r="AA1125" s="253" t="str">
        <x:f>IF(V1125="No","Maturing",IF(AND(U1125="Yes",Y1125&gt;0),"Yes","No"))</x:f>
        <x:v>No</x:v>
      </x:c>
      <x:c r="AB1125" s="253" t="str">
        <x:f>IF(W1125="No","Maturing",IF(AND(U1125="Yes",Z1125&gt;0),"Yes","No"))</x:f>
        <x:v>No</x:v>
      </x:c>
      <x:c r="AC1125" s="265" t="n">
        <x:v>6572.01</x:v>
      </x:c>
      <x:c r="AD1125" s="265" t="n">
        <x:v>7439.16</x:v>
      </x:c>
      <x:c r="AE1125" s="271" t="str"/>
      <x:c r="AF1125" s="274" t="str">
        <x:v>Not validated - no control/holdout</x:v>
      </x:c>
      <x:c r="AG1125" s="277" t="str">
        <x:v>Recovered execution only; assignment date and unclaimed-offer denominator unavailable</x:v>
      </x:c>
    </x:row>
    <x:row r="1126">
      <x:c r="A1126" s="252" t="str">
        <x:v>34769697</x:v>
      </x:c>
      <x:c r="B1126" s="253" t="str">
        <x:v>WS1</x:v>
      </x:c>
      <x:c r="C1126" s="253" t="str">
        <x:v>MB8</x:v>
      </x:c>
      <x:c r="D1126" s="262" t="n">
        <x:v>46202.86628472222</x:v>
      </x:c>
      <x:c r="E1126" s="259" t="n">
        <x:v>46202.166666666664</x:v>
      </x:c>
      <x:c r="F1126" s="253" t="str">
        <x:v>302345</x:v>
      </x:c>
      <x:c r="G1126" s="253" t="str">
        <x:v>bujiangfatt</x:v>
      </x:c>
      <x:c r="H1126" s="253" t="str">
        <x:v>Yes</x:v>
      </x:c>
      <x:c r="I1126" s="253" t="str">
        <x:v>Elda</x:v>
      </x:c>
      <x:c r="J1126" s="253" t="str">
        <x:v>Elda</x:v>
      </x:c>
      <x:c r="K1126" s="259" t="n">
        <x:v>45659.166666666664</x:v>
      </x:c>
      <x:c r="L1126" s="268" t="str">
        <x:f>IFERROR(VLOOKUP(I1126,'Handler-Team Map'!$A$7:$C$17,2,FALSE),"")</x:f>
      </x:c>
      <x:c r="M1126" s="268" t="str">
        <x:f>IFERROR(VLOOKUP(I1126,'Handler-Team Map'!$A$7:$C$17,3,FALSE),"")</x:f>
      </x:c>
      <x:c r="N1126" s="274" t="str">
        <x:v>FT_VM_DEP1000_GET500_5X</x:v>
      </x:c>
      <x:c r="O1126" s="274" t="str">
        <x:v>VIP BONUS - Deposit 1000 Get 500 - 5x TO</x:v>
      </x:c>
      <x:c r="P1126" s="274" t="str">
        <x:v>DepositBonus</x:v>
      </x:c>
      <x:c r="Q1126" s="274" t="str">
        <x:v>Approved</x:v>
      </x:c>
      <x:c r="R1126" s="265" t="n">
        <x:v>500</x:v>
      </x:c>
      <x:c r="S1126" s="253" t="str">
        <x:v>Yes</x:v>
      </x:c>
      <x:c r="T1126" s="265" t="n">
        <x:v>41357</x:v>
      </x:c>
      <x:c r="U1126" s="253" t="str">
        <x:f>IF(AND(S1126="Yes",T1126=0),"Yes","No")</x:f>
        <x:v>No</x:v>
      </x:c>
      <x:c r="V1126" s="253" t="str">
        <x:v>Yes</x:v>
      </x:c>
      <x:c r="W1126" s="253" t="str">
        <x:v>Yes</x:v>
      </x:c>
      <x:c r="X1126" s="259" t="n">
        <x:v>46202.166666666664</x:v>
      </x:c>
      <x:c r="Y1126" s="265" t="n">
        <x:v>17230</x:v>
      </x:c>
      <x:c r="Z1126" s="265" t="n">
        <x:v>22580</x:v>
      </x:c>
      <x:c r="AA1126" s="253" t="str">
        <x:f>IF(V1126="No","Maturing",IF(AND(U1126="Yes",Y1126&gt;0),"Yes","No"))</x:f>
        <x:v>No</x:v>
      </x:c>
      <x:c r="AB1126" s="253" t="str">
        <x:f>IF(W1126="No","Maturing",IF(AND(U1126="Yes",Z1126&gt;0),"Yes","No"))</x:f>
        <x:v>No</x:v>
      </x:c>
      <x:c r="AC1126" s="265" t="n">
        <x:v>17018.84</x:v>
      </x:c>
      <x:c r="AD1126" s="265" t="n">
        <x:v>20312.15</x:v>
      </x:c>
      <x:c r="AE1126" s="271" t="str"/>
      <x:c r="AF1126" s="274" t="str">
        <x:v>Not validated - no control/holdout</x:v>
      </x:c>
      <x:c r="AG1126" s="277" t="str">
        <x:v>Recovered execution only; assignment date and unclaimed-offer denominator unavailable</x:v>
      </x:c>
    </x:row>
    <x:row r="1127">
      <x:c r="A1127" s="252" t="str">
        <x:v>34769708</x:v>
      </x:c>
      <x:c r="B1127" s="253" t="str">
        <x:v>WS1</x:v>
      </x:c>
      <x:c r="C1127" s="253" t="str">
        <x:v>MB8</x:v>
      </x:c>
      <x:c r="D1127" s="262" t="n">
        <x:v>46202.86744212963</x:v>
      </x:c>
      <x:c r="E1127" s="259" t="n">
        <x:v>46202.166666666664</x:v>
      </x:c>
      <x:c r="F1127" s="253" t="str">
        <x:v>521114</x:v>
      </x:c>
      <x:c r="G1127" s="253" t="str">
        <x:v>Nzboss8181</x:v>
      </x:c>
      <x:c r="H1127" s="253" t="str">
        <x:v>Yes</x:v>
      </x:c>
      <x:c r="I1127" s="253" t="str">
        <x:v>Claire</x:v>
      </x:c>
      <x:c r="J1127" s="253" t="str">
        <x:v>Claire</x:v>
      </x:c>
      <x:c r="K1127" s="259" t="n">
        <x:v>45659.166666666664</x:v>
      </x:c>
      <x:c r="L1127" s="268" t="str">
        <x:f>IFERROR(VLOOKUP(I1127,'Handler-Team Map'!$A$7:$C$17,2,FALSE),"")</x:f>
      </x:c>
      <x:c r="M1127" s="268" t="str">
        <x:f>IFERROR(VLOOKUP(I1127,'Handler-Team Map'!$A$7:$C$17,3,FALSE),"")</x:f>
      </x:c>
      <x:c r="N1127" s="274" t="str">
        <x:v>FT_VM_DEP1000_GET1000_2X</x:v>
      </x:c>
      <x:c r="O1127" s="274" t="str">
        <x:v>VIP BONUS - Deposit 1000 Get 1000 - 2x TO</x:v>
      </x:c>
      <x:c r="P1127" s="274" t="str">
        <x:v>DepositBonus</x:v>
      </x:c>
      <x:c r="Q1127" s="274" t="str">
        <x:v>Approved</x:v>
      </x:c>
      <x:c r="R1127" s="265" t="n">
        <x:v>1000</x:v>
      </x:c>
      <x:c r="S1127" s="253" t="str">
        <x:v>Yes</x:v>
      </x:c>
      <x:c r="T1127" s="265" t="n">
        <x:v>293350</x:v>
      </x:c>
      <x:c r="U1127" s="253" t="str">
        <x:f>IF(AND(S1127="Yes",T1127=0),"Yes","No")</x:f>
        <x:v>No</x:v>
      </x:c>
      <x:c r="V1127" s="253" t="str">
        <x:v>Yes</x:v>
      </x:c>
      <x:c r="W1127" s="253" t="str">
        <x:v>Yes</x:v>
      </x:c>
      <x:c r="X1127" s="259" t="n">
        <x:v>46202.166666666664</x:v>
      </x:c>
      <x:c r="Y1127" s="265" t="n">
        <x:v>85950</x:v>
      </x:c>
      <x:c r="Z1127" s="265" t="n">
        <x:v>142350</x:v>
      </x:c>
      <x:c r="AA1127" s="253" t="str">
        <x:f>IF(V1127="No","Maturing",IF(AND(U1127="Yes",Y1127&gt;0),"Yes","No"))</x:f>
        <x:v>No</x:v>
      </x:c>
      <x:c r="AB1127" s="253" t="str">
        <x:f>IF(W1127="No","Maturing",IF(AND(U1127="Yes",Z1127&gt;0),"Yes","No"))</x:f>
        <x:v>No</x:v>
      </x:c>
      <x:c r="AC1127" s="265" t="n">
        <x:v>45600.04</x:v>
      </x:c>
      <x:c r="AD1127" s="265" t="n">
        <x:v>83147</x:v>
      </x:c>
      <x:c r="AE1127" s="271" t="str"/>
      <x:c r="AF1127" s="274" t="str">
        <x:v>Not validated - no control/holdout</x:v>
      </x:c>
      <x:c r="AG1127" s="277" t="str">
        <x:v>Recovered execution only; assignment date and unclaimed-offer denominator unavailable</x:v>
      </x:c>
    </x:row>
    <x:row r="1128">
      <x:c r="A1128" s="252" t="str">
        <x:v>34770014</x:v>
      </x:c>
      <x:c r="B1128" s="253" t="str">
        <x:v>WS1</x:v>
      </x:c>
      <x:c r="C1128" s="253" t="str">
        <x:v>MB8</x:v>
      </x:c>
      <x:c r="D1128" s="262" t="n">
        <x:v>46202.88465277778</x:v>
      </x:c>
      <x:c r="E1128" s="259" t="n">
        <x:v>46202.166666666664</x:v>
      </x:c>
      <x:c r="F1128" s="253" t="str">
        <x:v>609181</x:v>
      </x:c>
      <x:c r="G1128" s="253" t="str">
        <x:v>Tamyusiong</x:v>
      </x:c>
      <x:c r="H1128" s="253" t="str">
        <x:v>Yes</x:v>
      </x:c>
      <x:c r="I1128" s="253" t="str">
        <x:v>Christy</x:v>
      </x:c>
      <x:c r="J1128" s="253" t="str">
        <x:v>Christy</x:v>
      </x:c>
      <x:c r="K1128" s="259" t="n">
        <x:v>45859.166666666664</x:v>
      </x:c>
      <x:c r="L1128" s="268" t="str">
        <x:f>IFERROR(VLOOKUP(I1128,'Handler-Team Map'!$A$7:$C$17,2,FALSE),"")</x:f>
      </x:c>
      <x:c r="M1128" s="268" t="str">
        <x:f>IFERROR(VLOOKUP(I1128,'Handler-Team Map'!$A$7:$C$17,3,FALSE),"")</x:f>
      </x:c>
      <x:c r="N1128" s="274" t="str">
        <x:v>FT_VM_DEP1000_GET500_5X</x:v>
      </x:c>
      <x:c r="O1128" s="274" t="str">
        <x:v>VIP BONUS - Deposit 1000 Get 500 - 5x TO</x:v>
      </x:c>
      <x:c r="P1128" s="274" t="str">
        <x:v>DepositBonus</x:v>
      </x:c>
      <x:c r="Q1128" s="274" t="str">
        <x:v>Approved</x:v>
      </x:c>
      <x:c r="R1128" s="265" t="n">
        <x:v>500</x:v>
      </x:c>
      <x:c r="S1128" s="253" t="str">
        <x:v>Yes</x:v>
      </x:c>
      <x:c r="T1128" s="265" t="n">
        <x:v>3200</x:v>
      </x:c>
      <x:c r="U1128" s="253" t="str">
        <x:f>IF(AND(S1128="Yes",T1128=0),"Yes","No")</x:f>
        <x:v>No</x:v>
      </x:c>
      <x:c r="V1128" s="253" t="str">
        <x:v>Yes</x:v>
      </x:c>
      <x:c r="W1128" s="253" t="str">
        <x:v>Yes</x:v>
      </x:c>
      <x:c r="X1128" s="259" t="n">
        <x:v>46202.166666666664</x:v>
      </x:c>
      <x:c r="Y1128" s="265" t="n">
        <x:v>3300</x:v>
      </x:c>
      <x:c r="Z1128" s="265" t="n">
        <x:v>4400</x:v>
      </x:c>
      <x:c r="AA1128" s="253" t="str">
        <x:f>IF(V1128="No","Maturing",IF(AND(U1128="Yes",Y1128&gt;0),"Yes","No"))</x:f>
        <x:v>No</x:v>
      </x:c>
      <x:c r="AB1128" s="253" t="str">
        <x:f>IF(W1128="No","Maturing",IF(AND(U1128="Yes",Z1128&gt;0),"Yes","No"))</x:f>
        <x:v>No</x:v>
      </x:c>
      <x:c r="AC1128" s="265" t="n">
        <x:v>-297.65</x:v>
      </x:c>
      <x:c r="AD1128" s="265" t="n">
        <x:v>-2115.77</x:v>
      </x:c>
      <x:c r="AE1128" s="271" t="str"/>
      <x:c r="AF1128" s="274" t="str">
        <x:v>Not validated - no control/holdout</x:v>
      </x:c>
      <x:c r="AG1128" s="277" t="str">
        <x:v>Recovered execution only; assignment date and unclaimed-offer denominator unavailable</x:v>
      </x:c>
    </x:row>
    <x:row r="1129">
      <x:c r="A1129" s="252" t="str">
        <x:v>34771365</x:v>
      </x:c>
      <x:c r="B1129" s="253" t="str">
        <x:v>WS1</x:v>
      </x:c>
      <x:c r="C1129" s="253" t="str">
        <x:v>MB8</x:v>
      </x:c>
      <x:c r="D1129" s="262" t="n">
        <x:v>46202.95358796296</x:v>
      </x:c>
      <x:c r="E1129" s="259" t="n">
        <x:v>46202.166666666664</x:v>
      </x:c>
      <x:c r="F1129" s="253" t="str">
        <x:v>663490</x:v>
      </x:c>
      <x:c r="G1129" s="253" t="str">
        <x:v>Arsenal9968</x:v>
      </x:c>
      <x:c r="H1129" s="253" t="str">
        <x:v>Yes</x:v>
      </x:c>
      <x:c r="I1129" s="253" t="str">
        <x:v>Claire</x:v>
      </x:c>
      <x:c r="J1129" s="253" t="str">
        <x:v>Claire</x:v>
      </x:c>
      <x:c r="K1129" s="259" t="n">
        <x:v>45659.166666666664</x:v>
      </x:c>
      <x:c r="L1129" s="268" t="str">
        <x:f>IFERROR(VLOOKUP(I1129,'Handler-Team Map'!$A$7:$C$17,2,FALSE),"")</x:f>
      </x:c>
      <x:c r="M1129" s="268" t="str">
        <x:f>IFERROR(VLOOKUP(I1129,'Handler-Team Map'!$A$7:$C$17,3,FALSE),"")</x:f>
      </x:c>
      <x:c r="N1129" s="274" t="str">
        <x:v>FT_VM_DEP150_GET50_5X</x:v>
      </x:c>
      <x:c r="O1129" s="274" t="str">
        <x:v>VIP BONUS - Deposit 150 Get 50 - 5x TO</x:v>
      </x:c>
      <x:c r="P1129" s="274" t="str">
        <x:v>DepositBonus</x:v>
      </x:c>
      <x:c r="Q1129" s="274" t="str">
        <x:v>Approved</x:v>
      </x:c>
      <x:c r="R1129" s="265" t="n">
        <x:v>50</x:v>
      </x:c>
      <x:c r="S1129" s="253" t="str">
        <x:v>Yes</x:v>
      </x:c>
      <x:c r="T1129" s="265" t="n">
        <x:v>81329</x:v>
      </x:c>
      <x:c r="U1129" s="253" t="str">
        <x:f>IF(AND(S1129="Yes",T1129=0),"Yes","No")</x:f>
        <x:v>No</x:v>
      </x:c>
      <x:c r="V1129" s="253" t="str">
        <x:v>Yes</x:v>
      </x:c>
      <x:c r="W1129" s="253" t="str">
        <x:v>Yes</x:v>
      </x:c>
      <x:c r="X1129" s="259" t="n">
        <x:v>46202.166666666664</x:v>
      </x:c>
      <x:c r="Y1129" s="265" t="n">
        <x:v>22855</x:v>
      </x:c>
      <x:c r="Z1129" s="265" t="n">
        <x:v>36995</x:v>
      </x:c>
      <x:c r="AA1129" s="253" t="str">
        <x:f>IF(V1129="No","Maturing",IF(AND(U1129="Yes",Y1129&gt;0),"Yes","No"))</x:f>
        <x:v>No</x:v>
      </x:c>
      <x:c r="AB1129" s="253" t="str">
        <x:f>IF(W1129="No","Maturing",IF(AND(U1129="Yes",Z1129&gt;0),"Yes","No"))</x:f>
        <x:v>No</x:v>
      </x:c>
      <x:c r="AC1129" s="265" t="n">
        <x:v>9854.48</x:v>
      </x:c>
      <x:c r="AD1129" s="265" t="n">
        <x:v>11994.39</x:v>
      </x:c>
      <x:c r="AE1129" s="271" t="str"/>
      <x:c r="AF1129" s="274" t="str">
        <x:v>Not validated - no control/holdout</x:v>
      </x:c>
      <x:c r="AG1129" s="277" t="str">
        <x:v>Recovered execution only; assignment date and unclaimed-offer denominator unavailable</x:v>
      </x:c>
    </x:row>
    <x:row r="1130">
      <x:c r="A1130" s="252" t="str">
        <x:v>34772855</x:v>
      </x:c>
      <x:c r="B1130" s="253" t="str">
        <x:v>WS1</x:v>
      </x:c>
      <x:c r="C1130" s="253" t="str">
        <x:v>MB8</x:v>
      </x:c>
      <x:c r="D1130" s="262" t="n">
        <x:v>46203.01907407407</x:v>
      </x:c>
      <x:c r="E1130" s="259" t="n">
        <x:v>46203.166666666664</x:v>
      </x:c>
      <x:c r="F1130" s="253" t="str">
        <x:v>565191</x:v>
      </x:c>
      <x:c r="G1130" s="253" t="str">
        <x:v>Sasitaren</x:v>
      </x:c>
      <x:c r="H1130" s="253" t="str">
        <x:v>Yes</x:v>
      </x:c>
      <x:c r="I1130" s="253" t="str">
        <x:v>Kam</x:v>
      </x:c>
      <x:c r="J1130" s="253" t="str">
        <x:v>Kam</x:v>
      </x:c>
      <x:c r="K1130" s="259" t="n">
        <x:v>45951.166666666664</x:v>
      </x:c>
      <x:c r="L1130" s="268" t="str">
        <x:f>IFERROR(VLOOKUP(I1130,'Handler-Team Map'!$A$7:$C$17,2,FALSE),"")</x:f>
      </x:c>
      <x:c r="M1130" s="268" t="str">
        <x:f>IFERROR(VLOOKUP(I1130,'Handler-Team Map'!$A$7:$C$17,3,FALSE),"")</x:f>
      </x:c>
      <x:c r="N1130" s="274" t="str">
        <x:v>FT_VM_DEP1000_GET500_5X</x:v>
      </x:c>
      <x:c r="O1130" s="274" t="str">
        <x:v>VIP BONUS - Deposit 1000 Get 500 - 5x TO</x:v>
      </x:c>
      <x:c r="P1130" s="274" t="str">
        <x:v>DepositBonus</x:v>
      </x:c>
      <x:c r="Q1130" s="274" t="str">
        <x:v>Approved</x:v>
      </x:c>
      <x:c r="R1130" s="265" t="n">
        <x:v>500</x:v>
      </x:c>
      <x:c r="S1130" s="253" t="str">
        <x:v>Yes</x:v>
      </x:c>
      <x:c r="T1130" s="265" t="n">
        <x:v>22048</x:v>
      </x:c>
      <x:c r="U1130" s="253" t="str">
        <x:f>IF(AND(S1130="Yes",T1130=0),"Yes","No")</x:f>
        <x:v>No</x:v>
      </x:c>
      <x:c r="V1130" s="253" t="str">
        <x:v>Yes</x:v>
      </x:c>
      <x:c r="W1130" s="253" t="str">
        <x:v>Yes</x:v>
      </x:c>
      <x:c r="X1130" s="259" t="n">
        <x:v>46203.166666666664</x:v>
      </x:c>
      <x:c r="Y1130" s="265" t="n">
        <x:v>15252</x:v>
      </x:c>
      <x:c r="Z1130" s="265" t="n">
        <x:v>24696</x:v>
      </x:c>
      <x:c r="AA1130" s="253" t="str">
        <x:f>IF(V1130="No","Maturing",IF(AND(U1130="Yes",Y1130&gt;0),"Yes","No"))</x:f>
        <x:v>No</x:v>
      </x:c>
      <x:c r="AB1130" s="253" t="str">
        <x:f>IF(W1130="No","Maturing",IF(AND(U1130="Yes",Z1130&gt;0),"Yes","No"))</x:f>
        <x:v>No</x:v>
      </x:c>
      <x:c r="AC1130" s="265" t="n">
        <x:v>-4169.05</x:v>
      </x:c>
      <x:c r="AD1130" s="265" t="n">
        <x:v>5166.84</x:v>
      </x:c>
      <x:c r="AE1130" s="271" t="str"/>
      <x:c r="AF1130" s="274" t="str">
        <x:v>Not validated - no control/holdout</x:v>
      </x:c>
      <x:c r="AG1130" s="277" t="str">
        <x:v>Recovered execution only; assignment date and unclaimed-offer denominator unavailable</x:v>
      </x:c>
    </x:row>
    <x:row r="1131">
      <x:c r="A1131" s="252" t="str">
        <x:v>34777793</x:v>
      </x:c>
      <x:c r="B1131" s="253" t="str">
        <x:v>WS1</x:v>
      </x:c>
      <x:c r="C1131" s="253" t="str">
        <x:v>MB8</x:v>
      </x:c>
      <x:c r="D1131" s="262" t="n">
        <x:v>46203.49837962963</x:v>
      </x:c>
      <x:c r="E1131" s="259" t="n">
        <x:v>46203.166666666664</x:v>
      </x:c>
      <x:c r="F1131" s="253" t="str">
        <x:v>1214590</x:v>
      </x:c>
      <x:c r="G1131" s="253" t="str">
        <x:v>Mano131010</x:v>
      </x:c>
      <x:c r="H1131" s="253" t="str">
        <x:v>Yes</x:v>
      </x:c>
      <x:c r="I1131" s="253" t="str"/>
      <x:c r="J1131" s="253" t="str"/>
      <x:c r="K1131" s="259"/>
      <x:c r="L1131" s="268" t="str">
        <x:f>IFERROR(VLOOKUP(I1131,'Handler-Team Map'!$A$7:$C$17,2,FALSE),"")</x:f>
      </x:c>
      <x:c r="M1131" s="268" t="str">
        <x:f>IFERROR(VLOOKUP(I1131,'Handler-Team Map'!$A$7:$C$17,3,FALSE),"")</x:f>
      </x:c>
      <x:c r="N1131" s="274" t="str">
        <x:v>FT_VM_DEP300_GET100_5X</x:v>
      </x:c>
      <x:c r="O1131" s="274" t="str">
        <x:v>VIP BONUS - Deposit 300 Get 100 - 5x TO</x:v>
      </x:c>
      <x:c r="P1131" s="274" t="str">
        <x:v>DepositBonus</x:v>
      </x:c>
      <x:c r="Q1131" s="274" t="str">
        <x:v>Approved</x:v>
      </x:c>
      <x:c r="R1131" s="265" t="n">
        <x:v>100</x:v>
      </x:c>
      <x:c r="S1131" s="253" t="str">
        <x:v>Yes</x:v>
      </x:c>
      <x:c r="T1131" s="265" t="n">
        <x:v>36930</x:v>
      </x:c>
      <x:c r="U1131" s="253" t="str">
        <x:f>IF(AND(S1131="Yes",T1131=0),"Yes","No")</x:f>
        <x:v>No</x:v>
      </x:c>
      <x:c r="V1131" s="253" t="str">
        <x:v>Yes</x:v>
      </x:c>
      <x:c r="W1131" s="253" t="str">
        <x:v>Yes</x:v>
      </x:c>
      <x:c r="X1131" s="259" t="n">
        <x:v>46203.166666666664</x:v>
      </x:c>
      <x:c r="Y1131" s="265" t="n">
        <x:v>30970</x:v>
      </x:c>
      <x:c r="Z1131" s="265" t="n">
        <x:v>85010</x:v>
      </x:c>
      <x:c r="AA1131" s="253" t="str">
        <x:f>IF(V1131="No","Maturing",IF(AND(U1131="Yes",Y1131&gt;0),"Yes","No"))</x:f>
        <x:v>No</x:v>
      </x:c>
      <x:c r="AB1131" s="253" t="str">
        <x:f>IF(W1131="No","Maturing",IF(AND(U1131="Yes",Z1131&gt;0),"Yes","No"))</x:f>
        <x:v>No</x:v>
      </x:c>
      <x:c r="AC1131" s="265" t="n">
        <x:v>7463.06</x:v>
      </x:c>
      <x:c r="AD1131" s="265" t="n">
        <x:v>22998.75</x:v>
      </x:c>
      <x:c r="AE1131" s="271" t="str"/>
      <x:c r="AF1131" s="274" t="str">
        <x:v>Not validated - no control/holdout</x:v>
      </x:c>
      <x:c r="AG1131" s="277" t="str">
        <x:v>Recovered execution only; assignment date and unclaimed-offer denominator unavailable</x:v>
      </x:c>
    </x:row>
    <x:row r="1132">
      <x:c r="A1132" s="252" t="str">
        <x:v>34778532</x:v>
      </x:c>
      <x:c r="B1132" s="253" t="str">
        <x:v>WS1</x:v>
      </x:c>
      <x:c r="C1132" s="253" t="str">
        <x:v>MB8</x:v>
      </x:c>
      <x:c r="D1132" s="262" t="n">
        <x:v>46203.57344907407</x:v>
      </x:c>
      <x:c r="E1132" s="259" t="n">
        <x:v>46203.166666666664</x:v>
      </x:c>
      <x:c r="F1132" s="253" t="str">
        <x:v>450398</x:v>
      </x:c>
      <x:c r="G1132" s="253" t="str">
        <x:v>johnnytan8</x:v>
      </x:c>
      <x:c r="H1132" s="253" t="str">
        <x:v>Yes</x:v>
      </x:c>
      <x:c r="I1132" s="253" t="str">
        <x:v>Elda</x:v>
      </x:c>
      <x:c r="J1132" s="253" t="str">
        <x:v>Elda</x:v>
      </x:c>
      <x:c r="K1132" s="259" t="n">
        <x:v>45790.166666666664</x:v>
      </x:c>
      <x:c r="L1132" s="268" t="str">
        <x:f>IFERROR(VLOOKUP(I1132,'Handler-Team Map'!$A$7:$C$17,2,FALSE),"")</x:f>
      </x:c>
      <x:c r="M1132" s="268" t="str">
        <x:f>IFERROR(VLOOKUP(I1132,'Handler-Team Map'!$A$7:$C$17,3,FALSE),"")</x:f>
      </x:c>
      <x:c r="N1132" s="274" t="str">
        <x:v>FT_VM_DEP800_GET400_2X</x:v>
      </x:c>
      <x:c r="O1132" s="274" t="str">
        <x:v>VIP BONUS - Deposit 800 Get 400 - 2x TO</x:v>
      </x:c>
      <x:c r="P1132" s="274" t="str">
        <x:v>DepositBonus</x:v>
      </x:c>
      <x:c r="Q1132" s="274" t="str">
        <x:v>Approved</x:v>
      </x:c>
      <x:c r="R1132" s="265" t="n">
        <x:v>400</x:v>
      </x:c>
      <x:c r="S1132" s="253" t="str">
        <x:v>Yes</x:v>
      </x:c>
      <x:c r="T1132" s="265" t="n">
        <x:v>800</x:v>
      </x:c>
      <x:c r="U1132" s="253" t="str">
        <x:f>IF(AND(S1132="Yes",T1132=0),"Yes","No")</x:f>
        <x:v>No</x:v>
      </x:c>
      <x:c r="V1132" s="253" t="str">
        <x:v>Yes</x:v>
      </x:c>
      <x:c r="W1132" s="253" t="str">
        <x:v>Yes</x:v>
      </x:c>
      <x:c r="X1132" s="259" t="n">
        <x:v>46203.166666666664</x:v>
      </x:c>
      <x:c r="Y1132" s="265" t="n">
        <x:v>800</x:v>
      </x:c>
      <x:c r="Z1132" s="265" t="n">
        <x:v>800</x:v>
      </x:c>
      <x:c r="AA1132" s="253" t="str">
        <x:f>IF(V1132="No","Maturing",IF(AND(U1132="Yes",Y1132&gt;0),"Yes","No"))</x:f>
        <x:v>No</x:v>
      </x:c>
      <x:c r="AB1132" s="253" t="str">
        <x:f>IF(W1132="No","Maturing",IF(AND(U1132="Yes",Z1132&gt;0),"Yes","No"))</x:f>
        <x:v>No</x:v>
      </x:c>
      <x:c r="AC1132" s="265" t="n">
        <x:v>-388.36</x:v>
      </x:c>
      <x:c r="AD1132" s="265" t="n">
        <x:v>-324.64</x:v>
      </x:c>
      <x:c r="AE1132" s="271" t="str"/>
      <x:c r="AF1132" s="274" t="str">
        <x:v>Not validated - no control/holdout</x:v>
      </x:c>
      <x:c r="AG1132" s="277" t="str">
        <x:v>Recovered execution only; assignment date and unclaimed-offer denominator unavailable</x:v>
      </x:c>
    </x:row>
    <x:row r="1133">
      <x:c r="A1133" s="252" t="str">
        <x:v>34778765</x:v>
      </x:c>
      <x:c r="B1133" s="253" t="str">
        <x:v>WS1</x:v>
      </x:c>
      <x:c r="C1133" s="253" t="str">
        <x:v>MB8</x:v>
      </x:c>
      <x:c r="D1133" s="262" t="n">
        <x:v>46203.591678240744</x:v>
      </x:c>
      <x:c r="E1133" s="259" t="n">
        <x:v>46203.166666666664</x:v>
      </x:c>
      <x:c r="F1133" s="253" t="str">
        <x:v>438623</x:v>
      </x:c>
      <x:c r="G1133" s="253" t="str">
        <x:v>Allaxe88</x:v>
      </x:c>
      <x:c r="H1133" s="253" t="str">
        <x:v>Yes</x:v>
      </x:c>
      <x:c r="I1133" s="253" t="str">
        <x:v>Claire</x:v>
      </x:c>
      <x:c r="J1133" s="253" t="str">
        <x:v>Claire</x:v>
      </x:c>
      <x:c r="K1133" s="259" t="n">
        <x:v>46090.166666666664</x:v>
      </x:c>
      <x:c r="L1133" s="268" t="str">
        <x:f>IFERROR(VLOOKUP(I1133,'Handler-Team Map'!$A$7:$C$17,2,FALSE),"")</x:f>
      </x:c>
      <x:c r="M1133" s="268" t="str">
        <x:f>IFERROR(VLOOKUP(I1133,'Handler-Team Map'!$A$7:$C$17,3,FALSE),"")</x:f>
      </x:c>
      <x:c r="N1133" s="274" t="str">
        <x:v>FT_VM_DEP700_GET300_1X</x:v>
      </x:c>
      <x:c r="O1133" s="274" t="str">
        <x:v>VIP BONUS - Deposit 700 Get 300 - 1x TO</x:v>
      </x:c>
      <x:c r="P1133" s="274" t="str">
        <x:v>DepositBonus</x:v>
      </x:c>
      <x:c r="Q1133" s="274" t="str">
        <x:v>Approved</x:v>
      </x:c>
      <x:c r="R1133" s="265" t="n">
        <x:v>300</x:v>
      </x:c>
      <x:c r="S1133" s="253" t="str">
        <x:v>Yes</x:v>
      </x:c>
      <x:c r="T1133" s="265" t="n">
        <x:v>21600</x:v>
      </x:c>
      <x:c r="U1133" s="253" t="str">
        <x:f>IF(AND(S1133="Yes",T1133=0),"Yes","No")</x:f>
        <x:v>No</x:v>
      </x:c>
      <x:c r="V1133" s="253" t="str">
        <x:v>Yes</x:v>
      </x:c>
      <x:c r="W1133" s="253" t="str">
        <x:v>Yes</x:v>
      </x:c>
      <x:c r="X1133" s="259" t="n">
        <x:v>46203.166666666664</x:v>
      </x:c>
      <x:c r="Y1133" s="265" t="n">
        <x:v>700</x:v>
      </x:c>
      <x:c r="Z1133" s="265" t="n">
        <x:v>4950</x:v>
      </x:c>
      <x:c r="AA1133" s="253" t="str">
        <x:f>IF(V1133="No","Maturing",IF(AND(U1133="Yes",Y1133&gt;0),"Yes","No"))</x:f>
        <x:v>No</x:v>
      </x:c>
      <x:c r="AB1133" s="253" t="str">
        <x:f>IF(W1133="No","Maturing",IF(AND(U1133="Yes",Z1133&gt;0),"Yes","No"))</x:f>
        <x:v>No</x:v>
      </x:c>
      <x:c r="AC1133" s="265" t="n">
        <x:v>-263.52</x:v>
      </x:c>
      <x:c r="AD1133" s="265" t="n">
        <x:v>860.43</x:v>
      </x:c>
      <x:c r="AE1133" s="271" t="str"/>
      <x:c r="AF1133" s="274" t="str">
        <x:v>Not validated - no control/holdout</x:v>
      </x:c>
      <x:c r="AG1133" s="277" t="str">
        <x:v>Recovered execution only; assignment date and unclaimed-offer denominator unavailable</x:v>
      </x:c>
    </x:row>
    <x:row r="1134">
      <x:c r="A1134" s="252" t="str">
        <x:v>34778881</x:v>
      </x:c>
      <x:c r="B1134" s="253" t="str">
        <x:v>WS1</x:v>
      </x:c>
      <x:c r="C1134" s="253" t="str">
        <x:v>MB8</x:v>
      </x:c>
      <x:c r="D1134" s="262" t="n">
        <x:v>46203.601805555554</x:v>
      </x:c>
      <x:c r="E1134" s="259" t="n">
        <x:v>46203.166666666664</x:v>
      </x:c>
      <x:c r="F1134" s="253" t="str">
        <x:v>778261</x:v>
      </x:c>
      <x:c r="G1134" s="253" t="str">
        <x:v>sayoon</x:v>
      </x:c>
      <x:c r="H1134" s="253" t="str">
        <x:v>Yes</x:v>
      </x:c>
      <x:c r="I1134" s="253" t="str"/>
      <x:c r="J1134" s="253" t="str"/>
      <x:c r="K1134" s="259"/>
      <x:c r="L1134" s="268" t="str">
        <x:f>IFERROR(VLOOKUP(I1134,'Handler-Team Map'!$A$7:$C$17,2,FALSE),"")</x:f>
      </x:c>
      <x:c r="M1134" s="268" t="str">
        <x:f>IFERROR(VLOOKUP(I1134,'Handler-Team Map'!$A$7:$C$17,3,FALSE),"")</x:f>
      </x:c>
      <x:c r="N1134" s="274" t="str">
        <x:v>FT_VM_DEP600_GET200_5X</x:v>
      </x:c>
      <x:c r="O1134" s="274" t="str">
        <x:v>VIP BONUS - Deposit 600 Get 200 - 5x TO</x:v>
      </x:c>
      <x:c r="P1134" s="274" t="str">
        <x:v>DepositBonus</x:v>
      </x:c>
      <x:c r="Q1134" s="274" t="str">
        <x:v>Approved</x:v>
      </x:c>
      <x:c r="R1134" s="265" t="n">
        <x:v>200</x:v>
      </x:c>
      <x:c r="S1134" s="253" t="str">
        <x:v>Yes</x:v>
      </x:c>
      <x:c r="T1134" s="265" t="n">
        <x:v>1518</x:v>
      </x:c>
      <x:c r="U1134" s="253" t="str">
        <x:f>IF(AND(S1134="Yes",T1134=0),"Yes","No")</x:f>
        <x:v>No</x:v>
      </x:c>
      <x:c r="V1134" s="253" t="str">
        <x:v>Yes</x:v>
      </x:c>
      <x:c r="W1134" s="253" t="str">
        <x:v>Yes</x:v>
      </x:c>
      <x:c r="X1134" s="259" t="n">
        <x:v>46203.166666666664</x:v>
      </x:c>
      <x:c r="Y1134" s="265" t="n">
        <x:v>600</x:v>
      </x:c>
      <x:c r="Z1134" s="265" t="n">
        <x:v>1700</x:v>
      </x:c>
      <x:c r="AA1134" s="253" t="str">
        <x:f>IF(V1134="No","Maturing",IF(AND(U1134="Yes",Y1134&gt;0),"Yes","No"))</x:f>
        <x:v>No</x:v>
      </x:c>
      <x:c r="AB1134" s="253" t="str">
        <x:f>IF(W1134="No","Maturing",IF(AND(U1134="Yes",Z1134&gt;0),"Yes","No"))</x:f>
        <x:v>No</x:v>
      </x:c>
      <x:c r="AC1134" s="265" t="n">
        <x:v>399.29</x:v>
      </x:c>
      <x:c r="AD1134" s="265" t="n">
        <x:v>-1114.23</x:v>
      </x:c>
      <x:c r="AE1134" s="271" t="str"/>
      <x:c r="AF1134" s="274" t="str">
        <x:v>Not validated - no control/holdout</x:v>
      </x:c>
      <x:c r="AG1134" s="277" t="str">
        <x:v>Recovered execution only; assignment date and unclaimed-offer denominator unavailable</x:v>
      </x:c>
    </x:row>
    <x:row r="1135">
      <x:c r="A1135" s="252" t="str">
        <x:v>34779117</x:v>
      </x:c>
      <x:c r="B1135" s="253" t="str">
        <x:v>WS1</x:v>
      </x:c>
      <x:c r="C1135" s="253" t="str">
        <x:v>MB8</x:v>
      </x:c>
      <x:c r="D1135" s="262" t="n">
        <x:v>46203.6255787037</x:v>
      </x:c>
      <x:c r="E1135" s="259" t="n">
        <x:v>46203.166666666664</x:v>
      </x:c>
      <x:c r="F1135" s="253" t="str">
        <x:v>662591</x:v>
      </x:c>
      <x:c r="G1135" s="253" t="str">
        <x:v>Kentlee79</x:v>
      </x:c>
      <x:c r="H1135" s="253" t="str">
        <x:v>Yes</x:v>
      </x:c>
      <x:c r="I1135" s="253" t="str">
        <x:v>Elda</x:v>
      </x:c>
      <x:c r="J1135" s="253" t="str">
        <x:v>Elda</x:v>
      </x:c>
      <x:c r="K1135" s="259" t="n">
        <x:v>45659.166666666664</x:v>
      </x:c>
      <x:c r="L1135" s="268" t="str">
        <x:f>IFERROR(VLOOKUP(I1135,'Handler-Team Map'!$A$7:$C$17,2,FALSE),"")</x:f>
      </x:c>
      <x:c r="M1135" s="268" t="str">
        <x:f>IFERROR(VLOOKUP(I1135,'Handler-Team Map'!$A$7:$C$17,3,FALSE),"")</x:f>
      </x:c>
      <x:c r="N1135" s="274" t="str">
        <x:v>FT_VM_DEP1000_GET500_5X</x:v>
      </x:c>
      <x:c r="O1135" s="274" t="str">
        <x:v>VIP BONUS - Deposit 1000 Get 500 - 5x TO</x:v>
      </x:c>
      <x:c r="P1135" s="274" t="str">
        <x:v>DepositBonus</x:v>
      </x:c>
      <x:c r="Q1135" s="274" t="str">
        <x:v>Approved</x:v>
      </x:c>
      <x:c r="R1135" s="265" t="n">
        <x:v>500</x:v>
      </x:c>
      <x:c r="S1135" s="253" t="str">
        <x:v>Yes</x:v>
      </x:c>
      <x:c r="T1135" s="265" t="n">
        <x:v>10000</x:v>
      </x:c>
      <x:c r="U1135" s="253" t="str">
        <x:f>IF(AND(S1135="Yes",T1135=0),"Yes","No")</x:f>
        <x:v>No</x:v>
      </x:c>
      <x:c r="V1135" s="253" t="str">
        <x:v>Yes</x:v>
      </x:c>
      <x:c r="W1135" s="253" t="str">
        <x:v>Yes</x:v>
      </x:c>
      <x:c r="X1135" s="259" t="n">
        <x:v>46203.166666666664</x:v>
      </x:c>
      <x:c r="Y1135" s="265" t="n">
        <x:v>14000</x:v>
      </x:c>
      <x:c r="Z1135" s="265" t="n">
        <x:v>28000</x:v>
      </x:c>
      <x:c r="AA1135" s="253" t="str">
        <x:f>IF(V1135="No","Maturing",IF(AND(U1135="Yes",Y1135&gt;0),"Yes","No"))</x:f>
        <x:v>No</x:v>
      </x:c>
      <x:c r="AB1135" s="253" t="str">
        <x:f>IF(W1135="No","Maturing",IF(AND(U1135="Yes",Z1135&gt;0),"Yes","No"))</x:f>
        <x:v>No</x:v>
      </x:c>
      <x:c r="AC1135" s="265" t="n">
        <x:v>-1511.13</x:v>
      </x:c>
      <x:c r="AD1135" s="265" t="n">
        <x:v>-800.84</x:v>
      </x:c>
      <x:c r="AE1135" s="271" t="str"/>
      <x:c r="AF1135" s="274" t="str">
        <x:v>Not validated - no control/holdout</x:v>
      </x:c>
      <x:c r="AG1135" s="277" t="str">
        <x:v>Recovered execution only; assignment date and unclaimed-offer denominator unavailable</x:v>
      </x:c>
    </x:row>
    <x:row r="1136">
      <x:c r="A1136" s="252" t="str">
        <x:v>34779417</x:v>
      </x:c>
      <x:c r="B1136" s="253" t="str">
        <x:v>WS1</x:v>
      </x:c>
      <x:c r="C1136" s="253" t="str">
        <x:v>MB8</x:v>
      </x:c>
      <x:c r="D1136" s="262" t="n">
        <x:v>46203.646828703706</x:v>
      </x:c>
      <x:c r="E1136" s="259" t="n">
        <x:v>46203.166666666664</x:v>
      </x:c>
      <x:c r="F1136" s="253" t="str">
        <x:v>631008</x:v>
      </x:c>
      <x:c r="G1136" s="253" t="str">
        <x:v>Tay045195</x:v>
      </x:c>
      <x:c r="H1136" s="253" t="str">
        <x:v>Yes</x:v>
      </x:c>
      <x:c r="I1136" s="253" t="str"/>
      <x:c r="J1136" s="253" t="str"/>
      <x:c r="K1136" s="259"/>
      <x:c r="L1136" s="268" t="str">
        <x:f>IFERROR(VLOOKUP(I1136,'Handler-Team Map'!$A$7:$C$17,2,FALSE),"")</x:f>
      </x:c>
      <x:c r="M1136" s="268" t="str">
        <x:f>IFERROR(VLOOKUP(I1136,'Handler-Team Map'!$A$7:$C$17,3,FALSE),"")</x:f>
      </x:c>
      <x:c r="N1136" s="274" t="str">
        <x:v>FT_VM_DEP600_GET200_5X</x:v>
      </x:c>
      <x:c r="O1136" s="274" t="str">
        <x:v>VIP BONUS - Deposit 600 Get 200 - 5x TO</x:v>
      </x:c>
      <x:c r="P1136" s="274" t="str">
        <x:v>DepositBonus</x:v>
      </x:c>
      <x:c r="Q1136" s="274" t="str">
        <x:v>Approved</x:v>
      </x:c>
      <x:c r="R1136" s="265" t="n">
        <x:v>200</x:v>
      </x:c>
      <x:c r="S1136" s="253" t="str">
        <x:v>Yes</x:v>
      </x:c>
      <x:c r="T1136" s="265" t="n">
        <x:v>600</x:v>
      </x:c>
      <x:c r="U1136" s="253" t="str">
        <x:f>IF(AND(S1136="Yes",T1136=0),"Yes","No")</x:f>
        <x:v>No</x:v>
      </x:c>
      <x:c r="V1136" s="253" t="str">
        <x:v>Yes</x:v>
      </x:c>
      <x:c r="W1136" s="253" t="str">
        <x:v>Yes</x:v>
      </x:c>
      <x:c r="X1136" s="259" t="n">
        <x:v>46203.166666666664</x:v>
      </x:c>
      <x:c r="Y1136" s="265" t="n">
        <x:v>600</x:v>
      </x:c>
      <x:c r="Z1136" s="265" t="n">
        <x:v>600</x:v>
      </x:c>
      <x:c r="AA1136" s="253" t="str">
        <x:f>IF(V1136="No","Maturing",IF(AND(U1136="Yes",Y1136&gt;0),"Yes","No"))</x:f>
        <x:v>No</x:v>
      </x:c>
      <x:c r="AB1136" s="253" t="str">
        <x:f>IF(W1136="No","Maturing",IF(AND(U1136="Yes",Z1136&gt;0),"Yes","No"))</x:f>
        <x:v>No</x:v>
      </x:c>
      <x:c r="AC1136" s="265" t="n">
        <x:v>600</x:v>
      </x:c>
      <x:c r="AD1136" s="265" t="n">
        <x:v>600</x:v>
      </x:c>
      <x:c r="AE1136" s="271" t="str"/>
      <x:c r="AF1136" s="274" t="str">
        <x:v>Not validated - no control/holdout</x:v>
      </x:c>
      <x:c r="AG1136" s="277" t="str">
        <x:v>Recovered execution only; assignment date and unclaimed-offer denominator unavailable</x:v>
      </x:c>
    </x:row>
    <x:row r="1137">
      <x:c r="A1137" s="252" t="str">
        <x:v>34779981</x:v>
      </x:c>
      <x:c r="B1137" s="253" t="str">
        <x:v>WS1</x:v>
      </x:c>
      <x:c r="C1137" s="253" t="str">
        <x:v>MB8</x:v>
      </x:c>
      <x:c r="D1137" s="262" t="n">
        <x:v>46203.6865625</x:v>
      </x:c>
      <x:c r="E1137" s="259" t="n">
        <x:v>46203.166666666664</x:v>
      </x:c>
      <x:c r="F1137" s="253" t="str">
        <x:v>274195</x:v>
      </x:c>
      <x:c r="G1137" s="253" t="str">
        <x:v>Win131313</x:v>
      </x:c>
      <x:c r="H1137" s="253" t="str">
        <x:v>Yes</x:v>
      </x:c>
      <x:c r="I1137" s="253" t="str">
        <x:v>Claire</x:v>
      </x:c>
      <x:c r="J1137" s="253" t="str">
        <x:v>Claire</x:v>
      </x:c>
      <x:c r="K1137" s="259" t="n">
        <x:v>45922.166666666664</x:v>
      </x:c>
      <x:c r="L1137" s="268" t="str">
        <x:f>IFERROR(VLOOKUP(I1137,'Handler-Team Map'!$A$7:$C$17,2,FALSE),"")</x:f>
      </x:c>
      <x:c r="M1137" s="268" t="str">
        <x:f>IFERROR(VLOOKUP(I1137,'Handler-Team Map'!$A$7:$C$17,3,FALSE),"")</x:f>
      </x:c>
      <x:c r="N1137" s="274" t="str">
        <x:v>FT_VM_DEP1000_GET700_1X</x:v>
      </x:c>
      <x:c r="O1137" s="274" t="str">
        <x:v>VIP BONUS - Deposit 1000 Get 700 - 1x TO</x:v>
      </x:c>
      <x:c r="P1137" s="274" t="str">
        <x:v>DepositBonus</x:v>
      </x:c>
      <x:c r="Q1137" s="274" t="str">
        <x:v>Approved</x:v>
      </x:c>
      <x:c r="R1137" s="265" t="n">
        <x:v>700</x:v>
      </x:c>
      <x:c r="S1137" s="253" t="str">
        <x:v>Yes</x:v>
      </x:c>
      <x:c r="T1137" s="265" t="n">
        <x:v>1000</x:v>
      </x:c>
      <x:c r="U1137" s="253" t="str">
        <x:f>IF(AND(S1137="Yes",T1137=0),"Yes","No")</x:f>
        <x:v>No</x:v>
      </x:c>
      <x:c r="V1137" s="253" t="str">
        <x:v>Yes</x:v>
      </x:c>
      <x:c r="W1137" s="253" t="str">
        <x:v>Yes</x:v>
      </x:c>
      <x:c r="X1137" s="259" t="n">
        <x:v>46203.166666666664</x:v>
      </x:c>
      <x:c r="Y1137" s="265" t="n">
        <x:v>1000</x:v>
      </x:c>
      <x:c r="Z1137" s="265" t="n">
        <x:v>1000</x:v>
      </x:c>
      <x:c r="AA1137" s="253" t="str">
        <x:f>IF(V1137="No","Maturing",IF(AND(U1137="Yes",Y1137&gt;0),"Yes","No"))</x:f>
        <x:v>No</x:v>
      </x:c>
      <x:c r="AB1137" s="253" t="str">
        <x:f>IF(W1137="No","Maturing",IF(AND(U1137="Yes",Z1137&gt;0),"Yes","No"))</x:f>
        <x:v>No</x:v>
      </x:c>
      <x:c r="AC1137" s="265" t="n">
        <x:v>1002.6</x:v>
      </x:c>
      <x:c r="AD1137" s="265" t="n">
        <x:v>-11.9</x:v>
      </x:c>
      <x:c r="AE1137" s="271" t="str"/>
      <x:c r="AF1137" s="274" t="str">
        <x:v>Not validated - no control/holdout</x:v>
      </x:c>
      <x:c r="AG1137" s="277" t="str">
        <x:v>Recovered execution only; assignment date and unclaimed-offer denominator unavailable</x:v>
      </x:c>
    </x:row>
    <x:row r="1138">
      <x:c r="A1138" s="252" t="str">
        <x:v>34780081</x:v>
      </x:c>
      <x:c r="B1138" s="253" t="str">
        <x:v>WS1</x:v>
      </x:c>
      <x:c r="C1138" s="253" t="str">
        <x:v>MB8</x:v>
      </x:c>
      <x:c r="D1138" s="262" t="n">
        <x:v>46203.69321759259</x:v>
      </x:c>
      <x:c r="E1138" s="259" t="n">
        <x:v>46203.166666666664</x:v>
      </x:c>
      <x:c r="F1138" s="253" t="str">
        <x:v>934695</x:v>
      </x:c>
      <x:c r="G1138" s="253" t="str">
        <x:v>Wil123</x:v>
      </x:c>
      <x:c r="H1138" s="253" t="str">
        <x:v>Yes</x:v>
      </x:c>
      <x:c r="I1138" s="253" t="str">
        <x:v>Claire</x:v>
      </x:c>
      <x:c r="J1138" s="253" t="str">
        <x:v>Claire</x:v>
      </x:c>
      <x:c r="K1138" s="259" t="n">
        <x:v>45659.166666666664</x:v>
      </x:c>
      <x:c r="L1138" s="268" t="str">
        <x:f>IFERROR(VLOOKUP(I1138,'Handler-Team Map'!$A$7:$C$17,2,FALSE),"")</x:f>
      </x:c>
      <x:c r="M1138" s="268" t="str">
        <x:f>IFERROR(VLOOKUP(I1138,'Handler-Team Map'!$A$7:$C$17,3,FALSE),"")</x:f>
      </x:c>
      <x:c r="N1138" s="274" t="str">
        <x:v>FT_VM_DEP1000_GET800_2X</x:v>
      </x:c>
      <x:c r="O1138" s="274" t="str">
        <x:v>VIP BONUS - Deposit 1000 Get 800 - 2x TO</x:v>
      </x:c>
      <x:c r="P1138" s="274" t="str">
        <x:v>DepositBonus</x:v>
      </x:c>
      <x:c r="Q1138" s="274" t="str">
        <x:v>Approved</x:v>
      </x:c>
      <x:c r="R1138" s="265" t="n">
        <x:v>800</x:v>
      </x:c>
      <x:c r="S1138" s="253" t="str">
        <x:v>Yes</x:v>
      </x:c>
      <x:c r="T1138" s="265" t="n">
        <x:v>1230</x:v>
      </x:c>
      <x:c r="U1138" s="253" t="str">
        <x:f>IF(AND(S1138="Yes",T1138=0),"Yes","No")</x:f>
        <x:v>No</x:v>
      </x:c>
      <x:c r="V1138" s="253" t="str">
        <x:v>Yes</x:v>
      </x:c>
      <x:c r="W1138" s="253" t="str">
        <x:v>Yes</x:v>
      </x:c>
      <x:c r="X1138" s="259" t="n">
        <x:v>46203.166666666664</x:v>
      </x:c>
      <x:c r="Y1138" s="265" t="n">
        <x:v>1580</x:v>
      </x:c>
      <x:c r="Z1138" s="265" t="n">
        <x:v>1680</x:v>
      </x:c>
      <x:c r="AA1138" s="253" t="str">
        <x:f>IF(V1138="No","Maturing",IF(AND(U1138="Yes",Y1138&gt;0),"Yes","No"))</x:f>
        <x:v>No</x:v>
      </x:c>
      <x:c r="AB1138" s="253" t="str">
        <x:f>IF(W1138="No","Maturing",IF(AND(U1138="Yes",Z1138&gt;0),"Yes","No"))</x:f>
        <x:v>No</x:v>
      </x:c>
      <x:c r="AC1138" s="265" t="n">
        <x:v>-338</x:v>
      </x:c>
      <x:c r="AD1138" s="265" t="n">
        <x:v>-97.32</x:v>
      </x:c>
      <x:c r="AE1138" s="271" t="str"/>
      <x:c r="AF1138" s="274" t="str">
        <x:v>Not validated - no control/holdout</x:v>
      </x:c>
      <x:c r="AG1138" s="277" t="str">
        <x:v>Recovered execution only; assignment date and unclaimed-offer denominator unavailable</x:v>
      </x:c>
    </x:row>
    <x:row r="1139">
      <x:c r="A1139" s="252" t="str">
        <x:v>34780826</x:v>
      </x:c>
      <x:c r="B1139" s="253" t="str">
        <x:v>WS1</x:v>
      </x:c>
      <x:c r="C1139" s="253" t="str">
        <x:v>MB8</x:v>
      </x:c>
      <x:c r="D1139" s="262" t="n">
        <x:v>46203.74796296296</x:v>
      </x:c>
      <x:c r="E1139" s="259" t="n">
        <x:v>46203.166666666664</x:v>
      </x:c>
      <x:c r="F1139" s="253" t="str">
        <x:v>871247</x:v>
      </x:c>
      <x:c r="G1139" s="253" t="str">
        <x:v>Jiayao66</x:v>
      </x:c>
      <x:c r="H1139" s="253" t="str">
        <x:v>Yes</x:v>
      </x:c>
      <x:c r="I1139" s="253" t="str"/>
      <x:c r="J1139" s="253" t="str"/>
      <x:c r="K1139" s="259"/>
      <x:c r="L1139" s="268" t="str">
        <x:f>IFERROR(VLOOKUP(I1139,'Handler-Team Map'!$A$7:$C$17,2,FALSE),"")</x:f>
      </x:c>
      <x:c r="M1139" s="268" t="str">
        <x:f>IFERROR(VLOOKUP(I1139,'Handler-Team Map'!$A$7:$C$17,3,FALSE),"")</x:f>
      </x:c>
      <x:c r="N1139" s="274" t="str">
        <x:v>FT_VM_DEP700_GET300_2X</x:v>
      </x:c>
      <x:c r="O1139" s="274" t="str">
        <x:v>VIP BONUS - Deposit 700 Get 300 - 2x TO</x:v>
      </x:c>
      <x:c r="P1139" s="274" t="str">
        <x:v>DepositBonus</x:v>
      </x:c>
      <x:c r="Q1139" s="274" t="str">
        <x:v>Approved</x:v>
      </x:c>
      <x:c r="R1139" s="265" t="n">
        <x:v>300</x:v>
      </x:c>
      <x:c r="S1139" s="253" t="str">
        <x:v>Yes</x:v>
      </x:c>
      <x:c r="T1139" s="265" t="n">
        <x:v>0</x:v>
      </x:c>
      <x:c r="U1139" s="253" t="str">
        <x:f>IF(AND(S1139="Yes",T1139=0),"Yes","No")</x:f>
        <x:v>Yes</x:v>
      </x:c>
      <x:c r="V1139" s="253" t="str">
        <x:v>Yes</x:v>
      </x:c>
      <x:c r="W1139" s="253" t="str">
        <x:v>Yes</x:v>
      </x:c>
      <x:c r="X1139" s="259" t="n">
        <x:v>46203.166666666664</x:v>
      </x:c>
      <x:c r="Y1139" s="265" t="n">
        <x:v>1500</x:v>
      </x:c>
      <x:c r="Z1139" s="265" t="n">
        <x:v>1500</x:v>
      </x:c>
      <x:c r="AA1139" s="253" t="str">
        <x:f>IF(V1139="No","Maturing",IF(AND(U1139="Yes",Y1139&gt;0),"Yes","No"))</x:f>
        <x:v>Yes</x:v>
      </x:c>
      <x:c r="AB1139" s="253" t="str">
        <x:f>IF(W1139="No","Maturing",IF(AND(U1139="Yes",Z1139&gt;0),"Yes","No"))</x:f>
        <x:v>Yes</x:v>
      </x:c>
      <x:c r="AC1139" s="265" t="n">
        <x:v>713.12</x:v>
      </x:c>
      <x:c r="AD1139" s="265" t="n">
        <x:v>736.41</x:v>
      </x:c>
      <x:c r="AE1139" s="271" t="str"/>
      <x:c r="AF1139" s="274" t="str">
        <x:v>Not validated - no control/holdout</x:v>
      </x:c>
      <x:c r="AG1139" s="277" t="str">
        <x:v>Recovered execution only; assignment date and unclaimed-offer denominator unavailable</x:v>
      </x:c>
    </x:row>
    <x:row r="1140">
      <x:c r="A1140" s="252" t="str">
        <x:v>34780853</x:v>
      </x:c>
      <x:c r="B1140" s="253" t="str">
        <x:v>WS1</x:v>
      </x:c>
      <x:c r="C1140" s="253" t="str">
        <x:v>MB8</x:v>
      </x:c>
      <x:c r="D1140" s="262" t="n">
        <x:v>46203.74943287037</x:v>
      </x:c>
      <x:c r="E1140" s="259" t="n">
        <x:v>46203.166666666664</x:v>
      </x:c>
      <x:c r="F1140" s="253" t="str">
        <x:v>161355</x:v>
      </x:c>
      <x:c r="G1140" s="253" t="str">
        <x:v>Ryan8</x:v>
      </x:c>
      <x:c r="H1140" s="253" t="str">
        <x:v>Yes</x:v>
      </x:c>
      <x:c r="I1140" s="253" t="str">
        <x:v>Elda</x:v>
      </x:c>
      <x:c r="J1140" s="253" t="str">
        <x:v>Elda</x:v>
      </x:c>
      <x:c r="K1140" s="259" t="n">
        <x:v>45659.166666666664</x:v>
      </x:c>
      <x:c r="L1140" s="268" t="str">
        <x:f>IFERROR(VLOOKUP(I1140,'Handler-Team Map'!$A$7:$C$17,2,FALSE),"")</x:f>
      </x:c>
      <x:c r="M1140" s="268" t="str">
        <x:f>IFERROR(VLOOKUP(I1140,'Handler-Team Map'!$A$7:$C$17,3,FALSE),"")</x:f>
      </x:c>
      <x:c r="N1140" s="274" t="str">
        <x:v>FT_VM_DEP600_GET200_5X</x:v>
      </x:c>
      <x:c r="O1140" s="274" t="str">
        <x:v>VIP BONUS - Deposit 600 Get 200 - 5x TO</x:v>
      </x:c>
      <x:c r="P1140" s="274" t="str">
        <x:v>DepositBonus</x:v>
      </x:c>
      <x:c r="Q1140" s="274" t="str">
        <x:v>Approved</x:v>
      </x:c>
      <x:c r="R1140" s="265" t="n">
        <x:v>200</x:v>
      </x:c>
      <x:c r="S1140" s="253" t="str">
        <x:v>Yes</x:v>
      </x:c>
      <x:c r="T1140" s="265" t="n">
        <x:v>76977</x:v>
      </x:c>
      <x:c r="U1140" s="253" t="str">
        <x:f>IF(AND(S1140="Yes",T1140=0),"Yes","No")</x:f>
        <x:v>No</x:v>
      </x:c>
      <x:c r="V1140" s="253" t="str">
        <x:v>Yes</x:v>
      </x:c>
      <x:c r="W1140" s="253" t="str">
        <x:v>Yes</x:v>
      </x:c>
      <x:c r="X1140" s="259" t="n">
        <x:v>46203.166666666664</x:v>
      </x:c>
      <x:c r="Y1140" s="265" t="n">
        <x:v>15165</x:v>
      </x:c>
      <x:c r="Z1140" s="265" t="n">
        <x:v>20315</x:v>
      </x:c>
      <x:c r="AA1140" s="253" t="str">
        <x:f>IF(V1140="No","Maturing",IF(AND(U1140="Yes",Y1140&gt;0),"Yes","No"))</x:f>
        <x:v>No</x:v>
      </x:c>
      <x:c r="AB1140" s="253" t="str">
        <x:f>IF(W1140="No","Maturing",IF(AND(U1140="Yes",Z1140&gt;0),"Yes","No"))</x:f>
        <x:v>No</x:v>
      </x:c>
      <x:c r="AC1140" s="265" t="n">
        <x:v>14592.56</x:v>
      </x:c>
      <x:c r="AD1140" s="265" t="n">
        <x:v>18735.32</x:v>
      </x:c>
      <x:c r="AE1140" s="271" t="str"/>
      <x:c r="AF1140" s="274" t="str">
        <x:v>Not validated - no control/holdout</x:v>
      </x:c>
      <x:c r="AG1140" s="277" t="str">
        <x:v>Recovered execution only; assignment date and unclaimed-offer denominator unavailable</x:v>
      </x:c>
    </x:row>
    <x:row r="1141">
      <x:c r="A1141" s="252" t="str">
        <x:v>34780875</x:v>
      </x:c>
      <x:c r="B1141" s="253" t="str">
        <x:v>WS1</x:v>
      </x:c>
      <x:c r="C1141" s="253" t="str">
        <x:v>MB8</x:v>
      </x:c>
      <x:c r="D1141" s="262" t="n">
        <x:v>46203.75087962963</x:v>
      </x:c>
      <x:c r="E1141" s="259" t="n">
        <x:v>46203.166666666664</x:v>
      </x:c>
      <x:c r="F1141" s="253" t="str">
        <x:v>680159</x:v>
      </x:c>
      <x:c r="G1141" s="253" t="str">
        <x:v>zack3477</x:v>
      </x:c>
      <x:c r="H1141" s="253" t="str">
        <x:v>Yes</x:v>
      </x:c>
      <x:c r="I1141" s="253" t="str">
        <x:v>Mikki</x:v>
      </x:c>
      <x:c r="J1141" s="253" t="str">
        <x:v>Mikki</x:v>
      </x:c>
      <x:c r="K1141" s="259" t="n">
        <x:v>45993.166666666664</x:v>
      </x:c>
      <x:c r="L1141" s="268" t="str">
        <x:f>IFERROR(VLOOKUP(I1141,'Handler-Team Map'!$A$7:$C$17,2,FALSE),"")</x:f>
      </x:c>
      <x:c r="M1141" s="268" t="str">
        <x:f>IFERROR(VLOOKUP(I1141,'Handler-Team Map'!$A$7:$C$17,3,FALSE),"")</x:f>
      </x:c>
      <x:c r="N1141" s="274" t="str">
        <x:v>FT_VM_DEP300_GET100_5X</x:v>
      </x:c>
      <x:c r="O1141" s="274" t="str">
        <x:v>VIP BONUS - Deposit 300 Get 100 - 5x TO</x:v>
      </x:c>
      <x:c r="P1141" s="274" t="str">
        <x:v>DepositBonus</x:v>
      </x:c>
      <x:c r="Q1141" s="274" t="str">
        <x:v>Approved</x:v>
      </x:c>
      <x:c r="R1141" s="265" t="n">
        <x:v>100</x:v>
      </x:c>
      <x:c r="S1141" s="253" t="str">
        <x:v>Yes</x:v>
      </x:c>
      <x:c r="T1141" s="265" t="n">
        <x:v>61225</x:v>
      </x:c>
      <x:c r="U1141" s="253" t="str">
        <x:f>IF(AND(S1141="Yes",T1141=0),"Yes","No")</x:f>
        <x:v>No</x:v>
      </x:c>
      <x:c r="V1141" s="253" t="str">
        <x:v>Yes</x:v>
      </x:c>
      <x:c r="W1141" s="253" t="str">
        <x:v>Yes</x:v>
      </x:c>
      <x:c r="X1141" s="259" t="n">
        <x:v>46203.166666666664</x:v>
      </x:c>
      <x:c r="Y1141" s="265" t="n">
        <x:v>33630</x:v>
      </x:c>
      <x:c r="Z1141" s="265" t="n">
        <x:v>88630</x:v>
      </x:c>
      <x:c r="AA1141" s="253" t="str">
        <x:f>IF(V1141="No","Maturing",IF(AND(U1141="Yes",Y1141&gt;0),"Yes","No"))</x:f>
        <x:v>No</x:v>
      </x:c>
      <x:c r="AB1141" s="253" t="str">
        <x:f>IF(W1141="No","Maturing",IF(AND(U1141="Yes",Z1141&gt;0),"Yes","No"))</x:f>
        <x:v>No</x:v>
      </x:c>
      <x:c r="AC1141" s="265" t="n">
        <x:v>-26750.38</x:v>
      </x:c>
      <x:c r="AD1141" s="265" t="n">
        <x:v>-7652.03</x:v>
      </x:c>
      <x:c r="AE1141" s="271" t="str"/>
      <x:c r="AF1141" s="274" t="str">
        <x:v>Not validated - no control/holdout</x:v>
      </x:c>
      <x:c r="AG1141" s="277" t="str">
        <x:v>Recovered execution only; assignment date and unclaimed-offer denominator unavailable</x:v>
      </x:c>
    </x:row>
    <x:row r="1142">
      <x:c r="A1142" s="252" t="str">
        <x:v>34780930</x:v>
      </x:c>
      <x:c r="B1142" s="253" t="str">
        <x:v>WS1</x:v>
      </x:c>
      <x:c r="C1142" s="253" t="str">
        <x:v>MB8</x:v>
      </x:c>
      <x:c r="D1142" s="262" t="n">
        <x:v>46203.75528935185</x:v>
      </x:c>
      <x:c r="E1142" s="259" t="n">
        <x:v>46203.166666666664</x:v>
      </x:c>
      <x:c r="F1142" s="253" t="str">
        <x:v>937035</x:v>
      </x:c>
      <x:c r="G1142" s="253" t="str">
        <x:v>Ivyweiii</x:v>
      </x:c>
      <x:c r="H1142" s="253" t="str">
        <x:v>Yes</x:v>
      </x:c>
      <x:c r="I1142" s="253" t="str"/>
      <x:c r="J1142" s="253" t="str"/>
      <x:c r="K1142" s="259"/>
      <x:c r="L1142" s="268" t="str">
        <x:f>IFERROR(VLOOKUP(I1142,'Handler-Team Map'!$A$7:$C$17,2,FALSE),"")</x:f>
      </x:c>
      <x:c r="M1142" s="268" t="str">
        <x:f>IFERROR(VLOOKUP(I1142,'Handler-Team Map'!$A$7:$C$17,3,FALSE),"")</x:f>
      </x:c>
      <x:c r="N1142" s="274" t="str">
        <x:v>FT_VM_DEP700_GET300_2X</x:v>
      </x:c>
      <x:c r="O1142" s="274" t="str">
        <x:v>VIP BONUS - Deposit 700 Get 300 - 2x TO</x:v>
      </x:c>
      <x:c r="P1142" s="274" t="str">
        <x:v>DepositBonus</x:v>
      </x:c>
      <x:c r="Q1142" s="274" t="str">
        <x:v>Approved</x:v>
      </x:c>
      <x:c r="R1142" s="265" t="n">
        <x:v>300</x:v>
      </x:c>
      <x:c r="S1142" s="253" t="str">
        <x:v>Yes</x:v>
      </x:c>
      <x:c r="T1142" s="265" t="n">
        <x:v>1200</x:v>
      </x:c>
      <x:c r="U1142" s="253" t="str">
        <x:f>IF(AND(S1142="Yes",T1142=0),"Yes","No")</x:f>
        <x:v>No</x:v>
      </x:c>
      <x:c r="V1142" s="253" t="str">
        <x:v>Yes</x:v>
      </x:c>
      <x:c r="W1142" s="253" t="str">
        <x:v>Yes</x:v>
      </x:c>
      <x:c r="X1142" s="259" t="n">
        <x:v>46203.166666666664</x:v>
      </x:c>
      <x:c r="Y1142" s="265" t="n">
        <x:v>700</x:v>
      </x:c>
      <x:c r="Z1142" s="265" t="n">
        <x:v>700</x:v>
      </x:c>
      <x:c r="AA1142" s="253" t="str">
        <x:f>IF(V1142="No","Maturing",IF(AND(U1142="Yes",Y1142&gt;0),"Yes","No"))</x:f>
        <x:v>No</x:v>
      </x:c>
      <x:c r="AB1142" s="253" t="str">
        <x:f>IF(W1142="No","Maturing",IF(AND(U1142="Yes",Z1142&gt;0),"Yes","No"))</x:f>
        <x:v>No</x:v>
      </x:c>
      <x:c r="AC1142" s="265" t="n">
        <x:v>700</x:v>
      </x:c>
      <x:c r="AD1142" s="265" t="n">
        <x:v>700</x:v>
      </x:c>
      <x:c r="AE1142" s="271" t="str"/>
      <x:c r="AF1142" s="274" t="str">
        <x:v>Not validated - no control/holdout</x:v>
      </x:c>
      <x:c r="AG1142" s="277" t="str">
        <x:v>Recovered execution only; assignment date and unclaimed-offer denominator unavailable</x:v>
      </x:c>
    </x:row>
    <x:row r="1143">
      <x:c r="A1143" s="252" t="str">
        <x:v>34780946</x:v>
      </x:c>
      <x:c r="B1143" s="253" t="str">
        <x:v>WS1</x:v>
      </x:c>
      <x:c r="C1143" s="253" t="str">
        <x:v>MB8</x:v>
      </x:c>
      <x:c r="D1143" s="262" t="n">
        <x:v>46203.75599537037</x:v>
      </x:c>
      <x:c r="E1143" s="259" t="n">
        <x:v>46203.166666666664</x:v>
      </x:c>
      <x:c r="F1143" s="253" t="str">
        <x:v>483139</x:v>
      </x:c>
      <x:c r="G1143" s="253" t="str">
        <x:v>attieu</x:v>
      </x:c>
      <x:c r="H1143" s="253" t="str">
        <x:v>Yes</x:v>
      </x:c>
      <x:c r="I1143" s="253" t="str">
        <x:v>Serene</x:v>
      </x:c>
      <x:c r="J1143" s="253" t="str">
        <x:v>Serene</x:v>
      </x:c>
      <x:c r="K1143" s="259" t="n">
        <x:v>45859.166666666664</x:v>
      </x:c>
      <x:c r="L1143" s="268" t="str">
        <x:f>IFERROR(VLOOKUP(I1143,'Handler-Team Map'!$A$7:$C$17,2,FALSE),"")</x:f>
      </x:c>
      <x:c r="M1143" s="268" t="str">
        <x:f>IFERROR(VLOOKUP(I1143,'Handler-Team Map'!$A$7:$C$17,3,FALSE),"")</x:f>
      </x:c>
      <x:c r="N1143" s="274" t="str">
        <x:v>FT_VM_DEP300_GET100_5X</x:v>
      </x:c>
      <x:c r="O1143" s="274" t="str">
        <x:v>VIP BONUS - Deposit 300 Get 100 - 5x TO</x:v>
      </x:c>
      <x:c r="P1143" s="274" t="str">
        <x:v>DepositBonus</x:v>
      </x:c>
      <x:c r="Q1143" s="274" t="str">
        <x:v>Approved</x:v>
      </x:c>
      <x:c r="R1143" s="265" t="n">
        <x:v>100</x:v>
      </x:c>
      <x:c r="S1143" s="253" t="str">
        <x:v>Yes</x:v>
      </x:c>
      <x:c r="T1143" s="265" t="n">
        <x:v>13250</x:v>
      </x:c>
      <x:c r="U1143" s="253" t="str">
        <x:f>IF(AND(S1143="Yes",T1143=0),"Yes","No")</x:f>
        <x:v>No</x:v>
      </x:c>
      <x:c r="V1143" s="253" t="str">
        <x:v>Yes</x:v>
      </x:c>
      <x:c r="W1143" s="253" t="str">
        <x:v>Yes</x:v>
      </x:c>
      <x:c r="X1143" s="259" t="n">
        <x:v>46203.166666666664</x:v>
      </x:c>
      <x:c r="Y1143" s="265" t="n">
        <x:v>16800</x:v>
      </x:c>
      <x:c r="Z1143" s="265" t="n">
        <x:v>24100</x:v>
      </x:c>
      <x:c r="AA1143" s="253" t="str">
        <x:f>IF(V1143="No","Maturing",IF(AND(U1143="Yes",Y1143&gt;0),"Yes","No"))</x:f>
        <x:v>No</x:v>
      </x:c>
      <x:c r="AB1143" s="253" t="str">
        <x:f>IF(W1143="No","Maturing",IF(AND(U1143="Yes",Z1143&gt;0),"Yes","No"))</x:f>
        <x:v>No</x:v>
      </x:c>
      <x:c r="AC1143" s="265" t="n">
        <x:v>10307.53</x:v>
      </x:c>
      <x:c r="AD1143" s="265" t="n">
        <x:v>7728.55</x:v>
      </x:c>
      <x:c r="AE1143" s="271" t="str"/>
      <x:c r="AF1143" s="274" t="str">
        <x:v>Not validated - no control/holdout</x:v>
      </x:c>
      <x:c r="AG1143" s="277" t="str">
        <x:v>Recovered execution only; assignment date and unclaimed-offer denominator unavailable</x:v>
      </x:c>
    </x:row>
    <x:row r="1144">
      <x:c r="A1144" s="252" t="str">
        <x:v>34780998</x:v>
      </x:c>
      <x:c r="B1144" s="253" t="str">
        <x:v>WS1</x:v>
      </x:c>
      <x:c r="C1144" s="253" t="str">
        <x:v>MB8</x:v>
      </x:c>
      <x:c r="D1144" s="262" t="n">
        <x:v>46203.761041666665</x:v>
      </x:c>
      <x:c r="E1144" s="259" t="n">
        <x:v>46203.166666666664</x:v>
      </x:c>
      <x:c r="F1144" s="253" t="str">
        <x:v>1153667</x:v>
      </x:c>
      <x:c r="G1144" s="253" t="str">
        <x:v>fushigiguy</x:v>
      </x:c>
      <x:c r="H1144" s="253" t="str">
        <x:v>Yes</x:v>
      </x:c>
      <x:c r="I1144" s="253" t="str">
        <x:v>Elda</x:v>
      </x:c>
      <x:c r="J1144" s="253" t="str">
        <x:v>Elda</x:v>
      </x:c>
      <x:c r="K1144" s="259" t="n">
        <x:v>45659.166666666664</x:v>
      </x:c>
      <x:c r="L1144" s="268" t="str">
        <x:f>IFERROR(VLOOKUP(I1144,'Handler-Team Map'!$A$7:$C$17,2,FALSE),"")</x:f>
      </x:c>
      <x:c r="M1144" s="268" t="str">
        <x:f>IFERROR(VLOOKUP(I1144,'Handler-Team Map'!$A$7:$C$17,3,FALSE),"")</x:f>
      </x:c>
      <x:c r="N1144" s="274" t="str">
        <x:v>FT_VM_DEP1000_GET500_5X</x:v>
      </x:c>
      <x:c r="O1144" s="274" t="str">
        <x:v>VIP BONUS - Deposit 1000 Get 500 - 5x TO</x:v>
      </x:c>
      <x:c r="P1144" s="274" t="str">
        <x:v>DepositBonus</x:v>
      </x:c>
      <x:c r="Q1144" s="274" t="str">
        <x:v>Approved</x:v>
      </x:c>
      <x:c r="R1144" s="265" t="n">
        <x:v>500</x:v>
      </x:c>
      <x:c r="S1144" s="253" t="str">
        <x:v>Yes</x:v>
      </x:c>
      <x:c r="T1144" s="265" t="n">
        <x:v>4900</x:v>
      </x:c>
      <x:c r="U1144" s="253" t="str">
        <x:f>IF(AND(S1144="Yes",T1144=0),"Yes","No")</x:f>
        <x:v>No</x:v>
      </x:c>
      <x:c r="V1144" s="253" t="str">
        <x:v>Yes</x:v>
      </x:c>
      <x:c r="W1144" s="253" t="str">
        <x:v>Yes</x:v>
      </x:c>
      <x:c r="X1144" s="259" t="n">
        <x:v>46203.166666666664</x:v>
      </x:c>
      <x:c r="Y1144" s="265" t="n">
        <x:v>8150</x:v>
      </x:c>
      <x:c r="Z1144" s="265" t="n">
        <x:v>8150</x:v>
      </x:c>
      <x:c r="AA1144" s="253" t="str">
        <x:f>IF(V1144="No","Maturing",IF(AND(U1144="Yes",Y1144&gt;0),"Yes","No"))</x:f>
        <x:v>No</x:v>
      </x:c>
      <x:c r="AB1144" s="253" t="str">
        <x:f>IF(W1144="No","Maturing",IF(AND(U1144="Yes",Z1144&gt;0),"Yes","No"))</x:f>
        <x:v>No</x:v>
      </x:c>
      <x:c r="AC1144" s="265" t="n">
        <x:v>8159.22</x:v>
      </x:c>
      <x:c r="AD1144" s="265" t="n">
        <x:v>8155.63</x:v>
      </x:c>
      <x:c r="AE1144" s="271" t="str"/>
      <x:c r="AF1144" s="274" t="str">
        <x:v>Not validated - no control/holdout</x:v>
      </x:c>
      <x:c r="AG1144" s="277" t="str">
        <x:v>Recovered execution only; assignment date and unclaimed-offer denominator unavailable</x:v>
      </x:c>
    </x:row>
    <x:row r="1145">
      <x:c r="A1145" s="252" t="str">
        <x:v>34781304</x:v>
      </x:c>
      <x:c r="B1145" s="253" t="str">
        <x:v>WS1</x:v>
      </x:c>
      <x:c r="C1145" s="253" t="str">
        <x:v>MB8</x:v>
      </x:c>
      <x:c r="D1145" s="262" t="n">
        <x:v>46203.782546296294</x:v>
      </x:c>
      <x:c r="E1145" s="259" t="n">
        <x:v>46203.166666666664</x:v>
      </x:c>
      <x:c r="F1145" s="253" t="str">
        <x:v>900452</x:v>
      </x:c>
      <x:c r="G1145" s="253" t="str">
        <x:v>att6363</x:v>
      </x:c>
      <x:c r="H1145" s="253" t="str">
        <x:v>Yes</x:v>
      </x:c>
      <x:c r="I1145" s="253" t="str"/>
      <x:c r="J1145" s="253" t="str"/>
      <x:c r="K1145" s="259"/>
      <x:c r="L1145" s="268" t="str">
        <x:f>IFERROR(VLOOKUP(I1145,'Handler-Team Map'!$A$7:$C$17,2,FALSE),"")</x:f>
      </x:c>
      <x:c r="M1145" s="268" t="str">
        <x:f>IFERROR(VLOOKUP(I1145,'Handler-Team Map'!$A$7:$C$17,3,FALSE),"")</x:f>
      </x:c>
      <x:c r="N1145" s="274" t="str">
        <x:v>FT_VM_DEP600_GET200_5X</x:v>
      </x:c>
      <x:c r="O1145" s="274" t="str">
        <x:v>VIP BONUS - Deposit 600 Get 200 - 5x TO</x:v>
      </x:c>
      <x:c r="P1145" s="274" t="str">
        <x:v>DepositBonus</x:v>
      </x:c>
      <x:c r="Q1145" s="274" t="str">
        <x:v>Approved</x:v>
      </x:c>
      <x:c r="R1145" s="265" t="n">
        <x:v>200</x:v>
      </x:c>
      <x:c r="S1145" s="253" t="str">
        <x:v>Yes</x:v>
      </x:c>
      <x:c r="T1145" s="265" t="n">
        <x:v>1200</x:v>
      </x:c>
      <x:c r="U1145" s="253" t="str">
        <x:f>IF(AND(S1145="Yes",T1145=0),"Yes","No")</x:f>
        <x:v>No</x:v>
      </x:c>
      <x:c r="V1145" s="253" t="str">
        <x:v>Yes</x:v>
      </x:c>
      <x:c r="W1145" s="253" t="str">
        <x:v>Yes</x:v>
      </x:c>
      <x:c r="X1145" s="259" t="n">
        <x:v>46203.166666666664</x:v>
      </x:c>
      <x:c r="Y1145" s="265" t="n">
        <x:v>600</x:v>
      </x:c>
      <x:c r="Z1145" s="265" t="n">
        <x:v>600</x:v>
      </x:c>
      <x:c r="AA1145" s="253" t="str">
        <x:f>IF(V1145="No","Maturing",IF(AND(U1145="Yes",Y1145&gt;0),"Yes","No"))</x:f>
        <x:v>No</x:v>
      </x:c>
      <x:c r="AB1145" s="253" t="str">
        <x:f>IF(W1145="No","Maturing",IF(AND(U1145="Yes",Z1145&gt;0),"Yes","No"))</x:f>
        <x:v>No</x:v>
      </x:c>
      <x:c r="AC1145" s="265" t="n">
        <x:v>599.39</x:v>
      </x:c>
      <x:c r="AD1145" s="265" t="n">
        <x:v>599.39</x:v>
      </x:c>
      <x:c r="AE1145" s="271" t="str"/>
      <x:c r="AF1145" s="274" t="str">
        <x:v>Not validated - no control/holdout</x:v>
      </x:c>
      <x:c r="AG1145" s="277" t="str">
        <x:v>Recovered execution only; assignment date and unclaimed-offer denominator unavailable</x:v>
      </x:c>
    </x:row>
    <x:row r="1146">
      <x:c r="A1146" s="252" t="str">
        <x:v>34781630</x:v>
      </x:c>
      <x:c r="B1146" s="253" t="str">
        <x:v>WS1</x:v>
      </x:c>
      <x:c r="C1146" s="253" t="str">
        <x:v>MB8</x:v>
      </x:c>
      <x:c r="D1146" s="262" t="n">
        <x:v>46203.80657407407</x:v>
      </x:c>
      <x:c r="E1146" s="259" t="n">
        <x:v>46203.166666666664</x:v>
      </x:c>
      <x:c r="F1146" s="253" t="str">
        <x:v>279079</x:v>
      </x:c>
      <x:c r="G1146" s="253" t="str">
        <x:v>Cricket8</x:v>
      </x:c>
      <x:c r="H1146" s="253" t="str">
        <x:v>Yes</x:v>
      </x:c>
      <x:c r="I1146" s="253" t="str">
        <x:v>Claire</x:v>
      </x:c>
      <x:c r="J1146" s="253" t="str">
        <x:v>Claire</x:v>
      </x:c>
      <x:c r="K1146" s="259" t="n">
        <x:v>45659.166666666664</x:v>
      </x:c>
      <x:c r="L1146" s="268" t="str">
        <x:f>IFERROR(VLOOKUP(I1146,'Handler-Team Map'!$A$7:$C$17,2,FALSE),"")</x:f>
      </x:c>
      <x:c r="M1146" s="268" t="str">
        <x:f>IFERROR(VLOOKUP(I1146,'Handler-Team Map'!$A$7:$C$17,3,FALSE),"")</x:f>
      </x:c>
      <x:c r="N1146" s="274" t="str">
        <x:v>FT_VM_DEP1000_GET900_1X</x:v>
      </x:c>
      <x:c r="O1146" s="274" t="str">
        <x:v>VIP BONUS - Deposit 1000 Get 900 - 1x TO</x:v>
      </x:c>
      <x:c r="P1146" s="274" t="str">
        <x:v>DepositBonus</x:v>
      </x:c>
      <x:c r="Q1146" s="274" t="str">
        <x:v>Approved</x:v>
      </x:c>
      <x:c r="R1146" s="265" t="n">
        <x:v>900</x:v>
      </x:c>
      <x:c r="S1146" s="253" t="str">
        <x:v>Yes</x:v>
      </x:c>
      <x:c r="T1146" s="265" t="n">
        <x:v>295</x:v>
      </x:c>
      <x:c r="U1146" s="253" t="str">
        <x:f>IF(AND(S1146="Yes",T1146=0),"Yes","No")</x:f>
        <x:v>No</x:v>
      </x:c>
      <x:c r="V1146" s="253" t="str">
        <x:v>Yes</x:v>
      </x:c>
      <x:c r="W1146" s="253" t="str">
        <x:v>Yes</x:v>
      </x:c>
      <x:c r="X1146" s="259" t="n">
        <x:v>46203.166666666664</x:v>
      </x:c>
      <x:c r="Y1146" s="265" t="n">
        <x:v>1282</x:v>
      </x:c>
      <x:c r="Z1146" s="265" t="n">
        <x:v>7152</x:v>
      </x:c>
      <x:c r="AA1146" s="253" t="str">
        <x:f>IF(V1146="No","Maturing",IF(AND(U1146="Yes",Y1146&gt;0),"Yes","No"))</x:f>
        <x:v>No</x:v>
      </x:c>
      <x:c r="AB1146" s="253" t="str">
        <x:f>IF(W1146="No","Maturing",IF(AND(U1146="Yes",Z1146&gt;0),"Yes","No"))</x:f>
        <x:v>No</x:v>
      </x:c>
      <x:c r="AC1146" s="265" t="n">
        <x:v>1221.92</x:v>
      </x:c>
      <x:c r="AD1146" s="265" t="n">
        <x:v>4990.06</x:v>
      </x:c>
      <x:c r="AE1146" s="271" t="str"/>
      <x:c r="AF1146" s="274" t="str">
        <x:v>Not validated - no control/holdout</x:v>
      </x:c>
      <x:c r="AG1146" s="277" t="str">
        <x:v>Recovered execution only; assignment date and unclaimed-offer denominator unavailable</x:v>
      </x:c>
    </x:row>
    <x:row r="1147">
      <x:c r="A1147" s="252" t="str">
        <x:v>34782069</x:v>
      </x:c>
      <x:c r="B1147" s="253" t="str">
        <x:v>WS1</x:v>
      </x:c>
      <x:c r="C1147" s="253" t="str">
        <x:v>MB8</x:v>
      </x:c>
      <x:c r="D1147" s="262" t="n">
        <x:v>46203.83526620371</x:v>
      </x:c>
      <x:c r="E1147" s="259" t="n">
        <x:v>46203.166666666664</x:v>
      </x:c>
      <x:c r="F1147" s="253" t="str">
        <x:v>520781</x:v>
      </x:c>
      <x:c r="G1147" s="253" t="str">
        <x:v>jokerz69</x:v>
      </x:c>
      <x:c r="H1147" s="253" t="str">
        <x:v>Yes</x:v>
      </x:c>
      <x:c r="I1147" s="253" t="str">
        <x:v>zhen</x:v>
      </x:c>
      <x:c r="J1147" s="253" t="str">
        <x:v>zhen</x:v>
      </x:c>
      <x:c r="K1147" s="259" t="n">
        <x:v>45922.166666666664</x:v>
      </x:c>
      <x:c r="L1147" s="268" t="str">
        <x:f>IFERROR(VLOOKUP(I1147,'Handler-Team Map'!$A$7:$C$17,2,FALSE),"")</x:f>
      </x:c>
      <x:c r="M1147" s="268" t="str">
        <x:f>IFERROR(VLOOKUP(I1147,'Handler-Team Map'!$A$7:$C$17,3,FALSE),"")</x:f>
      </x:c>
      <x:c r="N1147" s="274" t="str">
        <x:v>FT_VM_DEP1000_GET700_2X</x:v>
      </x:c>
      <x:c r="O1147" s="274" t="str">
        <x:v>VIP BONUS - Deposit 1000 Get 700 - 2x TO</x:v>
      </x:c>
      <x:c r="P1147" s="274" t="str">
        <x:v>DepositBonus</x:v>
      </x:c>
      <x:c r="Q1147" s="274" t="str">
        <x:v>Approved</x:v>
      </x:c>
      <x:c r="R1147" s="265" t="n">
        <x:v>700</x:v>
      </x:c>
      <x:c r="S1147" s="253" t="str">
        <x:v>Yes</x:v>
      </x:c>
      <x:c r="T1147" s="265" t="n">
        <x:v>6913</x:v>
      </x:c>
      <x:c r="U1147" s="253" t="str">
        <x:f>IF(AND(S1147="Yes",T1147=0),"Yes","No")</x:f>
        <x:v>No</x:v>
      </x:c>
      <x:c r="V1147" s="253" t="str">
        <x:v>Yes</x:v>
      </x:c>
      <x:c r="W1147" s="253" t="str">
        <x:v>Yes</x:v>
      </x:c>
      <x:c r="X1147" s="259" t="n">
        <x:v>46203.166666666664</x:v>
      </x:c>
      <x:c r="Y1147" s="265" t="n">
        <x:v>8365</x:v>
      </x:c>
      <x:c r="Z1147" s="265" t="n">
        <x:v>8701</x:v>
      </x:c>
      <x:c r="AA1147" s="253" t="str">
        <x:f>IF(V1147="No","Maturing",IF(AND(U1147="Yes",Y1147&gt;0),"Yes","No"))</x:f>
        <x:v>No</x:v>
      </x:c>
      <x:c r="AB1147" s="253" t="str">
        <x:f>IF(W1147="No","Maturing",IF(AND(U1147="Yes",Z1147&gt;0),"Yes","No"))</x:f>
        <x:v>No</x:v>
      </x:c>
      <x:c r="AC1147" s="265" t="n">
        <x:v>5342.02</x:v>
      </x:c>
      <x:c r="AD1147" s="265" t="n">
        <x:v>5708.77</x:v>
      </x:c>
      <x:c r="AE1147" s="271" t="str"/>
      <x:c r="AF1147" s="274" t="str">
        <x:v>Not validated - no control/holdout</x:v>
      </x:c>
      <x:c r="AG1147" s="277" t="str">
        <x:v>Recovered execution only; assignment date and unclaimed-offer denominator unavailable</x:v>
      </x:c>
    </x:row>
    <x:row r="1148">
      <x:c r="A1148" s="252" t="str">
        <x:v>34782281</x:v>
      </x:c>
      <x:c r="B1148" s="253" t="str">
        <x:v>WS1</x:v>
      </x:c>
      <x:c r="C1148" s="253" t="str">
        <x:v>MB8</x:v>
      </x:c>
      <x:c r="D1148" s="262" t="n">
        <x:v>46203.84782407407</x:v>
      </x:c>
      <x:c r="E1148" s="259" t="n">
        <x:v>46203.166666666664</x:v>
      </x:c>
      <x:c r="F1148" s="253" t="str">
        <x:v>813028</x:v>
      </x:c>
      <x:c r="G1148" s="253" t="str">
        <x:v>Kspro</x:v>
      </x:c>
      <x:c r="H1148" s="253" t="str">
        <x:v>Yes</x:v>
      </x:c>
      <x:c r="I1148" s="253" t="str">
        <x:v>Serene</x:v>
      </x:c>
      <x:c r="J1148" s="253" t="str">
        <x:v>Serene</x:v>
      </x:c>
      <x:c r="K1148" s="259" t="n">
        <x:v>46090.166666666664</x:v>
      </x:c>
      <x:c r="L1148" s="268" t="str">
        <x:f>IFERROR(VLOOKUP(I1148,'Handler-Team Map'!$A$7:$C$17,2,FALSE),"")</x:f>
      </x:c>
      <x:c r="M1148" s="268" t="str">
        <x:f>IFERROR(VLOOKUP(I1148,'Handler-Team Map'!$A$7:$C$17,3,FALSE),"")</x:f>
      </x:c>
      <x:c r="N1148" s="274" t="str">
        <x:v>FT_VM_DEP1000_GET700_2X</x:v>
      </x:c>
      <x:c r="O1148" s="274" t="str">
        <x:v>VIP BONUS - Deposit 1000 Get 700 - 2x TO</x:v>
      </x:c>
      <x:c r="P1148" s="274" t="str">
        <x:v>DepositBonus</x:v>
      </x:c>
      <x:c r="Q1148" s="274" t="str">
        <x:v>Approved</x:v>
      </x:c>
      <x:c r="R1148" s="265" t="n">
        <x:v>700</x:v>
      </x:c>
      <x:c r="S1148" s="253" t="str">
        <x:v>Yes</x:v>
      </x:c>
      <x:c r="T1148" s="265" t="n">
        <x:v>2400</x:v>
      </x:c>
      <x:c r="U1148" s="253" t="str">
        <x:f>IF(AND(S1148="Yes",T1148=0),"Yes","No")</x:f>
        <x:v>No</x:v>
      </x:c>
      <x:c r="V1148" s="253" t="str">
        <x:v>Yes</x:v>
      </x:c>
      <x:c r="W1148" s="253" t="str">
        <x:v>Yes</x:v>
      </x:c>
      <x:c r="X1148" s="259" t="n">
        <x:v>46203.166666666664</x:v>
      </x:c>
      <x:c r="Y1148" s="265" t="n">
        <x:v>1000</x:v>
      </x:c>
      <x:c r="Z1148" s="265" t="n">
        <x:v>1000</x:v>
      </x:c>
      <x:c r="AA1148" s="253" t="str">
        <x:f>IF(V1148="No","Maturing",IF(AND(U1148="Yes",Y1148&gt;0),"Yes","No"))</x:f>
        <x:v>No</x:v>
      </x:c>
      <x:c r="AB1148" s="253" t="str">
        <x:f>IF(W1148="No","Maturing",IF(AND(U1148="Yes",Z1148&gt;0),"Yes","No"))</x:f>
        <x:v>No</x:v>
      </x:c>
      <x:c r="AC1148" s="265" t="n">
        <x:v>430.04</x:v>
      </x:c>
      <x:c r="AD1148" s="265" t="n">
        <x:v>350.16</x:v>
      </x:c>
      <x:c r="AE1148" s="271" t="str"/>
      <x:c r="AF1148" s="274" t="str">
        <x:v>Not validated - no control/holdout</x:v>
      </x:c>
      <x:c r="AG1148" s="277" t="str">
        <x:v>Recovered execution only; assignment date and unclaimed-offer denominator unavailable</x:v>
      </x:c>
    </x:row>
    <x:row r="1149">
      <x:c r="A1149" s="252" t="str">
        <x:v>34782598</x:v>
      </x:c>
      <x:c r="B1149" s="253" t="str">
        <x:v>WS1</x:v>
      </x:c>
      <x:c r="C1149" s="253" t="str">
        <x:v>MB8</x:v>
      </x:c>
      <x:c r="D1149" s="262" t="n">
        <x:v>46203.86885416666</x:v>
      </x:c>
      <x:c r="E1149" s="259" t="n">
        <x:v>46203.166666666664</x:v>
      </x:c>
      <x:c r="F1149" s="253" t="str">
        <x:v>626271</x:v>
      </x:c>
      <x:c r="G1149" s="253" t="str">
        <x:v>Ronly</x:v>
      </x:c>
      <x:c r="H1149" s="253" t="str">
        <x:v>Yes</x:v>
      </x:c>
      <x:c r="I1149" s="253" t="str">
        <x:v>zhen</x:v>
      </x:c>
      <x:c r="J1149" s="253" t="str">
        <x:v>zhen</x:v>
      </x:c>
      <x:c r="K1149" s="259" t="n">
        <x:v>45880.166666666664</x:v>
      </x:c>
      <x:c r="L1149" s="268" t="str">
        <x:f>IFERROR(VLOOKUP(I1149,'Handler-Team Map'!$A$7:$C$17,2,FALSE),"")</x:f>
      </x:c>
      <x:c r="M1149" s="268" t="str">
        <x:f>IFERROR(VLOOKUP(I1149,'Handler-Team Map'!$A$7:$C$17,3,FALSE),"")</x:f>
      </x:c>
      <x:c r="N1149" s="274" t="str">
        <x:v>FT_VM_DEP1000_GET700_2X</x:v>
      </x:c>
      <x:c r="O1149" s="274" t="str">
        <x:v>VIP BONUS - Deposit 1000 Get 700 - 2x TO</x:v>
      </x:c>
      <x:c r="P1149" s="274" t="str">
        <x:v>DepositBonus</x:v>
      </x:c>
      <x:c r="Q1149" s="274" t="str">
        <x:v>Approved</x:v>
      </x:c>
      <x:c r="R1149" s="265" t="n">
        <x:v>700</x:v>
      </x:c>
      <x:c r="S1149" s="253" t="str">
        <x:v>Yes</x:v>
      </x:c>
      <x:c r="T1149" s="265" t="n">
        <x:v>260</x:v>
      </x:c>
      <x:c r="U1149" s="253" t="str">
        <x:f>IF(AND(S1149="Yes",T1149=0),"Yes","No")</x:f>
        <x:v>No</x:v>
      </x:c>
      <x:c r="V1149" s="253" t="str">
        <x:v>Yes</x:v>
      </x:c>
      <x:c r="W1149" s="253" t="str">
        <x:v>Yes</x:v>
      </x:c>
      <x:c r="X1149" s="259" t="n">
        <x:v>46203.166666666664</x:v>
      </x:c>
      <x:c r="Y1149" s="265" t="n">
        <x:v>1400</x:v>
      </x:c>
      <x:c r="Z1149" s="265" t="n">
        <x:v>1400</x:v>
      </x:c>
      <x:c r="AA1149" s="253" t="str">
        <x:f>IF(V1149="No","Maturing",IF(AND(U1149="Yes",Y1149&gt;0),"Yes","No"))</x:f>
        <x:v>No</x:v>
      </x:c>
      <x:c r="AB1149" s="253" t="str">
        <x:f>IF(W1149="No","Maturing",IF(AND(U1149="Yes",Z1149&gt;0),"Yes","No"))</x:f>
        <x:v>No</x:v>
      </x:c>
      <x:c r="AC1149" s="265" t="n">
        <x:v>-1887.8</x:v>
      </x:c>
      <x:c r="AD1149" s="265" t="n">
        <x:v>-1881.64</x:v>
      </x:c>
      <x:c r="AE1149" s="271" t="str"/>
      <x:c r="AF1149" s="274" t="str">
        <x:v>Not validated - no control/holdout</x:v>
      </x:c>
      <x:c r="AG1149" s="277" t="str">
        <x:v>Recovered execution only; assignment date and unclaimed-offer denominator unavailable</x:v>
      </x:c>
    </x:row>
    <x:row r="1150">
      <x:c r="A1150" s="252" t="str">
        <x:v>34782662</x:v>
      </x:c>
      <x:c r="B1150" s="253" t="str">
        <x:v>WS1</x:v>
      </x:c>
      <x:c r="C1150" s="253" t="str">
        <x:v>MB8</x:v>
      </x:c>
      <x:c r="D1150" s="262" t="n">
        <x:v>46203.87311342593</x:v>
      </x:c>
      <x:c r="E1150" s="259" t="n">
        <x:v>46203.166666666664</x:v>
      </x:c>
      <x:c r="F1150" s="253" t="str">
        <x:v>1044016</x:v>
      </x:c>
      <x:c r="G1150" s="253" t="str">
        <x:v>crapssam</x:v>
      </x:c>
      <x:c r="H1150" s="253" t="str">
        <x:v>Yes</x:v>
      </x:c>
      <x:c r="I1150" s="253" t="str">
        <x:v>Christy</x:v>
      </x:c>
      <x:c r="J1150" s="253" t="str">
        <x:v>Christy</x:v>
      </x:c>
      <x:c r="K1150" s="259" t="n">
        <x:v>45831.166666666664</x:v>
      </x:c>
      <x:c r="L1150" s="268" t="str">
        <x:f>IFERROR(VLOOKUP(I1150,'Handler-Team Map'!$A$7:$C$17,2,FALSE),"")</x:f>
      </x:c>
      <x:c r="M1150" s="268" t="str">
        <x:f>IFERROR(VLOOKUP(I1150,'Handler-Team Map'!$A$7:$C$17,3,FALSE),"")</x:f>
      </x:c>
      <x:c r="N1150" s="274" t="str">
        <x:v>FT_VM_DEP1000_GET500_5X</x:v>
      </x:c>
      <x:c r="O1150" s="274" t="str">
        <x:v>VIP BONUS - Deposit 1000 Get 500 - 5x TO</x:v>
      </x:c>
      <x:c r="P1150" s="274" t="str">
        <x:v>DepositBonus</x:v>
      </x:c>
      <x:c r="Q1150" s="274" t="str">
        <x:v>Approved</x:v>
      </x:c>
      <x:c r="R1150" s="265" t="n">
        <x:v>500</x:v>
      </x:c>
      <x:c r="S1150" s="253" t="str">
        <x:v>Yes</x:v>
      </x:c>
      <x:c r="T1150" s="265" t="n">
        <x:v>3800</x:v>
      </x:c>
      <x:c r="U1150" s="253" t="str">
        <x:f>IF(AND(S1150="Yes",T1150=0),"Yes","No")</x:f>
        <x:v>No</x:v>
      </x:c>
      <x:c r="V1150" s="253" t="str">
        <x:v>Yes</x:v>
      </x:c>
      <x:c r="W1150" s="253" t="str">
        <x:v>Yes</x:v>
      </x:c>
      <x:c r="X1150" s="259" t="n">
        <x:v>46203.166666666664</x:v>
      </x:c>
      <x:c r="Y1150" s="265" t="n">
        <x:v>1600</x:v>
      </x:c>
      <x:c r="Z1150" s="265" t="n">
        <x:v>1600</x:v>
      </x:c>
      <x:c r="AA1150" s="253" t="str">
        <x:f>IF(V1150="No","Maturing",IF(AND(U1150="Yes",Y1150&gt;0),"Yes","No"))</x:f>
        <x:v>No</x:v>
      </x:c>
      <x:c r="AB1150" s="253" t="str">
        <x:f>IF(W1150="No","Maturing",IF(AND(U1150="Yes",Z1150&gt;0),"Yes","No"))</x:f>
        <x:v>No</x:v>
      </x:c>
      <x:c r="AC1150" s="265" t="n">
        <x:v>1676.14</x:v>
      </x:c>
      <x:c r="AD1150" s="265" t="n">
        <x:v>1676.14</x:v>
      </x:c>
      <x:c r="AE1150" s="271" t="str"/>
      <x:c r="AF1150" s="274" t="str">
        <x:v>Not validated - no control/holdout</x:v>
      </x:c>
      <x:c r="AG1150" s="277" t="str">
        <x:v>Recovered execution only; assignment date and unclaimed-offer denominator unavailable</x:v>
      </x:c>
    </x:row>
    <x:row r="1151">
      <x:c r="A1151" s="252" t="str">
        <x:v>34783276</x:v>
      </x:c>
      <x:c r="B1151" s="253" t="str">
        <x:v>WS1</x:v>
      </x:c>
      <x:c r="C1151" s="253" t="str">
        <x:v>MB8</x:v>
      </x:c>
      <x:c r="D1151" s="262" t="n">
        <x:v>46203.909583333334</x:v>
      </x:c>
      <x:c r="E1151" s="259" t="n">
        <x:v>46203.166666666664</x:v>
      </x:c>
      <x:c r="F1151" s="253" t="str">
        <x:v>1025832</x:v>
      </x:c>
      <x:c r="G1151" s="253" t="str">
        <x:v>Kenyongwk</x:v>
      </x:c>
      <x:c r="H1151" s="253" t="str">
        <x:v>Yes</x:v>
      </x:c>
      <x:c r="I1151" s="253" t="str">
        <x:v>zhen</x:v>
      </x:c>
      <x:c r="J1151" s="253" t="str">
        <x:v>zhen</x:v>
      </x:c>
      <x:c r="K1151" s="259" t="n">
        <x:v>45985.166666666664</x:v>
      </x:c>
      <x:c r="L1151" s="268" t="str">
        <x:f>IFERROR(VLOOKUP(I1151,'Handler-Team Map'!$A$7:$C$17,2,FALSE),"")</x:f>
      </x:c>
      <x:c r="M1151" s="268" t="str">
        <x:f>IFERROR(VLOOKUP(I1151,'Handler-Team Map'!$A$7:$C$17,3,FALSE),"")</x:f>
      </x:c>
      <x:c r="N1151" s="274" t="str">
        <x:v>FT_VM_DEP300_GET100_5X</x:v>
      </x:c>
      <x:c r="O1151" s="274" t="str">
        <x:v>VIP BONUS - Deposit 300 Get 100 - 5x TO</x:v>
      </x:c>
      <x:c r="P1151" s="274" t="str">
        <x:v>DepositBonus</x:v>
      </x:c>
      <x:c r="Q1151" s="274" t="str">
        <x:v>Approved</x:v>
      </x:c>
      <x:c r="R1151" s="265" t="n">
        <x:v>100</x:v>
      </x:c>
      <x:c r="S1151" s="253" t="str">
        <x:v>Yes</x:v>
      </x:c>
      <x:c r="T1151" s="265" t="n">
        <x:v>57700</x:v>
      </x:c>
      <x:c r="U1151" s="253" t="str">
        <x:f>IF(AND(S1151="Yes",T1151=0),"Yes","No")</x:f>
        <x:v>No</x:v>
      </x:c>
      <x:c r="V1151" s="253" t="str">
        <x:v>Yes</x:v>
      </x:c>
      <x:c r="W1151" s="253" t="str">
        <x:v>Yes</x:v>
      </x:c>
      <x:c r="X1151" s="259" t="n">
        <x:v>46203.166666666664</x:v>
      </x:c>
      <x:c r="Y1151" s="265" t="n">
        <x:v>9000</x:v>
      </x:c>
      <x:c r="Z1151" s="265" t="n">
        <x:v>12800</x:v>
      </x:c>
      <x:c r="AA1151" s="253" t="str">
        <x:f>IF(V1151="No","Maturing",IF(AND(U1151="Yes",Y1151&gt;0),"Yes","No"))</x:f>
        <x:v>No</x:v>
      </x:c>
      <x:c r="AB1151" s="253" t="str">
        <x:f>IF(W1151="No","Maturing",IF(AND(U1151="Yes",Z1151&gt;0),"Yes","No"))</x:f>
        <x:v>No</x:v>
      </x:c>
      <x:c r="AC1151" s="265" t="n">
        <x:v>4999.72</x:v>
      </x:c>
      <x:c r="AD1151" s="265" t="n">
        <x:v>7299.94</x:v>
      </x:c>
      <x:c r="AE1151" s="271" t="str"/>
      <x:c r="AF1151" s="274" t="str">
        <x:v>Not validated - no control/holdout</x:v>
      </x:c>
      <x:c r="AG1151" s="277" t="str">
        <x:v>Recovered execution only; assignment date and unclaimed-offer denominator unavailable</x:v>
      </x:c>
    </x:row>
    <x:row r="1152">
      <x:c r="A1152" s="252" t="str">
        <x:v>34783779</x:v>
      </x:c>
      <x:c r="B1152" s="253" t="str">
        <x:v>WS1</x:v>
      </x:c>
      <x:c r="C1152" s="253" t="str">
        <x:v>MB8</x:v>
      </x:c>
      <x:c r="D1152" s="262" t="n">
        <x:v>46203.93439814815</x:v>
      </x:c>
      <x:c r="E1152" s="259" t="n">
        <x:v>46203.166666666664</x:v>
      </x:c>
      <x:c r="F1152" s="253" t="str">
        <x:v>348567</x:v>
      </x:c>
      <x:c r="G1152" s="253" t="str">
        <x:v>Firzor</x:v>
      </x:c>
      <x:c r="H1152" s="253" t="str">
        <x:v>Yes</x:v>
      </x:c>
      <x:c r="I1152" s="253" t="str"/>
      <x:c r="J1152" s="253" t="str"/>
      <x:c r="K1152" s="259"/>
      <x:c r="L1152" s="268" t="str">
        <x:f>IFERROR(VLOOKUP(I1152,'Handler-Team Map'!$A$7:$C$17,2,FALSE),"")</x:f>
      </x:c>
      <x:c r="M1152" s="268" t="str">
        <x:f>IFERROR(VLOOKUP(I1152,'Handler-Team Map'!$A$7:$C$17,3,FALSE),"")</x:f>
      </x:c>
      <x:c r="N1152" s="274" t="str">
        <x:v>FT_VM_DEP1000_GET500_5X</x:v>
      </x:c>
      <x:c r="O1152" s="274" t="str">
        <x:v>VIP BONUS - Deposit 1000 Get 500 - 5x TO</x:v>
      </x:c>
      <x:c r="P1152" s="274" t="str">
        <x:v>DepositBonus</x:v>
      </x:c>
      <x:c r="Q1152" s="274" t="str">
        <x:v>Approved</x:v>
      </x:c>
      <x:c r="R1152" s="265" t="n">
        <x:v>500</x:v>
      </x:c>
      <x:c r="S1152" s="253" t="str">
        <x:v>Yes</x:v>
      </x:c>
      <x:c r="T1152" s="265" t="n">
        <x:v>2000</x:v>
      </x:c>
      <x:c r="U1152" s="253" t="str">
        <x:f>IF(AND(S1152="Yes",T1152=0),"Yes","No")</x:f>
        <x:v>No</x:v>
      </x:c>
      <x:c r="V1152" s="253" t="str">
        <x:v>Yes</x:v>
      </x:c>
      <x:c r="W1152" s="253" t="str">
        <x:v>Yes</x:v>
      </x:c>
      <x:c r="X1152" s="259" t="n">
        <x:v>46203.166666666664</x:v>
      </x:c>
      <x:c r="Y1152" s="265" t="n">
        <x:v>1000</x:v>
      </x:c>
      <x:c r="Z1152" s="265" t="n">
        <x:v>2000</x:v>
      </x:c>
      <x:c r="AA1152" s="253" t="str">
        <x:f>IF(V1152="No","Maturing",IF(AND(U1152="Yes",Y1152&gt;0),"Yes","No"))</x:f>
        <x:v>No</x:v>
      </x:c>
      <x:c r="AB1152" s="253" t="str">
        <x:f>IF(W1152="No","Maturing",IF(AND(U1152="Yes",Z1152&gt;0),"Yes","No"))</x:f>
        <x:v>No</x:v>
      </x:c>
      <x:c r="AC1152" s="265" t="n">
        <x:v>-1568.08</x:v>
      </x:c>
      <x:c r="AD1152" s="265" t="n">
        <x:v>-11336.16</x:v>
      </x:c>
      <x:c r="AE1152" s="271" t="str"/>
      <x:c r="AF1152" s="274" t="str">
        <x:v>Not validated - no control/holdout</x:v>
      </x:c>
      <x:c r="AG1152" s="277" t="str">
        <x:v>Recovered execution only; assignment date and unclaimed-offer denominator unavailable</x:v>
      </x:c>
    </x:row>
    <x:row r="1153">
      <x:c r="A1153" s="252" t="str">
        <x:v>34784222</x:v>
      </x:c>
      <x:c r="B1153" s="253" t="str">
        <x:v>WS1</x:v>
      </x:c>
      <x:c r="C1153" s="253" t="str">
        <x:v>MB8</x:v>
      </x:c>
      <x:c r="D1153" s="262" t="n">
        <x:v>46203.953738425924</x:v>
      </x:c>
      <x:c r="E1153" s="259" t="n">
        <x:v>46203.166666666664</x:v>
      </x:c>
      <x:c r="F1153" s="253" t="str">
        <x:v>221203</x:v>
      </x:c>
      <x:c r="G1153" s="253" t="str">
        <x:v>Irwan51755853</x:v>
      </x:c>
      <x:c r="H1153" s="253" t="str">
        <x:v>Yes</x:v>
      </x:c>
      <x:c r="I1153" s="253" t="str">
        <x:v>Claire</x:v>
      </x:c>
      <x:c r="J1153" s="253" t="str">
        <x:v>Claire</x:v>
      </x:c>
      <x:c r="K1153" s="259" t="n">
        <x:v>45659.166666666664</x:v>
      </x:c>
      <x:c r="L1153" s="268" t="str">
        <x:f>IFERROR(VLOOKUP(I1153,'Handler-Team Map'!$A$7:$C$17,2,FALSE),"")</x:f>
      </x:c>
      <x:c r="M1153" s="268" t="str">
        <x:f>IFERROR(VLOOKUP(I1153,'Handler-Team Map'!$A$7:$C$17,3,FALSE),"")</x:f>
      </x:c>
      <x:c r="N1153" s="274" t="str">
        <x:v>FT_VM_DEP700_GET300_1X</x:v>
      </x:c>
      <x:c r="O1153" s="274" t="str">
        <x:v>VIP BONUS - Deposit 700 Get 300 - 1x TO</x:v>
      </x:c>
      <x:c r="P1153" s="274" t="str">
        <x:v>DepositBonus</x:v>
      </x:c>
      <x:c r="Q1153" s="274" t="str">
        <x:v>Approved</x:v>
      </x:c>
      <x:c r="R1153" s="265" t="n">
        <x:v>300</x:v>
      </x:c>
      <x:c r="S1153" s="253" t="str">
        <x:v>Yes</x:v>
      </x:c>
      <x:c r="T1153" s="265" t="n">
        <x:v>25932</x:v>
      </x:c>
      <x:c r="U1153" s="253" t="str">
        <x:f>IF(AND(S1153="Yes",T1153=0),"Yes","No")</x:f>
        <x:v>No</x:v>
      </x:c>
      <x:c r="V1153" s="253" t="str">
        <x:v>Yes</x:v>
      </x:c>
      <x:c r="W1153" s="253" t="str">
        <x:v>Yes</x:v>
      </x:c>
      <x:c r="X1153" s="259" t="n">
        <x:v>46203.166666666664</x:v>
      </x:c>
      <x:c r="Y1153" s="265" t="n">
        <x:v>15800</x:v>
      </x:c>
      <x:c r="Z1153" s="265" t="n">
        <x:v>31238</x:v>
      </x:c>
      <x:c r="AA1153" s="253" t="str">
        <x:f>IF(V1153="No","Maturing",IF(AND(U1153="Yes",Y1153&gt;0),"Yes","No"))</x:f>
        <x:v>No</x:v>
      </x:c>
      <x:c r="AB1153" s="253" t="str">
        <x:f>IF(W1153="No","Maturing",IF(AND(U1153="Yes",Z1153&gt;0),"Yes","No"))</x:f>
        <x:v>No</x:v>
      </x:c>
      <x:c r="AC1153" s="265" t="n">
        <x:v>8800</x:v>
      </x:c>
      <x:c r="AD1153" s="265" t="n">
        <x:v>12487.99</x:v>
      </x:c>
      <x:c r="AE1153" s="271" t="str"/>
      <x:c r="AF1153" s="274" t="str">
        <x:v>Not validated - no control/holdout</x:v>
      </x:c>
      <x:c r="AG1153" s="277" t="str">
        <x:v>Recovered execution only; assignment date and unclaimed-offer denominator unavailable</x:v>
      </x:c>
    </x:row>
    <x:row r="1154">
      <x:c r="A1154" s="252" t="str">
        <x:v>34784520</x:v>
      </x:c>
      <x:c r="B1154" s="253" t="str">
        <x:v>WS1</x:v>
      </x:c>
      <x:c r="C1154" s="253" t="str">
        <x:v>MB8</x:v>
      </x:c>
      <x:c r="D1154" s="262" t="n">
        <x:v>46203.96773148148</x:v>
      </x:c>
      <x:c r="E1154" s="259" t="n">
        <x:v>46203.166666666664</x:v>
      </x:c>
      <x:c r="F1154" s="253" t="str">
        <x:v>1201273</x:v>
      </x:c>
      <x:c r="G1154" s="253" t="str">
        <x:v>Go5208</x:v>
      </x:c>
      <x:c r="H1154" s="253" t="str">
        <x:v>Yes</x:v>
      </x:c>
      <x:c r="I1154" s="253" t="str"/>
      <x:c r="J1154" s="253" t="str"/>
      <x:c r="K1154" s="259"/>
      <x:c r="L1154" s="268" t="str">
        <x:f>IFERROR(VLOOKUP(I1154,'Handler-Team Map'!$A$7:$C$17,2,FALSE),"")</x:f>
      </x:c>
      <x:c r="M1154" s="268" t="str">
        <x:f>IFERROR(VLOOKUP(I1154,'Handler-Team Map'!$A$7:$C$17,3,FALSE),"")</x:f>
      </x:c>
      <x:c r="N1154" s="274" t="str">
        <x:v>FT_VM_DEP600_GET200_5X</x:v>
      </x:c>
      <x:c r="O1154" s="274" t="str">
        <x:v>VIP BONUS - Deposit 600 Get 200 - 5x TO</x:v>
      </x:c>
      <x:c r="P1154" s="274" t="str">
        <x:v>DepositBonus</x:v>
      </x:c>
      <x:c r="Q1154" s="274" t="str">
        <x:v>Approved</x:v>
      </x:c>
      <x:c r="R1154" s="265" t="n">
        <x:v>200</x:v>
      </x:c>
      <x:c r="S1154" s="253" t="str">
        <x:v>Yes</x:v>
      </x:c>
      <x:c r="T1154" s="265" t="n">
        <x:v>760</x:v>
      </x:c>
      <x:c r="U1154" s="253" t="str">
        <x:f>IF(AND(S1154="Yes",T1154=0),"Yes","No")</x:f>
        <x:v>No</x:v>
      </x:c>
      <x:c r="V1154" s="253" t="str">
        <x:v>Yes</x:v>
      </x:c>
      <x:c r="W1154" s="253" t="str">
        <x:v>Yes</x:v>
      </x:c>
      <x:c r="X1154" s="259" t="n">
        <x:v>46203.166666666664</x:v>
      </x:c>
      <x:c r="Y1154" s="265" t="n">
        <x:v>630</x:v>
      </x:c>
      <x:c r="Z1154" s="265" t="n">
        <x:v>690</x:v>
      </x:c>
      <x:c r="AA1154" s="253" t="str">
        <x:f>IF(V1154="No","Maturing",IF(AND(U1154="Yes",Y1154&gt;0),"Yes","No"))</x:f>
        <x:v>No</x:v>
      </x:c>
      <x:c r="AB1154" s="253" t="str">
        <x:f>IF(W1154="No","Maturing",IF(AND(U1154="Yes",Z1154&gt;0),"Yes","No"))</x:f>
        <x:v>No</x:v>
      </x:c>
      <x:c r="AC1154" s="265" t="n">
        <x:v>630.73</x:v>
      </x:c>
      <x:c r="AD1154" s="265" t="n">
        <x:v>690.24</x:v>
      </x:c>
      <x:c r="AE1154" s="271" t="str"/>
      <x:c r="AF1154" s="274" t="str">
        <x:v>Not validated - no control/holdout</x:v>
      </x:c>
      <x:c r="AG1154" s="277" t="str">
        <x:v>Recovered execution only; assignment date and unclaimed-offer denominator unavailable</x:v>
      </x:c>
    </x:row>
    <x:row r="1155">
      <x:c r="A1155" s="252" t="str">
        <x:v>34784798</x:v>
      </x:c>
      <x:c r="B1155" s="253" t="str">
        <x:v>WS1</x:v>
      </x:c>
      <x:c r="C1155" s="253" t="str">
        <x:v>MB8</x:v>
      </x:c>
      <x:c r="D1155" s="262" t="n">
        <x:v>46203.97888888889</x:v>
      </x:c>
      <x:c r="E1155" s="259" t="n">
        <x:v>46203.166666666664</x:v>
      </x:c>
      <x:c r="F1155" s="253" t="str">
        <x:v>670741</x:v>
      </x:c>
      <x:c r="G1155" s="253" t="str">
        <x:v>fucuoca</x:v>
      </x:c>
      <x:c r="H1155" s="253" t="str">
        <x:v>Yes</x:v>
      </x:c>
      <x:c r="I1155" s="253" t="str">
        <x:v>Serene</x:v>
      </x:c>
      <x:c r="J1155" s="253" t="str">
        <x:v>Serene</x:v>
      </x:c>
      <x:c r="K1155" s="259" t="n">
        <x:v>45859.166666666664</x:v>
      </x:c>
      <x:c r="L1155" s="268" t="str">
        <x:f>IFERROR(VLOOKUP(I1155,'Handler-Team Map'!$A$7:$C$17,2,FALSE),"")</x:f>
      </x:c>
      <x:c r="M1155" s="268" t="str">
        <x:f>IFERROR(VLOOKUP(I1155,'Handler-Team Map'!$A$7:$C$17,3,FALSE),"")</x:f>
      </x:c>
      <x:c r="N1155" s="274" t="str">
        <x:v>FT_VM_DEP1000_GET500_5X</x:v>
      </x:c>
      <x:c r="O1155" s="274" t="str">
        <x:v>VIP BONUS - Deposit 1000 Get 500 - 5x TO</x:v>
      </x:c>
      <x:c r="P1155" s="274" t="str">
        <x:v>DepositBonus</x:v>
      </x:c>
      <x:c r="Q1155" s="274" t="str">
        <x:v>Approved</x:v>
      </x:c>
      <x:c r="R1155" s="265" t="n">
        <x:v>500</x:v>
      </x:c>
      <x:c r="S1155" s="253" t="str">
        <x:v>Yes</x:v>
      </x:c>
      <x:c r="T1155" s="265" t="n">
        <x:v>9200</x:v>
      </x:c>
      <x:c r="U1155" s="253" t="str">
        <x:f>IF(AND(S1155="Yes",T1155=0),"Yes","No")</x:f>
        <x:v>No</x:v>
      </x:c>
      <x:c r="V1155" s="253" t="str">
        <x:v>Yes</x:v>
      </x:c>
      <x:c r="W1155" s="253" t="str">
        <x:v>Yes</x:v>
      </x:c>
      <x:c r="X1155" s="259" t="n">
        <x:v>46203.166666666664</x:v>
      </x:c>
      <x:c r="Y1155" s="265" t="n">
        <x:v>3000</x:v>
      </x:c>
      <x:c r="Z1155" s="265" t="n">
        <x:v>7000</x:v>
      </x:c>
      <x:c r="AA1155" s="253" t="str">
        <x:f>IF(V1155="No","Maturing",IF(AND(U1155="Yes",Y1155&gt;0),"Yes","No"))</x:f>
        <x:v>No</x:v>
      </x:c>
      <x:c r="AB1155" s="253" t="str">
        <x:f>IF(W1155="No","Maturing",IF(AND(U1155="Yes",Z1155&gt;0),"Yes","No"))</x:f>
        <x:v>No</x:v>
      </x:c>
      <x:c r="AC1155" s="265" t="n">
        <x:v>-6707.78</x:v>
      </x:c>
      <x:c r="AD1155" s="265" t="n">
        <x:v>-2721.33</x:v>
      </x:c>
      <x:c r="AE1155" s="271" t="str"/>
      <x:c r="AF1155" s="274" t="str">
        <x:v>Not validated - no control/holdout</x:v>
      </x:c>
      <x:c r="AG1155" s="277" t="str">
        <x:v>Recovered execution only; assignment date and unclaimed-offer denominator unavailable</x:v>
      </x:c>
    </x:row>
    <x:row r="1156">
      <x:c r="A1156" s="252" t="str">
        <x:v>34786087</x:v>
      </x:c>
      <x:c r="B1156" s="253" t="str">
        <x:v>WS1</x:v>
      </x:c>
      <x:c r="C1156" s="253" t="str">
        <x:v>MB8</x:v>
      </x:c>
      <x:c r="D1156" s="262" t="n">
        <x:v>46204.03472222222</x:v>
      </x:c>
      <x:c r="E1156" s="259" t="n">
        <x:v>46204.166666666664</x:v>
      </x:c>
      <x:c r="F1156" s="253" t="str">
        <x:v>122302</x:v>
      </x:c>
      <x:c r="G1156" s="253" t="str">
        <x:v>evanweiwei84</x:v>
      </x:c>
      <x:c r="H1156" s="253" t="str">
        <x:v>Yes</x:v>
      </x:c>
      <x:c r="I1156" s="253" t="str"/>
      <x:c r="J1156" s="253" t="str"/>
      <x:c r="K1156" s="259"/>
      <x:c r="L1156" s="268" t="str">
        <x:f>IFERROR(VLOOKUP(I1156,'Handler-Team Map'!$A$7:$C$17,2,FALSE),"")</x:f>
      </x:c>
      <x:c r="M1156" s="268" t="str">
        <x:f>IFERROR(VLOOKUP(I1156,'Handler-Team Map'!$A$7:$C$17,3,FALSE),"")</x:f>
      </x:c>
      <x:c r="N1156" s="274" t="str">
        <x:v>FT_VM_DEP600_GET200_5X</x:v>
      </x:c>
      <x:c r="O1156" s="274" t="str">
        <x:v>VIP BONUS - Deposit 600 Get 200 - 5x TO</x:v>
      </x:c>
      <x:c r="P1156" s="274" t="str">
        <x:v>DepositBonus</x:v>
      </x:c>
      <x:c r="Q1156" s="274" t="str">
        <x:v>Approved</x:v>
      </x:c>
      <x:c r="R1156" s="265" t="n">
        <x:v>200</x:v>
      </x:c>
      <x:c r="S1156" s="253" t="str">
        <x:v>Yes</x:v>
      </x:c>
      <x:c r="T1156" s="265" t="n">
        <x:v>130</x:v>
      </x:c>
      <x:c r="U1156" s="253" t="str">
        <x:f>IF(AND(S1156="Yes",T1156=0),"Yes","No")</x:f>
        <x:v>No</x:v>
      </x:c>
      <x:c r="V1156" s="253" t="str">
        <x:v>Yes</x:v>
      </x:c>
      <x:c r="W1156" s="253" t="str">
        <x:v>Yes</x:v>
      </x:c>
      <x:c r="X1156" s="259" t="n">
        <x:v>46204.166666666664</x:v>
      </x:c>
      <x:c r="Y1156" s="265" t="n">
        <x:v>630</x:v>
      </x:c>
      <x:c r="Z1156" s="265" t="n">
        <x:v>630</x:v>
      </x:c>
      <x:c r="AA1156" s="253" t="str">
        <x:f>IF(V1156="No","Maturing",IF(AND(U1156="Yes",Y1156&gt;0),"Yes","No"))</x:f>
        <x:v>No</x:v>
      </x:c>
      <x:c r="AB1156" s="253" t="str">
        <x:f>IF(W1156="No","Maturing",IF(AND(U1156="Yes",Z1156&gt;0),"Yes","No"))</x:f>
        <x:v>No</x:v>
      </x:c>
      <x:c r="AC1156" s="265" t="n">
        <x:v>629.79</x:v>
      </x:c>
      <x:c r="AD1156" s="265" t="n">
        <x:v>629.48</x:v>
      </x:c>
      <x:c r="AE1156" s="271" t="str"/>
      <x:c r="AF1156" s="274" t="str">
        <x:v>Not validated - no control/holdout</x:v>
      </x:c>
      <x:c r="AG1156" s="277" t="str">
        <x:v>Recovered execution only; assignment date and unclaimed-offer denominator unavailable</x:v>
      </x:c>
    </x:row>
    <x:row r="1157">
      <x:c r="A1157" s="252" t="str">
        <x:v>34786165</x:v>
      </x:c>
      <x:c r="B1157" s="253" t="str">
        <x:v>WS1</x:v>
      </x:c>
      <x:c r="C1157" s="253" t="str">
        <x:v>MB8</x:v>
      </x:c>
      <x:c r="D1157" s="262" t="n">
        <x:v>46204.03796296296</x:v>
      </x:c>
      <x:c r="E1157" s="259" t="n">
        <x:v>46204.166666666664</x:v>
      </x:c>
      <x:c r="F1157" s="253" t="str">
        <x:v>946329</x:v>
      </x:c>
      <x:c r="G1157" s="253" t="str">
        <x:v>dv0541</x:v>
      </x:c>
      <x:c r="H1157" s="253" t="str">
        <x:v>Yes</x:v>
      </x:c>
      <x:c r="I1157" s="253" t="str"/>
      <x:c r="J1157" s="253" t="str"/>
      <x:c r="K1157" s="259"/>
      <x:c r="L1157" s="268" t="str">
        <x:f>IFERROR(VLOOKUP(I1157,'Handler-Team Map'!$A$7:$C$17,2,FALSE),"")</x:f>
      </x:c>
      <x:c r="M1157" s="268" t="str">
        <x:f>IFERROR(VLOOKUP(I1157,'Handler-Team Map'!$A$7:$C$17,3,FALSE),"")</x:f>
      </x:c>
      <x:c r="N1157" s="274" t="str">
        <x:v>FT_VM_DEP700_GET300_2X</x:v>
      </x:c>
      <x:c r="O1157" s="274" t="str">
        <x:v>VIP BONUS - Deposit 700 Get 300 - 2x TO</x:v>
      </x:c>
      <x:c r="P1157" s="274" t="str">
        <x:v>DepositBonus</x:v>
      </x:c>
      <x:c r="Q1157" s="274" t="str">
        <x:v>Approved</x:v>
      </x:c>
      <x:c r="R1157" s="265" t="n">
        <x:v>300</x:v>
      </x:c>
      <x:c r="S1157" s="253" t="str">
        <x:v>Yes</x:v>
      </x:c>
      <x:c r="T1157" s="265" t="n">
        <x:v>700</x:v>
      </x:c>
      <x:c r="U1157" s="253" t="str">
        <x:f>IF(AND(S1157="Yes",T1157=0),"Yes","No")</x:f>
        <x:v>No</x:v>
      </x:c>
      <x:c r="V1157" s="253" t="str">
        <x:v>Yes</x:v>
      </x:c>
      <x:c r="W1157" s="253" t="str">
        <x:v>Yes</x:v>
      </x:c>
      <x:c r="X1157" s="259" t="n">
        <x:v>46204.166666666664</x:v>
      </x:c>
      <x:c r="Y1157" s="265" t="n">
        <x:v>700</x:v>
      </x:c>
      <x:c r="Z1157" s="265" t="n">
        <x:v>700</x:v>
      </x:c>
      <x:c r="AA1157" s="253" t="str">
        <x:f>IF(V1157="No","Maturing",IF(AND(U1157="Yes",Y1157&gt;0),"Yes","No"))</x:f>
        <x:v>No</x:v>
      </x:c>
      <x:c r="AB1157" s="253" t="str">
        <x:f>IF(W1157="No","Maturing",IF(AND(U1157="Yes",Z1157&gt;0),"Yes","No"))</x:f>
        <x:v>No</x:v>
      </x:c>
      <x:c r="AC1157" s="265" t="n">
        <x:v>-665.49</x:v>
      </x:c>
      <x:c r="AD1157" s="265" t="n">
        <x:v>-665.49</x:v>
      </x:c>
      <x:c r="AE1157" s="271" t="str"/>
      <x:c r="AF1157" s="274" t="str">
        <x:v>Not validated - no control/holdout</x:v>
      </x:c>
      <x:c r="AG1157" s="277" t="str">
        <x:v>Recovered execution only; assignment date and unclaimed-offer denominator unavailable</x:v>
      </x:c>
    </x:row>
    <x:row r="1158">
      <x:c r="A1158" s="252" t="str">
        <x:v>34787029</x:v>
      </x:c>
      <x:c r="B1158" s="253" t="str">
        <x:v>WS1</x:v>
      </x:c>
      <x:c r="C1158" s="253" t="str">
        <x:v>MB8</x:v>
      </x:c>
      <x:c r="D1158" s="262" t="n">
        <x:v>46204.083657407406</x:v>
      </x:c>
      <x:c r="E1158" s="259" t="n">
        <x:v>46204.166666666664</x:v>
      </x:c>
      <x:c r="F1158" s="253" t="str">
        <x:v>117202</x:v>
      </x:c>
      <x:c r="G1158" s="253" t="str">
        <x:v>Gilard03</x:v>
      </x:c>
      <x:c r="H1158" s="253" t="str">
        <x:v>Yes</x:v>
      </x:c>
      <x:c r="I1158" s="253" t="str"/>
      <x:c r="J1158" s="253" t="str"/>
      <x:c r="K1158" s="259"/>
      <x:c r="L1158" s="268" t="str">
        <x:f>IFERROR(VLOOKUP(I1158,'Handler-Team Map'!$A$7:$C$17,2,FALSE),"")</x:f>
      </x:c>
      <x:c r="M1158" s="268" t="str">
        <x:f>IFERROR(VLOOKUP(I1158,'Handler-Team Map'!$A$7:$C$17,3,FALSE),"")</x:f>
      </x:c>
      <x:c r="N1158" s="274" t="str">
        <x:v>FT_VM_DEP1000_GET800_2X</x:v>
      </x:c>
      <x:c r="O1158" s="274" t="str">
        <x:v>VIP BONUS - Deposit 1000 Get 800 - 2x TO</x:v>
      </x:c>
      <x:c r="P1158" s="274" t="str">
        <x:v>DepositBonus</x:v>
      </x:c>
      <x:c r="Q1158" s="274" t="str">
        <x:v>Approved</x:v>
      </x:c>
      <x:c r="R1158" s="265" t="n">
        <x:v>800</x:v>
      </x:c>
      <x:c r="S1158" s="253" t="str">
        <x:v>Yes</x:v>
      </x:c>
      <x:c r="T1158" s="265" t="n">
        <x:v>2100</x:v>
      </x:c>
      <x:c r="U1158" s="253" t="str">
        <x:f>IF(AND(S1158="Yes",T1158=0),"Yes","No")</x:f>
        <x:v>No</x:v>
      </x:c>
      <x:c r="V1158" s="253" t="str">
        <x:v>Yes</x:v>
      </x:c>
      <x:c r="W1158" s="253" t="str">
        <x:v>Yes</x:v>
      </x:c>
      <x:c r="X1158" s="259" t="n">
        <x:v>46204.166666666664</x:v>
      </x:c>
      <x:c r="Y1158" s="265" t="n">
        <x:v>9320</x:v>
      </x:c>
      <x:c r="Z1158" s="265" t="n">
        <x:v>9770</x:v>
      </x:c>
      <x:c r="AA1158" s="253" t="str">
        <x:f>IF(V1158="No","Maturing",IF(AND(U1158="Yes",Y1158&gt;0),"Yes","No"))</x:f>
        <x:v>No</x:v>
      </x:c>
      <x:c r="AB1158" s="253" t="str">
        <x:f>IF(W1158="No","Maturing",IF(AND(U1158="Yes",Z1158&gt;0),"Yes","No"))</x:f>
        <x:v>No</x:v>
      </x:c>
      <x:c r="AC1158" s="265" t="n">
        <x:v>8921.5</x:v>
      </x:c>
      <x:c r="AD1158" s="265" t="n">
        <x:v>9369.07</x:v>
      </x:c>
      <x:c r="AE1158" s="271" t="str"/>
      <x:c r="AF1158" s="274" t="str">
        <x:v>Not validated - no control/holdout</x:v>
      </x:c>
      <x:c r="AG1158" s="277" t="str">
        <x:v>Recovered execution only; assignment date and unclaimed-offer denominator unavailable</x:v>
      </x:c>
    </x:row>
    <x:row r="1159">
      <x:c r="A1159" s="252" t="str">
        <x:v>34789491</x:v>
      </x:c>
      <x:c r="B1159" s="253" t="str">
        <x:v>WS1</x:v>
      </x:c>
      <x:c r="C1159" s="253" t="str">
        <x:v>MB8</x:v>
      </x:c>
      <x:c r="D1159" s="262" t="n">
        <x:v>46204.38390046296</x:v>
      </x:c>
      <x:c r="E1159" s="259" t="n">
        <x:v>46204.166666666664</x:v>
      </x:c>
      <x:c r="F1159" s="253" t="str">
        <x:v>897055</x:v>
      </x:c>
      <x:c r="G1159" s="253" t="str">
        <x:v>Rahmanaden95</x:v>
      </x:c>
      <x:c r="H1159" s="253" t="str">
        <x:v>Yes</x:v>
      </x:c>
      <x:c r="I1159" s="253" t="str"/>
      <x:c r="J1159" s="253" t="str"/>
      <x:c r="K1159" s="259"/>
      <x:c r="L1159" s="268" t="str">
        <x:f>IFERROR(VLOOKUP(I1159,'Handler-Team Map'!$A$7:$C$17,2,FALSE),"")</x:f>
      </x:c>
      <x:c r="M1159" s="268" t="str">
        <x:f>IFERROR(VLOOKUP(I1159,'Handler-Team Map'!$A$7:$C$17,3,FALSE),"")</x:f>
      </x:c>
      <x:c r="N1159" s="274" t="str">
        <x:v>FT_VM_DEP1000_GET800_1X</x:v>
      </x:c>
      <x:c r="O1159" s="274" t="str">
        <x:v>VIP BONUS - Deposit 1000 Get 800 - 1x TO</x:v>
      </x:c>
      <x:c r="P1159" s="274" t="str">
        <x:v>DepositBonus</x:v>
      </x:c>
      <x:c r="Q1159" s="274" t="str">
        <x:v>Approved</x:v>
      </x:c>
      <x:c r="R1159" s="265" t="n">
        <x:v>800</x:v>
      </x:c>
      <x:c r="S1159" s="253" t="str">
        <x:v>Yes</x:v>
      </x:c>
      <x:c r="T1159" s="265" t="n">
        <x:v>0</x:v>
      </x:c>
      <x:c r="U1159" s="253" t="str">
        <x:f>IF(AND(S1159="Yes",T1159=0),"Yes","No")</x:f>
        <x:v>Yes</x:v>
      </x:c>
      <x:c r="V1159" s="253" t="str">
        <x:v>Yes</x:v>
      </x:c>
      <x:c r="W1159" s="253" t="str">
        <x:v>Yes</x:v>
      </x:c>
      <x:c r="X1159" s="259" t="n">
        <x:v>46204.166666666664</x:v>
      </x:c>
      <x:c r="Y1159" s="265" t="n">
        <x:v>1000</x:v>
      </x:c>
      <x:c r="Z1159" s="265" t="n">
        <x:v>1000</x:v>
      </x:c>
      <x:c r="AA1159" s="253" t="str">
        <x:f>IF(V1159="No","Maturing",IF(AND(U1159="Yes",Y1159&gt;0),"Yes","No"))</x:f>
        <x:v>Yes</x:v>
      </x:c>
      <x:c r="AB1159" s="253" t="str">
        <x:f>IF(W1159="No","Maturing",IF(AND(U1159="Yes",Z1159&gt;0),"Yes","No"))</x:f>
        <x:v>Yes</x:v>
      </x:c>
      <x:c r="AC1159" s="265" t="n">
        <x:v>-4908.31</x:v>
      </x:c>
      <x:c r="AD1159" s="265" t="n">
        <x:v>-4908.31</x:v>
      </x:c>
      <x:c r="AE1159" s="271" t="str"/>
      <x:c r="AF1159" s="274" t="str">
        <x:v>Not validated - no control/holdout</x:v>
      </x:c>
      <x:c r="AG1159" s="277" t="str">
        <x:v>Recovered execution only; assignment date and unclaimed-offer denominator unavailable</x:v>
      </x:c>
    </x:row>
    <x:row r="1160">
      <x:c r="A1160" s="252" t="str">
        <x:v>34790135</x:v>
      </x:c>
      <x:c r="B1160" s="253" t="str">
        <x:v>WS1</x:v>
      </x:c>
      <x:c r="C1160" s="253" t="str">
        <x:v>MB8</x:v>
      </x:c>
      <x:c r="D1160" s="262" t="n">
        <x:v>46204.45494212963</x:v>
      </x:c>
      <x:c r="E1160" s="259" t="n">
        <x:v>46204.166666666664</x:v>
      </x:c>
      <x:c r="F1160" s="253" t="str">
        <x:v>999210</x:v>
      </x:c>
      <x:c r="G1160" s="253" t="str">
        <x:v>flosueper</x:v>
      </x:c>
      <x:c r="H1160" s="253" t="str">
        <x:v>Yes</x:v>
      </x:c>
      <x:c r="I1160" s="253" t="str">
        <x:v>Claire</x:v>
      </x:c>
      <x:c r="J1160" s="253" t="str">
        <x:v>Claire</x:v>
      </x:c>
      <x:c r="K1160" s="259" t="n">
        <x:v>45755.166666666664</x:v>
      </x:c>
      <x:c r="L1160" s="268" t="str">
        <x:f>IFERROR(VLOOKUP(I1160,'Handler-Team Map'!$A$7:$C$17,2,FALSE),"")</x:f>
      </x:c>
      <x:c r="M1160" s="268" t="str">
        <x:f>IFERROR(VLOOKUP(I1160,'Handler-Team Map'!$A$7:$C$17,3,FALSE),"")</x:f>
      </x:c>
      <x:c r="N1160" s="274" t="str">
        <x:v>FT_VM_DEP150_GET50_5X</x:v>
      </x:c>
      <x:c r="O1160" s="274" t="str">
        <x:v>VIP BONUS - Deposit 150 Get 50 - 5x TO</x:v>
      </x:c>
      <x:c r="P1160" s="274" t="str">
        <x:v>DepositBonus</x:v>
      </x:c>
      <x:c r="Q1160" s="274" t="str">
        <x:v>Approved</x:v>
      </x:c>
      <x:c r="R1160" s="265" t="n">
        <x:v>50</x:v>
      </x:c>
      <x:c r="S1160" s="253" t="str">
        <x:v>Yes</x:v>
      </x:c>
      <x:c r="T1160" s="265" t="n">
        <x:v>17480</x:v>
      </x:c>
      <x:c r="U1160" s="253" t="str">
        <x:f>IF(AND(S1160="Yes",T1160=0),"Yes","No")</x:f>
        <x:v>No</x:v>
      </x:c>
      <x:c r="V1160" s="253" t="str">
        <x:v>Yes</x:v>
      </x:c>
      <x:c r="W1160" s="253" t="str">
        <x:v>Yes</x:v>
      </x:c>
      <x:c r="X1160" s="259" t="n">
        <x:v>46204.166666666664</x:v>
      </x:c>
      <x:c r="Y1160" s="265" t="n">
        <x:v>350</x:v>
      </x:c>
      <x:c r="Z1160" s="265" t="n">
        <x:v>10650</x:v>
      </x:c>
      <x:c r="AA1160" s="253" t="str">
        <x:f>IF(V1160="No","Maturing",IF(AND(U1160="Yes",Y1160&gt;0),"Yes","No"))</x:f>
        <x:v>No</x:v>
      </x:c>
      <x:c r="AB1160" s="253" t="str">
        <x:f>IF(W1160="No","Maturing",IF(AND(U1160="Yes",Z1160&gt;0),"Yes","No"))</x:f>
        <x:v>No</x:v>
      </x:c>
      <x:c r="AC1160" s="265" t="n">
        <x:v>280</x:v>
      </x:c>
      <x:c r="AD1160" s="265" t="n">
        <x:v>-1832.27</x:v>
      </x:c>
      <x:c r="AE1160" s="271" t="str"/>
      <x:c r="AF1160" s="274" t="str">
        <x:v>Not validated - no control/holdout</x:v>
      </x:c>
      <x:c r="AG1160" s="277" t="str">
        <x:v>Recovered execution only; assignment date and unclaimed-offer denominator unavailable</x:v>
      </x:c>
    </x:row>
    <x:row r="1161">
      <x:c r="A1161" s="252" t="str">
        <x:v>34790173</x:v>
      </x:c>
      <x:c r="B1161" s="253" t="str">
        <x:v>WS1</x:v>
      </x:c>
      <x:c r="C1161" s="253" t="str">
        <x:v>MB8</x:v>
      </x:c>
      <x:c r="D1161" s="262" t="n">
        <x:v>46204.457025462965</x:v>
      </x:c>
      <x:c r="E1161" s="259" t="n">
        <x:v>46204.166666666664</x:v>
      </x:c>
      <x:c r="F1161" s="253" t="str">
        <x:v>564867</x:v>
      </x:c>
      <x:c r="G1161" s="253" t="str">
        <x:v>Nageen</x:v>
      </x:c>
      <x:c r="H1161" s="253" t="str">
        <x:v>Yes</x:v>
      </x:c>
      <x:c r="I1161" s="253" t="str">
        <x:v>Claire</x:v>
      </x:c>
      <x:c r="J1161" s="253" t="str">
        <x:v>Claire</x:v>
      </x:c>
      <x:c r="K1161" s="259" t="n">
        <x:v>45659.166666666664</x:v>
      </x:c>
      <x:c r="L1161" s="268" t="str">
        <x:f>IFERROR(VLOOKUP(I1161,'Handler-Team Map'!$A$7:$C$17,2,FALSE),"")</x:f>
      </x:c>
      <x:c r="M1161" s="268" t="str">
        <x:f>IFERROR(VLOOKUP(I1161,'Handler-Team Map'!$A$7:$C$17,3,FALSE),"")</x:f>
      </x:c>
      <x:c r="N1161" s="274" t="str">
        <x:v>FT_VM_DEP1000_GET500_5X</x:v>
      </x:c>
      <x:c r="O1161" s="274" t="str">
        <x:v>VIP BONUS - Deposit 1000 Get 500 - 5x TO</x:v>
      </x:c>
      <x:c r="P1161" s="274" t="str">
        <x:v>DepositBonus</x:v>
      </x:c>
      <x:c r="Q1161" s="274" t="str">
        <x:v>Approved</x:v>
      </x:c>
      <x:c r="R1161" s="265" t="n">
        <x:v>500</x:v>
      </x:c>
      <x:c r="S1161" s="253" t="str">
        <x:v>Yes</x:v>
      </x:c>
      <x:c r="T1161" s="265" t="n">
        <x:v>85838.28</x:v>
      </x:c>
      <x:c r="U1161" s="253" t="str">
        <x:f>IF(AND(S1161="Yes",T1161=0),"Yes","No")</x:f>
        <x:v>No</x:v>
      </x:c>
      <x:c r="V1161" s="253" t="str">
        <x:v>Yes</x:v>
      </x:c>
      <x:c r="W1161" s="253" t="str">
        <x:v>Yes</x:v>
      </x:c>
      <x:c r="X1161" s="259" t="n">
        <x:v>46204.166666666664</x:v>
      </x:c>
      <x:c r="Y1161" s="265" t="n">
        <x:v>39165</x:v>
      </x:c>
      <x:c r="Z1161" s="265" t="n">
        <x:v>49531</x:v>
      </x:c>
      <x:c r="AA1161" s="253" t="str">
        <x:f>IF(V1161="No","Maturing",IF(AND(U1161="Yes",Y1161&gt;0),"Yes","No"))</x:f>
        <x:v>No</x:v>
      </x:c>
      <x:c r="AB1161" s="253" t="str">
        <x:f>IF(W1161="No","Maturing",IF(AND(U1161="Yes",Z1161&gt;0),"Yes","No"))</x:f>
        <x:v>No</x:v>
      </x:c>
      <x:c r="AC1161" s="265" t="n">
        <x:v>9986.19</x:v>
      </x:c>
      <x:c r="AD1161" s="265" t="n">
        <x:v>15539.37</x:v>
      </x:c>
      <x:c r="AE1161" s="271" t="str"/>
      <x:c r="AF1161" s="274" t="str">
        <x:v>Not validated - no control/holdout</x:v>
      </x:c>
      <x:c r="AG1161" s="277" t="str">
        <x:v>Recovered execution only; assignment date and unclaimed-offer denominator unavailable</x:v>
      </x:c>
    </x:row>
    <x:row r="1162">
      <x:c r="A1162" s="252" t="str">
        <x:v>34790322</x:v>
      </x:c>
      <x:c r="B1162" s="253" t="str">
        <x:v>WS1</x:v>
      </x:c>
      <x:c r="C1162" s="253" t="str">
        <x:v>MB8</x:v>
      </x:c>
      <x:c r="D1162" s="262" t="n">
        <x:v>46204.47085648148</x:v>
      </x:c>
      <x:c r="E1162" s="259" t="n">
        <x:v>46204.166666666664</x:v>
      </x:c>
      <x:c r="F1162" s="253" t="str">
        <x:v>567383</x:v>
      </x:c>
      <x:c r="G1162" s="253" t="str">
        <x:v>benho9988</x:v>
      </x:c>
      <x:c r="H1162" s="253" t="str">
        <x:v>Yes</x:v>
      </x:c>
      <x:c r="I1162" s="253" t="str">
        <x:v>Elda</x:v>
      </x:c>
      <x:c r="J1162" s="253" t="str">
        <x:v>Elda</x:v>
      </x:c>
      <x:c r="K1162" s="259" t="n">
        <x:v>45659.166666666664</x:v>
      </x:c>
      <x:c r="L1162" s="268" t="str">
        <x:f>IFERROR(VLOOKUP(I1162,'Handler-Team Map'!$A$7:$C$17,2,FALSE),"")</x:f>
      </x:c>
      <x:c r="M1162" s="268" t="str">
        <x:f>IFERROR(VLOOKUP(I1162,'Handler-Team Map'!$A$7:$C$17,3,FALSE),"")</x:f>
      </x:c>
      <x:c r="N1162" s="274" t="str">
        <x:v>FT_VM_DEP1000_GET500_5X</x:v>
      </x:c>
      <x:c r="O1162" s="274" t="str">
        <x:v>VIP BONUS - Deposit 1000 Get 500 - 5x TO</x:v>
      </x:c>
      <x:c r="P1162" s="274" t="str">
        <x:v>DepositBonus</x:v>
      </x:c>
      <x:c r="Q1162" s="274" t="str">
        <x:v>Approved</x:v>
      </x:c>
      <x:c r="R1162" s="265" t="n">
        <x:v>500</x:v>
      </x:c>
      <x:c r="S1162" s="253" t="str">
        <x:v>Yes</x:v>
      </x:c>
      <x:c r="T1162" s="265" t="n">
        <x:v>2800</x:v>
      </x:c>
      <x:c r="U1162" s="253" t="str">
        <x:f>IF(AND(S1162="Yes",T1162=0),"Yes","No")</x:f>
        <x:v>No</x:v>
      </x:c>
      <x:c r="V1162" s="253" t="str">
        <x:v>Yes</x:v>
      </x:c>
      <x:c r="W1162" s="253" t="str">
        <x:v>Yes</x:v>
      </x:c>
      <x:c r="X1162" s="259" t="n">
        <x:v>46204.166666666664</x:v>
      </x:c>
      <x:c r="Y1162" s="265" t="n">
        <x:v>1000</x:v>
      </x:c>
      <x:c r="Z1162" s="265" t="n">
        <x:v>2000</x:v>
      </x:c>
      <x:c r="AA1162" s="253" t="str">
        <x:f>IF(V1162="No","Maturing",IF(AND(U1162="Yes",Y1162&gt;0),"Yes","No"))</x:f>
        <x:v>No</x:v>
      </x:c>
      <x:c r="AB1162" s="253" t="str">
        <x:f>IF(W1162="No","Maturing",IF(AND(U1162="Yes",Z1162&gt;0),"Yes","No"))</x:f>
        <x:v>No</x:v>
      </x:c>
      <x:c r="AC1162" s="265" t="n">
        <x:v>997.25</x:v>
      </x:c>
      <x:c r="AD1162" s="265" t="n">
        <x:v>1998.5</x:v>
      </x:c>
      <x:c r="AE1162" s="271" t="str"/>
      <x:c r="AF1162" s="274" t="str">
        <x:v>Not validated - no control/holdout</x:v>
      </x:c>
      <x:c r="AG1162" s="277" t="str">
        <x:v>Recovered execution only; assignment date and unclaimed-offer denominator unavailable</x:v>
      </x:c>
    </x:row>
    <x:row r="1163">
      <x:c r="A1163" s="252" t="str">
        <x:v>34791065</x:v>
      </x:c>
      <x:c r="B1163" s="253" t="str">
        <x:v>WS1</x:v>
      </x:c>
      <x:c r="C1163" s="253" t="str">
        <x:v>MB8</x:v>
      </x:c>
      <x:c r="D1163" s="262" t="n">
        <x:v>46204.53454861111</x:v>
      </x:c>
      <x:c r="E1163" s="259" t="n">
        <x:v>46204.166666666664</x:v>
      </x:c>
      <x:c r="F1163" s="253" t="str">
        <x:v>250164</x:v>
      </x:c>
      <x:c r="G1163" s="253" t="str">
        <x:v>nazkrin267</x:v>
      </x:c>
      <x:c r="H1163" s="253" t="str">
        <x:v>Yes</x:v>
      </x:c>
      <x:c r="I1163" s="253" t="str">
        <x:v>Serene</x:v>
      </x:c>
      <x:c r="J1163" s="253" t="str">
        <x:v>Serene</x:v>
      </x:c>
      <x:c r="K1163" s="259" t="n">
        <x:v>45859.166666666664</x:v>
      </x:c>
      <x:c r="L1163" s="268" t="str">
        <x:f>IFERROR(VLOOKUP(I1163,'Handler-Team Map'!$A$7:$C$17,2,FALSE),"")</x:f>
      </x:c>
      <x:c r="M1163" s="268" t="str">
        <x:f>IFERROR(VLOOKUP(I1163,'Handler-Team Map'!$A$7:$C$17,3,FALSE),"")</x:f>
      </x:c>
      <x:c r="N1163" s="274" t="str">
        <x:v>FT_VM_DEP1000_GET800_2X</x:v>
      </x:c>
      <x:c r="O1163" s="274" t="str">
        <x:v>VIP BONUS - Deposit 1000 Get 800 - 2x TO</x:v>
      </x:c>
      <x:c r="P1163" s="274" t="str">
        <x:v>DepositBonus</x:v>
      </x:c>
      <x:c r="Q1163" s="274" t="str">
        <x:v>Approved</x:v>
      </x:c>
      <x:c r="R1163" s="265" t="n">
        <x:v>800</x:v>
      </x:c>
      <x:c r="S1163" s="253" t="str">
        <x:v>Yes</x:v>
      </x:c>
      <x:c r="T1163" s="265" t="n">
        <x:v>0</x:v>
      </x:c>
      <x:c r="U1163" s="253" t="str">
        <x:f>IF(AND(S1163="Yes",T1163=0),"Yes","No")</x:f>
        <x:v>Yes</x:v>
      </x:c>
      <x:c r="V1163" s="253" t="str">
        <x:v>Yes</x:v>
      </x:c>
      <x:c r="W1163" s="253" t="str">
        <x:v>Yes</x:v>
      </x:c>
      <x:c r="X1163" s="259" t="n">
        <x:v>46204.166666666664</x:v>
      </x:c>
      <x:c r="Y1163" s="265" t="n">
        <x:v>1000</x:v>
      </x:c>
      <x:c r="Z1163" s="265" t="n">
        <x:v>1000</x:v>
      </x:c>
      <x:c r="AA1163" s="253" t="str">
        <x:f>IF(V1163="No","Maturing",IF(AND(U1163="Yes",Y1163&gt;0),"Yes","No"))</x:f>
        <x:v>Yes</x:v>
      </x:c>
      <x:c r="AB1163" s="253" t="str">
        <x:f>IF(W1163="No","Maturing",IF(AND(U1163="Yes",Z1163&gt;0),"Yes","No"))</x:f>
        <x:v>Yes</x:v>
      </x:c>
      <x:c r="AC1163" s="265" t="n">
        <x:v>117.52</x:v>
      </x:c>
      <x:c r="AD1163" s="265" t="n">
        <x:v>112.91</x:v>
      </x:c>
      <x:c r="AE1163" s="271" t="str"/>
      <x:c r="AF1163" s="274" t="str">
        <x:v>Not validated - no control/holdout</x:v>
      </x:c>
      <x:c r="AG1163" s="277" t="str">
        <x:v>Recovered execution only; assignment date and unclaimed-offer denominator unavailable</x:v>
      </x:c>
    </x:row>
    <x:row r="1164">
      <x:c r="A1164" s="252" t="str">
        <x:v>34791754</x:v>
      </x:c>
      <x:c r="B1164" s="253" t="str">
        <x:v>WS1</x:v>
      </x:c>
      <x:c r="C1164" s="253" t="str">
        <x:v>MB8</x:v>
      </x:c>
      <x:c r="D1164" s="262" t="n">
        <x:v>46204.58625</x:v>
      </x:c>
      <x:c r="E1164" s="259" t="n">
        <x:v>46204.166666666664</x:v>
      </x:c>
      <x:c r="F1164" s="253" t="str">
        <x:v>587328</x:v>
      </x:c>
      <x:c r="G1164" s="253" t="str">
        <x:v>momiji123</x:v>
      </x:c>
      <x:c r="H1164" s="253" t="str">
        <x:v>Yes</x:v>
      </x:c>
      <x:c r="I1164" s="253" t="str">
        <x:v>zhen</x:v>
      </x:c>
      <x:c r="J1164" s="253" t="str">
        <x:v>zhen</x:v>
      </x:c>
      <x:c r="K1164" s="259" t="n">
        <x:v>45922.166666666664</x:v>
      </x:c>
      <x:c r="L1164" s="268" t="str">
        <x:f>IFERROR(VLOOKUP(I1164,'Handler-Team Map'!$A$7:$C$17,2,FALSE),"")</x:f>
      </x:c>
      <x:c r="M1164" s="268" t="str">
        <x:f>IFERROR(VLOOKUP(I1164,'Handler-Team Map'!$A$7:$C$17,3,FALSE),"")</x:f>
      </x:c>
      <x:c r="N1164" s="274" t="str">
        <x:v>FT_VM_DEP1000_GET500_5X</x:v>
      </x:c>
      <x:c r="O1164" s="274" t="str">
        <x:v>VIP BONUS - Deposit 1000 Get 500 - 5x TO</x:v>
      </x:c>
      <x:c r="P1164" s="274" t="str">
        <x:v>DepositBonus</x:v>
      </x:c>
      <x:c r="Q1164" s="274" t="str">
        <x:v>Approved</x:v>
      </x:c>
      <x:c r="R1164" s="265" t="n">
        <x:v>500</x:v>
      </x:c>
      <x:c r="S1164" s="253" t="str">
        <x:v>Yes</x:v>
      </x:c>
      <x:c r="T1164" s="265" t="n">
        <x:v>2200</x:v>
      </x:c>
      <x:c r="U1164" s="253" t="str">
        <x:f>IF(AND(S1164="Yes",T1164=0),"Yes","No")</x:f>
        <x:v>No</x:v>
      </x:c>
      <x:c r="V1164" s="253" t="str">
        <x:v>Yes</x:v>
      </x:c>
      <x:c r="W1164" s="253" t="str">
        <x:v>Yes</x:v>
      </x:c>
      <x:c r="X1164" s="259" t="n">
        <x:v>46204.166666666664</x:v>
      </x:c>
      <x:c r="Y1164" s="265" t="n">
        <x:v>1000</x:v>
      </x:c>
      <x:c r="Z1164" s="265" t="n">
        <x:v>1000</x:v>
      </x:c>
      <x:c r="AA1164" s="253" t="str">
        <x:f>IF(V1164="No","Maturing",IF(AND(U1164="Yes",Y1164&gt;0),"Yes","No"))</x:f>
        <x:v>No</x:v>
      </x:c>
      <x:c r="AB1164" s="253" t="str">
        <x:f>IF(W1164="No","Maturing",IF(AND(U1164="Yes",Z1164&gt;0),"Yes","No"))</x:f>
        <x:v>No</x:v>
      </x:c>
      <x:c r="AC1164" s="265" t="n">
        <x:v>999.39</x:v>
      </x:c>
      <x:c r="AD1164" s="265" t="n">
        <x:v>999.98</x:v>
      </x:c>
      <x:c r="AE1164" s="271" t="str"/>
      <x:c r="AF1164" s="274" t="str">
        <x:v>Not validated - no control/holdout</x:v>
      </x:c>
      <x:c r="AG1164" s="277" t="str">
        <x:v>Recovered execution only; assignment date and unclaimed-offer denominator unavailable</x:v>
      </x:c>
    </x:row>
    <x:row r="1165">
      <x:c r="A1165" s="252" t="str">
        <x:v>34792745</x:v>
      </x:c>
      <x:c r="B1165" s="253" t="str">
        <x:v>WS1</x:v>
      </x:c>
      <x:c r="C1165" s="253" t="str">
        <x:v>MB8</x:v>
      </x:c>
      <x:c r="D1165" s="262" t="n">
        <x:v>46204.66024305556</x:v>
      </x:c>
      <x:c r="E1165" s="259" t="n">
        <x:v>46204.166666666664</x:v>
      </x:c>
      <x:c r="F1165" s="253" t="str">
        <x:v>1205445</x:v>
      </x:c>
      <x:c r="G1165" s="253" t="str">
        <x:v>yeohszewei</x:v>
      </x:c>
      <x:c r="H1165" s="253" t="str">
        <x:v>Yes</x:v>
      </x:c>
      <x:c r="I1165" s="253" t="str"/>
      <x:c r="J1165" s="253" t="str"/>
      <x:c r="K1165" s="259"/>
      <x:c r="L1165" s="268" t="str">
        <x:f>IFERROR(VLOOKUP(I1165,'Handler-Team Map'!$A$7:$C$17,2,FALSE),"")</x:f>
      </x:c>
      <x:c r="M1165" s="268" t="str">
        <x:f>IFERROR(VLOOKUP(I1165,'Handler-Team Map'!$A$7:$C$17,3,FALSE),"")</x:f>
      </x:c>
      <x:c r="N1165" s="274" t="str">
        <x:v>FT_VM_DEP800_GET400_1X</x:v>
      </x:c>
      <x:c r="O1165" s="274" t="str">
        <x:v>VIP BONUS - Deposit 800 Get 400 - 1x TO</x:v>
      </x:c>
      <x:c r="P1165" s="274" t="str">
        <x:v>DepositBonus</x:v>
      </x:c>
      <x:c r="Q1165" s="274" t="str">
        <x:v>Approved</x:v>
      </x:c>
      <x:c r="R1165" s="265" t="n">
        <x:v>400</x:v>
      </x:c>
      <x:c r="S1165" s="253" t="str">
        <x:v>Yes</x:v>
      </x:c>
      <x:c r="T1165" s="265" t="n">
        <x:v>1200</x:v>
      </x:c>
      <x:c r="U1165" s="253" t="str">
        <x:f>IF(AND(S1165="Yes",T1165=0),"Yes","No")</x:f>
        <x:v>No</x:v>
      </x:c>
      <x:c r="V1165" s="253" t="str">
        <x:v>Yes</x:v>
      </x:c>
      <x:c r="W1165" s="253" t="str">
        <x:v>Yes</x:v>
      </x:c>
      <x:c r="X1165" s="259" t="n">
        <x:v>46204.166666666664</x:v>
      </x:c>
      <x:c r="Y1165" s="265" t="n">
        <x:v>12680</x:v>
      </x:c>
      <x:c r="Z1165" s="265" t="n">
        <x:v>12880</x:v>
      </x:c>
      <x:c r="AA1165" s="253" t="str">
        <x:f>IF(V1165="No","Maturing",IF(AND(U1165="Yes",Y1165&gt;0),"Yes","No"))</x:f>
        <x:v>No</x:v>
      </x:c>
      <x:c r="AB1165" s="253" t="str">
        <x:f>IF(W1165="No","Maturing",IF(AND(U1165="Yes",Z1165&gt;0),"Yes","No"))</x:f>
        <x:v>No</x:v>
      </x:c>
      <x:c r="AC1165" s="265" t="n">
        <x:v>-12853.96</x:v>
      </x:c>
      <x:c r="AD1165" s="265" t="n">
        <x:v>-12653.13</x:v>
      </x:c>
      <x:c r="AE1165" s="271" t="str"/>
      <x:c r="AF1165" s="274" t="str">
        <x:v>Not validated - no control/holdout</x:v>
      </x:c>
      <x:c r="AG1165" s="277" t="str">
        <x:v>Recovered execution only; assignment date and unclaimed-offer denominator unavailable</x:v>
      </x:c>
    </x:row>
    <x:row r="1166">
      <x:c r="A1166" s="252" t="str">
        <x:v>34795298</x:v>
      </x:c>
      <x:c r="B1166" s="253" t="str">
        <x:v>WS1</x:v>
      </x:c>
      <x:c r="C1166" s="253" t="str">
        <x:v>MB8</x:v>
      </x:c>
      <x:c r="D1166" s="262" t="n">
        <x:v>46204.813622685186</x:v>
      </x:c>
      <x:c r="E1166" s="259" t="n">
        <x:v>46204.166666666664</x:v>
      </x:c>
      <x:c r="F1166" s="253" t="str">
        <x:v>567203</x:v>
      </x:c>
      <x:c r="G1166" s="253" t="str">
        <x:v>Booboo</x:v>
      </x:c>
      <x:c r="H1166" s="253" t="str">
        <x:v>Yes</x:v>
      </x:c>
      <x:c r="I1166" s="253" t="str">
        <x:v>Elda</x:v>
      </x:c>
      <x:c r="J1166" s="253" t="str">
        <x:v>Elda</x:v>
      </x:c>
      <x:c r="K1166" s="259" t="n">
        <x:v>45659.166666666664</x:v>
      </x:c>
      <x:c r="L1166" s="268" t="str">
        <x:f>IFERROR(VLOOKUP(I1166,'Handler-Team Map'!$A$7:$C$17,2,FALSE),"")</x:f>
      </x:c>
      <x:c r="M1166" s="268" t="str">
        <x:f>IFERROR(VLOOKUP(I1166,'Handler-Team Map'!$A$7:$C$17,3,FALSE),"")</x:f>
      </x:c>
      <x:c r="N1166" s="274" t="str">
        <x:v>FT_VM_DEP1000_GET500_5X</x:v>
      </x:c>
      <x:c r="O1166" s="274" t="str">
        <x:v>VIP BONUS - Deposit 1000 Get 500 - 5x TO</x:v>
      </x:c>
      <x:c r="P1166" s="274" t="str">
        <x:v>DepositBonus</x:v>
      </x:c>
      <x:c r="Q1166" s="274" t="str">
        <x:v>Approved</x:v>
      </x:c>
      <x:c r="R1166" s="265" t="n">
        <x:v>500</x:v>
      </x:c>
      <x:c r="S1166" s="253" t="str">
        <x:v>Yes</x:v>
      </x:c>
      <x:c r="T1166" s="265" t="n">
        <x:v>38300.78</x:v>
      </x:c>
      <x:c r="U1166" s="253" t="str">
        <x:f>IF(AND(S1166="Yes",T1166=0),"Yes","No")</x:f>
        <x:v>No</x:v>
      </x:c>
      <x:c r="V1166" s="253" t="str">
        <x:v>Yes</x:v>
      </x:c>
      <x:c r="W1166" s="253" t="str">
        <x:v>Yes</x:v>
      </x:c>
      <x:c r="X1166" s="259" t="n">
        <x:v>46204.166666666664</x:v>
      </x:c>
      <x:c r="Y1166" s="265" t="n">
        <x:v>3169</x:v>
      </x:c>
      <x:c r="Z1166" s="265" t="n">
        <x:v>11909</x:v>
      </x:c>
      <x:c r="AA1166" s="253" t="str">
        <x:f>IF(V1166="No","Maturing",IF(AND(U1166="Yes",Y1166&gt;0),"Yes","No"))</x:f>
        <x:v>No</x:v>
      </x:c>
      <x:c r="AB1166" s="253" t="str">
        <x:f>IF(W1166="No","Maturing",IF(AND(U1166="Yes",Z1166&gt;0),"Yes","No"))</x:f>
        <x:v>No</x:v>
      </x:c>
      <x:c r="AC1166" s="265" t="n">
        <x:v>1768.59</x:v>
      </x:c>
      <x:c r="AD1166" s="265" t="n">
        <x:v>6807.1</x:v>
      </x:c>
      <x:c r="AE1166" s="271" t="str"/>
      <x:c r="AF1166" s="274" t="str">
        <x:v>Not validated - no control/holdout</x:v>
      </x:c>
      <x:c r="AG1166" s="277" t="str">
        <x:v>Recovered execution only; assignment date and unclaimed-offer denominator unavailable</x:v>
      </x:c>
    </x:row>
    <x:row r="1167">
      <x:c r="A1167" s="252" t="str">
        <x:v>34797766</x:v>
      </x:c>
      <x:c r="B1167" s="253" t="str">
        <x:v>WS1</x:v>
      </x:c>
      <x:c r="C1167" s="253" t="str">
        <x:v>MB8</x:v>
      </x:c>
      <x:c r="D1167" s="262" t="n">
        <x:v>46204.947071759256</x:v>
      </x:c>
      <x:c r="E1167" s="259" t="n">
        <x:v>46204.166666666664</x:v>
      </x:c>
      <x:c r="F1167" s="253" t="str">
        <x:v>1181391</x:v>
      </x:c>
      <x:c r="G1167" s="253" t="str">
        <x:v>Kook27</x:v>
      </x:c>
      <x:c r="H1167" s="253" t="str">
        <x:v>Yes</x:v>
      </x:c>
      <x:c r="I1167" s="253" t="str">
        <x:v>Jiahui</x:v>
      </x:c>
      <x:c r="J1167" s="253" t="str">
        <x:v>Jiahui</x:v>
      </x:c>
      <x:c r="K1167" s="259" t="n">
        <x:v>45811.166666666664</x:v>
      </x:c>
      <x:c r="L1167" s="268" t="str">
        <x:f>IFERROR(VLOOKUP(I1167,'Handler-Team Map'!$A$7:$C$17,2,FALSE),"")</x:f>
      </x:c>
      <x:c r="M1167" s="268" t="str">
        <x:f>IFERROR(VLOOKUP(I1167,'Handler-Team Map'!$A$7:$C$17,3,FALSE),"")</x:f>
      </x:c>
      <x:c r="N1167" s="274" t="str">
        <x:v>FT_VM_DEP1000_GET500_5X</x:v>
      </x:c>
      <x:c r="O1167" s="274" t="str">
        <x:v>VIP BONUS - Deposit 1000 Get 500 - 5x TO</x:v>
      </x:c>
      <x:c r="P1167" s="274" t="str">
        <x:v>DepositBonus</x:v>
      </x:c>
      <x:c r="Q1167" s="274" t="str">
        <x:v>Approved</x:v>
      </x:c>
      <x:c r="R1167" s="265" t="n">
        <x:v>500</x:v>
      </x:c>
      <x:c r="S1167" s="253" t="str">
        <x:v>Yes</x:v>
      </x:c>
      <x:c r="T1167" s="265" t="n">
        <x:v>2050</x:v>
      </x:c>
      <x:c r="U1167" s="253" t="str">
        <x:f>IF(AND(S1167="Yes",T1167=0),"Yes","No")</x:f>
        <x:v>No</x:v>
      </x:c>
      <x:c r="V1167" s="253" t="str">
        <x:v>Yes</x:v>
      </x:c>
      <x:c r="W1167" s="253" t="str">
        <x:v>Yes</x:v>
      </x:c>
      <x:c r="X1167" s="259" t="n">
        <x:v>46204.166666666664</x:v>
      </x:c>
      <x:c r="Y1167" s="265" t="n">
        <x:v>1000</x:v>
      </x:c>
      <x:c r="Z1167" s="265" t="n">
        <x:v>15489</x:v>
      </x:c>
      <x:c r="AA1167" s="253" t="str">
        <x:f>IF(V1167="No","Maturing",IF(AND(U1167="Yes",Y1167&gt;0),"Yes","No"))</x:f>
        <x:v>No</x:v>
      </x:c>
      <x:c r="AB1167" s="253" t="str">
        <x:f>IF(W1167="No","Maturing",IF(AND(U1167="Yes",Z1167&gt;0),"Yes","No"))</x:f>
        <x:v>No</x:v>
      </x:c>
      <x:c r="AC1167" s="265" t="n">
        <x:v>991.88</x:v>
      </x:c>
      <x:c r="AD1167" s="265" t="n">
        <x:v>13168.85</x:v>
      </x:c>
      <x:c r="AE1167" s="271" t="str"/>
      <x:c r="AF1167" s="274" t="str">
        <x:v>Not validated - no control/holdout</x:v>
      </x:c>
      <x:c r="AG1167" s="277" t="str">
        <x:v>Recovered execution only; assignment date and unclaimed-offer denominator unavailable</x:v>
      </x:c>
    </x:row>
    <x:row r="1168">
      <x:c r="A1168" s="252" t="str">
        <x:v>34801608</x:v>
      </x:c>
      <x:c r="B1168" s="253" t="str">
        <x:v>WS1</x:v>
      </x:c>
      <x:c r="C1168" s="253" t="str">
        <x:v>MB8</x:v>
      </x:c>
      <x:c r="D1168" s="262" t="n">
        <x:v>46205.1246875</x:v>
      </x:c>
      <x:c r="E1168" s="259" t="n">
        <x:v>46205.166666666664</x:v>
      </x:c>
      <x:c r="F1168" s="253" t="str">
        <x:v>38910</x:v>
      </x:c>
      <x:c r="G1168" s="253" t="str">
        <x:v>Snowy2kaki</x:v>
      </x:c>
      <x:c r="H1168" s="253" t="str">
        <x:v>Yes</x:v>
      </x:c>
      <x:c r="I1168" s="253" t="str">
        <x:v>Claire</x:v>
      </x:c>
      <x:c r="J1168" s="253" t="str">
        <x:v>Claire</x:v>
      </x:c>
      <x:c r="K1168" s="259" t="n">
        <x:v>45659.166666666664</x:v>
      </x:c>
      <x:c r="L1168" s="268" t="str">
        <x:f>IFERROR(VLOOKUP(I1168,'Handler-Team Map'!$A$7:$C$17,2,FALSE),"")</x:f>
      </x:c>
      <x:c r="M1168" s="268" t="str">
        <x:f>IFERROR(VLOOKUP(I1168,'Handler-Team Map'!$A$7:$C$17,3,FALSE),"")</x:f>
      </x:c>
      <x:c r="N1168" s="274" t="str">
        <x:v>FT_VM_DEP1000_GET700_1X</x:v>
      </x:c>
      <x:c r="O1168" s="274" t="str">
        <x:v>VIP BONUS - Deposit 1000 Get 700 - 1x TO</x:v>
      </x:c>
      <x:c r="P1168" s="274" t="str">
        <x:v>DepositBonus</x:v>
      </x:c>
      <x:c r="Q1168" s="274" t="str">
        <x:v>Approved</x:v>
      </x:c>
      <x:c r="R1168" s="265" t="n">
        <x:v>700</x:v>
      </x:c>
      <x:c r="S1168" s="253" t="str">
        <x:v>Yes</x:v>
      </x:c>
      <x:c r="T1168" s="265" t="n">
        <x:v>107500</x:v>
      </x:c>
      <x:c r="U1168" s="253" t="str">
        <x:f>IF(AND(S1168="Yes",T1168=0),"Yes","No")</x:f>
        <x:v>No</x:v>
      </x:c>
      <x:c r="V1168" s="253" t="str">
        <x:v>Yes</x:v>
      </x:c>
      <x:c r="W1168" s="253" t="str">
        <x:v>Yes</x:v>
      </x:c>
      <x:c r="X1168" s="259" t="n">
        <x:v>46205.166666666664</x:v>
      </x:c>
      <x:c r="Y1168" s="265" t="n">
        <x:v>21800</x:v>
      </x:c>
      <x:c r="Z1168" s="265" t="n">
        <x:v>57000</x:v>
      </x:c>
      <x:c r="AA1168" s="253" t="str">
        <x:f>IF(V1168="No","Maturing",IF(AND(U1168="Yes",Y1168&gt;0),"Yes","No"))</x:f>
        <x:v>No</x:v>
      </x:c>
      <x:c r="AB1168" s="253" t="str">
        <x:f>IF(W1168="No","Maturing",IF(AND(U1168="Yes",Z1168&gt;0),"Yes","No"))</x:f>
        <x:v>No</x:v>
      </x:c>
      <x:c r="AC1168" s="265" t="n">
        <x:v>8618.1</x:v>
      </x:c>
      <x:c r="AD1168" s="265" t="n">
        <x:v>-258254.51</x:v>
      </x:c>
      <x:c r="AE1168" s="271" t="str"/>
      <x:c r="AF1168" s="274" t="str">
        <x:v>Not validated - no control/holdout</x:v>
      </x:c>
      <x:c r="AG1168" s="277" t="str">
        <x:v>Recovered execution only; assignment date and unclaimed-offer denominator unavailable</x:v>
      </x:c>
    </x:row>
    <x:row r="1169">
      <x:c r="A1169" s="252" t="str">
        <x:v>34803054</x:v>
      </x:c>
      <x:c r="B1169" s="253" t="str">
        <x:v>WS1</x:v>
      </x:c>
      <x:c r="C1169" s="253" t="str">
        <x:v>MB8</x:v>
      </x:c>
      <x:c r="D1169" s="262" t="n">
        <x:v>46205.30106481481</x:v>
      </x:c>
      <x:c r="E1169" s="259" t="n">
        <x:v>46205.166666666664</x:v>
      </x:c>
      <x:c r="F1169" s="253" t="str">
        <x:v>693045</x:v>
      </x:c>
      <x:c r="G1169" s="253" t="str">
        <x:v>S0109427034</x:v>
      </x:c>
      <x:c r="H1169" s="253" t="str">
        <x:v>Yes</x:v>
      </x:c>
      <x:c r="I1169" s="253" t="str">
        <x:v>Christy</x:v>
      </x:c>
      <x:c r="J1169" s="253" t="str">
        <x:v>Christy</x:v>
      </x:c>
      <x:c r="K1169" s="259" t="n">
        <x:v>45831.166666666664</x:v>
      </x:c>
      <x:c r="L1169" s="268" t="str">
        <x:f>IFERROR(VLOOKUP(I1169,'Handler-Team Map'!$A$7:$C$17,2,FALSE),"")</x:f>
      </x:c>
      <x:c r="M1169" s="268" t="str">
        <x:f>IFERROR(VLOOKUP(I1169,'Handler-Team Map'!$A$7:$C$17,3,FALSE),"")</x:f>
      </x:c>
      <x:c r="N1169" s="274" t="str">
        <x:v>FT_VM_DEP300_GET100_5X</x:v>
      </x:c>
      <x:c r="O1169" s="274" t="str">
        <x:v>VIP BONUS - Deposit 300 Get 100 - 5x TO</x:v>
      </x:c>
      <x:c r="P1169" s="274" t="str">
        <x:v>DepositBonus</x:v>
      </x:c>
      <x:c r="Q1169" s="274" t="str">
        <x:v>Approved</x:v>
      </x:c>
      <x:c r="R1169" s="265" t="n">
        <x:v>100</x:v>
      </x:c>
      <x:c r="S1169" s="253" t="str">
        <x:v>Yes</x:v>
      </x:c>
      <x:c r="T1169" s="265" t="n">
        <x:v>44945.05</x:v>
      </x:c>
      <x:c r="U1169" s="253" t="str">
        <x:f>IF(AND(S1169="Yes",T1169=0),"Yes","No")</x:f>
        <x:v>No</x:v>
      </x:c>
      <x:c r="V1169" s="253" t="str">
        <x:v>Yes</x:v>
      </x:c>
      <x:c r="W1169" s="253" t="str">
        <x:v>Yes</x:v>
      </x:c>
      <x:c r="X1169" s="259" t="n">
        <x:v>46205.166666666664</x:v>
      </x:c>
      <x:c r="Y1169" s="265" t="n">
        <x:v>23388.65</x:v>
      </x:c>
      <x:c r="Z1169" s="265" t="n">
        <x:v>33414.75</x:v>
      </x:c>
      <x:c r="AA1169" s="253" t="str">
        <x:f>IF(V1169="No","Maturing",IF(AND(U1169="Yes",Y1169&gt;0),"Yes","No"))</x:f>
        <x:v>No</x:v>
      </x:c>
      <x:c r="AB1169" s="253" t="str">
        <x:f>IF(W1169="No","Maturing",IF(AND(U1169="Yes",Z1169&gt;0),"Yes","No"))</x:f>
        <x:v>No</x:v>
      </x:c>
      <x:c r="AC1169" s="265" t="n">
        <x:v>-11152.79</x:v>
      </x:c>
      <x:c r="AD1169" s="265" t="n">
        <x:v>-17226.64</x:v>
      </x:c>
      <x:c r="AE1169" s="271" t="str"/>
      <x:c r="AF1169" s="274" t="str">
        <x:v>Not validated - no control/holdout</x:v>
      </x:c>
      <x:c r="AG1169" s="277" t="str">
        <x:v>Recovered execution only; assignment date and unclaimed-offer denominator unavailable</x:v>
      </x:c>
    </x:row>
    <x:row r="1170">
      <x:c r="A1170" s="252" t="str">
        <x:v>34804434</x:v>
      </x:c>
      <x:c r="B1170" s="253" t="str">
        <x:v>WS1</x:v>
      </x:c>
      <x:c r="C1170" s="253" t="str">
        <x:v>MB8</x:v>
      </x:c>
      <x:c r="D1170" s="262" t="n">
        <x:v>46205.444699074076</x:v>
      </x:c>
      <x:c r="E1170" s="259" t="n">
        <x:v>46205.166666666664</x:v>
      </x:c>
      <x:c r="F1170" s="253" t="str">
        <x:v>923480</x:v>
      </x:c>
      <x:c r="G1170" s="253" t="str">
        <x:v>jared081199</x:v>
      </x:c>
      <x:c r="H1170" s="253" t="str">
        <x:v>Yes</x:v>
      </x:c>
      <x:c r="I1170" s="253" t="str">
        <x:v>Tammy</x:v>
      </x:c>
      <x:c r="J1170" s="253" t="str">
        <x:v>Tammy</x:v>
      </x:c>
      <x:c r="K1170" s="259" t="n">
        <x:v>45951.166666666664</x:v>
      </x:c>
      <x:c r="L1170" s="268" t="str">
        <x:f>IFERROR(VLOOKUP(I1170,'Handler-Team Map'!$A$7:$C$17,2,FALSE),"")</x:f>
      </x:c>
      <x:c r="M1170" s="268" t="str">
        <x:f>IFERROR(VLOOKUP(I1170,'Handler-Team Map'!$A$7:$C$17,3,FALSE),"")</x:f>
      </x:c>
      <x:c r="N1170" s="274" t="str">
        <x:v>FT_VM_DEP600_GET200_5X</x:v>
      </x:c>
      <x:c r="O1170" s="274" t="str">
        <x:v>VIP BONUS - Deposit 600 Get 200 - 5x TO</x:v>
      </x:c>
      <x:c r="P1170" s="274" t="str">
        <x:v>DepositBonus</x:v>
      </x:c>
      <x:c r="Q1170" s="274" t="str">
        <x:v>Approved</x:v>
      </x:c>
      <x:c r="R1170" s="265" t="n">
        <x:v>200</x:v>
      </x:c>
      <x:c r="S1170" s="253" t="str">
        <x:v>Yes</x:v>
      </x:c>
      <x:c r="T1170" s="265" t="n">
        <x:v>6045</x:v>
      </x:c>
      <x:c r="U1170" s="253" t="str">
        <x:f>IF(AND(S1170="Yes",T1170=0),"Yes","No")</x:f>
        <x:v>No</x:v>
      </x:c>
      <x:c r="V1170" s="253" t="str">
        <x:v>Yes</x:v>
      </x:c>
      <x:c r="W1170" s="253" t="str">
        <x:v>Yes</x:v>
      </x:c>
      <x:c r="X1170" s="259" t="n">
        <x:v>46205.166666666664</x:v>
      </x:c>
      <x:c r="Y1170" s="265" t="n">
        <x:v>800</x:v>
      </x:c>
      <x:c r="Z1170" s="265" t="n">
        <x:v>1050</x:v>
      </x:c>
      <x:c r="AA1170" s="253" t="str">
        <x:f>IF(V1170="No","Maturing",IF(AND(U1170="Yes",Y1170&gt;0),"Yes","No"))</x:f>
        <x:v>No</x:v>
      </x:c>
      <x:c r="AB1170" s="253" t="str">
        <x:f>IF(W1170="No","Maturing",IF(AND(U1170="Yes",Z1170&gt;0),"Yes","No"))</x:f>
        <x:v>No</x:v>
      </x:c>
      <x:c r="AC1170" s="265" t="n">
        <x:v>495.36</x:v>
      </x:c>
      <x:c r="AD1170" s="265" t="n">
        <x:v>302.35</x:v>
      </x:c>
      <x:c r="AE1170" s="271" t="str"/>
      <x:c r="AF1170" s="274" t="str">
        <x:v>Not validated - no control/holdout</x:v>
      </x:c>
      <x:c r="AG1170" s="277" t="str">
        <x:v>Recovered execution only; assignment date and unclaimed-offer denominator unavailable</x:v>
      </x:c>
    </x:row>
    <x:row r="1171">
      <x:c r="A1171" s="252" t="str">
        <x:v>34805022</x:v>
      </x:c>
      <x:c r="B1171" s="253" t="str">
        <x:v>WS1</x:v>
      </x:c>
      <x:c r="C1171" s="253" t="str">
        <x:v>MB8</x:v>
      </x:c>
      <x:c r="D1171" s="262" t="n">
        <x:v>46205.496782407405</x:v>
      </x:c>
      <x:c r="E1171" s="259" t="n">
        <x:v>46205.166666666664</x:v>
      </x:c>
      <x:c r="F1171" s="253" t="str">
        <x:v>651425</x:v>
      </x:c>
      <x:c r="G1171" s="253" t="str">
        <x:v>Chinh1912</x:v>
      </x:c>
      <x:c r="H1171" s="253" t="str">
        <x:v>Yes</x:v>
      </x:c>
      <x:c r="I1171" s="253" t="str"/>
      <x:c r="J1171" s="253" t="str"/>
      <x:c r="K1171" s="259"/>
      <x:c r="L1171" s="268" t="str">
        <x:f>IFERROR(VLOOKUP(I1171,'Handler-Team Map'!$A$7:$C$17,2,FALSE),"")</x:f>
      </x:c>
      <x:c r="M1171" s="268" t="str">
        <x:f>IFERROR(VLOOKUP(I1171,'Handler-Team Map'!$A$7:$C$17,3,FALSE),"")</x:f>
      </x:c>
      <x:c r="N1171" s="274" t="str">
        <x:v>FT_VM_DEP600_GET200_5X</x:v>
      </x:c>
      <x:c r="O1171" s="274" t="str">
        <x:v>VIP BONUS - Deposit 600 Get 200 - 5x TO</x:v>
      </x:c>
      <x:c r="P1171" s="274" t="str">
        <x:v>DepositBonus</x:v>
      </x:c>
      <x:c r="Q1171" s="274" t="str">
        <x:v>Approved</x:v>
      </x:c>
      <x:c r="R1171" s="265" t="n">
        <x:v>200</x:v>
      </x:c>
      <x:c r="S1171" s="253" t="str">
        <x:v>Yes</x:v>
      </x:c>
      <x:c r="T1171" s="265" t="n">
        <x:v>1000</x:v>
      </x:c>
      <x:c r="U1171" s="253" t="str">
        <x:f>IF(AND(S1171="Yes",T1171=0),"Yes","No")</x:f>
        <x:v>No</x:v>
      </x:c>
      <x:c r="V1171" s="253" t="str">
        <x:v>Yes</x:v>
      </x:c>
      <x:c r="W1171" s="253" t="str">
        <x:v>Yes</x:v>
      </x:c>
      <x:c r="X1171" s="259" t="n">
        <x:v>46205.166666666664</x:v>
      </x:c>
      <x:c r="Y1171" s="265" t="n">
        <x:v>600</x:v>
      </x:c>
      <x:c r="Z1171" s="265" t="n">
        <x:v>600</x:v>
      </x:c>
      <x:c r="AA1171" s="253" t="str">
        <x:f>IF(V1171="No","Maturing",IF(AND(U1171="Yes",Y1171&gt;0),"Yes","No"))</x:f>
        <x:v>No</x:v>
      </x:c>
      <x:c r="AB1171" s="253" t="str">
        <x:f>IF(W1171="No","Maturing",IF(AND(U1171="Yes",Z1171&gt;0),"Yes","No"))</x:f>
        <x:v>No</x:v>
      </x:c>
      <x:c r="AC1171" s="265" t="n">
        <x:v>600.75</x:v>
      </x:c>
      <x:c r="AD1171" s="265" t="n">
        <x:v>600.75</x:v>
      </x:c>
      <x:c r="AE1171" s="271" t="str"/>
      <x:c r="AF1171" s="274" t="str">
        <x:v>Not validated - no control/holdout</x:v>
      </x:c>
      <x:c r="AG1171" s="277" t="str">
        <x:v>Recovered execution only; assignment date and unclaimed-offer denominator unavailable</x:v>
      </x:c>
    </x:row>
    <x:row r="1172">
      <x:c r="A1172" s="252" t="str">
        <x:v>34805262</x:v>
      </x:c>
      <x:c r="B1172" s="253" t="str">
        <x:v>WS1</x:v>
      </x:c>
      <x:c r="C1172" s="253" t="str">
        <x:v>MB8</x:v>
      </x:c>
      <x:c r="D1172" s="262" t="n">
        <x:v>46205.51241898148</x:v>
      </x:c>
      <x:c r="E1172" s="259" t="n">
        <x:v>46205.166666666664</x:v>
      </x:c>
      <x:c r="F1172" s="253" t="str">
        <x:v>995808</x:v>
      </x:c>
      <x:c r="G1172" s="253" t="str">
        <x:v>thang02</x:v>
      </x:c>
      <x:c r="H1172" s="253" t="str">
        <x:v>Yes</x:v>
      </x:c>
      <x:c r="I1172" s="253" t="str"/>
      <x:c r="J1172" s="253" t="str"/>
      <x:c r="K1172" s="259"/>
      <x:c r="L1172" s="268" t="str">
        <x:f>IFERROR(VLOOKUP(I1172,'Handler-Team Map'!$A$7:$C$17,2,FALSE),"")</x:f>
      </x:c>
      <x:c r="M1172" s="268" t="str">
        <x:f>IFERROR(VLOOKUP(I1172,'Handler-Team Map'!$A$7:$C$17,3,FALSE),"")</x:f>
      </x:c>
      <x:c r="N1172" s="274" t="str">
        <x:v>FT_VM_DEP600_GET200_5X</x:v>
      </x:c>
      <x:c r="O1172" s="274" t="str">
        <x:v>VIP BONUS - Deposit 600 Get 200 - 5x TO</x:v>
      </x:c>
      <x:c r="P1172" s="274" t="str">
        <x:v>DepositBonus</x:v>
      </x:c>
      <x:c r="Q1172" s="274" t="str">
        <x:v>Approved</x:v>
      </x:c>
      <x:c r="R1172" s="265" t="n">
        <x:v>200</x:v>
      </x:c>
      <x:c r="S1172" s="253" t="str">
        <x:v>Yes</x:v>
      </x:c>
      <x:c r="T1172" s="265" t="n">
        <x:v>1000</x:v>
      </x:c>
      <x:c r="U1172" s="253" t="str">
        <x:f>IF(AND(S1172="Yes",T1172=0),"Yes","No")</x:f>
        <x:v>No</x:v>
      </x:c>
      <x:c r="V1172" s="253" t="str">
        <x:v>Yes</x:v>
      </x:c>
      <x:c r="W1172" s="253" t="str">
        <x:v>Yes</x:v>
      </x:c>
      <x:c r="X1172" s="259" t="n">
        <x:v>46205.166666666664</x:v>
      </x:c>
      <x:c r="Y1172" s="265" t="n">
        <x:v>600</x:v>
      </x:c>
      <x:c r="Z1172" s="265" t="n">
        <x:v>600</x:v>
      </x:c>
      <x:c r="AA1172" s="253" t="str">
        <x:f>IF(V1172="No","Maturing",IF(AND(U1172="Yes",Y1172&gt;0),"Yes","No"))</x:f>
        <x:v>No</x:v>
      </x:c>
      <x:c r="AB1172" s="253" t="str">
        <x:f>IF(W1172="No","Maturing",IF(AND(U1172="Yes",Z1172&gt;0),"Yes","No"))</x:f>
        <x:v>No</x:v>
      </x:c>
      <x:c r="AC1172" s="265" t="n">
        <x:v>600</x:v>
      </x:c>
      <x:c r="AD1172" s="265" t="n">
        <x:v>600</x:v>
      </x:c>
      <x:c r="AE1172" s="271" t="str"/>
      <x:c r="AF1172" s="274" t="str">
        <x:v>Not validated - no control/holdout</x:v>
      </x:c>
      <x:c r="AG1172" s="277" t="str">
        <x:v>Recovered execution only; assignment date and unclaimed-offer denominator unavailable</x:v>
      </x:c>
    </x:row>
    <x:row r="1173">
      <x:c r="A1173" s="252" t="str">
        <x:v>34805338</x:v>
      </x:c>
      <x:c r="B1173" s="253" t="str">
        <x:v>WS1</x:v>
      </x:c>
      <x:c r="C1173" s="253" t="str">
        <x:v>MB8</x:v>
      </x:c>
      <x:c r="D1173" s="262" t="n">
        <x:v>46205.51883101852</x:v>
      </x:c>
      <x:c r="E1173" s="259" t="n">
        <x:v>46205.166666666664</x:v>
      </x:c>
      <x:c r="F1173" s="253" t="str">
        <x:v>610893</x:v>
      </x:c>
      <x:c r="G1173" s="253" t="str">
        <x:v>ahling1998</x:v>
      </x:c>
      <x:c r="H1173" s="253" t="str">
        <x:v>Yes</x:v>
      </x:c>
      <x:c r="I1173" s="253" t="str"/>
      <x:c r="J1173" s="253" t="str"/>
      <x:c r="K1173" s="259"/>
      <x:c r="L1173" s="268" t="str">
        <x:f>IFERROR(VLOOKUP(I1173,'Handler-Team Map'!$A$7:$C$17,2,FALSE),"")</x:f>
      </x:c>
      <x:c r="M1173" s="268" t="str">
        <x:f>IFERROR(VLOOKUP(I1173,'Handler-Team Map'!$A$7:$C$17,3,FALSE),"")</x:f>
      </x:c>
      <x:c r="N1173" s="274" t="str">
        <x:v>FT_VM_DEP600_GET200_5X</x:v>
      </x:c>
      <x:c r="O1173" s="274" t="str">
        <x:v>VIP BONUS - Deposit 600 Get 200 - 5x TO</x:v>
      </x:c>
      <x:c r="P1173" s="274" t="str">
        <x:v>DepositBonus</x:v>
      </x:c>
      <x:c r="Q1173" s="274" t="str">
        <x:v>Approved</x:v>
      </x:c>
      <x:c r="R1173" s="265" t="n">
        <x:v>200</x:v>
      </x:c>
      <x:c r="S1173" s="253" t="str">
        <x:v>Yes</x:v>
      </x:c>
      <x:c r="T1173" s="265" t="n">
        <x:v>1000</x:v>
      </x:c>
      <x:c r="U1173" s="253" t="str">
        <x:f>IF(AND(S1173="Yes",T1173=0),"Yes","No")</x:f>
        <x:v>No</x:v>
      </x:c>
      <x:c r="V1173" s="253" t="str">
        <x:v>Yes</x:v>
      </x:c>
      <x:c r="W1173" s="253" t="str">
        <x:v>Yes</x:v>
      </x:c>
      <x:c r="X1173" s="259" t="n">
        <x:v>46205.166666666664</x:v>
      </x:c>
      <x:c r="Y1173" s="265" t="n">
        <x:v>600</x:v>
      </x:c>
      <x:c r="Z1173" s="265" t="n">
        <x:v>600</x:v>
      </x:c>
      <x:c r="AA1173" s="253" t="str">
        <x:f>IF(V1173="No","Maturing",IF(AND(U1173="Yes",Y1173&gt;0),"Yes","No"))</x:f>
        <x:v>No</x:v>
      </x:c>
      <x:c r="AB1173" s="253" t="str">
        <x:f>IF(W1173="No","Maturing",IF(AND(U1173="Yes",Z1173&gt;0),"Yes","No"))</x:f>
        <x:v>No</x:v>
      </x:c>
      <x:c r="AC1173" s="265" t="n">
        <x:v>-689.65</x:v>
      </x:c>
      <x:c r="AD1173" s="265" t="n">
        <x:v>-689.65</x:v>
      </x:c>
      <x:c r="AE1173" s="271" t="str"/>
      <x:c r="AF1173" s="274" t="str">
        <x:v>Not validated - no control/holdout</x:v>
      </x:c>
      <x:c r="AG1173" s="277" t="str">
        <x:v>Recovered execution only; assignment date and unclaimed-offer denominator unavailable</x:v>
      </x:c>
    </x:row>
    <x:row r="1174">
      <x:c r="A1174" s="252" t="str">
        <x:v>34806059</x:v>
      </x:c>
      <x:c r="B1174" s="253" t="str">
        <x:v>WS1</x:v>
      </x:c>
      <x:c r="C1174" s="253" t="str">
        <x:v>MB8</x:v>
      </x:c>
      <x:c r="D1174" s="262" t="n">
        <x:v>46205.573969907404</x:v>
      </x:c>
      <x:c r="E1174" s="259" t="n">
        <x:v>46205.166666666664</x:v>
      </x:c>
      <x:c r="F1174" s="253" t="str">
        <x:v>600601</x:v>
      </x:c>
      <x:c r="G1174" s="253" t="str">
        <x:v>kcj199</x:v>
      </x:c>
      <x:c r="H1174" s="253" t="str">
        <x:v>Yes</x:v>
      </x:c>
      <x:c r="I1174" s="253" t="str"/>
      <x:c r="J1174" s="253" t="str"/>
      <x:c r="K1174" s="259"/>
      <x:c r="L1174" s="268" t="str">
        <x:f>IFERROR(VLOOKUP(I1174,'Handler-Team Map'!$A$7:$C$17,2,FALSE),"")</x:f>
      </x:c>
      <x:c r="M1174" s="268" t="str">
        <x:f>IFERROR(VLOOKUP(I1174,'Handler-Team Map'!$A$7:$C$17,3,FALSE),"")</x:f>
      </x:c>
      <x:c r="N1174" s="274" t="str">
        <x:v>FT_VM_DEP600_GET200_5X</x:v>
      </x:c>
      <x:c r="O1174" s="274" t="str">
        <x:v>VIP BONUS - Deposit 600 Get 200 - 5x TO</x:v>
      </x:c>
      <x:c r="P1174" s="274" t="str">
        <x:v>DepositBonus</x:v>
      </x:c>
      <x:c r="Q1174" s="274" t="str">
        <x:v>Approved</x:v>
      </x:c>
      <x:c r="R1174" s="265" t="n">
        <x:v>200</x:v>
      </x:c>
      <x:c r="S1174" s="253" t="str">
        <x:v>Yes</x:v>
      </x:c>
      <x:c r="T1174" s="265" t="n">
        <x:v>1000</x:v>
      </x:c>
      <x:c r="U1174" s="253" t="str">
        <x:f>IF(AND(S1174="Yes",T1174=0),"Yes","No")</x:f>
        <x:v>No</x:v>
      </x:c>
      <x:c r="V1174" s="253" t="str">
        <x:v>Yes</x:v>
      </x:c>
      <x:c r="W1174" s="253" t="str">
        <x:v>Yes</x:v>
      </x:c>
      <x:c r="X1174" s="259" t="n">
        <x:v>46205.166666666664</x:v>
      </x:c>
      <x:c r="Y1174" s="265" t="n">
        <x:v>600</x:v>
      </x:c>
      <x:c r="Z1174" s="265" t="n">
        <x:v>1100</x:v>
      </x:c>
      <x:c r="AA1174" s="253" t="str">
        <x:f>IF(V1174="No","Maturing",IF(AND(U1174="Yes",Y1174&gt;0),"Yes","No"))</x:f>
        <x:v>No</x:v>
      </x:c>
      <x:c r="AB1174" s="253" t="str">
        <x:f>IF(W1174="No","Maturing",IF(AND(U1174="Yes",Z1174&gt;0),"Yes","No"))</x:f>
        <x:v>No</x:v>
      </x:c>
      <x:c r="AC1174" s="265" t="n">
        <x:v>-1058.38</x:v>
      </x:c>
      <x:c r="AD1174" s="265" t="n">
        <x:v>-1320.75</x:v>
      </x:c>
      <x:c r="AE1174" s="271" t="str"/>
      <x:c r="AF1174" s="274" t="str">
        <x:v>Not validated - no control/holdout</x:v>
      </x:c>
      <x:c r="AG1174" s="277" t="str">
        <x:v>Recovered execution only; assignment date and unclaimed-offer denominator unavailable</x:v>
      </x:c>
    </x:row>
    <x:row r="1175">
      <x:c r="A1175" s="252" t="str">
        <x:v>34806142</x:v>
      </x:c>
      <x:c r="B1175" s="253" t="str">
        <x:v>WS1</x:v>
      </x:c>
      <x:c r="C1175" s="253" t="str">
        <x:v>MB8</x:v>
      </x:c>
      <x:c r="D1175" s="262" t="n">
        <x:v>46205.57881944445</x:v>
      </x:c>
      <x:c r="E1175" s="259" t="n">
        <x:v>46205.166666666664</x:v>
      </x:c>
      <x:c r="F1175" s="253" t="str">
        <x:v>236435</x:v>
      </x:c>
      <x:c r="G1175" s="253" t="str">
        <x:v>gslee116</x:v>
      </x:c>
      <x:c r="H1175" s="253" t="str">
        <x:v>Yes</x:v>
      </x:c>
      <x:c r="I1175" s="253" t="str">
        <x:v>Elda</x:v>
      </x:c>
      <x:c r="J1175" s="253" t="str">
        <x:v>Elda</x:v>
      </x:c>
      <x:c r="K1175" s="259" t="n">
        <x:v>45790.166666666664</x:v>
      </x:c>
      <x:c r="L1175" s="268" t="str">
        <x:f>IFERROR(VLOOKUP(I1175,'Handler-Team Map'!$A$7:$C$17,2,FALSE),"")</x:f>
      </x:c>
      <x:c r="M1175" s="268" t="str">
        <x:f>IFERROR(VLOOKUP(I1175,'Handler-Team Map'!$A$7:$C$17,3,FALSE),"")</x:f>
      </x:c>
      <x:c r="N1175" s="274" t="str">
        <x:v>FT_VM_DEP1000_GET500_5X</x:v>
      </x:c>
      <x:c r="O1175" s="274" t="str">
        <x:v>VIP BONUS - Deposit 1000 Get 500 - 5x TO</x:v>
      </x:c>
      <x:c r="P1175" s="274" t="str">
        <x:v>DepositBonus</x:v>
      </x:c>
      <x:c r="Q1175" s="274" t="str">
        <x:v>Approved</x:v>
      </x:c>
      <x:c r="R1175" s="265" t="n">
        <x:v>500</x:v>
      </x:c>
      <x:c r="S1175" s="253" t="str">
        <x:v>Yes</x:v>
      </x:c>
      <x:c r="T1175" s="265" t="n">
        <x:v>77232.38</x:v>
      </x:c>
      <x:c r="U1175" s="253" t="str">
        <x:f>IF(AND(S1175="Yes",T1175=0),"Yes","No")</x:f>
        <x:v>No</x:v>
      </x:c>
      <x:c r="V1175" s="253" t="str">
        <x:v>Yes</x:v>
      </x:c>
      <x:c r="W1175" s="253" t="str">
        <x:v>Yes</x:v>
      </x:c>
      <x:c r="X1175" s="259" t="n">
        <x:v>46205.166666666664</x:v>
      </x:c>
      <x:c r="Y1175" s="265" t="n">
        <x:v>39550</x:v>
      </x:c>
      <x:c r="Z1175" s="265" t="n">
        <x:v>69579.83</x:v>
      </x:c>
      <x:c r="AA1175" s="253" t="str">
        <x:f>IF(V1175="No","Maturing",IF(AND(U1175="Yes",Y1175&gt;0),"Yes","No"))</x:f>
        <x:v>No</x:v>
      </x:c>
      <x:c r="AB1175" s="253" t="str">
        <x:f>IF(W1175="No","Maturing",IF(AND(U1175="Yes",Z1175&gt;0),"Yes","No"))</x:f>
        <x:v>No</x:v>
      </x:c>
      <x:c r="AC1175" s="265" t="n">
        <x:v>35123.05</x:v>
      </x:c>
      <x:c r="AD1175" s="265" t="n">
        <x:v>65153.21</x:v>
      </x:c>
      <x:c r="AE1175" s="271" t="str"/>
      <x:c r="AF1175" s="274" t="str">
        <x:v>Not validated - no control/holdout</x:v>
      </x:c>
      <x:c r="AG1175" s="277" t="str">
        <x:v>Recovered execution only; assignment date and unclaimed-offer denominator unavailable</x:v>
      </x:c>
    </x:row>
    <x:row r="1176">
      <x:c r="A1176" s="252" t="str">
        <x:v>34806229</x:v>
      </x:c>
      <x:c r="B1176" s="253" t="str">
        <x:v>WS1</x:v>
      </x:c>
      <x:c r="C1176" s="253" t="str">
        <x:v>MB8</x:v>
      </x:c>
      <x:c r="D1176" s="262" t="n">
        <x:v>46205.58458333334</x:v>
      </x:c>
      <x:c r="E1176" s="259" t="n">
        <x:v>46205.166666666664</x:v>
      </x:c>
      <x:c r="F1176" s="253" t="str">
        <x:v>218256</x:v>
      </x:c>
      <x:c r="G1176" s="253" t="str">
        <x:v>Bobby2626</x:v>
      </x:c>
      <x:c r="H1176" s="253" t="str">
        <x:v>Yes</x:v>
      </x:c>
      <x:c r="I1176" s="253" t="str">
        <x:v>Elda</x:v>
      </x:c>
      <x:c r="J1176" s="253" t="str">
        <x:v>Elda</x:v>
      </x:c>
      <x:c r="K1176" s="259" t="n">
        <x:v>45659.166666666664</x:v>
      </x:c>
      <x:c r="L1176" s="268" t="str">
        <x:f>IFERROR(VLOOKUP(I1176,'Handler-Team Map'!$A$7:$C$17,2,FALSE),"")</x:f>
      </x:c>
      <x:c r="M1176" s="268" t="str">
        <x:f>IFERROR(VLOOKUP(I1176,'Handler-Team Map'!$A$7:$C$17,3,FALSE),"")</x:f>
      </x:c>
      <x:c r="N1176" s="274" t="str">
        <x:v>FT_VM_DEP1000_GET500_5X</x:v>
      </x:c>
      <x:c r="O1176" s="274" t="str">
        <x:v>VIP BONUS - Deposit 1000 Get 500 - 5x TO</x:v>
      </x:c>
      <x:c r="P1176" s="274" t="str">
        <x:v>DepositBonus</x:v>
      </x:c>
      <x:c r="Q1176" s="274" t="str">
        <x:v>Approved</x:v>
      </x:c>
      <x:c r="R1176" s="265" t="n">
        <x:v>500</x:v>
      </x:c>
      <x:c r="S1176" s="253" t="str">
        <x:v>Yes</x:v>
      </x:c>
      <x:c r="T1176" s="265" t="n">
        <x:v>63300</x:v>
      </x:c>
      <x:c r="U1176" s="253" t="str">
        <x:f>IF(AND(S1176="Yes",T1176=0),"Yes","No")</x:f>
        <x:v>No</x:v>
      </x:c>
      <x:c r="V1176" s="253" t="str">
        <x:v>Yes</x:v>
      </x:c>
      <x:c r="W1176" s="253" t="str">
        <x:v>Yes</x:v>
      </x:c>
      <x:c r="X1176" s="259" t="n">
        <x:v>46205.166666666664</x:v>
      </x:c>
      <x:c r="Y1176" s="265" t="n">
        <x:v>45000</x:v>
      </x:c>
      <x:c r="Z1176" s="265" t="n">
        <x:v>50000</x:v>
      </x:c>
      <x:c r="AA1176" s="253" t="str">
        <x:f>IF(V1176="No","Maturing",IF(AND(U1176="Yes",Y1176&gt;0),"Yes","No"))</x:f>
        <x:v>No</x:v>
      </x:c>
      <x:c r="AB1176" s="253" t="str">
        <x:f>IF(W1176="No","Maturing",IF(AND(U1176="Yes",Z1176&gt;0),"Yes","No"))</x:f>
        <x:v>No</x:v>
      </x:c>
      <x:c r="AC1176" s="265" t="n">
        <x:v>42164.96</x:v>
      </x:c>
      <x:c r="AD1176" s="265" t="n">
        <x:v>42180.98</x:v>
      </x:c>
      <x:c r="AE1176" s="271" t="str"/>
      <x:c r="AF1176" s="274" t="str">
        <x:v>Not validated - no control/holdout</x:v>
      </x:c>
      <x:c r="AG1176" s="277" t="str">
        <x:v>Recovered execution only; assignment date and unclaimed-offer denominator unavailable</x:v>
      </x:c>
    </x:row>
    <x:row r="1177">
      <x:c r="A1177" s="252" t="str">
        <x:v>34808371</x:v>
      </x:c>
      <x:c r="B1177" s="253" t="str">
        <x:v>WS1</x:v>
      </x:c>
      <x:c r="C1177" s="253" t="str">
        <x:v>MB8</x:v>
      </x:c>
      <x:c r="D1177" s="262" t="n">
        <x:v>46205.73292824074</x:v>
      </x:c>
      <x:c r="E1177" s="259" t="n">
        <x:v>46205.166666666664</x:v>
      </x:c>
      <x:c r="F1177" s="253" t="str">
        <x:v>303206</x:v>
      </x:c>
      <x:c r="G1177" s="253" t="str">
        <x:v>SEKIRO021</x:v>
      </x:c>
      <x:c r="H1177" s="253" t="str">
        <x:v>Yes</x:v>
      </x:c>
      <x:c r="I1177" s="253" t="str">
        <x:v>zhen</x:v>
      </x:c>
      <x:c r="J1177" s="253" t="str">
        <x:v>zhen</x:v>
      </x:c>
      <x:c r="K1177" s="259" t="n">
        <x:v>45831.166666666664</x:v>
      </x:c>
      <x:c r="L1177" s="268" t="str">
        <x:f>IFERROR(VLOOKUP(I1177,'Handler-Team Map'!$A$7:$C$17,2,FALSE),"")</x:f>
      </x:c>
      <x:c r="M1177" s="268" t="str">
        <x:f>IFERROR(VLOOKUP(I1177,'Handler-Team Map'!$A$7:$C$17,3,FALSE),"")</x:f>
      </x:c>
      <x:c r="N1177" s="274" t="str">
        <x:v>FT_VM_DEP1000_GET700_2X</x:v>
      </x:c>
      <x:c r="O1177" s="274" t="str">
        <x:v>VIP BONUS - Deposit 1000 Get 700 - 2x TO</x:v>
      </x:c>
      <x:c r="P1177" s="274" t="str">
        <x:v>DepositBonus</x:v>
      </x:c>
      <x:c r="Q1177" s="274" t="str">
        <x:v>Approved</x:v>
      </x:c>
      <x:c r="R1177" s="265" t="n">
        <x:v>700</x:v>
      </x:c>
      <x:c r="S1177" s="253" t="str">
        <x:v>Yes</x:v>
      </x:c>
      <x:c r="T1177" s="265" t="n">
        <x:v>1000</x:v>
      </x:c>
      <x:c r="U1177" s="253" t="str">
        <x:f>IF(AND(S1177="Yes",T1177=0),"Yes","No")</x:f>
        <x:v>No</x:v>
      </x:c>
      <x:c r="V1177" s="253" t="str">
        <x:v>Yes</x:v>
      </x:c>
      <x:c r="W1177" s="253" t="str">
        <x:v>Yes</x:v>
      </x:c>
      <x:c r="X1177" s="259" t="n">
        <x:v>46205.166666666664</x:v>
      </x:c>
      <x:c r="Y1177" s="265" t="n">
        <x:v>1000</x:v>
      </x:c>
      <x:c r="Z1177" s="265" t="n">
        <x:v>2000</x:v>
      </x:c>
      <x:c r="AA1177" s="253" t="str">
        <x:f>IF(V1177="No","Maturing",IF(AND(U1177="Yes",Y1177&gt;0),"Yes","No"))</x:f>
        <x:v>No</x:v>
      </x:c>
      <x:c r="AB1177" s="253" t="str">
        <x:f>IF(W1177="No","Maturing",IF(AND(U1177="Yes",Z1177&gt;0),"Yes","No"))</x:f>
        <x:v>No</x:v>
      </x:c>
      <x:c r="AC1177" s="265" t="n">
        <x:v>1000</x:v>
      </x:c>
      <x:c r="AD1177" s="265" t="n">
        <x:v>2000</x:v>
      </x:c>
      <x:c r="AE1177" s="271" t="str"/>
      <x:c r="AF1177" s="274" t="str">
        <x:v>Not validated - no control/holdout</x:v>
      </x:c>
      <x:c r="AG1177" s="277" t="str">
        <x:v>Recovered execution only; assignment date and unclaimed-offer denominator unavailable</x:v>
      </x:c>
    </x:row>
    <x:row r="1178">
      <x:c r="A1178" s="252" t="str">
        <x:v>34808559</x:v>
      </x:c>
      <x:c r="B1178" s="253" t="str">
        <x:v>WS1</x:v>
      </x:c>
      <x:c r="C1178" s="253" t="str">
        <x:v>MB8</x:v>
      </x:c>
      <x:c r="D1178" s="262" t="n">
        <x:v>46205.74366898148</x:v>
      </x:c>
      <x:c r="E1178" s="259" t="n">
        <x:v>46205.166666666664</x:v>
      </x:c>
      <x:c r="F1178" s="253" t="str">
        <x:v>441785</x:v>
      </x:c>
      <x:c r="G1178" s="253" t="str">
        <x:v>0163200565nm</x:v>
      </x:c>
      <x:c r="H1178" s="253" t="str">
        <x:v>Yes</x:v>
      </x:c>
      <x:c r="I1178" s="253" t="str">
        <x:v>Jiahui</x:v>
      </x:c>
      <x:c r="J1178" s="253" t="str">
        <x:v>Jiahui</x:v>
      </x:c>
      <x:c r="K1178" s="259" t="n">
        <x:v>45811.166666666664</x:v>
      </x:c>
      <x:c r="L1178" s="268" t="str">
        <x:f>IFERROR(VLOOKUP(I1178,'Handler-Team Map'!$A$7:$C$17,2,FALSE),"")</x:f>
      </x:c>
      <x:c r="M1178" s="268" t="str">
        <x:f>IFERROR(VLOOKUP(I1178,'Handler-Team Map'!$A$7:$C$17,3,FALSE),"")</x:f>
      </x:c>
      <x:c r="N1178" s="274" t="str">
        <x:v>FT_VM_DEP1000_GET500_1X</x:v>
      </x:c>
      <x:c r="O1178" s="274" t="str">
        <x:v>VIP BONUS - Deposit 1000 Get 500 - 1x TO</x:v>
      </x:c>
      <x:c r="P1178" s="274" t="str">
        <x:v>DepositBonus</x:v>
      </x:c>
      <x:c r="Q1178" s="274" t="str">
        <x:v>Approved</x:v>
      </x:c>
      <x:c r="R1178" s="265" t="n">
        <x:v>500</x:v>
      </x:c>
      <x:c r="S1178" s="253" t="str">
        <x:v>Yes</x:v>
      </x:c>
      <x:c r="T1178" s="265" t="n">
        <x:v>0</x:v>
      </x:c>
      <x:c r="U1178" s="253" t="str">
        <x:f>IF(AND(S1178="Yes",T1178=0),"Yes","No")</x:f>
        <x:v>Yes</x:v>
      </x:c>
      <x:c r="V1178" s="253" t="str">
        <x:v>Yes</x:v>
      </x:c>
      <x:c r="W1178" s="253" t="str">
        <x:v>Yes</x:v>
      </x:c>
      <x:c r="X1178" s="259" t="n">
        <x:v>46205.166666666664</x:v>
      </x:c>
      <x:c r="Y1178" s="265" t="n">
        <x:v>1000</x:v>
      </x:c>
      <x:c r="Z1178" s="265" t="n">
        <x:v>1190</x:v>
      </x:c>
      <x:c r="AA1178" s="253" t="str">
        <x:f>IF(V1178="No","Maturing",IF(AND(U1178="Yes",Y1178&gt;0),"Yes","No"))</x:f>
        <x:v>Yes</x:v>
      </x:c>
      <x:c r="AB1178" s="253" t="str">
        <x:f>IF(W1178="No","Maturing",IF(AND(U1178="Yes",Z1178&gt;0),"Yes","No"))</x:f>
        <x:v>Yes</x:v>
      </x:c>
      <x:c r="AC1178" s="265" t="n">
        <x:v>478.87</x:v>
      </x:c>
      <x:c r="AD1178" s="265" t="n">
        <x:v>668.34</x:v>
      </x:c>
      <x:c r="AE1178" s="271" t="str"/>
      <x:c r="AF1178" s="274" t="str">
        <x:v>Not validated - no control/holdout</x:v>
      </x:c>
      <x:c r="AG1178" s="277" t="str">
        <x:v>Recovered execution only; assignment date and unclaimed-offer denominator unavailable</x:v>
      </x:c>
    </x:row>
    <x:row r="1179">
      <x:c r="A1179" s="252" t="str">
        <x:v>34810651</x:v>
      </x:c>
      <x:c r="B1179" s="253" t="str">
        <x:v>WS1</x:v>
      </x:c>
      <x:c r="C1179" s="253" t="str">
        <x:v>MB8</x:v>
      </x:c>
      <x:c r="D1179" s="262" t="n">
        <x:v>46205.88451388889</x:v>
      </x:c>
      <x:c r="E1179" s="259" t="n">
        <x:v>46205.166666666664</x:v>
      </x:c>
      <x:c r="F1179" s="253" t="str">
        <x:v>1008481</x:v>
      </x:c>
      <x:c r="G1179" s="253" t="str">
        <x:v>OZKzk0907</x:v>
      </x:c>
      <x:c r="H1179" s="253" t="str">
        <x:v>Yes</x:v>
      </x:c>
      <x:c r="I1179" s="253" t="str">
        <x:v>Mikki</x:v>
      </x:c>
      <x:c r="J1179" s="253" t="str">
        <x:v>Mikki</x:v>
      </x:c>
      <x:c r="K1179" s="259" t="n">
        <x:v>45993.166666666664</x:v>
      </x:c>
      <x:c r="L1179" s="268" t="str">
        <x:f>IFERROR(VLOOKUP(I1179,'Handler-Team Map'!$A$7:$C$17,2,FALSE),"")</x:f>
      </x:c>
      <x:c r="M1179" s="268" t="str">
        <x:f>IFERROR(VLOOKUP(I1179,'Handler-Team Map'!$A$7:$C$17,3,FALSE),"")</x:f>
      </x:c>
      <x:c r="N1179" s="274" t="str">
        <x:v>FT_VM_DEP600_GET200_5X</x:v>
      </x:c>
      <x:c r="O1179" s="274" t="str">
        <x:v>VIP BONUS - Deposit 600 Get 200 - 5x TO</x:v>
      </x:c>
      <x:c r="P1179" s="274" t="str">
        <x:v>DepositBonus</x:v>
      </x:c>
      <x:c r="Q1179" s="274" t="str">
        <x:v>Approved</x:v>
      </x:c>
      <x:c r="R1179" s="265" t="n">
        <x:v>200</x:v>
      </x:c>
      <x:c r="S1179" s="253" t="str">
        <x:v>Yes</x:v>
      </x:c>
      <x:c r="T1179" s="265" t="n">
        <x:v>0</x:v>
      </x:c>
      <x:c r="U1179" s="253" t="str">
        <x:f>IF(AND(S1179="Yes",T1179=0),"Yes","No")</x:f>
        <x:v>Yes</x:v>
      </x:c>
      <x:c r="V1179" s="253" t="str">
        <x:v>Yes</x:v>
      </x:c>
      <x:c r="W1179" s="253" t="str">
        <x:v>Yes</x:v>
      </x:c>
      <x:c r="X1179" s="259" t="n">
        <x:v>46205.166666666664</x:v>
      </x:c>
      <x:c r="Y1179" s="265" t="n">
        <x:v>600</x:v>
      </x:c>
      <x:c r="Z1179" s="265" t="n">
        <x:v>600</x:v>
      </x:c>
      <x:c r="AA1179" s="253" t="str">
        <x:f>IF(V1179="No","Maturing",IF(AND(U1179="Yes",Y1179&gt;0),"Yes","No"))</x:f>
        <x:v>Yes</x:v>
      </x:c>
      <x:c r="AB1179" s="253" t="str">
        <x:f>IF(W1179="No","Maturing",IF(AND(U1179="Yes",Z1179&gt;0),"Yes","No"))</x:f>
        <x:v>Yes</x:v>
      </x:c>
      <x:c r="AC1179" s="265" t="n">
        <x:v>-287.87</x:v>
      </x:c>
      <x:c r="AD1179" s="265" t="n">
        <x:v>-287.87</x:v>
      </x:c>
      <x:c r="AE1179" s="271" t="str"/>
      <x:c r="AF1179" s="274" t="str">
        <x:v>Not validated - no control/holdout</x:v>
      </x:c>
      <x:c r="AG1179" s="277" t="str">
        <x:v>Recovered execution only; assignment date and unclaimed-offer denominator unavailable</x:v>
      </x:c>
    </x:row>
    <x:row r="1180">
      <x:c r="A1180" s="252" t="str">
        <x:v>34817906</x:v>
      </x:c>
      <x:c r="B1180" s="253" t="str">
        <x:v>WS1</x:v>
      </x:c>
      <x:c r="C1180" s="253" t="str">
        <x:v>MB8</x:v>
      </x:c>
      <x:c r="D1180" s="262" t="n">
        <x:v>46206.485914351855</x:v>
      </x:c>
      <x:c r="E1180" s="259" t="n">
        <x:v>46206.166666666664</x:v>
      </x:c>
      <x:c r="F1180" s="253" t="str">
        <x:v>809424</x:v>
      </x:c>
      <x:c r="G1180" s="253" t="str">
        <x:v>yeamwc</x:v>
      </x:c>
      <x:c r="H1180" s="253" t="str">
        <x:v>Yes</x:v>
      </x:c>
      <x:c r="I1180" s="253" t="str">
        <x:v>Elda</x:v>
      </x:c>
      <x:c r="J1180" s="253" t="str">
        <x:v>Elda</x:v>
      </x:c>
      <x:c r="K1180" s="259" t="n">
        <x:v>45659.166666666664</x:v>
      </x:c>
      <x:c r="L1180" s="268" t="str">
        <x:f>IFERROR(VLOOKUP(I1180,'Handler-Team Map'!$A$7:$C$17,2,FALSE),"")</x:f>
      </x:c>
      <x:c r="M1180" s="268" t="str">
        <x:f>IFERROR(VLOOKUP(I1180,'Handler-Team Map'!$A$7:$C$17,3,FALSE),"")</x:f>
      </x:c>
      <x:c r="N1180" s="274" t="str">
        <x:v>FT_VM_DEP1000_GET500_5X</x:v>
      </x:c>
      <x:c r="O1180" s="274" t="str">
        <x:v>VIP BONUS - Deposit 1000 Get 500 - 5x TO</x:v>
      </x:c>
      <x:c r="P1180" s="274" t="str">
        <x:v>DepositBonus</x:v>
      </x:c>
      <x:c r="Q1180" s="274" t="str">
        <x:v>Approved</x:v>
      </x:c>
      <x:c r="R1180" s="265" t="n">
        <x:v>500</x:v>
      </x:c>
      <x:c r="S1180" s="253" t="str">
        <x:v>Yes</x:v>
      </x:c>
      <x:c r="T1180" s="265" t="n">
        <x:v>98845</x:v>
      </x:c>
      <x:c r="U1180" s="253" t="str">
        <x:f>IF(AND(S1180="Yes",T1180=0),"Yes","No")</x:f>
        <x:v>No</x:v>
      </x:c>
      <x:c r="V1180" s="253" t="str">
        <x:v>Yes</x:v>
      </x:c>
      <x:c r="W1180" s="253" t="str">
        <x:v>Yes</x:v>
      </x:c>
      <x:c r="X1180" s="259" t="n">
        <x:v>46206.166666666664</x:v>
      </x:c>
      <x:c r="Y1180" s="265" t="n">
        <x:v>15600</x:v>
      </x:c>
      <x:c r="Z1180" s="265" t="n">
        <x:v>35600</x:v>
      </x:c>
      <x:c r="AA1180" s="253" t="str">
        <x:f>IF(V1180="No","Maturing",IF(AND(U1180="Yes",Y1180&gt;0),"Yes","No"))</x:f>
        <x:v>No</x:v>
      </x:c>
      <x:c r="AB1180" s="253" t="str">
        <x:f>IF(W1180="No","Maturing",IF(AND(U1180="Yes",Z1180&gt;0),"Yes","No"))</x:f>
        <x:v>No</x:v>
      </x:c>
      <x:c r="AC1180" s="265" t="n">
        <x:v>-19536.08</x:v>
      </x:c>
      <x:c r="AD1180" s="265" t="n">
        <x:v>-49897.37</x:v>
      </x:c>
      <x:c r="AE1180" s="271" t="str"/>
      <x:c r="AF1180" s="274" t="str">
        <x:v>Not validated - no control/holdout</x:v>
      </x:c>
      <x:c r="AG1180" s="277" t="str">
        <x:v>Recovered execution only; assignment date and unclaimed-offer denominator unavailable</x:v>
      </x:c>
    </x:row>
    <x:row r="1181">
      <x:c r="A1181" s="252" t="str">
        <x:v>34818075</x:v>
      </x:c>
      <x:c r="B1181" s="253" t="str">
        <x:v>WS1</x:v>
      </x:c>
      <x:c r="C1181" s="253" t="str">
        <x:v>MB8</x:v>
      </x:c>
      <x:c r="D1181" s="262" t="n">
        <x:v>46206.50241898148</x:v>
      </x:c>
      <x:c r="E1181" s="259" t="n">
        <x:v>46206.166666666664</x:v>
      </x:c>
      <x:c r="F1181" s="253" t="str">
        <x:v>511078</x:v>
      </x:c>
      <x:c r="G1181" s="253" t="str">
        <x:v>lchuan96</x:v>
      </x:c>
      <x:c r="H1181" s="253" t="str">
        <x:v>Yes</x:v>
      </x:c>
      <x:c r="I1181" s="253" t="str">
        <x:v>Sheena</x:v>
      </x:c>
      <x:c r="J1181" s="253" t="str">
        <x:v>Sheena</x:v>
      </x:c>
      <x:c r="K1181" s="259" t="n">
        <x:v>45852.166666666664</x:v>
      </x:c>
      <x:c r="L1181" s="268" t="str">
        <x:f>IFERROR(VLOOKUP(I1181,'Handler-Team Map'!$A$7:$C$17,2,FALSE),"")</x:f>
      </x:c>
      <x:c r="M1181" s="268" t="str">
        <x:f>IFERROR(VLOOKUP(I1181,'Handler-Team Map'!$A$7:$C$17,3,FALSE),"")</x:f>
      </x:c>
      <x:c r="N1181" s="274" t="str">
        <x:v>FT_VM_DEP1000_GET500_5X</x:v>
      </x:c>
      <x:c r="O1181" s="274" t="str">
        <x:v>VIP BONUS - Deposit 1000 Get 500 - 5x TO</x:v>
      </x:c>
      <x:c r="P1181" s="274" t="str">
        <x:v>DepositBonus</x:v>
      </x:c>
      <x:c r="Q1181" s="274" t="str">
        <x:v>Approved</x:v>
      </x:c>
      <x:c r="R1181" s="265" t="n">
        <x:v>500</x:v>
      </x:c>
      <x:c r="S1181" s="253" t="str">
        <x:v>Yes</x:v>
      </x:c>
      <x:c r="T1181" s="265" t="n">
        <x:v>5000</x:v>
      </x:c>
      <x:c r="U1181" s="253" t="str">
        <x:f>IF(AND(S1181="Yes",T1181=0),"Yes","No")</x:f>
        <x:v>No</x:v>
      </x:c>
      <x:c r="V1181" s="253" t="str">
        <x:v>Yes</x:v>
      </x:c>
      <x:c r="W1181" s="253" t="str">
        <x:v>Yes</x:v>
      </x:c>
      <x:c r="X1181" s="259" t="n">
        <x:v>46206.166666666664</x:v>
      </x:c>
      <x:c r="Y1181" s="265" t="n">
        <x:v>3000</x:v>
      </x:c>
      <x:c r="Z1181" s="265" t="n">
        <x:v>3000</x:v>
      </x:c>
      <x:c r="AA1181" s="253" t="str">
        <x:f>IF(V1181="No","Maturing",IF(AND(U1181="Yes",Y1181&gt;0),"Yes","No"))</x:f>
        <x:v>No</x:v>
      </x:c>
      <x:c r="AB1181" s="253" t="str">
        <x:f>IF(W1181="No","Maturing",IF(AND(U1181="Yes",Z1181&gt;0),"Yes","No"))</x:f>
        <x:v>No</x:v>
      </x:c>
      <x:c r="AC1181" s="265" t="n">
        <x:v>2958.87</x:v>
      </x:c>
      <x:c r="AD1181" s="265" t="n">
        <x:v>2958.87</x:v>
      </x:c>
      <x:c r="AE1181" s="271" t="str"/>
      <x:c r="AF1181" s="274" t="str">
        <x:v>Not validated - no control/holdout</x:v>
      </x:c>
      <x:c r="AG1181" s="277" t="str">
        <x:v>Recovered execution only; assignment date and unclaimed-offer denominator unavailable</x:v>
      </x:c>
    </x:row>
    <x:row r="1182">
      <x:c r="A1182" s="252" t="str">
        <x:v>34820427</x:v>
      </x:c>
      <x:c r="B1182" s="253" t="str">
        <x:v>WS1</x:v>
      </x:c>
      <x:c r="C1182" s="253" t="str">
        <x:v>MB8</x:v>
      </x:c>
      <x:c r="D1182" s="262" t="n">
        <x:v>46206.683599537035</x:v>
      </x:c>
      <x:c r="E1182" s="259" t="n">
        <x:v>46206.166666666664</x:v>
      </x:c>
      <x:c r="F1182" s="253" t="str">
        <x:v>108627</x:v>
      </x:c>
      <x:c r="G1182" s="253" t="str">
        <x:v>aliceliang84</x:v>
      </x:c>
      <x:c r="H1182" s="253" t="str">
        <x:v>Yes</x:v>
      </x:c>
      <x:c r="I1182" s="253" t="str">
        <x:v>Serene</x:v>
      </x:c>
      <x:c r="J1182" s="253" t="str">
        <x:v>Serene</x:v>
      </x:c>
      <x:c r="K1182" s="259" t="n">
        <x:v>45831.166666666664</x:v>
      </x:c>
      <x:c r="L1182" s="268" t="str">
        <x:f>IFERROR(VLOOKUP(I1182,'Handler-Team Map'!$A$7:$C$17,2,FALSE),"")</x:f>
      </x:c>
      <x:c r="M1182" s="268" t="str">
        <x:f>IFERROR(VLOOKUP(I1182,'Handler-Team Map'!$A$7:$C$17,3,FALSE),"")</x:f>
      </x:c>
      <x:c r="N1182" s="274" t="str">
        <x:v>FT_VM_DEP1000_GET800_2X</x:v>
      </x:c>
      <x:c r="O1182" s="274" t="str">
        <x:v>VIP BONUS - Deposit 1000 Get 800 - 2x TO</x:v>
      </x:c>
      <x:c r="P1182" s="274" t="str">
        <x:v>DepositBonus</x:v>
      </x:c>
      <x:c r="Q1182" s="274" t="str">
        <x:v>Approved</x:v>
      </x:c>
      <x:c r="R1182" s="265" t="n">
        <x:v>800</x:v>
      </x:c>
      <x:c r="S1182" s="253" t="str">
        <x:v>Yes</x:v>
      </x:c>
      <x:c r="T1182" s="265" t="n">
        <x:v>1000</x:v>
      </x:c>
      <x:c r="U1182" s="253" t="str">
        <x:f>IF(AND(S1182="Yes",T1182=0),"Yes","No")</x:f>
        <x:v>No</x:v>
      </x:c>
      <x:c r="V1182" s="253" t="str">
        <x:v>Yes</x:v>
      </x:c>
      <x:c r="W1182" s="253" t="str">
        <x:v>Yes</x:v>
      </x:c>
      <x:c r="X1182" s="259" t="n">
        <x:v>46206.166666666664</x:v>
      </x:c>
      <x:c r="Y1182" s="265" t="n">
        <x:v>1000</x:v>
      </x:c>
      <x:c r="Z1182" s="265" t="n">
        <x:v>1000</x:v>
      </x:c>
      <x:c r="AA1182" s="253" t="str">
        <x:f>IF(V1182="No","Maturing",IF(AND(U1182="Yes",Y1182&gt;0),"Yes","No"))</x:f>
        <x:v>No</x:v>
      </x:c>
      <x:c r="AB1182" s="253" t="str">
        <x:f>IF(W1182="No","Maturing",IF(AND(U1182="Yes",Z1182&gt;0),"Yes","No"))</x:f>
        <x:v>No</x:v>
      </x:c>
      <x:c r="AC1182" s="265" t="n">
        <x:v>-1513.58</x:v>
      </x:c>
      <x:c r="AD1182" s="265" t="n">
        <x:v>-1513.58</x:v>
      </x:c>
      <x:c r="AE1182" s="271" t="str"/>
      <x:c r="AF1182" s="274" t="str">
        <x:v>Not validated - no control/holdout</x:v>
      </x:c>
      <x:c r="AG1182" s="277" t="str">
        <x:v>Recovered execution only; assignment date and unclaimed-offer denominator unavailable</x:v>
      </x:c>
    </x:row>
    <x:row r="1183">
      <x:c r="A1183" s="252" t="str">
        <x:v>34820527</x:v>
      </x:c>
      <x:c r="B1183" s="253" t="str">
        <x:v>WS1</x:v>
      </x:c>
      <x:c r="C1183" s="253" t="str">
        <x:v>MB8</x:v>
      </x:c>
      <x:c r="D1183" s="262" t="n">
        <x:v>46206.68945601852</x:v>
      </x:c>
      <x:c r="E1183" s="259" t="n">
        <x:v>46206.166666666664</x:v>
      </x:c>
      <x:c r="F1183" s="253" t="str">
        <x:v>587646</x:v>
      </x:c>
      <x:c r="G1183" s="253" t="str">
        <x:v>arilrich</x:v>
      </x:c>
      <x:c r="H1183" s="253" t="str">
        <x:v>Yes</x:v>
      </x:c>
      <x:c r="I1183" s="253" t="str">
        <x:v>Christy</x:v>
      </x:c>
      <x:c r="J1183" s="253" t="str">
        <x:v>Christy</x:v>
      </x:c>
      <x:c r="K1183" s="259" t="n">
        <x:v>45831.166666666664</x:v>
      </x:c>
      <x:c r="L1183" s="268" t="str">
        <x:f>IFERROR(VLOOKUP(I1183,'Handler-Team Map'!$A$7:$C$17,2,FALSE),"")</x:f>
      </x:c>
      <x:c r="M1183" s="268" t="str">
        <x:f>IFERROR(VLOOKUP(I1183,'Handler-Team Map'!$A$7:$C$17,3,FALSE),"")</x:f>
      </x:c>
      <x:c r="N1183" s="274" t="str">
        <x:v>FT_VM_DEP1000_GET500_5X</x:v>
      </x:c>
      <x:c r="O1183" s="274" t="str">
        <x:v>VIP BONUS - Deposit 1000 Get 500 - 5x TO</x:v>
      </x:c>
      <x:c r="P1183" s="274" t="str">
        <x:v>DepositBonus</x:v>
      </x:c>
      <x:c r="Q1183" s="274" t="str">
        <x:v>Approved</x:v>
      </x:c>
      <x:c r="R1183" s="265" t="n">
        <x:v>500</x:v>
      </x:c>
      <x:c r="S1183" s="253" t="str">
        <x:v>Yes</x:v>
      </x:c>
      <x:c r="T1183" s="265" t="n">
        <x:v>3881</x:v>
      </x:c>
      <x:c r="U1183" s="253" t="str">
        <x:f>IF(AND(S1183="Yes",T1183=0),"Yes","No")</x:f>
        <x:v>No</x:v>
      </x:c>
      <x:c r="V1183" s="253" t="str">
        <x:v>Yes</x:v>
      </x:c>
      <x:c r="W1183" s="253" t="str">
        <x:v>Yes</x:v>
      </x:c>
      <x:c r="X1183" s="259" t="n">
        <x:v>46206.166666666664</x:v>
      </x:c>
      <x:c r="Y1183" s="265" t="n">
        <x:v>1430</x:v>
      </x:c>
      <x:c r="Z1183" s="265" t="n">
        <x:v>4700</x:v>
      </x:c>
      <x:c r="AA1183" s="253" t="str">
        <x:f>IF(V1183="No","Maturing",IF(AND(U1183="Yes",Y1183&gt;0),"Yes","No"))</x:f>
        <x:v>No</x:v>
      </x:c>
      <x:c r="AB1183" s="253" t="str">
        <x:f>IF(W1183="No","Maturing",IF(AND(U1183="Yes",Z1183&gt;0),"Yes","No"))</x:f>
        <x:v>No</x:v>
      </x:c>
      <x:c r="AC1183" s="265" t="n">
        <x:v>-1369.49</x:v>
      </x:c>
      <x:c r="AD1183" s="265" t="n">
        <x:v>-98.69</x:v>
      </x:c>
      <x:c r="AE1183" s="271" t="str"/>
      <x:c r="AF1183" s="274" t="str">
        <x:v>Not validated - no control/holdout</x:v>
      </x:c>
      <x:c r="AG1183" s="277" t="str">
        <x:v>Recovered execution only; assignment date and unclaimed-offer denominator unavailable</x:v>
      </x:c>
    </x:row>
    <x:row r="1184">
      <x:c r="A1184" s="252" t="str">
        <x:v>34823440</x:v>
      </x:c>
      <x:c r="B1184" s="253" t="str">
        <x:v>WS1</x:v>
      </x:c>
      <x:c r="C1184" s="253" t="str">
        <x:v>MB8</x:v>
      </x:c>
      <x:c r="D1184" s="262" t="n">
        <x:v>46206.908483796295</x:v>
      </x:c>
      <x:c r="E1184" s="259" t="n">
        <x:v>46206.166666666664</x:v>
      </x:c>
      <x:c r="F1184" s="253" t="str">
        <x:v>32407</x:v>
      </x:c>
      <x:c r="G1184" s="253" t="str">
        <x:v>Arechoy79</x:v>
      </x:c>
      <x:c r="H1184" s="253" t="str">
        <x:v>Yes</x:v>
      </x:c>
      <x:c r="I1184" s="253" t="str">
        <x:v>Kam</x:v>
      </x:c>
      <x:c r="J1184" s="253" t="str">
        <x:v>Kam</x:v>
      </x:c>
      <x:c r="K1184" s="259" t="n">
        <x:v>45817.166666666664</x:v>
      </x:c>
      <x:c r="L1184" s="268" t="str">
        <x:f>IFERROR(VLOOKUP(I1184,'Handler-Team Map'!$A$7:$C$17,2,FALSE),"")</x:f>
      </x:c>
      <x:c r="M1184" s="268" t="str">
        <x:f>IFERROR(VLOOKUP(I1184,'Handler-Team Map'!$A$7:$C$17,3,FALSE),"")</x:f>
      </x:c>
      <x:c r="N1184" s="274" t="str">
        <x:v>FT_VM_DEP1000_GET700_2X</x:v>
      </x:c>
      <x:c r="O1184" s="274" t="str">
        <x:v>VIP BONUS - Deposit 1000 Get 700 - 2x TO</x:v>
      </x:c>
      <x:c r="P1184" s="274" t="str">
        <x:v>DepositBonus</x:v>
      </x:c>
      <x:c r="Q1184" s="274" t="str">
        <x:v>Approved</x:v>
      </x:c>
      <x:c r="R1184" s="265" t="n">
        <x:v>700</x:v>
      </x:c>
      <x:c r="S1184" s="253" t="str">
        <x:v>Yes</x:v>
      </x:c>
      <x:c r="T1184" s="265" t="n">
        <x:v>1000</x:v>
      </x:c>
      <x:c r="U1184" s="253" t="str">
        <x:f>IF(AND(S1184="Yes",T1184=0),"Yes","No")</x:f>
        <x:v>No</x:v>
      </x:c>
      <x:c r="V1184" s="253" t="str">
        <x:v>Yes</x:v>
      </x:c>
      <x:c r="W1184" s="253" t="str">
        <x:v>Yes</x:v>
      </x:c>
      <x:c r="X1184" s="259" t="n">
        <x:v>46206.166666666664</x:v>
      </x:c>
      <x:c r="Y1184" s="265" t="n">
        <x:v>1100</x:v>
      </x:c>
      <x:c r="Z1184" s="265" t="n">
        <x:v>1100</x:v>
      </x:c>
      <x:c r="AA1184" s="253" t="str">
        <x:f>IF(V1184="No","Maturing",IF(AND(U1184="Yes",Y1184&gt;0),"Yes","No"))</x:f>
        <x:v>No</x:v>
      </x:c>
      <x:c r="AB1184" s="253" t="str">
        <x:f>IF(W1184="No","Maturing",IF(AND(U1184="Yes",Z1184&gt;0),"Yes","No"))</x:f>
        <x:v>No</x:v>
      </x:c>
      <x:c r="AC1184" s="265" t="n">
        <x:v>1100.41</x:v>
      </x:c>
      <x:c r="AD1184" s="265" t="n">
        <x:v>1100.41</x:v>
      </x:c>
      <x:c r="AE1184" s="271" t="str"/>
      <x:c r="AF1184" s="274" t="str">
        <x:v>Not validated - no control/holdout</x:v>
      </x:c>
      <x:c r="AG1184" s="277" t="str">
        <x:v>Recovered execution only; assignment date and unclaimed-offer denominator unavailable</x:v>
      </x:c>
    </x:row>
    <x:row r="1185">
      <x:c r="A1185" s="252" t="str">
        <x:v>34823904</x:v>
      </x:c>
      <x:c r="B1185" s="253" t="str">
        <x:v>WS1</x:v>
      </x:c>
      <x:c r="C1185" s="253" t="str">
        <x:v>MB8</x:v>
      </x:c>
      <x:c r="D1185" s="262" t="n">
        <x:v>46206.93303240741</x:v>
      </x:c>
      <x:c r="E1185" s="259" t="n">
        <x:v>46206.166666666664</x:v>
      </x:c>
      <x:c r="F1185" s="253" t="str">
        <x:v>36802</x:v>
      </x:c>
      <x:c r="G1185" s="253" t="str">
        <x:v>Suria82</x:v>
      </x:c>
      <x:c r="H1185" s="253" t="str">
        <x:v>Yes</x:v>
      </x:c>
      <x:c r="I1185" s="253" t="str"/>
      <x:c r="J1185" s="253" t="str"/>
      <x:c r="K1185" s="259"/>
      <x:c r="L1185" s="268" t="str">
        <x:f>IFERROR(VLOOKUP(I1185,'Handler-Team Map'!$A$7:$C$17,2,FALSE),"")</x:f>
      </x:c>
      <x:c r="M1185" s="268" t="str">
        <x:f>IFERROR(VLOOKUP(I1185,'Handler-Team Map'!$A$7:$C$17,3,FALSE),"")</x:f>
      </x:c>
      <x:c r="N1185" s="274" t="str">
        <x:v>FT_VM_DEP1000_GET500_5X</x:v>
      </x:c>
      <x:c r="O1185" s="274" t="str">
        <x:v>VIP BONUS - Deposit 1000 Get 500 - 5x TO</x:v>
      </x:c>
      <x:c r="P1185" s="274" t="str">
        <x:v>DepositBonus</x:v>
      </x:c>
      <x:c r="Q1185" s="274" t="str">
        <x:v>Approved</x:v>
      </x:c>
      <x:c r="R1185" s="265" t="n">
        <x:v>500</x:v>
      </x:c>
      <x:c r="S1185" s="253" t="str">
        <x:v>Yes</x:v>
      </x:c>
      <x:c r="T1185" s="265" t="n">
        <x:v>0</x:v>
      </x:c>
      <x:c r="U1185" s="253" t="str">
        <x:f>IF(AND(S1185="Yes",T1185=0),"Yes","No")</x:f>
        <x:v>Yes</x:v>
      </x:c>
      <x:c r="V1185" s="253" t="str">
        <x:v>Yes</x:v>
      </x:c>
      <x:c r="W1185" s="253" t="str">
        <x:v>Yes</x:v>
      </x:c>
      <x:c r="X1185" s="259" t="n">
        <x:v>46206.166666666664</x:v>
      </x:c>
      <x:c r="Y1185" s="265" t="n">
        <x:v>1000</x:v>
      </x:c>
      <x:c r="Z1185" s="265" t="n">
        <x:v>1000</x:v>
      </x:c>
      <x:c r="AA1185" s="253" t="str">
        <x:f>IF(V1185="No","Maturing",IF(AND(U1185="Yes",Y1185&gt;0),"Yes","No"))</x:f>
        <x:v>Yes</x:v>
      </x:c>
      <x:c r="AB1185" s="253" t="str">
        <x:f>IF(W1185="No","Maturing",IF(AND(U1185="Yes",Z1185&gt;0),"Yes","No"))</x:f>
        <x:v>Yes</x:v>
      </x:c>
      <x:c r="AC1185" s="265" t="n">
        <x:v>1000.21</x:v>
      </x:c>
      <x:c r="AD1185" s="265" t="n">
        <x:v>1000.21</x:v>
      </x:c>
      <x:c r="AE1185" s="271" t="str"/>
      <x:c r="AF1185" s="274" t="str">
        <x:v>Not validated - no control/holdout</x:v>
      </x:c>
      <x:c r="AG1185" s="277" t="str">
        <x:v>Recovered execution only; assignment date and unclaimed-offer denominator unavailable</x:v>
      </x:c>
    </x:row>
    <x:row r="1186">
      <x:c r="A1186" s="252" t="str">
        <x:v>34824445</x:v>
      </x:c>
      <x:c r="B1186" s="253" t="str">
        <x:v>WS1</x:v>
      </x:c>
      <x:c r="C1186" s="253" t="str">
        <x:v>MB8</x:v>
      </x:c>
      <x:c r="D1186" s="262" t="n">
        <x:v>46206.9596875</x:v>
      </x:c>
      <x:c r="E1186" s="259" t="n">
        <x:v>46206.166666666664</x:v>
      </x:c>
      <x:c r="F1186" s="253" t="str">
        <x:v>601544</x:v>
      </x:c>
      <x:c r="G1186" s="253" t="str">
        <x:v>norshasha156</x:v>
      </x:c>
      <x:c r="H1186" s="253" t="str">
        <x:v>Yes</x:v>
      </x:c>
      <x:c r="I1186" s="253" t="str"/>
      <x:c r="J1186" s="253" t="str"/>
      <x:c r="K1186" s="259"/>
      <x:c r="L1186" s="268" t="str">
        <x:f>IFERROR(VLOOKUP(I1186,'Handler-Team Map'!$A$7:$C$17,2,FALSE),"")</x:f>
      </x:c>
      <x:c r="M1186" s="268" t="str">
        <x:f>IFERROR(VLOOKUP(I1186,'Handler-Team Map'!$A$7:$C$17,3,FALSE),"")</x:f>
      </x:c>
      <x:c r="N1186" s="274" t="str">
        <x:v>FT_VM_DEP700_GET300_2X</x:v>
      </x:c>
      <x:c r="O1186" s="274" t="str">
        <x:v>VIP BONUS - Deposit 700 Get 300 - 2x TO</x:v>
      </x:c>
      <x:c r="P1186" s="274" t="str">
        <x:v>DepositBonus</x:v>
      </x:c>
      <x:c r="Q1186" s="274" t="str">
        <x:v>Approved</x:v>
      </x:c>
      <x:c r="R1186" s="265" t="n">
        <x:v>300</x:v>
      </x:c>
      <x:c r="S1186" s="253" t="str">
        <x:v>Yes</x:v>
      </x:c>
      <x:c r="T1186" s="265" t="n">
        <x:v>2000</x:v>
      </x:c>
      <x:c r="U1186" s="253" t="str">
        <x:f>IF(AND(S1186="Yes",T1186=0),"Yes","No")</x:f>
        <x:v>No</x:v>
      </x:c>
      <x:c r="V1186" s="253" t="str">
        <x:v>Yes</x:v>
      </x:c>
      <x:c r="W1186" s="253" t="str">
        <x:v>Yes</x:v>
      </x:c>
      <x:c r="X1186" s="259" t="n">
        <x:v>46206.166666666664</x:v>
      </x:c>
      <x:c r="Y1186" s="265" t="n">
        <x:v>700</x:v>
      </x:c>
      <x:c r="Z1186" s="265" t="n">
        <x:v>1700</x:v>
      </x:c>
      <x:c r="AA1186" s="253" t="str">
        <x:f>IF(V1186="No","Maturing",IF(AND(U1186="Yes",Y1186&gt;0),"Yes","No"))</x:f>
        <x:v>No</x:v>
      </x:c>
      <x:c r="AB1186" s="253" t="str">
        <x:f>IF(W1186="No","Maturing",IF(AND(U1186="Yes",Z1186&gt;0),"Yes","No"))</x:f>
        <x:v>No</x:v>
      </x:c>
      <x:c r="AC1186" s="265" t="n">
        <x:v>-550.65</x:v>
      </x:c>
      <x:c r="AD1186" s="265" t="n">
        <x:v>448.96</x:v>
      </x:c>
      <x:c r="AE1186" s="271" t="str"/>
      <x:c r="AF1186" s="274" t="str">
        <x:v>Not validated - no control/holdout</x:v>
      </x:c>
      <x:c r="AG1186" s="277" t="str">
        <x:v>Recovered execution only; assignment date and unclaimed-offer denominator unavailable</x:v>
      </x:c>
    </x:row>
    <x:row r="1187">
      <x:c r="A1187" s="252" t="str">
        <x:v>34825347</x:v>
      </x:c>
      <x:c r="B1187" s="253" t="str">
        <x:v>WS1</x:v>
      </x:c>
      <x:c r="C1187" s="253" t="str">
        <x:v>MB8</x:v>
      </x:c>
      <x:c r="D1187" s="262" t="n">
        <x:v>46206.99994212963</x:v>
      </x:c>
      <x:c r="E1187" s="259" t="n">
        <x:v>46206.166666666664</x:v>
      </x:c>
      <x:c r="F1187" s="253" t="str">
        <x:v>515825</x:v>
      </x:c>
      <x:c r="G1187" s="253" t="str">
        <x:v>Carson427</x:v>
      </x:c>
      <x:c r="H1187" s="253" t="str">
        <x:v>Yes</x:v>
      </x:c>
      <x:c r="I1187" s="253" t="str"/>
      <x:c r="J1187" s="253" t="str"/>
      <x:c r="K1187" s="259"/>
      <x:c r="L1187" s="268" t="str">
        <x:f>IFERROR(VLOOKUP(I1187,'Handler-Team Map'!$A$7:$C$17,2,FALSE),"")</x:f>
      </x:c>
      <x:c r="M1187" s="268" t="str">
        <x:f>IFERROR(VLOOKUP(I1187,'Handler-Team Map'!$A$7:$C$17,3,FALSE),"")</x:f>
      </x:c>
      <x:c r="N1187" s="274" t="str">
        <x:v>FT_VM_DEP1000_GET800_2X</x:v>
      </x:c>
      <x:c r="O1187" s="274" t="str">
        <x:v>VIP BONUS - Deposit 1000 Get 800 - 2x TO</x:v>
      </x:c>
      <x:c r="P1187" s="274" t="str">
        <x:v>DepositBonus</x:v>
      </x:c>
      <x:c r="Q1187" s="274" t="str">
        <x:v>Approved</x:v>
      </x:c>
      <x:c r="R1187" s="265" t="n">
        <x:v>800</x:v>
      </x:c>
      <x:c r="S1187" s="253" t="str">
        <x:v>Yes</x:v>
      </x:c>
      <x:c r="T1187" s="265" t="n">
        <x:v>11800</x:v>
      </x:c>
      <x:c r="U1187" s="253" t="str">
        <x:f>IF(AND(S1187="Yes",T1187=0),"Yes","No")</x:f>
        <x:v>No</x:v>
      </x:c>
      <x:c r="V1187" s="253" t="str">
        <x:v>Yes</x:v>
      </x:c>
      <x:c r="W1187" s="253" t="str">
        <x:v>Yes</x:v>
      </x:c>
      <x:c r="X1187" s="259" t="n">
        <x:v>46206.166666666664</x:v>
      </x:c>
      <x:c r="Y1187" s="265" t="n">
        <x:v>1100</x:v>
      </x:c>
      <x:c r="Z1187" s="265" t="n">
        <x:v>1100</x:v>
      </x:c>
      <x:c r="AA1187" s="253" t="str">
        <x:f>IF(V1187="No","Maturing",IF(AND(U1187="Yes",Y1187&gt;0),"Yes","No"))</x:f>
        <x:v>No</x:v>
      </x:c>
      <x:c r="AB1187" s="253" t="str">
        <x:f>IF(W1187="No","Maturing",IF(AND(U1187="Yes",Z1187&gt;0),"Yes","No"))</x:f>
        <x:v>No</x:v>
      </x:c>
      <x:c r="AC1187" s="265" t="n">
        <x:v>1102.23</x:v>
      </x:c>
      <x:c r="AD1187" s="265" t="n">
        <x:v>1102.23</x:v>
      </x:c>
      <x:c r="AE1187" s="271" t="str"/>
      <x:c r="AF1187" s="274" t="str">
        <x:v>Not validated - no control/holdout</x:v>
      </x:c>
      <x:c r="AG1187" s="277" t="str">
        <x:v>Recovered execution only; assignment date and unclaimed-offer denominator unavailable</x:v>
      </x:c>
    </x:row>
    <x:row r="1188">
      <x:c r="A1188" s="252" t="str">
        <x:v>34826769</x:v>
      </x:c>
      <x:c r="B1188" s="253" t="str">
        <x:v>WS1</x:v>
      </x:c>
      <x:c r="C1188" s="253" t="str">
        <x:v>MB8</x:v>
      </x:c>
      <x:c r="D1188" s="262" t="n">
        <x:v>46207.05813657407</x:v>
      </x:c>
      <x:c r="E1188" s="259" t="n">
        <x:v>46207.166666666664</x:v>
      </x:c>
      <x:c r="F1188" s="253" t="str">
        <x:v>794663</x:v>
      </x:c>
      <x:c r="G1188" s="253" t="str">
        <x:v>lonkoko888</x:v>
      </x:c>
      <x:c r="H1188" s="253" t="str">
        <x:v>Yes</x:v>
      </x:c>
      <x:c r="I1188" s="253" t="str"/>
      <x:c r="J1188" s="253" t="str"/>
      <x:c r="K1188" s="259"/>
      <x:c r="L1188" s="268" t="str">
        <x:f>IFERROR(VLOOKUP(I1188,'Handler-Team Map'!$A$7:$C$17,2,FALSE),"")</x:f>
      </x:c>
      <x:c r="M1188" s="268" t="str">
        <x:f>IFERROR(VLOOKUP(I1188,'Handler-Team Map'!$A$7:$C$17,3,FALSE),"")</x:f>
      </x:c>
      <x:c r="N1188" s="274" t="str">
        <x:v>FT_VM_DEP700_GET300_2X</x:v>
      </x:c>
      <x:c r="O1188" s="274" t="str">
        <x:v>VIP BONUS - Deposit 700 Get 300 - 2x TO</x:v>
      </x:c>
      <x:c r="P1188" s="274" t="str">
        <x:v>DepositBonus</x:v>
      </x:c>
      <x:c r="Q1188" s="274" t="str">
        <x:v>Approved</x:v>
      </x:c>
      <x:c r="R1188" s="265" t="n">
        <x:v>300</x:v>
      </x:c>
      <x:c r="S1188" s="253" t="str">
        <x:v>Yes</x:v>
      </x:c>
      <x:c r="T1188" s="265" t="n">
        <x:v>50</x:v>
      </x:c>
      <x:c r="U1188" s="253" t="str">
        <x:f>IF(AND(S1188="Yes",T1188=0),"Yes","No")</x:f>
        <x:v>No</x:v>
      </x:c>
      <x:c r="V1188" s="253" t="str">
        <x:v>Yes</x:v>
      </x:c>
      <x:c r="W1188" s="253" t="str">
        <x:v>Yes</x:v>
      </x:c>
      <x:c r="X1188" s="259" t="n">
        <x:v>46207.166666666664</x:v>
      </x:c>
      <x:c r="Y1188" s="265" t="n">
        <x:v>830</x:v>
      </x:c>
      <x:c r="Z1188" s="265" t="n">
        <x:v>930</x:v>
      </x:c>
      <x:c r="AA1188" s="253" t="str">
        <x:f>IF(V1188="No","Maturing",IF(AND(U1188="Yes",Y1188&gt;0),"Yes","No"))</x:f>
        <x:v>No</x:v>
      </x:c>
      <x:c r="AB1188" s="253" t="str">
        <x:f>IF(W1188="No","Maturing",IF(AND(U1188="Yes",Z1188&gt;0),"Yes","No"))</x:f>
        <x:v>No</x:v>
      </x:c>
      <x:c r="AC1188" s="265" t="n">
        <x:v>-200.07</x:v>
      </x:c>
      <x:c r="AD1188" s="265" t="n">
        <x:v>-99.95</x:v>
      </x:c>
      <x:c r="AE1188" s="271" t="str"/>
      <x:c r="AF1188" s="274" t="str">
        <x:v>Not validated - no control/holdout</x:v>
      </x:c>
      <x:c r="AG1188" s="277" t="str">
        <x:v>Recovered execution only; assignment date and unclaimed-offer denominator unavailable</x:v>
      </x:c>
    </x:row>
    <x:row r="1189">
      <x:c r="A1189" s="252" t="str">
        <x:v>34831701</x:v>
      </x:c>
      <x:c r="B1189" s="253" t="str">
        <x:v>WS1</x:v>
      </x:c>
      <x:c r="C1189" s="253" t="str">
        <x:v>MB8</x:v>
      </x:c>
      <x:c r="D1189" s="262" t="n">
        <x:v>46207.520162037035</x:v>
      </x:c>
      <x:c r="E1189" s="259" t="n">
        <x:v>46207.166666666664</x:v>
      </x:c>
      <x:c r="F1189" s="253" t="str">
        <x:v>993088</x:v>
      </x:c>
      <x:c r="G1189" s="253" t="str">
        <x:v>tanmingshen</x:v>
      </x:c>
      <x:c r="H1189" s="253" t="str">
        <x:v>Yes</x:v>
      </x:c>
      <x:c r="I1189" s="253" t="str"/>
      <x:c r="J1189" s="253" t="str"/>
      <x:c r="K1189" s="259"/>
      <x:c r="L1189" s="268" t="str">
        <x:f>IFERROR(VLOOKUP(I1189,'Handler-Team Map'!$A$7:$C$17,2,FALSE),"")</x:f>
      </x:c>
      <x:c r="M1189" s="268" t="str">
        <x:f>IFERROR(VLOOKUP(I1189,'Handler-Team Map'!$A$7:$C$17,3,FALSE),"")</x:f>
      </x:c>
      <x:c r="N1189" s="274" t="str">
        <x:v>FT_VM_DEP600_GET200_5X</x:v>
      </x:c>
      <x:c r="O1189" s="274" t="str">
        <x:v>VIP BONUS - Deposit 600 Get 200 - 5x TO</x:v>
      </x:c>
      <x:c r="P1189" s="274" t="str">
        <x:v>DepositBonus</x:v>
      </x:c>
      <x:c r="Q1189" s="274" t="str">
        <x:v>Approved</x:v>
      </x:c>
      <x:c r="R1189" s="265" t="n">
        <x:v>200</x:v>
      </x:c>
      <x:c r="S1189" s="253" t="str">
        <x:v>Yes</x:v>
      </x:c>
      <x:c r="T1189" s="265" t="n">
        <x:v>1000</x:v>
      </x:c>
      <x:c r="U1189" s="253" t="str">
        <x:f>IF(AND(S1189="Yes",T1189=0),"Yes","No")</x:f>
        <x:v>No</x:v>
      </x:c>
      <x:c r="V1189" s="253" t="str">
        <x:v>Yes</x:v>
      </x:c>
      <x:c r="W1189" s="253" t="str">
        <x:v>Yes</x:v>
      </x:c>
      <x:c r="X1189" s="259" t="n">
        <x:v>46207.166666666664</x:v>
      </x:c>
      <x:c r="Y1189" s="265" t="n">
        <x:v>1100</x:v>
      </x:c>
      <x:c r="Z1189" s="265" t="n">
        <x:v>1100</x:v>
      </x:c>
      <x:c r="AA1189" s="253" t="str">
        <x:f>IF(V1189="No","Maturing",IF(AND(U1189="Yes",Y1189&gt;0),"Yes","No"))</x:f>
        <x:v>No</x:v>
      </x:c>
      <x:c r="AB1189" s="253" t="str">
        <x:f>IF(W1189="No","Maturing",IF(AND(U1189="Yes",Z1189&gt;0),"Yes","No"))</x:f>
        <x:v>No</x:v>
      </x:c>
      <x:c r="AC1189" s="265" t="n">
        <x:v>-1034.96</x:v>
      </x:c>
      <x:c r="AD1189" s="265" t="n">
        <x:v>-1034.96</x:v>
      </x:c>
      <x:c r="AE1189" s="271" t="str"/>
      <x:c r="AF1189" s="274" t="str">
        <x:v>Not validated - no control/holdout</x:v>
      </x:c>
      <x:c r="AG1189" s="277" t="str">
        <x:v>Recovered execution only; assignment date and unclaimed-offer denominator unavailable</x:v>
      </x:c>
    </x:row>
    <x:row r="1190">
      <x:c r="A1190" s="252" t="str">
        <x:v>34833125</x:v>
      </x:c>
      <x:c r="B1190" s="253" t="str">
        <x:v>WS1</x:v>
      </x:c>
      <x:c r="C1190" s="253" t="str">
        <x:v>MB8</x:v>
      </x:c>
      <x:c r="D1190" s="262" t="n">
        <x:v>46207.64275462963</x:v>
      </x:c>
      <x:c r="E1190" s="259" t="n">
        <x:v>46207.166666666664</x:v>
      </x:c>
      <x:c r="F1190" s="253" t="str">
        <x:v>774523</x:v>
      </x:c>
      <x:c r="G1190" s="253" t="str">
        <x:v>currythegod1818</x:v>
      </x:c>
      <x:c r="H1190" s="253" t="str">
        <x:v>Yes</x:v>
      </x:c>
      <x:c r="I1190" s="253" t="str"/>
      <x:c r="J1190" s="253" t="str"/>
      <x:c r="K1190" s="259"/>
      <x:c r="L1190" s="268" t="str">
        <x:f>IFERROR(VLOOKUP(I1190,'Handler-Team Map'!$A$7:$C$17,2,FALSE),"")</x:f>
      </x:c>
      <x:c r="M1190" s="268" t="str">
        <x:f>IFERROR(VLOOKUP(I1190,'Handler-Team Map'!$A$7:$C$17,3,FALSE),"")</x:f>
      </x:c>
      <x:c r="N1190" s="274" t="str">
        <x:v>FT_VM_DEP600_GET200_5X</x:v>
      </x:c>
      <x:c r="O1190" s="274" t="str">
        <x:v>VIP BONUS - Deposit 600 Get 200 - 5x TO</x:v>
      </x:c>
      <x:c r="P1190" s="274" t="str">
        <x:v>DepositBonus</x:v>
      </x:c>
      <x:c r="Q1190" s="274" t="str">
        <x:v>Approved</x:v>
      </x:c>
      <x:c r="R1190" s="265" t="n">
        <x:v>200</x:v>
      </x:c>
      <x:c r="S1190" s="253" t="str">
        <x:v>Yes</x:v>
      </x:c>
      <x:c r="T1190" s="265" t="n">
        <x:v>650</x:v>
      </x:c>
      <x:c r="U1190" s="253" t="str">
        <x:f>IF(AND(S1190="Yes",T1190=0),"Yes","No")</x:f>
        <x:v>No</x:v>
      </x:c>
      <x:c r="V1190" s="253" t="str">
        <x:v>Yes</x:v>
      </x:c>
      <x:c r="W1190" s="253" t="str">
        <x:v>Yes</x:v>
      </x:c>
      <x:c r="X1190" s="259" t="n">
        <x:v>46207.166666666664</x:v>
      </x:c>
      <x:c r="Y1190" s="265" t="n">
        <x:v>600</x:v>
      </x:c>
      <x:c r="Z1190" s="265" t="n">
        <x:v>600</x:v>
      </x:c>
      <x:c r="AA1190" s="253" t="str">
        <x:f>IF(V1190="No","Maturing",IF(AND(U1190="Yes",Y1190&gt;0),"Yes","No"))</x:f>
        <x:v>No</x:v>
      </x:c>
      <x:c r="AB1190" s="253" t="str">
        <x:f>IF(W1190="No","Maturing",IF(AND(U1190="Yes",Z1190&gt;0),"Yes","No"))</x:f>
        <x:v>No</x:v>
      </x:c>
      <x:c r="AC1190" s="265" t="n">
        <x:v>600.02</x:v>
      </x:c>
      <x:c r="AD1190" s="265" t="n">
        <x:v>600.02</x:v>
      </x:c>
      <x:c r="AE1190" s="271" t="str"/>
      <x:c r="AF1190" s="274" t="str">
        <x:v>Not validated - no control/holdout</x:v>
      </x:c>
      <x:c r="AG1190" s="277" t="str">
        <x:v>Recovered execution only; assignment date and unclaimed-offer denominator unavailable</x:v>
      </x:c>
    </x:row>
    <x:row r="1191">
      <x:c r="A1191" s="252" t="str">
        <x:v>34833246</x:v>
      </x:c>
      <x:c r="B1191" s="253" t="str">
        <x:v>WS1</x:v>
      </x:c>
      <x:c r="C1191" s="253" t="str">
        <x:v>MB8</x:v>
      </x:c>
      <x:c r="D1191" s="262" t="n">
        <x:v>46207.64908564815</x:v>
      </x:c>
      <x:c r="E1191" s="259" t="n">
        <x:v>46207.166666666664</x:v>
      </x:c>
      <x:c r="F1191" s="253" t="str">
        <x:v>689799</x:v>
      </x:c>
      <x:c r="G1191" s="253" t="str">
        <x:v>heg9877</x:v>
      </x:c>
      <x:c r="H1191" s="253" t="str">
        <x:v>Yes</x:v>
      </x:c>
      <x:c r="I1191" s="253" t="str"/>
      <x:c r="J1191" s="253" t="str"/>
      <x:c r="K1191" s="259"/>
      <x:c r="L1191" s="268" t="str">
        <x:f>IFERROR(VLOOKUP(I1191,'Handler-Team Map'!$A$7:$C$17,2,FALSE),"")</x:f>
      </x:c>
      <x:c r="M1191" s="268" t="str">
        <x:f>IFERROR(VLOOKUP(I1191,'Handler-Team Map'!$A$7:$C$17,3,FALSE),"")</x:f>
      </x:c>
      <x:c r="N1191" s="274" t="str">
        <x:v>FT_VM_DEP1000_GET500_1X</x:v>
      </x:c>
      <x:c r="O1191" s="274" t="str">
        <x:v>VIP BONUS - Deposit 1000 Get 500 - 1x TO</x:v>
      </x:c>
      <x:c r="P1191" s="274" t="str">
        <x:v>DepositBonus</x:v>
      </x:c>
      <x:c r="Q1191" s="274" t="str">
        <x:v>Approved</x:v>
      </x:c>
      <x:c r="R1191" s="265" t="n">
        <x:v>500</x:v>
      </x:c>
      <x:c r="S1191" s="253" t="str">
        <x:v>Yes</x:v>
      </x:c>
      <x:c r="T1191" s="265" t="n">
        <x:v>0</x:v>
      </x:c>
      <x:c r="U1191" s="253" t="str">
        <x:f>IF(AND(S1191="Yes",T1191=0),"Yes","No")</x:f>
        <x:v>Yes</x:v>
      </x:c>
      <x:c r="V1191" s="253" t="str">
        <x:v>Yes</x:v>
      </x:c>
      <x:c r="W1191" s="253" t="str">
        <x:v>Yes</x:v>
      </x:c>
      <x:c r="X1191" s="259" t="n">
        <x:v>46207.166666666664</x:v>
      </x:c>
      <x:c r="Y1191" s="265" t="n">
        <x:v>1000</x:v>
      </x:c>
      <x:c r="Z1191" s="265" t="n">
        <x:v>1000</x:v>
      </x:c>
      <x:c r="AA1191" s="253" t="str">
        <x:f>IF(V1191="No","Maturing",IF(AND(U1191="Yes",Y1191&gt;0),"Yes","No"))</x:f>
        <x:v>Yes</x:v>
      </x:c>
      <x:c r="AB1191" s="253" t="str">
        <x:f>IF(W1191="No","Maturing",IF(AND(U1191="Yes",Z1191&gt;0),"Yes","No"))</x:f>
        <x:v>Yes</x:v>
      </x:c>
      <x:c r="AC1191" s="265" t="n">
        <x:v>-1200.84</x:v>
      </x:c>
      <x:c r="AD1191" s="265" t="n">
        <x:v>-1196.84</x:v>
      </x:c>
      <x:c r="AE1191" s="271" t="str"/>
      <x:c r="AF1191" s="274" t="str">
        <x:v>Not validated - no control/holdout</x:v>
      </x:c>
      <x:c r="AG1191" s="277" t="str">
        <x:v>Recovered execution only; assignment date and unclaimed-offer denominator unavailable</x:v>
      </x:c>
    </x:row>
    <x:row r="1192">
      <x:c r="A1192" s="252" t="str">
        <x:v>34840242</x:v>
      </x:c>
      <x:c r="B1192" s="253" t="str">
        <x:v>WS1</x:v>
      </x:c>
      <x:c r="C1192" s="253" t="str">
        <x:v>MB8</x:v>
      </x:c>
      <x:c r="D1192" s="262" t="n">
        <x:v>46208.060532407406</x:v>
      </x:c>
      <x:c r="E1192" s="259" t="n">
        <x:v>46208.166666666664</x:v>
      </x:c>
      <x:c r="F1192" s="253" t="str">
        <x:v>1199974</x:v>
      </x:c>
      <x:c r="G1192" s="253" t="str">
        <x:v>Nazli3612</x:v>
      </x:c>
      <x:c r="H1192" s="253" t="str">
        <x:v>Yes</x:v>
      </x:c>
      <x:c r="I1192" s="253" t="str"/>
      <x:c r="J1192" s="253" t="str"/>
      <x:c r="K1192" s="259"/>
      <x:c r="L1192" s="268" t="str">
        <x:f>IFERROR(VLOOKUP(I1192,'Handler-Team Map'!$A$7:$C$17,2,FALSE),"")</x:f>
      </x:c>
      <x:c r="M1192" s="268" t="str">
        <x:f>IFERROR(VLOOKUP(I1192,'Handler-Team Map'!$A$7:$C$17,3,FALSE),"")</x:f>
      </x:c>
      <x:c r="N1192" s="274" t="str">
        <x:v>FT_VM_DEP300_GET100_5X</x:v>
      </x:c>
      <x:c r="O1192" s="274" t="str">
        <x:v>VIP BONUS - Deposit 300 Get 100 - 5x TO</x:v>
      </x:c>
      <x:c r="P1192" s="274" t="str">
        <x:v>DepositBonus</x:v>
      </x:c>
      <x:c r="Q1192" s="274" t="str">
        <x:v>Approved</x:v>
      </x:c>
      <x:c r="R1192" s="265" t="n">
        <x:v>100</x:v>
      </x:c>
      <x:c r="S1192" s="253" t="str">
        <x:v>Yes</x:v>
      </x:c>
      <x:c r="T1192" s="265" t="n">
        <x:v>43750</x:v>
      </x:c>
      <x:c r="U1192" s="253" t="str">
        <x:f>IF(AND(S1192="Yes",T1192=0),"Yes","No")</x:f>
        <x:v>No</x:v>
      </x:c>
      <x:c r="V1192" s="253" t="str">
        <x:v>Yes</x:v>
      </x:c>
      <x:c r="W1192" s="253" t="str">
        <x:v>Yes</x:v>
      </x:c>
      <x:c r="X1192" s="259" t="n">
        <x:v>46208.166666666664</x:v>
      </x:c>
      <x:c r="Y1192" s="265" t="n">
        <x:v>8990</x:v>
      </x:c>
      <x:c r="Z1192" s="265" t="n">
        <x:v>12890</x:v>
      </x:c>
      <x:c r="AA1192" s="253" t="str">
        <x:f>IF(V1192="No","Maturing",IF(AND(U1192="Yes",Y1192&gt;0),"Yes","No"))</x:f>
        <x:v>No</x:v>
      </x:c>
      <x:c r="AB1192" s="253" t="str">
        <x:f>IF(W1192="No","Maturing",IF(AND(U1192="Yes",Z1192&gt;0),"Yes","No"))</x:f>
        <x:v>No</x:v>
      </x:c>
      <x:c r="AC1192" s="265" t="n">
        <x:v>6029.94</x:v>
      </x:c>
      <x:c r="AD1192" s="265" t="n">
        <x:v>5530.03</x:v>
      </x:c>
      <x:c r="AE1192" s="271" t="str"/>
      <x:c r="AF1192" s="274" t="str">
        <x:v>Not validated - no control/holdout</x:v>
      </x:c>
      <x:c r="AG1192" s="277" t="str">
        <x:v>Recovered execution only; assignment date and unclaimed-offer denominator unavailable</x:v>
      </x:c>
    </x:row>
    <x:row r="1193">
      <x:c r="A1193" s="252" t="str">
        <x:v>34845669</x:v>
      </x:c>
      <x:c r="B1193" s="253" t="str">
        <x:v>WS1</x:v>
      </x:c>
      <x:c r="C1193" s="253" t="str">
        <x:v>MB8</x:v>
      </x:c>
      <x:c r="D1193" s="262" t="n">
        <x:v>46208.654756944445</x:v>
      </x:c>
      <x:c r="E1193" s="259" t="n">
        <x:v>46208.166666666664</x:v>
      </x:c>
      <x:c r="F1193" s="253" t="str">
        <x:v>218621</x:v>
      </x:c>
      <x:c r="G1193" s="253" t="str">
        <x:v>Khairulanam77</x:v>
      </x:c>
      <x:c r="H1193" s="253" t="str">
        <x:v>Yes</x:v>
      </x:c>
      <x:c r="I1193" s="253" t="str">
        <x:v>Tammy</x:v>
      </x:c>
      <x:c r="J1193" s="253" t="str">
        <x:v>Tammy</x:v>
      </x:c>
      <x:c r="K1193" s="259" t="n">
        <x:v>45951.166666666664</x:v>
      </x:c>
      <x:c r="L1193" s="268" t="str">
        <x:f>IFERROR(VLOOKUP(I1193,'Handler-Team Map'!$A$7:$C$17,2,FALSE),"")</x:f>
      </x:c>
      <x:c r="M1193" s="268" t="str">
        <x:f>IFERROR(VLOOKUP(I1193,'Handler-Team Map'!$A$7:$C$17,3,FALSE),"")</x:f>
      </x:c>
      <x:c r="N1193" s="274" t="str">
        <x:v>FT_VM_DEP300_GET100_5X</x:v>
      </x:c>
      <x:c r="O1193" s="274" t="str">
        <x:v>VIP BONUS - Deposit 300 Get 100 - 5x TO</x:v>
      </x:c>
      <x:c r="P1193" s="274" t="str">
        <x:v>DepositBonus</x:v>
      </x:c>
      <x:c r="Q1193" s="274" t="str">
        <x:v>Approved</x:v>
      </x:c>
      <x:c r="R1193" s="265" t="n">
        <x:v>100</x:v>
      </x:c>
      <x:c r="S1193" s="253" t="str">
        <x:v>Yes</x:v>
      </x:c>
      <x:c r="T1193" s="265" t="n">
        <x:v>174045.08</x:v>
      </x:c>
      <x:c r="U1193" s="253" t="str">
        <x:f>IF(AND(S1193="Yes",T1193=0),"Yes","No")</x:f>
        <x:v>No</x:v>
      </x:c>
      <x:c r="V1193" s="253" t="str">
        <x:v>Yes</x:v>
      </x:c>
      <x:c r="W1193" s="253" t="str">
        <x:v>Yes</x:v>
      </x:c>
      <x:c r="X1193" s="259" t="n">
        <x:v>46208.166666666664</x:v>
      </x:c>
      <x:c r="Y1193" s="265" t="n">
        <x:v>21075</x:v>
      </x:c>
      <x:c r="Z1193" s="265" t="n">
        <x:v>24075</x:v>
      </x:c>
      <x:c r="AA1193" s="253" t="str">
        <x:f>IF(V1193="No","Maturing",IF(AND(U1193="Yes",Y1193&gt;0),"Yes","No"))</x:f>
        <x:v>No</x:v>
      </x:c>
      <x:c r="AB1193" s="253" t="str">
        <x:f>IF(W1193="No","Maturing",IF(AND(U1193="Yes",Z1193&gt;0),"Yes","No"))</x:f>
        <x:v>No</x:v>
      </x:c>
      <x:c r="AC1193" s="265" t="n">
        <x:v>5942.26</x:v>
      </x:c>
      <x:c r="AD1193" s="265" t="n">
        <x:v>8657.58</x:v>
      </x:c>
      <x:c r="AE1193" s="271" t="str"/>
      <x:c r="AF1193" s="274" t="str">
        <x:v>Not validated - no control/holdout</x:v>
      </x:c>
      <x:c r="AG1193" s="277" t="str">
        <x:v>Recovered execution only; assignment date and unclaimed-offer denominator unavailable</x:v>
      </x:c>
    </x:row>
    <x:row r="1194">
      <x:c r="A1194" s="252" t="str">
        <x:v>34847823</x:v>
      </x:c>
      <x:c r="B1194" s="253" t="str">
        <x:v>WS1</x:v>
      </x:c>
      <x:c r="C1194" s="253" t="str">
        <x:v>MB8</x:v>
      </x:c>
      <x:c r="D1194" s="262" t="n">
        <x:v>46208.814467592594</x:v>
      </x:c>
      <x:c r="E1194" s="259" t="n">
        <x:v>46208.166666666664</x:v>
      </x:c>
      <x:c r="F1194" s="253" t="str">
        <x:v>509781</x:v>
      </x:c>
      <x:c r="G1194" s="253" t="str">
        <x:v>Imuran00</x:v>
      </x:c>
      <x:c r="H1194" s="253" t="str">
        <x:v>Yes</x:v>
      </x:c>
      <x:c r="I1194" s="253" t="str"/>
      <x:c r="J1194" s="253" t="str"/>
      <x:c r="K1194" s="259"/>
      <x:c r="L1194" s="268" t="str">
        <x:f>IFERROR(VLOOKUP(I1194,'Handler-Team Map'!$A$7:$C$17,2,FALSE),"")</x:f>
      </x:c>
      <x:c r="M1194" s="268" t="str">
        <x:f>IFERROR(VLOOKUP(I1194,'Handler-Team Map'!$A$7:$C$17,3,FALSE),"")</x:f>
      </x:c>
      <x:c r="N1194" s="274" t="str">
        <x:v>FT_VM_DEP600_GET200_5X</x:v>
      </x:c>
      <x:c r="O1194" s="274" t="str">
        <x:v>VIP BONUS - Deposit 600 Get 200 - 5x TO</x:v>
      </x:c>
      <x:c r="P1194" s="274" t="str">
        <x:v>DepositBonus</x:v>
      </x:c>
      <x:c r="Q1194" s="274" t="str">
        <x:v>Approved</x:v>
      </x:c>
      <x:c r="R1194" s="265" t="n">
        <x:v>200</x:v>
      </x:c>
      <x:c r="S1194" s="253" t="str">
        <x:v>Yes</x:v>
      </x:c>
      <x:c r="T1194" s="265" t="n">
        <x:v>0</x:v>
      </x:c>
      <x:c r="U1194" s="253" t="str">
        <x:f>IF(AND(S1194="Yes",T1194=0),"Yes","No")</x:f>
        <x:v>Yes</x:v>
      </x:c>
      <x:c r="V1194" s="253" t="str">
        <x:v>Yes</x:v>
      </x:c>
      <x:c r="W1194" s="253" t="str">
        <x:v>Yes</x:v>
      </x:c>
      <x:c r="X1194" s="259" t="n">
        <x:v>46208.166666666664</x:v>
      </x:c>
      <x:c r="Y1194" s="265" t="n">
        <x:v>660</x:v>
      </x:c>
      <x:c r="Z1194" s="265" t="n">
        <x:v>660</x:v>
      </x:c>
      <x:c r="AA1194" s="253" t="str">
        <x:f>IF(V1194="No","Maturing",IF(AND(U1194="Yes",Y1194&gt;0),"Yes","No"))</x:f>
        <x:v>Yes</x:v>
      </x:c>
      <x:c r="AB1194" s="253" t="str">
        <x:f>IF(W1194="No","Maturing",IF(AND(U1194="Yes",Z1194&gt;0),"Yes","No"))</x:f>
        <x:v>Yes</x:v>
      </x:c>
      <x:c r="AC1194" s="265" t="n">
        <x:v>659.27</x:v>
      </x:c>
      <x:c r="AD1194" s="265" t="n">
        <x:v>659.87</x:v>
      </x:c>
      <x:c r="AE1194" s="271" t="str"/>
      <x:c r="AF1194" s="274" t="str">
        <x:v>Not validated - no control/holdout</x:v>
      </x:c>
      <x:c r="AG1194" s="277" t="str">
        <x:v>Recovered execution only; assignment date and unclaimed-offer denominator unavailable</x:v>
      </x:c>
    </x:row>
    <x:row r="1195">
      <x:c r="A1195" s="252" t="str">
        <x:v>34848945</x:v>
      </x:c>
      <x:c r="B1195" s="253" t="str">
        <x:v>WS1</x:v>
      </x:c>
      <x:c r="C1195" s="253" t="str">
        <x:v>MB8</x:v>
      </x:c>
      <x:c r="D1195" s="262" t="n">
        <x:v>46208.89776620371</x:v>
      </x:c>
      <x:c r="E1195" s="259" t="n">
        <x:v>46208.166666666664</x:v>
      </x:c>
      <x:c r="F1195" s="253" t="str">
        <x:v>779246</x:v>
      </x:c>
      <x:c r="G1195" s="253" t="str">
        <x:v>hhhooi</x:v>
      </x:c>
      <x:c r="H1195" s="253" t="str">
        <x:v>Yes</x:v>
      </x:c>
      <x:c r="I1195" s="253" t="str">
        <x:v>Tammy</x:v>
      </x:c>
      <x:c r="J1195" s="253" t="str">
        <x:v>Tammy</x:v>
      </x:c>
      <x:c r="K1195" s="259" t="n">
        <x:v>46028.166666666664</x:v>
      </x:c>
      <x:c r="L1195" s="268" t="str">
        <x:f>IFERROR(VLOOKUP(I1195,'Handler-Team Map'!$A$7:$C$17,2,FALSE),"")</x:f>
      </x:c>
      <x:c r="M1195" s="268" t="str">
        <x:f>IFERROR(VLOOKUP(I1195,'Handler-Team Map'!$A$7:$C$17,3,FALSE),"")</x:f>
      </x:c>
      <x:c r="N1195" s="274" t="str">
        <x:v>FT_VM_DEP1000_GET700_2X</x:v>
      </x:c>
      <x:c r="O1195" s="274" t="str">
        <x:v>VIP BONUS - Deposit 1000 Get 700 - 2x TO</x:v>
      </x:c>
      <x:c r="P1195" s="274" t="str">
        <x:v>DepositBonus</x:v>
      </x:c>
      <x:c r="Q1195" s="274" t="str">
        <x:v>Approved</x:v>
      </x:c>
      <x:c r="R1195" s="265" t="n">
        <x:v>700</x:v>
      </x:c>
      <x:c r="S1195" s="253" t="str">
        <x:v>Yes</x:v>
      </x:c>
      <x:c r="T1195" s="265" t="n">
        <x:v>1000</x:v>
      </x:c>
      <x:c r="U1195" s="253" t="str">
        <x:f>IF(AND(S1195="Yes",T1195=0),"Yes","No")</x:f>
        <x:v>No</x:v>
      </x:c>
      <x:c r="V1195" s="253" t="str">
        <x:v>Yes</x:v>
      </x:c>
      <x:c r="W1195" s="253" t="str">
        <x:v>Yes</x:v>
      </x:c>
      <x:c r="X1195" s="259" t="n">
        <x:v>46208.166666666664</x:v>
      </x:c>
      <x:c r="Y1195" s="265" t="n">
        <x:v>1000</x:v>
      </x:c>
      <x:c r="Z1195" s="265" t="n">
        <x:v>1000</x:v>
      </x:c>
      <x:c r="AA1195" s="253" t="str">
        <x:f>IF(V1195="No","Maturing",IF(AND(U1195="Yes",Y1195&gt;0),"Yes","No"))</x:f>
        <x:v>No</x:v>
      </x:c>
      <x:c r="AB1195" s="253" t="str">
        <x:f>IF(W1195="No","Maturing",IF(AND(U1195="Yes",Z1195&gt;0),"Yes","No"))</x:f>
        <x:v>No</x:v>
      </x:c>
      <x:c r="AC1195" s="265" t="n">
        <x:v>1011.13</x:v>
      </x:c>
      <x:c r="AD1195" s="265" t="n">
        <x:v>1011.13</x:v>
      </x:c>
      <x:c r="AE1195" s="271" t="str"/>
      <x:c r="AF1195" s="274" t="str">
        <x:v>Not validated - no control/holdout</x:v>
      </x:c>
      <x:c r="AG1195" s="277" t="str">
        <x:v>Recovered execution only; assignment date and unclaimed-offer denominator unavailable</x:v>
      </x:c>
    </x:row>
    <x:row r="1196">
      <x:c r="A1196" s="252" t="str">
        <x:v>34849404</x:v>
      </x:c>
      <x:c r="B1196" s="253" t="str">
        <x:v>WS1</x:v>
      </x:c>
      <x:c r="C1196" s="253" t="str">
        <x:v>MB8</x:v>
      </x:c>
      <x:c r="D1196" s="262" t="n">
        <x:v>46208.926458333335</x:v>
      </x:c>
      <x:c r="E1196" s="259" t="n">
        <x:v>46208.166666666664</x:v>
      </x:c>
      <x:c r="F1196" s="253" t="str">
        <x:v>871247</x:v>
      </x:c>
      <x:c r="G1196" s="253" t="str">
        <x:v>Jiayao66</x:v>
      </x:c>
      <x:c r="H1196" s="253" t="str">
        <x:v>Yes</x:v>
      </x:c>
      <x:c r="I1196" s="253" t="str"/>
      <x:c r="J1196" s="253" t="str"/>
      <x:c r="K1196" s="259"/>
      <x:c r="L1196" s="268" t="str">
        <x:f>IFERROR(VLOOKUP(I1196,'Handler-Team Map'!$A$7:$C$17,2,FALSE),"")</x:f>
      </x:c>
      <x:c r="M1196" s="268" t="str">
        <x:f>IFERROR(VLOOKUP(I1196,'Handler-Team Map'!$A$7:$C$17,3,FALSE),"")</x:f>
      </x:c>
      <x:c r="N1196" s="274" t="str">
        <x:v>FT_VM_DEP800_GET400_1X</x:v>
      </x:c>
      <x:c r="O1196" s="274" t="str">
        <x:v>VIP BONUS - Deposit 800 Get 400 - 1x TO</x:v>
      </x:c>
      <x:c r="P1196" s="274" t="str">
        <x:v>DepositBonus</x:v>
      </x:c>
      <x:c r="Q1196" s="274" t="str">
        <x:v>Approved</x:v>
      </x:c>
      <x:c r="R1196" s="265" t="n">
        <x:v>400</x:v>
      </x:c>
      <x:c r="S1196" s="253" t="str">
        <x:v>Yes</x:v>
      </x:c>
      <x:c r="T1196" s="265" t="n">
        <x:v>700</x:v>
      </x:c>
      <x:c r="U1196" s="253" t="str">
        <x:f>IF(AND(S1196="Yes",T1196=0),"Yes","No")</x:f>
        <x:v>No</x:v>
      </x:c>
      <x:c r="V1196" s="253" t="str">
        <x:v>Yes</x:v>
      </x:c>
      <x:c r="W1196" s="253" t="str">
        <x:v>Yes</x:v>
      </x:c>
      <x:c r="X1196" s="259" t="n">
        <x:v>46208.166666666664</x:v>
      </x:c>
      <x:c r="Y1196" s="265" t="n">
        <x:v>800</x:v>
      </x:c>
      <x:c r="Z1196" s="265" t="n">
        <x:v>800</x:v>
      </x:c>
      <x:c r="AA1196" s="253" t="str">
        <x:f>IF(V1196="No","Maturing",IF(AND(U1196="Yes",Y1196&gt;0),"Yes","No"))</x:f>
        <x:v>No</x:v>
      </x:c>
      <x:c r="AB1196" s="253" t="str">
        <x:f>IF(W1196="No","Maturing",IF(AND(U1196="Yes",Z1196&gt;0),"Yes","No"))</x:f>
        <x:v>No</x:v>
      </x:c>
      <x:c r="AC1196" s="265" t="n">
        <x:v>754.27</x:v>
      </x:c>
      <x:c r="AD1196" s="265" t="n">
        <x:v>800.27</x:v>
      </x:c>
      <x:c r="AE1196" s="271" t="str"/>
      <x:c r="AF1196" s="274" t="str">
        <x:v>Not validated - no control/holdout</x:v>
      </x:c>
      <x:c r="AG1196" s="277" t="str">
        <x:v>Recovered execution only; assignment date and unclaimed-offer denominator unavailable</x:v>
      </x:c>
    </x:row>
    <x:row r="1197">
      <x:c r="A1197" s="252" t="str">
        <x:v>34855524</x:v>
      </x:c>
      <x:c r="B1197" s="253" t="str">
        <x:v>WS1</x:v>
      </x:c>
      <x:c r="C1197" s="253" t="str">
        <x:v>MB8</x:v>
      </x:c>
      <x:c r="D1197" s="262" t="n">
        <x:v>46209.53230324074</x:v>
      </x:c>
      <x:c r="E1197" s="259" t="n">
        <x:v>46209.166666666664</x:v>
      </x:c>
      <x:c r="F1197" s="253" t="str">
        <x:v>1079990</x:v>
      </x:c>
      <x:c r="G1197" s="253" t="str">
        <x:v>Ayidsepang</x:v>
      </x:c>
      <x:c r="H1197" s="253" t="str">
        <x:v>Yes</x:v>
      </x:c>
      <x:c r="I1197" s="253" t="str"/>
      <x:c r="J1197" s="253" t="str"/>
      <x:c r="K1197" s="259"/>
      <x:c r="L1197" s="268" t="str">
        <x:f>IFERROR(VLOOKUP(I1197,'Handler-Team Map'!$A$7:$C$17,2,FALSE),"")</x:f>
      </x:c>
      <x:c r="M1197" s="268" t="str">
        <x:f>IFERROR(VLOOKUP(I1197,'Handler-Team Map'!$A$7:$C$17,3,FALSE),"")</x:f>
      </x:c>
      <x:c r="N1197" s="274" t="str">
        <x:v>FT_VM_DEP1000_GET500_2X</x:v>
      </x:c>
      <x:c r="O1197" s="274" t="str">
        <x:v>VIP BONUS - Deposit 1000 Get 500 - 2x TO</x:v>
      </x:c>
      <x:c r="P1197" s="274" t="str">
        <x:v>DepositBonus</x:v>
      </x:c>
      <x:c r="Q1197" s="274" t="str">
        <x:v>Approved</x:v>
      </x:c>
      <x:c r="R1197" s="265" t="n">
        <x:v>500</x:v>
      </x:c>
      <x:c r="S1197" s="253" t="str">
        <x:v>Yes</x:v>
      </x:c>
      <x:c r="T1197" s="265" t="n">
        <x:v>80</x:v>
      </x:c>
      <x:c r="U1197" s="253" t="str">
        <x:f>IF(AND(S1197="Yes",T1197=0),"Yes","No")</x:f>
        <x:v>No</x:v>
      </x:c>
      <x:c r="V1197" s="253" t="str">
        <x:v>Yes</x:v>
      </x:c>
      <x:c r="W1197" s="253" t="str">
        <x:v>Yes</x:v>
      </x:c>
      <x:c r="X1197" s="259" t="n">
        <x:v>46209.166666666664</x:v>
      </x:c>
      <x:c r="Y1197" s="265" t="n">
        <x:v>4090</x:v>
      </x:c>
      <x:c r="Z1197" s="265" t="n">
        <x:v>4790</x:v>
      </x:c>
      <x:c r="AA1197" s="253" t="str">
        <x:f>IF(V1197="No","Maturing",IF(AND(U1197="Yes",Y1197&gt;0),"Yes","No"))</x:f>
        <x:v>No</x:v>
      </x:c>
      <x:c r="AB1197" s="253" t="str">
        <x:f>IF(W1197="No","Maturing",IF(AND(U1197="Yes",Z1197&gt;0),"Yes","No"))</x:f>
        <x:v>No</x:v>
      </x:c>
      <x:c r="AC1197" s="265" t="n">
        <x:v>-1130.73</x:v>
      </x:c>
      <x:c r="AD1197" s="265" t="n">
        <x:v>-433.41</x:v>
      </x:c>
      <x:c r="AE1197" s="271" t="str"/>
      <x:c r="AF1197" s="274" t="str">
        <x:v>Not validated - no control/holdout</x:v>
      </x:c>
      <x:c r="AG1197" s="277" t="str">
        <x:v>Recovered execution only; assignment date and unclaimed-offer denominator unavailable</x:v>
      </x:c>
    </x:row>
    <x:row r="1198">
      <x:c r="A1198" s="252" t="str">
        <x:v>34855970</x:v>
      </x:c>
      <x:c r="B1198" s="253" t="str">
        <x:v>WS1</x:v>
      </x:c>
      <x:c r="C1198" s="253" t="str">
        <x:v>MB8</x:v>
      </x:c>
      <x:c r="D1198" s="262" t="n">
        <x:v>46209.57420138889</x:v>
      </x:c>
      <x:c r="E1198" s="259" t="n">
        <x:v>46209.166666666664</x:v>
      </x:c>
      <x:c r="F1198" s="253" t="str">
        <x:v>605081</x:v>
      </x:c>
      <x:c r="G1198" s="253" t="str">
        <x:v>xxdra</x:v>
      </x:c>
      <x:c r="H1198" s="253" t="str">
        <x:v>Yes</x:v>
      </x:c>
      <x:c r="I1198" s="253" t="str">
        <x:v>Mikki</x:v>
      </x:c>
      <x:c r="J1198" s="253" t="str">
        <x:v>Mikki</x:v>
      </x:c>
      <x:c r="K1198" s="259" t="n">
        <x:v>45993.166666666664</x:v>
      </x:c>
      <x:c r="L1198" s="268" t="str">
        <x:f>IFERROR(VLOOKUP(I1198,'Handler-Team Map'!$A$7:$C$17,2,FALSE),"")</x:f>
      </x:c>
      <x:c r="M1198" s="268" t="str">
        <x:f>IFERROR(VLOOKUP(I1198,'Handler-Team Map'!$A$7:$C$17,3,FALSE),"")</x:f>
      </x:c>
      <x:c r="N1198" s="274" t="str">
        <x:v>FT_VM_DEP1000_GET500_5X</x:v>
      </x:c>
      <x:c r="O1198" s="274" t="str">
        <x:v>VIP BONUS - Deposit 1000 Get 500 - 5x TO</x:v>
      </x:c>
      <x:c r="P1198" s="274" t="str">
        <x:v>DepositBonus</x:v>
      </x:c>
      <x:c r="Q1198" s="274" t="str">
        <x:v>Approved</x:v>
      </x:c>
      <x:c r="R1198" s="265" t="n">
        <x:v>500</x:v>
      </x:c>
      <x:c r="S1198" s="253" t="str">
        <x:v>Yes</x:v>
      </x:c>
      <x:c r="T1198" s="265" t="n">
        <x:v>18520</x:v>
      </x:c>
      <x:c r="U1198" s="253" t="str">
        <x:f>IF(AND(S1198="Yes",T1198=0),"Yes","No")</x:f>
        <x:v>No</x:v>
      </x:c>
      <x:c r="V1198" s="253" t="str">
        <x:v>Yes</x:v>
      </x:c>
      <x:c r="W1198" s="253" t="str">
        <x:v>Yes</x:v>
      </x:c>
      <x:c r="X1198" s="259" t="n">
        <x:v>46209.166666666664</x:v>
      </x:c>
      <x:c r="Y1198" s="265" t="n">
        <x:v>2000</x:v>
      </x:c>
      <x:c r="Z1198" s="265" t="n">
        <x:v>16415</x:v>
      </x:c>
      <x:c r="AA1198" s="253" t="str">
        <x:f>IF(V1198="No","Maturing",IF(AND(U1198="Yes",Y1198&gt;0),"Yes","No"))</x:f>
        <x:v>No</x:v>
      </x:c>
      <x:c r="AB1198" s="253" t="str">
        <x:f>IF(W1198="No","Maturing",IF(AND(U1198="Yes",Z1198&gt;0),"Yes","No"))</x:f>
        <x:v>No</x:v>
      </x:c>
      <x:c r="AC1198" s="265" t="n">
        <x:v>-5523.17</x:v>
      </x:c>
      <x:c r="AD1198" s="265" t="n">
        <x:v>1024.68</x:v>
      </x:c>
      <x:c r="AE1198" s="271" t="str"/>
      <x:c r="AF1198" s="274" t="str">
        <x:v>Not validated - no control/holdout</x:v>
      </x:c>
      <x:c r="AG1198" s="277" t="str">
        <x:v>Recovered execution only; assignment date and unclaimed-offer denominator unavailable</x:v>
      </x:c>
    </x:row>
    <x:row r="1199">
      <x:c r="A1199" s="252" t="str">
        <x:v>34856276</x:v>
      </x:c>
      <x:c r="B1199" s="253" t="str">
        <x:v>WS1</x:v>
      </x:c>
      <x:c r="C1199" s="253" t="str">
        <x:v>MB8</x:v>
      </x:c>
      <x:c r="D1199" s="262" t="n">
        <x:v>46209.60107638889</x:v>
      </x:c>
      <x:c r="E1199" s="259" t="n">
        <x:v>46209.166666666664</x:v>
      </x:c>
      <x:c r="F1199" s="253" t="str">
        <x:v>772894</x:v>
      </x:c>
      <x:c r="G1199" s="253" t="str">
        <x:v>anuar531</x:v>
      </x:c>
      <x:c r="H1199" s="253" t="str">
        <x:v>Yes</x:v>
      </x:c>
      <x:c r="I1199" s="253" t="str">
        <x:v>Claire</x:v>
      </x:c>
      <x:c r="J1199" s="253" t="str">
        <x:v>Claire</x:v>
      </x:c>
      <x:c r="K1199" s="259" t="n">
        <x:v>45659.166666666664</x:v>
      </x:c>
      <x:c r="L1199" s="268" t="str">
        <x:f>IFERROR(VLOOKUP(I1199,'Handler-Team Map'!$A$7:$C$17,2,FALSE),"")</x:f>
      </x:c>
      <x:c r="M1199" s="268" t="str">
        <x:f>IFERROR(VLOOKUP(I1199,'Handler-Team Map'!$A$7:$C$17,3,FALSE),"")</x:f>
      </x:c>
      <x:c r="N1199" s="274" t="str">
        <x:v>FT_VM_DEP1000_GET500_5X</x:v>
      </x:c>
      <x:c r="O1199" s="274" t="str">
        <x:v>VIP BONUS - Deposit 1000 Get 500 - 5x TO</x:v>
      </x:c>
      <x:c r="P1199" s="274" t="str">
        <x:v>DepositBonus</x:v>
      </x:c>
      <x:c r="Q1199" s="274" t="str">
        <x:v>Approved</x:v>
      </x:c>
      <x:c r="R1199" s="265" t="n">
        <x:v>500</x:v>
      </x:c>
      <x:c r="S1199" s="253" t="str">
        <x:v>Yes</x:v>
      </x:c>
      <x:c r="T1199" s="265" t="n">
        <x:v>31338</x:v>
      </x:c>
      <x:c r="U1199" s="253" t="str">
        <x:f>IF(AND(S1199="Yes",T1199=0),"Yes","No")</x:f>
        <x:v>No</x:v>
      </x:c>
      <x:c r="V1199" s="253" t="str">
        <x:v>Yes</x:v>
      </x:c>
      <x:c r="W1199" s="253" t="str">
        <x:v>Yes</x:v>
      </x:c>
      <x:c r="X1199" s="259" t="n">
        <x:v>46209.166666666664</x:v>
      </x:c>
      <x:c r="Y1199" s="265" t="n">
        <x:v>31622</x:v>
      </x:c>
      <x:c r="Z1199" s="265" t="n">
        <x:v>40808</x:v>
      </x:c>
      <x:c r="AA1199" s="253" t="str">
        <x:f>IF(V1199="No","Maturing",IF(AND(U1199="Yes",Y1199&gt;0),"Yes","No"))</x:f>
        <x:v>No</x:v>
      </x:c>
      <x:c r="AB1199" s="253" t="str">
        <x:f>IF(W1199="No","Maturing",IF(AND(U1199="Yes",Z1199&gt;0),"Yes","No"))</x:f>
        <x:v>No</x:v>
      </x:c>
      <x:c r="AC1199" s="265" t="n">
        <x:v>-9222.1</x:v>
      </x:c>
      <x:c r="AD1199" s="265" t="n">
        <x:v>-37.87</x:v>
      </x:c>
      <x:c r="AE1199" s="271" t="str"/>
      <x:c r="AF1199" s="274" t="str">
        <x:v>Not validated - no control/holdout</x:v>
      </x:c>
      <x:c r="AG1199" s="277" t="str">
        <x:v>Recovered execution only; assignment date and unclaimed-offer denominator unavailable</x:v>
      </x:c>
    </x:row>
    <x:row r="1200">
      <x:c r="A1200" s="252" t="str">
        <x:v>34856629</x:v>
      </x:c>
      <x:c r="B1200" s="253" t="str">
        <x:v>WS1</x:v>
      </x:c>
      <x:c r="C1200" s="253" t="str">
        <x:v>MB8</x:v>
      </x:c>
      <x:c r="D1200" s="262" t="n">
        <x:v>46209.63359953704</x:v>
      </x:c>
      <x:c r="E1200" s="259" t="n">
        <x:v>46209.166666666664</x:v>
      </x:c>
      <x:c r="F1200" s="253" t="str">
        <x:v>195813</x:v>
      </x:c>
      <x:c r="G1200" s="253" t="str">
        <x:v>Veq5774</x:v>
      </x:c>
      <x:c r="H1200" s="253" t="str">
        <x:v>Yes</x:v>
      </x:c>
      <x:c r="I1200" s="253" t="str">
        <x:v>Elda</x:v>
      </x:c>
      <x:c r="J1200" s="253" t="str">
        <x:v>Elda</x:v>
      </x:c>
      <x:c r="K1200" s="259" t="n">
        <x:v>45659.166666666664</x:v>
      </x:c>
      <x:c r="L1200" s="268" t="str">
        <x:f>IFERROR(VLOOKUP(I1200,'Handler-Team Map'!$A$7:$C$17,2,FALSE),"")</x:f>
      </x:c>
      <x:c r="M1200" s="268" t="str">
        <x:f>IFERROR(VLOOKUP(I1200,'Handler-Team Map'!$A$7:$C$17,3,FALSE),"")</x:f>
      </x:c>
      <x:c r="N1200" s="274" t="str">
        <x:v>FT_VM_DEP1000_GET1000_1X</x:v>
      </x:c>
      <x:c r="O1200" s="274" t="str">
        <x:v>VIP BONUS - Deposit 1000 Get 1000 - 1x TO</x:v>
      </x:c>
      <x:c r="P1200" s="274" t="str">
        <x:v>DepositBonus</x:v>
      </x:c>
      <x:c r="Q1200" s="274" t="str">
        <x:v>Approved</x:v>
      </x:c>
      <x:c r="R1200" s="265" t="n">
        <x:v>1000</x:v>
      </x:c>
      <x:c r="S1200" s="253" t="str">
        <x:v>Yes</x:v>
      </x:c>
      <x:c r="T1200" s="265" t="n">
        <x:v>243138</x:v>
      </x:c>
      <x:c r="U1200" s="253" t="str">
        <x:f>IF(AND(S1200="Yes",T1200=0),"Yes","No")</x:f>
        <x:v>No</x:v>
      </x:c>
      <x:c r="V1200" s="253" t="str">
        <x:v>Yes</x:v>
      </x:c>
      <x:c r="W1200" s="253" t="str">
        <x:v>Yes</x:v>
      </x:c>
      <x:c r="X1200" s="259" t="n">
        <x:v>46209.166666666664</x:v>
      </x:c>
      <x:c r="Y1200" s="265" t="n">
        <x:v>48984</x:v>
      </x:c>
      <x:c r="Z1200" s="265" t="n">
        <x:v>84980</x:v>
      </x:c>
      <x:c r="AA1200" s="253" t="str">
        <x:f>IF(V1200="No","Maturing",IF(AND(U1200="Yes",Y1200&gt;0),"Yes","No"))</x:f>
        <x:v>No</x:v>
      </x:c>
      <x:c r="AB1200" s="253" t="str">
        <x:f>IF(W1200="No","Maturing",IF(AND(U1200="Yes",Z1200&gt;0),"Yes","No"))</x:f>
        <x:v>No</x:v>
      </x:c>
      <x:c r="AC1200" s="265" t="n">
        <x:v>48982.69</x:v>
      </x:c>
      <x:c r="AD1200" s="265" t="n">
        <x:v>84977.67</x:v>
      </x:c>
      <x:c r="AE1200" s="271" t="str"/>
      <x:c r="AF1200" s="274" t="str">
        <x:v>Not validated - no control/holdout</x:v>
      </x:c>
      <x:c r="AG1200" s="277" t="str">
        <x:v>Recovered execution only; assignment date and unclaimed-offer denominator unavailable</x:v>
      </x:c>
    </x:row>
    <x:row r="1201">
      <x:c r="A1201" s="252" t="str">
        <x:v>34856876</x:v>
      </x:c>
      <x:c r="B1201" s="253" t="str">
        <x:v>WS1</x:v>
      </x:c>
      <x:c r="C1201" s="253" t="str">
        <x:v>MB8</x:v>
      </x:c>
      <x:c r="D1201" s="262" t="n">
        <x:v>46209.65660879629</x:v>
      </x:c>
      <x:c r="E1201" s="259" t="n">
        <x:v>46209.166666666664</x:v>
      </x:c>
      <x:c r="F1201" s="253" t="str">
        <x:v>971937</x:v>
      </x:c>
      <x:c r="G1201" s="253" t="str">
        <x:v>jason0830</x:v>
      </x:c>
      <x:c r="H1201" s="253" t="str">
        <x:v>Yes</x:v>
      </x:c>
      <x:c r="I1201" s="253" t="str">
        <x:v>zhen</x:v>
      </x:c>
      <x:c r="J1201" s="253" t="str">
        <x:v>zhen</x:v>
      </x:c>
      <x:c r="K1201" s="259" t="n">
        <x:v>45880.166666666664</x:v>
      </x:c>
      <x:c r="L1201" s="268" t="str">
        <x:f>IFERROR(VLOOKUP(I1201,'Handler-Team Map'!$A$7:$C$17,2,FALSE),"")</x:f>
      </x:c>
      <x:c r="M1201" s="268" t="str">
        <x:f>IFERROR(VLOOKUP(I1201,'Handler-Team Map'!$A$7:$C$17,3,FALSE),"")</x:f>
      </x:c>
      <x:c r="N1201" s="274" t="str">
        <x:v>FT_VM_DEP800_GET400_1X</x:v>
      </x:c>
      <x:c r="O1201" s="274" t="str">
        <x:v>VIP BONUS - Deposit 800 Get 400 - 1x TO</x:v>
      </x:c>
      <x:c r="P1201" s="274" t="str">
        <x:v>DepositBonus</x:v>
      </x:c>
      <x:c r="Q1201" s="274" t="str">
        <x:v>Approved</x:v>
      </x:c>
      <x:c r="R1201" s="265" t="n">
        <x:v>400</x:v>
      </x:c>
      <x:c r="S1201" s="253" t="str">
        <x:v>Yes</x:v>
      </x:c>
      <x:c r="T1201" s="265" t="n">
        <x:v>0</x:v>
      </x:c>
      <x:c r="U1201" s="253" t="str">
        <x:f>IF(AND(S1201="Yes",T1201=0),"Yes","No")</x:f>
        <x:v>Yes</x:v>
      </x:c>
      <x:c r="V1201" s="253" t="str">
        <x:v>Yes</x:v>
      </x:c>
      <x:c r="W1201" s="253" t="str">
        <x:v>Yes</x:v>
      </x:c>
      <x:c r="X1201" s="259" t="n">
        <x:v>46209.166666666664</x:v>
      </x:c>
      <x:c r="Y1201" s="265" t="n">
        <x:v>800</x:v>
      </x:c>
      <x:c r="Z1201" s="265" t="n">
        <x:v>800</x:v>
      </x:c>
      <x:c r="AA1201" s="253" t="str">
        <x:f>IF(V1201="No","Maturing",IF(AND(U1201="Yes",Y1201&gt;0),"Yes","No"))</x:f>
        <x:v>Yes</x:v>
      </x:c>
      <x:c r="AB1201" s="253" t="str">
        <x:f>IF(W1201="No","Maturing",IF(AND(U1201="Yes",Z1201&gt;0),"Yes","No"))</x:f>
        <x:v>Yes</x:v>
      </x:c>
      <x:c r="AC1201" s="265" t="n">
        <x:v>800.26</x:v>
      </x:c>
      <x:c r="AD1201" s="265" t="n">
        <x:v>800.38</x:v>
      </x:c>
      <x:c r="AE1201" s="271" t="str"/>
      <x:c r="AF1201" s="274" t="str">
        <x:v>Not validated - no control/holdout</x:v>
      </x:c>
      <x:c r="AG1201" s="277" t="str">
        <x:v>Recovered execution only; assignment date and unclaimed-offer denominator unavailable</x:v>
      </x:c>
    </x:row>
    <x:row r="1202">
      <x:c r="A1202" s="252" t="str">
        <x:v>34857084</x:v>
      </x:c>
      <x:c r="B1202" s="253" t="str">
        <x:v>WS1</x:v>
      </x:c>
      <x:c r="C1202" s="253" t="str">
        <x:v>MB8</x:v>
      </x:c>
      <x:c r="D1202" s="262" t="n">
        <x:v>46209.67077546296</x:v>
      </x:c>
      <x:c r="E1202" s="259" t="n">
        <x:v>46209.166666666664</x:v>
      </x:c>
      <x:c r="F1202" s="253" t="str">
        <x:v>827371</x:v>
      </x:c>
      <x:c r="G1202" s="253" t="str">
        <x:v>marc187</x:v>
      </x:c>
      <x:c r="H1202" s="253" t="str">
        <x:v>Yes</x:v>
      </x:c>
      <x:c r="I1202" s="253" t="str">
        <x:v>Claire</x:v>
      </x:c>
      <x:c r="J1202" s="253" t="str">
        <x:v>Claire</x:v>
      </x:c>
      <x:c r="K1202" s="259" t="n">
        <x:v>45755.166666666664</x:v>
      </x:c>
      <x:c r="L1202" s="268" t="str">
        <x:f>IFERROR(VLOOKUP(I1202,'Handler-Team Map'!$A$7:$C$17,2,FALSE),"")</x:f>
      </x:c>
      <x:c r="M1202" s="268" t="str">
        <x:f>IFERROR(VLOOKUP(I1202,'Handler-Team Map'!$A$7:$C$17,3,FALSE),"")</x:f>
      </x:c>
      <x:c r="N1202" s="274" t="str">
        <x:v>FT_VM_DEP1200_GET600_2X</x:v>
      </x:c>
      <x:c r="O1202" s="274" t="str">
        <x:v>VIP BONUS - Deposit 1200 Get 600 - 2x TO</x:v>
      </x:c>
      <x:c r="P1202" s="274" t="str">
        <x:v>DepositBonus</x:v>
      </x:c>
      <x:c r="Q1202" s="274" t="str">
        <x:v>Approved</x:v>
      </x:c>
      <x:c r="R1202" s="265" t="n">
        <x:v>600</x:v>
      </x:c>
      <x:c r="S1202" s="253" t="str">
        <x:v>Yes</x:v>
      </x:c>
      <x:c r="T1202" s="265" t="n">
        <x:v>1352399.22</x:v>
      </x:c>
      <x:c r="U1202" s="253" t="str">
        <x:f>IF(AND(S1202="Yes",T1202=0),"Yes","No")</x:f>
        <x:v>No</x:v>
      </x:c>
      <x:c r="V1202" s="253" t="str">
        <x:v>Yes</x:v>
      </x:c>
      <x:c r="W1202" s="253" t="str">
        <x:v>Yes</x:v>
      </x:c>
      <x:c r="X1202" s="259" t="n">
        <x:v>46209.166666666664</x:v>
      </x:c>
      <x:c r="Y1202" s="265" t="n">
        <x:v>372178.89</x:v>
      </x:c>
      <x:c r="Z1202" s="265" t="n">
        <x:v>601778.89</x:v>
      </x:c>
      <x:c r="AA1202" s="253" t="str">
        <x:f>IF(V1202="No","Maturing",IF(AND(U1202="Yes",Y1202&gt;0),"Yes","No"))</x:f>
        <x:v>No</x:v>
      </x:c>
      <x:c r="AB1202" s="253" t="str">
        <x:f>IF(W1202="No","Maturing",IF(AND(U1202="Yes",Z1202&gt;0),"Yes","No"))</x:f>
        <x:v>No</x:v>
      </x:c>
      <x:c r="AC1202" s="265" t="n">
        <x:v>177320.32</x:v>
      </x:c>
      <x:c r="AD1202" s="265" t="n">
        <x:v>240089.57</x:v>
      </x:c>
      <x:c r="AE1202" s="271" t="str"/>
      <x:c r="AF1202" s="274" t="str">
        <x:v>Not validated - no control/holdout</x:v>
      </x:c>
      <x:c r="AG1202" s="277" t="str">
        <x:v>Recovered execution only; assignment date and unclaimed-offer denominator unavailable</x:v>
      </x:c>
    </x:row>
    <x:row r="1203">
      <x:c r="A1203" s="252" t="str">
        <x:v>34857344</x:v>
      </x:c>
      <x:c r="B1203" s="253" t="str">
        <x:v>WS1</x:v>
      </x:c>
      <x:c r="C1203" s="253" t="str">
        <x:v>MB8</x:v>
      </x:c>
      <x:c r="D1203" s="262" t="n">
        <x:v>46209.69305555556</x:v>
      </x:c>
      <x:c r="E1203" s="259" t="n">
        <x:v>46209.166666666664</x:v>
      </x:c>
      <x:c r="F1203" s="253" t="str">
        <x:v>508558</x:v>
      </x:c>
      <x:c r="G1203" s="253" t="str">
        <x:v>ngjiajie</x:v>
      </x:c>
      <x:c r="H1203" s="253" t="str">
        <x:v>Yes</x:v>
      </x:c>
      <x:c r="I1203" s="253" t="str">
        <x:v>Tammy</x:v>
      </x:c>
      <x:c r="J1203" s="253" t="str">
        <x:v>Tammy</x:v>
      </x:c>
      <x:c r="K1203" s="259" t="n">
        <x:v>45951.166666666664</x:v>
      </x:c>
      <x:c r="L1203" s="268" t="str">
        <x:f>IFERROR(VLOOKUP(I1203,'Handler-Team Map'!$A$7:$C$17,2,FALSE),"")</x:f>
      </x:c>
      <x:c r="M1203" s="268" t="str">
        <x:f>IFERROR(VLOOKUP(I1203,'Handler-Team Map'!$A$7:$C$17,3,FALSE),"")</x:f>
      </x:c>
      <x:c r="N1203" s="274" t="str">
        <x:v>FT_VM_DEP300_GET100_5X</x:v>
      </x:c>
      <x:c r="O1203" s="274" t="str">
        <x:v>VIP BONUS - Deposit 300 Get 100 - 5x TO</x:v>
      </x:c>
      <x:c r="P1203" s="274" t="str">
        <x:v>DepositBonus</x:v>
      </x:c>
      <x:c r="Q1203" s="274" t="str">
        <x:v>Approved</x:v>
      </x:c>
      <x:c r="R1203" s="265" t="n">
        <x:v>100</x:v>
      </x:c>
      <x:c r="S1203" s="253" t="str">
        <x:v>Yes</x:v>
      </x:c>
      <x:c r="T1203" s="265" t="n">
        <x:v>12485</x:v>
      </x:c>
      <x:c r="U1203" s="253" t="str">
        <x:f>IF(AND(S1203="Yes",T1203=0),"Yes","No")</x:f>
        <x:v>No</x:v>
      </x:c>
      <x:c r="V1203" s="253" t="str">
        <x:v>Yes</x:v>
      </x:c>
      <x:c r="W1203" s="253" t="str">
        <x:v>Yes</x:v>
      </x:c>
      <x:c r="X1203" s="259" t="n">
        <x:v>46209.166666666664</x:v>
      </x:c>
      <x:c r="Y1203" s="265" t="n">
        <x:v>7650</x:v>
      </x:c>
      <x:c r="Z1203" s="265" t="n">
        <x:v>11278.08</x:v>
      </x:c>
      <x:c r="AA1203" s="253" t="str">
        <x:f>IF(V1203="No","Maturing",IF(AND(U1203="Yes",Y1203&gt;0),"Yes","No"))</x:f>
        <x:v>No</x:v>
      </x:c>
      <x:c r="AB1203" s="253" t="str">
        <x:f>IF(W1203="No","Maturing",IF(AND(U1203="Yes",Z1203&gt;0),"Yes","No"))</x:f>
        <x:v>No</x:v>
      </x:c>
      <x:c r="AC1203" s="265" t="n">
        <x:v>2941.47</x:v>
      </x:c>
      <x:c r="AD1203" s="265" t="n">
        <x:v>5593.86</x:v>
      </x:c>
      <x:c r="AE1203" s="271" t="str"/>
      <x:c r="AF1203" s="274" t="str">
        <x:v>Not validated - no control/holdout</x:v>
      </x:c>
      <x:c r="AG1203" s="277" t="str">
        <x:v>Recovered execution only; assignment date and unclaimed-offer denominator unavailable</x:v>
      </x:c>
    </x:row>
    <x:row r="1204">
      <x:c r="A1204" s="252" t="str">
        <x:v>34857405</x:v>
      </x:c>
      <x:c r="B1204" s="253" t="str">
        <x:v>WS1</x:v>
      </x:c>
      <x:c r="C1204" s="253" t="str">
        <x:v>MB8</x:v>
      </x:c>
      <x:c r="D1204" s="262" t="n">
        <x:v>46209.696018518516</x:v>
      </x:c>
      <x:c r="E1204" s="259" t="n">
        <x:v>46209.166666666664</x:v>
      </x:c>
      <x:c r="F1204" s="253" t="str">
        <x:v>488888</x:v>
      </x:c>
      <x:c r="G1204" s="253" t="str">
        <x:v>Tharma3170</x:v>
      </x:c>
      <x:c r="H1204" s="253" t="str">
        <x:v>Yes</x:v>
      </x:c>
      <x:c r="I1204" s="253" t="str">
        <x:v>Tammy</x:v>
      </x:c>
      <x:c r="J1204" s="253" t="str">
        <x:v>Tammy</x:v>
      </x:c>
      <x:c r="K1204" s="259" t="n">
        <x:v>45951.166666666664</x:v>
      </x:c>
      <x:c r="L1204" s="268" t="str">
        <x:f>IFERROR(VLOOKUP(I1204,'Handler-Team Map'!$A$7:$C$17,2,FALSE),"")</x:f>
      </x:c>
      <x:c r="M1204" s="268" t="str">
        <x:f>IFERROR(VLOOKUP(I1204,'Handler-Team Map'!$A$7:$C$17,3,FALSE),"")</x:f>
      </x:c>
      <x:c r="N1204" s="274" t="str">
        <x:v>FT_VM_DEP150_GET50_5X</x:v>
      </x:c>
      <x:c r="O1204" s="274" t="str">
        <x:v>VIP BONUS - Deposit 150 Get 50 - 5x TO</x:v>
      </x:c>
      <x:c r="P1204" s="274" t="str">
        <x:v>DepositBonus</x:v>
      </x:c>
      <x:c r="Q1204" s="274" t="str">
        <x:v>Approved</x:v>
      </x:c>
      <x:c r="R1204" s="265" t="n">
        <x:v>50</x:v>
      </x:c>
      <x:c r="S1204" s="253" t="str">
        <x:v>Yes</x:v>
      </x:c>
      <x:c r="T1204" s="265" t="n">
        <x:v>11774</x:v>
      </x:c>
      <x:c r="U1204" s="253" t="str">
        <x:f>IF(AND(S1204="Yes",T1204=0),"Yes","No")</x:f>
        <x:v>No</x:v>
      </x:c>
      <x:c r="V1204" s="253" t="str">
        <x:v>Yes</x:v>
      </x:c>
      <x:c r="W1204" s="253" t="str">
        <x:v>Yes</x:v>
      </x:c>
      <x:c r="X1204" s="259" t="n">
        <x:v>46209.166666666664</x:v>
      </x:c>
      <x:c r="Y1204" s="265" t="n">
        <x:v>4022</x:v>
      </x:c>
      <x:c r="Z1204" s="265" t="n">
        <x:v>5525</x:v>
      </x:c>
      <x:c r="AA1204" s="253" t="str">
        <x:f>IF(V1204="No","Maturing",IF(AND(U1204="Yes",Y1204&gt;0),"Yes","No"))</x:f>
        <x:v>No</x:v>
      </x:c>
      <x:c r="AB1204" s="253" t="str">
        <x:f>IF(W1204="No","Maturing",IF(AND(U1204="Yes",Z1204&gt;0),"Yes","No"))</x:f>
        <x:v>No</x:v>
      </x:c>
      <x:c r="AC1204" s="265" t="n">
        <x:v>1118.72</x:v>
      </x:c>
      <x:c r="AD1204" s="265" t="n">
        <x:v>2326.17</x:v>
      </x:c>
      <x:c r="AE1204" s="271" t="str"/>
      <x:c r="AF1204" s="274" t="str">
        <x:v>Not validated - no control/holdout</x:v>
      </x:c>
      <x:c r="AG1204" s="277" t="str">
        <x:v>Recovered execution only; assignment date and unclaimed-offer denominator unavailable</x:v>
      </x:c>
    </x:row>
    <x:row r="1205">
      <x:c r="A1205" s="252" t="str">
        <x:v>34857419</x:v>
      </x:c>
      <x:c r="B1205" s="253" t="str">
        <x:v>WS1</x:v>
      </x:c>
      <x:c r="C1205" s="253" t="str">
        <x:v>MB8</x:v>
      </x:c>
      <x:c r="D1205" s="262" t="n">
        <x:v>46209.69689814815</x:v>
      </x:c>
      <x:c r="E1205" s="259" t="n">
        <x:v>46209.166666666664</x:v>
      </x:c>
      <x:c r="F1205" s="253" t="str">
        <x:v>687540</x:v>
      </x:c>
      <x:c r="G1205" s="253" t="str">
        <x:v>Rick5841</x:v>
      </x:c>
      <x:c r="H1205" s="253" t="str">
        <x:v>Yes</x:v>
      </x:c>
      <x:c r="I1205" s="253" t="str">
        <x:v>Claire</x:v>
      </x:c>
      <x:c r="J1205" s="253" t="str">
        <x:v>Claire</x:v>
      </x:c>
      <x:c r="K1205" s="259" t="n">
        <x:v>46090.166666666664</x:v>
      </x:c>
      <x:c r="L1205" s="268" t="str">
        <x:f>IFERROR(VLOOKUP(I1205,'Handler-Team Map'!$A$7:$C$17,2,FALSE),"")</x:f>
      </x:c>
      <x:c r="M1205" s="268" t="str">
        <x:f>IFERROR(VLOOKUP(I1205,'Handler-Team Map'!$A$7:$C$17,3,FALSE),"")</x:f>
      </x:c>
      <x:c r="N1205" s="274" t="str">
        <x:v>FT_VM_DEP1000_GET800_1X</x:v>
      </x:c>
      <x:c r="O1205" s="274" t="str">
        <x:v>VIP BONUS - Deposit 1000 Get 800 - 1x TO</x:v>
      </x:c>
      <x:c r="P1205" s="274" t="str">
        <x:v>DepositBonus</x:v>
      </x:c>
      <x:c r="Q1205" s="274" t="str">
        <x:v>Approved</x:v>
      </x:c>
      <x:c r="R1205" s="265" t="n">
        <x:v>800</x:v>
      </x:c>
      <x:c r="S1205" s="253" t="str">
        <x:v>Yes</x:v>
      </x:c>
      <x:c r="T1205" s="265" t="n">
        <x:v>1000</x:v>
      </x:c>
      <x:c r="U1205" s="253" t="str">
        <x:f>IF(AND(S1205="Yes",T1205=0),"Yes","No")</x:f>
        <x:v>No</x:v>
      </x:c>
      <x:c r="V1205" s="253" t="str">
        <x:v>Yes</x:v>
      </x:c>
      <x:c r="W1205" s="253" t="str">
        <x:v>Yes</x:v>
      </x:c>
      <x:c r="X1205" s="259" t="n">
        <x:v>46209.166666666664</x:v>
      </x:c>
      <x:c r="Y1205" s="265" t="n">
        <x:v>1800</x:v>
      </x:c>
      <x:c r="Z1205" s="265" t="n">
        <x:v>1800</x:v>
      </x:c>
      <x:c r="AA1205" s="253" t="str">
        <x:f>IF(V1205="No","Maturing",IF(AND(U1205="Yes",Y1205&gt;0),"Yes","No"))</x:f>
        <x:v>No</x:v>
      </x:c>
      <x:c r="AB1205" s="253" t="str">
        <x:f>IF(W1205="No","Maturing",IF(AND(U1205="Yes",Z1205&gt;0),"Yes","No"))</x:f>
        <x:v>No</x:v>
      </x:c>
      <x:c r="AC1205" s="265" t="n">
        <x:v>-400.66</x:v>
      </x:c>
      <x:c r="AD1205" s="265" t="n">
        <x:v>-400.66</x:v>
      </x:c>
      <x:c r="AE1205" s="271" t="str"/>
      <x:c r="AF1205" s="274" t="str">
        <x:v>Not validated - no control/holdout</x:v>
      </x:c>
      <x:c r="AG1205" s="277" t="str">
        <x:v>Recovered execution only; assignment date and unclaimed-offer denominator unavailable</x:v>
      </x:c>
    </x:row>
    <x:row r="1206">
      <x:c r="A1206" s="252" t="str">
        <x:v>34857439</x:v>
      </x:c>
      <x:c r="B1206" s="253" t="str">
        <x:v>WS1</x:v>
      </x:c>
      <x:c r="C1206" s="253" t="str">
        <x:v>MB8</x:v>
      </x:c>
      <x:c r="D1206" s="262" t="n">
        <x:v>46209.698379629626</x:v>
      </x:c>
      <x:c r="E1206" s="259" t="n">
        <x:v>46209.166666666664</x:v>
      </x:c>
      <x:c r="F1206" s="253" t="str">
        <x:v>528897</x:v>
      </x:c>
      <x:c r="G1206" s="253" t="str">
        <x:v>mie02</x:v>
      </x:c>
      <x:c r="H1206" s="253" t="str">
        <x:v>Yes</x:v>
      </x:c>
      <x:c r="I1206" s="253" t="str">
        <x:v>zhen</x:v>
      </x:c>
      <x:c r="J1206" s="253" t="str">
        <x:v>zhen</x:v>
      </x:c>
      <x:c r="K1206" s="259" t="n">
        <x:v>46090.166666666664</x:v>
      </x:c>
      <x:c r="L1206" s="268" t="str">
        <x:f>IFERROR(VLOOKUP(I1206,'Handler-Team Map'!$A$7:$C$17,2,FALSE),"")</x:f>
      </x:c>
      <x:c r="M1206" s="268" t="str">
        <x:f>IFERROR(VLOOKUP(I1206,'Handler-Team Map'!$A$7:$C$17,3,FALSE),"")</x:f>
      </x:c>
      <x:c r="N1206" s="274" t="str">
        <x:v>FT_VM_DEP300_GET100_5X</x:v>
      </x:c>
      <x:c r="O1206" s="274" t="str">
        <x:v>VIP BONUS - Deposit 300 Get 100 - 5x TO</x:v>
      </x:c>
      <x:c r="P1206" s="274" t="str">
        <x:v>DepositBonus</x:v>
      </x:c>
      <x:c r="Q1206" s="274" t="str">
        <x:v>Approved</x:v>
      </x:c>
      <x:c r="R1206" s="265" t="n">
        <x:v>100</x:v>
      </x:c>
      <x:c r="S1206" s="253" t="str">
        <x:v>Yes</x:v>
      </x:c>
      <x:c r="T1206" s="265" t="n">
        <x:v>27959</x:v>
      </x:c>
      <x:c r="U1206" s="253" t="str">
        <x:f>IF(AND(S1206="Yes",T1206=0),"Yes","No")</x:f>
        <x:v>No</x:v>
      </x:c>
      <x:c r="V1206" s="253" t="str">
        <x:v>Yes</x:v>
      </x:c>
      <x:c r="W1206" s="253" t="str">
        <x:v>Yes</x:v>
      </x:c>
      <x:c r="X1206" s="259" t="n">
        <x:v>46209.166666666664</x:v>
      </x:c>
      <x:c r="Y1206" s="265" t="n">
        <x:v>1400</x:v>
      </x:c>
      <x:c r="Z1206" s="265" t="n">
        <x:v>9780</x:v>
      </x:c>
      <x:c r="AA1206" s="253" t="str">
        <x:f>IF(V1206="No","Maturing",IF(AND(U1206="Yes",Y1206&gt;0),"Yes","No"))</x:f>
        <x:v>No</x:v>
      </x:c>
      <x:c r="AB1206" s="253" t="str">
        <x:f>IF(W1206="No","Maturing",IF(AND(U1206="Yes",Z1206&gt;0),"Yes","No"))</x:f>
        <x:v>No</x:v>
      </x:c>
      <x:c r="AC1206" s="265" t="n">
        <x:v>1406.17</x:v>
      </x:c>
      <x:c r="AD1206" s="265" t="n">
        <x:v>-3442.28</x:v>
      </x:c>
      <x:c r="AE1206" s="271" t="str"/>
      <x:c r="AF1206" s="274" t="str">
        <x:v>Not validated - no control/holdout</x:v>
      </x:c>
      <x:c r="AG1206" s="277" t="str">
        <x:v>Recovered execution only; assignment date and unclaimed-offer denominator unavailable</x:v>
      </x:c>
    </x:row>
    <x:row r="1207">
      <x:c r="A1207" s="252" t="str">
        <x:v>34858018</x:v>
      </x:c>
      <x:c r="B1207" s="253" t="str">
        <x:v>WS1</x:v>
      </x:c>
      <x:c r="C1207" s="253" t="str">
        <x:v>MB8</x:v>
      </x:c>
      <x:c r="D1207" s="262" t="n">
        <x:v>46209.74050925926</x:v>
      </x:c>
      <x:c r="E1207" s="259" t="n">
        <x:v>46209.166666666664</x:v>
      </x:c>
      <x:c r="F1207" s="253" t="str">
        <x:v>676845</x:v>
      </x:c>
      <x:c r="G1207" s="253" t="str">
        <x:v>ericokw96</x:v>
      </x:c>
      <x:c r="H1207" s="253" t="str">
        <x:v>Yes</x:v>
      </x:c>
      <x:c r="I1207" s="253" t="str"/>
      <x:c r="J1207" s="253" t="str"/>
      <x:c r="K1207" s="259"/>
      <x:c r="L1207" s="268" t="str">
        <x:f>IFERROR(VLOOKUP(I1207,'Handler-Team Map'!$A$7:$C$17,2,FALSE),"")</x:f>
      </x:c>
      <x:c r="M1207" s="268" t="str">
        <x:f>IFERROR(VLOOKUP(I1207,'Handler-Team Map'!$A$7:$C$17,3,FALSE),"")</x:f>
      </x:c>
      <x:c r="N1207" s="274" t="str">
        <x:v>FT_VM_DEP600_GET200_5X</x:v>
      </x:c>
      <x:c r="O1207" s="274" t="str">
        <x:v>VIP BONUS - Deposit 600 Get 200 - 5x TO</x:v>
      </x:c>
      <x:c r="P1207" s="274" t="str">
        <x:v>DepositBonus</x:v>
      </x:c>
      <x:c r="Q1207" s="274" t="str">
        <x:v>Approved</x:v>
      </x:c>
      <x:c r="R1207" s="265" t="n">
        <x:v>200</x:v>
      </x:c>
      <x:c r="S1207" s="253" t="str">
        <x:v>Yes</x:v>
      </x:c>
      <x:c r="T1207" s="265" t="n">
        <x:v>1000</x:v>
      </x:c>
      <x:c r="U1207" s="253" t="str">
        <x:f>IF(AND(S1207="Yes",T1207=0),"Yes","No")</x:f>
        <x:v>No</x:v>
      </x:c>
      <x:c r="V1207" s="253" t="str">
        <x:v>Yes</x:v>
      </x:c>
      <x:c r="W1207" s="253" t="str">
        <x:v>Yes</x:v>
      </x:c>
      <x:c r="X1207" s="259" t="n">
        <x:v>46209.166666666664</x:v>
      </x:c>
      <x:c r="Y1207" s="265" t="n">
        <x:v>1300</x:v>
      </x:c>
      <x:c r="Z1207" s="265" t="n">
        <x:v>1300</x:v>
      </x:c>
      <x:c r="AA1207" s="253" t="str">
        <x:f>IF(V1207="No","Maturing",IF(AND(U1207="Yes",Y1207&gt;0),"Yes","No"))</x:f>
        <x:v>No</x:v>
      </x:c>
      <x:c r="AB1207" s="253" t="str">
        <x:f>IF(W1207="No","Maturing",IF(AND(U1207="Yes",Z1207&gt;0),"Yes","No"))</x:f>
        <x:v>No</x:v>
      </x:c>
      <x:c r="AC1207" s="265" t="n">
        <x:v>-2635.08</x:v>
      </x:c>
      <x:c r="AD1207" s="265" t="n">
        <x:v>-2635.08</x:v>
      </x:c>
      <x:c r="AE1207" s="271" t="str"/>
      <x:c r="AF1207" s="274" t="str">
        <x:v>Not validated - no control/holdout</x:v>
      </x:c>
      <x:c r="AG1207" s="277" t="str">
        <x:v>Recovered execution only; assignment date and unclaimed-offer denominator unavailable</x:v>
      </x:c>
    </x:row>
    <x:row r="1208">
      <x:c r="A1208" s="252" t="str">
        <x:v>34858619</x:v>
      </x:c>
      <x:c r="B1208" s="253" t="str">
        <x:v>WS1</x:v>
      </x:c>
      <x:c r="C1208" s="253" t="str">
        <x:v>MB8</x:v>
      </x:c>
      <x:c r="D1208" s="262" t="n">
        <x:v>46209.78513888889</x:v>
      </x:c>
      <x:c r="E1208" s="259" t="n">
        <x:v>46209.166666666664</x:v>
      </x:c>
      <x:c r="F1208" s="253" t="str">
        <x:v>521114</x:v>
      </x:c>
      <x:c r="G1208" s="253" t="str">
        <x:v>Nzboss8181</x:v>
      </x:c>
      <x:c r="H1208" s="253" t="str">
        <x:v>Yes</x:v>
      </x:c>
      <x:c r="I1208" s="253" t="str">
        <x:v>Claire</x:v>
      </x:c>
      <x:c r="J1208" s="253" t="str">
        <x:v>Claire</x:v>
      </x:c>
      <x:c r="K1208" s="259" t="n">
        <x:v>45659.166666666664</x:v>
      </x:c>
      <x:c r="L1208" s="268" t="str">
        <x:f>IFERROR(VLOOKUP(I1208,'Handler-Team Map'!$A$7:$C$17,2,FALSE),"")</x:f>
      </x:c>
      <x:c r="M1208" s="268" t="str">
        <x:f>IFERROR(VLOOKUP(I1208,'Handler-Team Map'!$A$7:$C$17,3,FALSE),"")</x:f>
      </x:c>
      <x:c r="N1208" s="274" t="str">
        <x:v>FT_VM_DEP1000_GET1000_2X</x:v>
      </x:c>
      <x:c r="O1208" s="274" t="str">
        <x:v>VIP BONUS - Deposit 1000 Get 1000 - 2x TO</x:v>
      </x:c>
      <x:c r="P1208" s="274" t="str">
        <x:v>DepositBonus</x:v>
      </x:c>
      <x:c r="Q1208" s="274" t="str">
        <x:v>Approved</x:v>
      </x:c>
      <x:c r="R1208" s="265" t="n">
        <x:v>1000</x:v>
      </x:c>
      <x:c r="S1208" s="253" t="str">
        <x:v>Yes</x:v>
      </x:c>
      <x:c r="T1208" s="265" t="n">
        <x:v>307900</x:v>
      </x:c>
      <x:c r="U1208" s="253" t="str">
        <x:f>IF(AND(S1208="Yes",T1208=0),"Yes","No")</x:f>
        <x:v>No</x:v>
      </x:c>
      <x:c r="V1208" s="253" t="str">
        <x:v>Yes</x:v>
      </x:c>
      <x:c r="W1208" s="253" t="str">
        <x:v>Yes</x:v>
      </x:c>
      <x:c r="X1208" s="259" t="n">
        <x:v>46209.166666666664</x:v>
      </x:c>
      <x:c r="Y1208" s="265" t="n">
        <x:v>56400</x:v>
      </x:c>
      <x:c r="Z1208" s="265" t="n">
        <x:v>133400</x:v>
      </x:c>
      <x:c r="AA1208" s="253" t="str">
        <x:f>IF(V1208="No","Maturing",IF(AND(U1208="Yes",Y1208&gt;0),"Yes","No"))</x:f>
        <x:v>No</x:v>
      </x:c>
      <x:c r="AB1208" s="253" t="str">
        <x:f>IF(W1208="No","Maturing",IF(AND(U1208="Yes",Z1208&gt;0),"Yes","No"))</x:f>
        <x:v>No</x:v>
      </x:c>
      <x:c r="AC1208" s="265" t="n">
        <x:v>37546.96</x:v>
      </x:c>
      <x:c r="AD1208" s="265" t="n">
        <x:v>72900</x:v>
      </x:c>
      <x:c r="AE1208" s="271" t="str"/>
      <x:c r="AF1208" s="274" t="str">
        <x:v>Not validated - no control/holdout</x:v>
      </x:c>
      <x:c r="AG1208" s="277" t="str">
        <x:v>Recovered execution only; assignment date and unclaimed-offer denominator unavailable</x:v>
      </x:c>
    </x:row>
    <x:row r="1209">
      <x:c r="A1209" s="252" t="str">
        <x:v>34858721</x:v>
      </x:c>
      <x:c r="B1209" s="253" t="str">
        <x:v>WS1</x:v>
      </x:c>
      <x:c r="C1209" s="253" t="str">
        <x:v>MB8</x:v>
      </x:c>
      <x:c r="D1209" s="262" t="n">
        <x:v>46209.791446759256</x:v>
      </x:c>
      <x:c r="E1209" s="259" t="n">
        <x:v>46209.166666666664</x:v>
      </x:c>
      <x:c r="F1209" s="253" t="str">
        <x:v>354942</x:v>
      </x:c>
      <x:c r="G1209" s="253" t="str">
        <x:v>koitchinwei</x:v>
      </x:c>
      <x:c r="H1209" s="253" t="str">
        <x:v>Yes</x:v>
      </x:c>
      <x:c r="I1209" s="253" t="str">
        <x:v>Sheena</x:v>
      </x:c>
      <x:c r="J1209" s="253" t="str">
        <x:v>Sheena</x:v>
      </x:c>
      <x:c r="K1209" s="259" t="n">
        <x:v>45912.166666666664</x:v>
      </x:c>
      <x:c r="L1209" s="268" t="str">
        <x:f>IFERROR(VLOOKUP(I1209,'Handler-Team Map'!$A$7:$C$17,2,FALSE),"")</x:f>
      </x:c>
      <x:c r="M1209" s="268" t="str">
        <x:f>IFERROR(VLOOKUP(I1209,'Handler-Team Map'!$A$7:$C$17,3,FALSE),"")</x:f>
      </x:c>
      <x:c r="N1209" s="274" t="str">
        <x:v>FT_VM_DEP1000_GET700_2X</x:v>
      </x:c>
      <x:c r="O1209" s="274" t="str">
        <x:v>VIP BONUS - Deposit 1000 Get 700 - 2x TO</x:v>
      </x:c>
      <x:c r="P1209" s="274" t="str">
        <x:v>DepositBonus</x:v>
      </x:c>
      <x:c r="Q1209" s="274" t="str">
        <x:v>Approved</x:v>
      </x:c>
      <x:c r="R1209" s="265" t="n">
        <x:v>700</x:v>
      </x:c>
      <x:c r="S1209" s="253" t="str">
        <x:v>Yes</x:v>
      </x:c>
      <x:c r="T1209" s="265" t="n">
        <x:v>1000</x:v>
      </x:c>
      <x:c r="U1209" s="253" t="str">
        <x:f>IF(AND(S1209="Yes",T1209=0),"Yes","No")</x:f>
        <x:v>No</x:v>
      </x:c>
      <x:c r="V1209" s="253" t="str">
        <x:v>Yes</x:v>
      </x:c>
      <x:c r="W1209" s="253" t="str">
        <x:v>Yes</x:v>
      </x:c>
      <x:c r="X1209" s="259" t="n">
        <x:v>46209.166666666664</x:v>
      </x:c>
      <x:c r="Y1209" s="265" t="n">
        <x:v>1000</x:v>
      </x:c>
      <x:c r="Z1209" s="265" t="n">
        <x:v>1000</x:v>
      </x:c>
      <x:c r="AA1209" s="253" t="str">
        <x:f>IF(V1209="No","Maturing",IF(AND(U1209="Yes",Y1209&gt;0),"Yes","No"))</x:f>
        <x:v>No</x:v>
      </x:c>
      <x:c r="AB1209" s="253" t="str">
        <x:f>IF(W1209="No","Maturing",IF(AND(U1209="Yes",Z1209&gt;0),"Yes","No"))</x:f>
        <x:v>No</x:v>
      </x:c>
      <x:c r="AC1209" s="265" t="n">
        <x:v>-500.31</x:v>
      </x:c>
      <x:c r="AD1209" s="265" t="n">
        <x:v>-502.61</x:v>
      </x:c>
      <x:c r="AE1209" s="271" t="str"/>
      <x:c r="AF1209" s="274" t="str">
        <x:v>Not validated - no control/holdout</x:v>
      </x:c>
      <x:c r="AG1209" s="277" t="str">
        <x:v>Recovered execution only; assignment date and unclaimed-offer denominator unavailable</x:v>
      </x:c>
    </x:row>
    <x:row r="1210">
      <x:c r="A1210" s="252" t="str">
        <x:v>34858838</x:v>
      </x:c>
      <x:c r="B1210" s="253" t="str">
        <x:v>WS1</x:v>
      </x:c>
      <x:c r="C1210" s="253" t="str">
        <x:v>MB8</x:v>
      </x:c>
      <x:c r="D1210" s="262" t="n">
        <x:v>46209.799791666665</x:v>
      </x:c>
      <x:c r="E1210" s="259" t="n">
        <x:v>46209.166666666664</x:v>
      </x:c>
      <x:c r="F1210" s="253" t="str">
        <x:v>609181</x:v>
      </x:c>
      <x:c r="G1210" s="253" t="str">
        <x:v>Tamyusiong</x:v>
      </x:c>
      <x:c r="H1210" s="253" t="str">
        <x:v>Yes</x:v>
      </x:c>
      <x:c r="I1210" s="253" t="str">
        <x:v>Christy</x:v>
      </x:c>
      <x:c r="J1210" s="253" t="str">
        <x:v>Christy</x:v>
      </x:c>
      <x:c r="K1210" s="259" t="n">
        <x:v>45859.166666666664</x:v>
      </x:c>
      <x:c r="L1210" s="268" t="str">
        <x:f>IFERROR(VLOOKUP(I1210,'Handler-Team Map'!$A$7:$C$17,2,FALSE),"")</x:f>
      </x:c>
      <x:c r="M1210" s="268" t="str">
        <x:f>IFERROR(VLOOKUP(I1210,'Handler-Team Map'!$A$7:$C$17,3,FALSE),"")</x:f>
      </x:c>
      <x:c r="N1210" s="274" t="str">
        <x:v>FT_VM_DEP1000_GET500_5X</x:v>
      </x:c>
      <x:c r="O1210" s="274" t="str">
        <x:v>VIP BONUS - Deposit 1000 Get 500 - 5x TO</x:v>
      </x:c>
      <x:c r="P1210" s="274" t="str">
        <x:v>DepositBonus</x:v>
      </x:c>
      <x:c r="Q1210" s="274" t="str">
        <x:v>Approved</x:v>
      </x:c>
      <x:c r="R1210" s="265" t="n">
        <x:v>500</x:v>
      </x:c>
      <x:c r="S1210" s="253" t="str">
        <x:v>Yes</x:v>
      </x:c>
      <x:c r="T1210" s="265" t="n">
        <x:v>6300</x:v>
      </x:c>
      <x:c r="U1210" s="253" t="str">
        <x:f>IF(AND(S1210="Yes",T1210=0),"Yes","No")</x:f>
        <x:v>No</x:v>
      </x:c>
      <x:c r="V1210" s="253" t="str">
        <x:v>Yes</x:v>
      </x:c>
      <x:c r="W1210" s="253" t="str">
        <x:v>Yes</x:v>
      </x:c>
      <x:c r="X1210" s="259" t="n">
        <x:v>46209.166666666664</x:v>
      </x:c>
      <x:c r="Y1210" s="265" t="n">
        <x:v>1100</x:v>
      </x:c>
      <x:c r="Z1210" s="265" t="n">
        <x:v>3200</x:v>
      </x:c>
      <x:c r="AA1210" s="253" t="str">
        <x:f>IF(V1210="No","Maturing",IF(AND(U1210="Yes",Y1210&gt;0),"Yes","No"))</x:f>
        <x:v>No</x:v>
      </x:c>
      <x:c r="AB1210" s="253" t="str">
        <x:f>IF(W1210="No","Maturing",IF(AND(U1210="Yes",Z1210&gt;0),"Yes","No"))</x:f>
        <x:v>No</x:v>
      </x:c>
      <x:c r="AC1210" s="265" t="n">
        <x:v>-1818.12</x:v>
      </x:c>
      <x:c r="AD1210" s="265" t="n">
        <x:v>-518.33</x:v>
      </x:c>
      <x:c r="AE1210" s="271" t="str"/>
      <x:c r="AF1210" s="274" t="str">
        <x:v>Not validated - no control/holdout</x:v>
      </x:c>
      <x:c r="AG1210" s="277" t="str">
        <x:v>Recovered execution only; assignment date and unclaimed-offer denominator unavailable</x:v>
      </x:c>
    </x:row>
    <x:row r="1211">
      <x:c r="A1211" s="252" t="str">
        <x:v>34859036</x:v>
      </x:c>
      <x:c r="B1211" s="253" t="str">
        <x:v>WS1</x:v>
      </x:c>
      <x:c r="C1211" s="253" t="str">
        <x:v>MB8</x:v>
      </x:c>
      <x:c r="D1211" s="262" t="n">
        <x:v>46209.81328703704</x:v>
      </x:c>
      <x:c r="E1211" s="259" t="n">
        <x:v>46209.166666666664</x:v>
      </x:c>
      <x:c r="F1211" s="253" t="str">
        <x:v>236435</x:v>
      </x:c>
      <x:c r="G1211" s="253" t="str">
        <x:v>gslee116</x:v>
      </x:c>
      <x:c r="H1211" s="253" t="str">
        <x:v>Yes</x:v>
      </x:c>
      <x:c r="I1211" s="253" t="str">
        <x:v>Elda</x:v>
      </x:c>
      <x:c r="J1211" s="253" t="str">
        <x:v>Elda</x:v>
      </x:c>
      <x:c r="K1211" s="259" t="n">
        <x:v>45790.166666666664</x:v>
      </x:c>
      <x:c r="L1211" s="268" t="str">
        <x:f>IFERROR(VLOOKUP(I1211,'Handler-Team Map'!$A$7:$C$17,2,FALSE),"")</x:f>
      </x:c>
      <x:c r="M1211" s="268" t="str">
        <x:f>IFERROR(VLOOKUP(I1211,'Handler-Team Map'!$A$7:$C$17,3,FALSE),"")</x:f>
      </x:c>
      <x:c r="N1211" s="274" t="str">
        <x:v>FT_VM_DEP1000_GET1000_1X</x:v>
      </x:c>
      <x:c r="O1211" s="274" t="str">
        <x:v>VIP BONUS - Deposit 1000 Get 1000 - 1x TO</x:v>
      </x:c>
      <x:c r="P1211" s="274" t="str">
        <x:v>DepositBonus</x:v>
      </x:c>
      <x:c r="Q1211" s="274" t="str">
        <x:v>Approved</x:v>
      </x:c>
      <x:c r="R1211" s="265" t="n">
        <x:v>1000</x:v>
      </x:c>
      <x:c r="S1211" s="253" t="str">
        <x:v>Yes</x:v>
      </x:c>
      <x:c r="T1211" s="265" t="n">
        <x:v>115082.38</x:v>
      </x:c>
      <x:c r="U1211" s="253" t="str">
        <x:f>IF(AND(S1211="Yes",T1211=0),"Yes","No")</x:f>
        <x:v>No</x:v>
      </x:c>
      <x:c r="V1211" s="253" t="str">
        <x:v>Yes</x:v>
      </x:c>
      <x:c r="W1211" s="253" t="str">
        <x:v>Yes</x:v>
      </x:c>
      <x:c r="X1211" s="259" t="n">
        <x:v>46209.166666666664</x:v>
      </x:c>
      <x:c r="Y1211" s="265" t="n">
        <x:v>12029.83</x:v>
      </x:c>
      <x:c r="Z1211" s="265" t="n">
        <x:v>36436.49</x:v>
      </x:c>
      <x:c r="AA1211" s="253" t="str">
        <x:f>IF(V1211="No","Maturing",IF(AND(U1211="Yes",Y1211&gt;0),"Yes","No"))</x:f>
        <x:v>No</x:v>
      </x:c>
      <x:c r="AB1211" s="253" t="str">
        <x:f>IF(W1211="No","Maturing",IF(AND(U1211="Yes",Z1211&gt;0),"Yes","No"))</x:f>
        <x:v>No</x:v>
      </x:c>
      <x:c r="AC1211" s="265" t="n">
        <x:v>12032.36</x:v>
      </x:c>
      <x:c r="AD1211" s="265" t="n">
        <x:v>27543.6</x:v>
      </x:c>
      <x:c r="AE1211" s="271" t="str"/>
      <x:c r="AF1211" s="274" t="str">
        <x:v>Not validated - no control/holdout</x:v>
      </x:c>
      <x:c r="AG1211" s="277" t="str">
        <x:v>Recovered execution only; assignment date and unclaimed-offer denominator unavailable</x:v>
      </x:c>
    </x:row>
    <x:row r="1212">
      <x:c r="A1212" s="252" t="str">
        <x:v>34859216</x:v>
      </x:c>
      <x:c r="B1212" s="253" t="str">
        <x:v>WS1</x:v>
      </x:c>
      <x:c r="C1212" s="253" t="str">
        <x:v>MB8</x:v>
      </x:c>
      <x:c r="D1212" s="262" t="n">
        <x:v>46209.82523148148</x:v>
      </x:c>
      <x:c r="E1212" s="259" t="n">
        <x:v>46209.166666666664</x:v>
      </x:c>
      <x:c r="F1212" s="253" t="str">
        <x:v>775458</x:v>
      </x:c>
      <x:c r="G1212" s="253" t="str">
        <x:v>Babu4456</x:v>
      </x:c>
      <x:c r="H1212" s="253" t="str">
        <x:v>Yes</x:v>
      </x:c>
      <x:c r="I1212" s="253" t="str">
        <x:v>Jiahui</x:v>
      </x:c>
      <x:c r="J1212" s="253" t="str">
        <x:v>Jiahui</x:v>
      </x:c>
      <x:c r="K1212" s="259" t="n">
        <x:v>46077.166666666664</x:v>
      </x:c>
      <x:c r="L1212" s="268" t="str">
        <x:f>IFERROR(VLOOKUP(I1212,'Handler-Team Map'!$A$7:$C$17,2,FALSE),"")</x:f>
      </x:c>
      <x:c r="M1212" s="268" t="str">
        <x:f>IFERROR(VLOOKUP(I1212,'Handler-Team Map'!$A$7:$C$17,3,FALSE),"")</x:f>
      </x:c>
      <x:c r="N1212" s="274" t="str">
        <x:v>FT_VM_DEP1000_GET500_1X</x:v>
      </x:c>
      <x:c r="O1212" s="274" t="str">
        <x:v>VIP BONUS - Deposit 1000 Get 500 - 1x TO</x:v>
      </x:c>
      <x:c r="P1212" s="274" t="str">
        <x:v>DepositBonus</x:v>
      </x:c>
      <x:c r="Q1212" s="274" t="str">
        <x:v>Approved</x:v>
      </x:c>
      <x:c r="R1212" s="265" t="n">
        <x:v>500</x:v>
      </x:c>
      <x:c r="S1212" s="253" t="str">
        <x:v>Yes</x:v>
      </x:c>
      <x:c r="T1212" s="265" t="n">
        <x:v>0</x:v>
      </x:c>
      <x:c r="U1212" s="253" t="str">
        <x:f>IF(AND(S1212="Yes",T1212=0),"Yes","No")</x:f>
        <x:v>Yes</x:v>
      </x:c>
      <x:c r="V1212" s="253" t="str">
        <x:v>Yes</x:v>
      </x:c>
      <x:c r="W1212" s="253" t="str">
        <x:v>Yes</x:v>
      </x:c>
      <x:c r="X1212" s="259" t="n">
        <x:v>46209.166666666664</x:v>
      </x:c>
      <x:c r="Y1212" s="265" t="n">
        <x:v>1000</x:v>
      </x:c>
      <x:c r="Z1212" s="265" t="n">
        <x:v>1000</x:v>
      </x:c>
      <x:c r="AA1212" s="253" t="str">
        <x:f>IF(V1212="No","Maturing",IF(AND(U1212="Yes",Y1212&gt;0),"Yes","No"))</x:f>
        <x:v>Yes</x:v>
      </x:c>
      <x:c r="AB1212" s="253" t="str">
        <x:f>IF(W1212="No","Maturing",IF(AND(U1212="Yes",Z1212&gt;0),"Yes","No"))</x:f>
        <x:v>Yes</x:v>
      </x:c>
      <x:c r="AC1212" s="265" t="n">
        <x:v>999.95</x:v>
      </x:c>
      <x:c r="AD1212" s="265" t="n">
        <x:v>999.95</x:v>
      </x:c>
      <x:c r="AE1212" s="271" t="str"/>
      <x:c r="AF1212" s="274" t="str">
        <x:v>Not validated - no control/holdout</x:v>
      </x:c>
      <x:c r="AG1212" s="277" t="str">
        <x:v>Recovered execution only; assignment date and unclaimed-offer denominator unavailable</x:v>
      </x:c>
    </x:row>
    <x:row r="1213">
      <x:c r="A1213" s="252" t="str">
        <x:v>34859576</x:v>
      </x:c>
      <x:c r="B1213" s="253" t="str">
        <x:v>WS1</x:v>
      </x:c>
      <x:c r="C1213" s="253" t="str">
        <x:v>MB8</x:v>
      </x:c>
      <x:c r="D1213" s="262" t="n">
        <x:v>46209.846967592595</x:v>
      </x:c>
      <x:c r="E1213" s="259" t="n">
        <x:v>46209.166666666664</x:v>
      </x:c>
      <x:c r="F1213" s="253" t="str">
        <x:v>1153667</x:v>
      </x:c>
      <x:c r="G1213" s="253" t="str">
        <x:v>fushigiguy</x:v>
      </x:c>
      <x:c r="H1213" s="253" t="str">
        <x:v>Yes</x:v>
      </x:c>
      <x:c r="I1213" s="253" t="str">
        <x:v>Elda</x:v>
      </x:c>
      <x:c r="J1213" s="253" t="str">
        <x:v>Elda</x:v>
      </x:c>
      <x:c r="K1213" s="259" t="n">
        <x:v>45659.166666666664</x:v>
      </x:c>
      <x:c r="L1213" s="268" t="str">
        <x:f>IFERROR(VLOOKUP(I1213,'Handler-Team Map'!$A$7:$C$17,2,FALSE),"")</x:f>
      </x:c>
      <x:c r="M1213" s="268" t="str">
        <x:f>IFERROR(VLOOKUP(I1213,'Handler-Team Map'!$A$7:$C$17,3,FALSE),"")</x:f>
      </x:c>
      <x:c r="N1213" s="274" t="str">
        <x:v>FT_VM_DEP300_GET100_2X</x:v>
      </x:c>
      <x:c r="O1213" s="274" t="str">
        <x:v>VIP BONUS - Deposit 300 Get 100 - 2x TO</x:v>
      </x:c>
      <x:c r="P1213" s="274" t="str">
        <x:v>DepositBonus</x:v>
      </x:c>
      <x:c r="Q1213" s="274" t="str">
        <x:v>Approved</x:v>
      </x:c>
      <x:c r="R1213" s="265" t="n">
        <x:v>100</x:v>
      </x:c>
      <x:c r="S1213" s="253" t="str">
        <x:v>Yes</x:v>
      </x:c>
      <x:c r="T1213" s="265" t="n">
        <x:v>11750</x:v>
      </x:c>
      <x:c r="U1213" s="253" t="str">
        <x:f>IF(AND(S1213="Yes",T1213=0),"Yes","No")</x:f>
        <x:v>No</x:v>
      </x:c>
      <x:c r="V1213" s="253" t="str">
        <x:v>Yes</x:v>
      </x:c>
      <x:c r="W1213" s="253" t="str">
        <x:v>Yes</x:v>
      </x:c>
      <x:c r="X1213" s="259" t="n">
        <x:v>46209.166666666664</x:v>
      </x:c>
      <x:c r="Y1213" s="265" t="n">
        <x:v>1300</x:v>
      </x:c>
      <x:c r="Z1213" s="265" t="n">
        <x:v>4150</x:v>
      </x:c>
      <x:c r="AA1213" s="253" t="str">
        <x:f>IF(V1213="No","Maturing",IF(AND(U1213="Yes",Y1213&gt;0),"Yes","No"))</x:f>
        <x:v>No</x:v>
      </x:c>
      <x:c r="AB1213" s="253" t="str">
        <x:f>IF(W1213="No","Maturing",IF(AND(U1213="Yes",Z1213&gt;0),"Yes","No"))</x:f>
        <x:v>No</x:v>
      </x:c>
      <x:c r="AC1213" s="265" t="n">
        <x:v>2023.64</x:v>
      </x:c>
      <x:c r="AD1213" s="265" t="n">
        <x:v>4862.8</x:v>
      </x:c>
      <x:c r="AE1213" s="271" t="str"/>
      <x:c r="AF1213" s="274" t="str">
        <x:v>Not validated - no control/holdout</x:v>
      </x:c>
      <x:c r="AG1213" s="277" t="str">
        <x:v>Recovered execution only; assignment date and unclaimed-offer denominator unavailable</x:v>
      </x:c>
    </x:row>
    <x:row r="1214">
      <x:c r="A1214" s="252" t="str">
        <x:v>34859789</x:v>
      </x:c>
      <x:c r="B1214" s="253" t="str">
        <x:v>WS1</x:v>
      </x:c>
      <x:c r="C1214" s="253" t="str">
        <x:v>MB8</x:v>
      </x:c>
      <x:c r="D1214" s="262" t="n">
        <x:v>46209.86225694444</x:v>
      </x:c>
      <x:c r="E1214" s="259" t="n">
        <x:v>46209.166666666664</x:v>
      </x:c>
      <x:c r="F1214" s="253" t="str">
        <x:v>268246</x:v>
      </x:c>
      <x:c r="G1214" s="253" t="str">
        <x:v>Win124</x:v>
      </x:c>
      <x:c r="H1214" s="253" t="str">
        <x:v>Yes</x:v>
      </x:c>
      <x:c r="I1214" s="253" t="str">
        <x:v>Claire</x:v>
      </x:c>
      <x:c r="J1214" s="253" t="str">
        <x:v>Claire</x:v>
      </x:c>
      <x:c r="K1214" s="259" t="n">
        <x:v>45659.166666666664</x:v>
      </x:c>
      <x:c r="L1214" s="268" t="str">
        <x:f>IFERROR(VLOOKUP(I1214,'Handler-Team Map'!$A$7:$C$17,2,FALSE),"")</x:f>
      </x:c>
      <x:c r="M1214" s="268" t="str">
        <x:f>IFERROR(VLOOKUP(I1214,'Handler-Team Map'!$A$7:$C$17,3,FALSE),"")</x:f>
      </x:c>
      <x:c r="N1214" s="274" t="str">
        <x:v>FT_VM_DEP1000_GET1000_2X</x:v>
      </x:c>
      <x:c r="O1214" s="274" t="str">
        <x:v>VIP BONUS - Deposit 1000 Get 1000 - 2x TO</x:v>
      </x:c>
      <x:c r="P1214" s="274" t="str">
        <x:v>DepositBonus</x:v>
      </x:c>
      <x:c r="Q1214" s="274" t="str">
        <x:v>Approved</x:v>
      </x:c>
      <x:c r="R1214" s="265" t="n">
        <x:v>1000</x:v>
      </x:c>
      <x:c r="S1214" s="253" t="str">
        <x:v>Yes</x:v>
      </x:c>
      <x:c r="T1214" s="265" t="n">
        <x:v>1289945</x:v>
      </x:c>
      <x:c r="U1214" s="253" t="str">
        <x:f>IF(AND(S1214="Yes",T1214=0),"Yes","No")</x:f>
        <x:v>No</x:v>
      </x:c>
      <x:c r="V1214" s="253" t="str">
        <x:v>Yes</x:v>
      </x:c>
      <x:c r="W1214" s="253" t="str">
        <x:v>Yes</x:v>
      </x:c>
      <x:c r="X1214" s="259" t="n">
        <x:v>46209.166666666664</x:v>
      </x:c>
      <x:c r="Y1214" s="265" t="n">
        <x:v>293100</x:v>
      </x:c>
      <x:c r="Z1214" s="265" t="n">
        <x:v>378600</x:v>
      </x:c>
      <x:c r="AA1214" s="253" t="str">
        <x:f>IF(V1214="No","Maturing",IF(AND(U1214="Yes",Y1214&gt;0),"Yes","No"))</x:f>
        <x:v>No</x:v>
      </x:c>
      <x:c r="AB1214" s="253" t="str">
        <x:f>IF(W1214="No","Maturing",IF(AND(U1214="Yes",Z1214&gt;0),"Yes","No"))</x:f>
        <x:v>No</x:v>
      </x:c>
      <x:c r="AC1214" s="265" t="n">
        <x:v>45194.2</x:v>
      </x:c>
      <x:c r="AD1214" s="265" t="n">
        <x:v>-56930.02</x:v>
      </x:c>
      <x:c r="AE1214" s="271" t="str"/>
      <x:c r="AF1214" s="274" t="str">
        <x:v>Not validated - no control/holdout</x:v>
      </x:c>
      <x:c r="AG1214" s="277" t="str">
        <x:v>Recovered execution only; assignment date and unclaimed-offer denominator unavailable</x:v>
      </x:c>
    </x:row>
    <x:row r="1215">
      <x:c r="A1215" s="252" t="str">
        <x:v>34859878</x:v>
      </x:c>
      <x:c r="B1215" s="253" t="str">
        <x:v>WS1</x:v>
      </x:c>
      <x:c r="C1215" s="253" t="str">
        <x:v>MB8</x:v>
      </x:c>
      <x:c r="D1215" s="262" t="n">
        <x:v>46209.86783564815</x:v>
      </x:c>
      <x:c r="E1215" s="259" t="n">
        <x:v>46209.166666666664</x:v>
      </x:c>
      <x:c r="F1215" s="253" t="str">
        <x:v>49986</x:v>
      </x:c>
      <x:c r="G1215" s="253" t="str">
        <x:v>De1973</x:v>
      </x:c>
      <x:c r="H1215" s="253" t="str">
        <x:v>Yes</x:v>
      </x:c>
      <x:c r="I1215" s="253" t="str">
        <x:v>Elda</x:v>
      </x:c>
      <x:c r="J1215" s="253" t="str">
        <x:v>Elda</x:v>
      </x:c>
      <x:c r="K1215" s="259" t="n">
        <x:v>45659.166666666664</x:v>
      </x:c>
      <x:c r="L1215" s="268" t="str">
        <x:f>IFERROR(VLOOKUP(I1215,'Handler-Team Map'!$A$7:$C$17,2,FALSE),"")</x:f>
      </x:c>
      <x:c r="M1215" s="268" t="str">
        <x:f>IFERROR(VLOOKUP(I1215,'Handler-Team Map'!$A$7:$C$17,3,FALSE),"")</x:f>
      </x:c>
      <x:c r="N1215" s="274" t="str">
        <x:v>FT_VM_DEP800_GET400_2X</x:v>
      </x:c>
      <x:c r="O1215" s="274" t="str">
        <x:v>VIP BONUS - Deposit 800 Get 400 - 2x TO</x:v>
      </x:c>
      <x:c r="P1215" s="274" t="str">
        <x:v>DepositBonus</x:v>
      </x:c>
      <x:c r="Q1215" s="274" t="str">
        <x:v>Approved</x:v>
      </x:c>
      <x:c r="R1215" s="265" t="n">
        <x:v>400</x:v>
      </x:c>
      <x:c r="S1215" s="253" t="str">
        <x:v>Yes</x:v>
      </x:c>
      <x:c r="T1215" s="265" t="n">
        <x:v>397295.88</x:v>
      </x:c>
      <x:c r="U1215" s="253" t="str">
        <x:f>IF(AND(S1215="Yes",T1215=0),"Yes","No")</x:f>
        <x:v>No</x:v>
      </x:c>
      <x:c r="V1215" s="253" t="str">
        <x:v>Yes</x:v>
      </x:c>
      <x:c r="W1215" s="253" t="str">
        <x:v>Yes</x:v>
      </x:c>
      <x:c r="X1215" s="259" t="n">
        <x:v>46209.166666666664</x:v>
      </x:c>
      <x:c r="Y1215" s="265" t="n">
        <x:v>69038</x:v>
      </x:c>
      <x:c r="Z1215" s="265" t="n">
        <x:v>123727</x:v>
      </x:c>
      <x:c r="AA1215" s="253" t="str">
        <x:f>IF(V1215="No","Maturing",IF(AND(U1215="Yes",Y1215&gt;0),"Yes","No"))</x:f>
        <x:v>No</x:v>
      </x:c>
      <x:c r="AB1215" s="253" t="str">
        <x:f>IF(W1215="No","Maturing",IF(AND(U1215="Yes",Z1215&gt;0),"Yes","No"))</x:f>
        <x:v>No</x:v>
      </x:c>
      <x:c r="AC1215" s="265" t="n">
        <x:v>19636.89</x:v>
      </x:c>
      <x:c r="AD1215" s="265" t="n">
        <x:v>23223.79</x:v>
      </x:c>
      <x:c r="AE1215" s="271" t="str"/>
      <x:c r="AF1215" s="274" t="str">
        <x:v>Not validated - no control/holdout</x:v>
      </x:c>
      <x:c r="AG1215" s="277" t="str">
        <x:v>Recovered execution only; assignment date and unclaimed-offer denominator unavailable</x:v>
      </x:c>
    </x:row>
    <x:row r="1216">
      <x:c r="A1216" s="252" t="str">
        <x:v>34860030</x:v>
      </x:c>
      <x:c r="B1216" s="253" t="str">
        <x:v>WS1</x:v>
      </x:c>
      <x:c r="C1216" s="253" t="str">
        <x:v>MB8</x:v>
      </x:c>
      <x:c r="D1216" s="262" t="n">
        <x:v>46209.87664351852</x:v>
      </x:c>
      <x:c r="E1216" s="259" t="n">
        <x:v>46209.166666666664</x:v>
      </x:c>
      <x:c r="F1216" s="253" t="str">
        <x:v>625089</x:v>
      </x:c>
      <x:c r="G1216" s="253" t="str">
        <x:v>hash1026</x:v>
      </x:c>
      <x:c r="H1216" s="253" t="str">
        <x:v>Yes</x:v>
      </x:c>
      <x:c r="I1216" s="253" t="str">
        <x:v>zhen</x:v>
      </x:c>
      <x:c r="J1216" s="253" t="str">
        <x:v>zhen</x:v>
      </x:c>
      <x:c r="K1216" s="259" t="n">
        <x:v>45922.166666666664</x:v>
      </x:c>
      <x:c r="L1216" s="268" t="str">
        <x:f>IFERROR(VLOOKUP(I1216,'Handler-Team Map'!$A$7:$C$17,2,FALSE),"")</x:f>
      </x:c>
      <x:c r="M1216" s="268" t="str">
        <x:f>IFERROR(VLOOKUP(I1216,'Handler-Team Map'!$A$7:$C$17,3,FALSE),"")</x:f>
      </x:c>
      <x:c r="N1216" s="274" t="str">
        <x:v>FT_VM_DEP300_GET100_5X</x:v>
      </x:c>
      <x:c r="O1216" s="274" t="str">
        <x:v>VIP BONUS - Deposit 300 Get 100 - 5x TO</x:v>
      </x:c>
      <x:c r="P1216" s="274" t="str">
        <x:v>DepositBonus</x:v>
      </x:c>
      <x:c r="Q1216" s="274" t="str">
        <x:v>Approved</x:v>
      </x:c>
      <x:c r="R1216" s="265" t="n">
        <x:v>100</x:v>
      </x:c>
      <x:c r="S1216" s="253" t="str">
        <x:v>Yes</x:v>
      </x:c>
      <x:c r="T1216" s="265" t="n">
        <x:v>650</x:v>
      </x:c>
      <x:c r="U1216" s="253" t="str">
        <x:f>IF(AND(S1216="Yes",T1216=0),"Yes","No")</x:f>
        <x:v>No</x:v>
      </x:c>
      <x:c r="V1216" s="253" t="str">
        <x:v>Yes</x:v>
      </x:c>
      <x:c r="W1216" s="253" t="str">
        <x:v>Yes</x:v>
      </x:c>
      <x:c r="X1216" s="259" t="n">
        <x:v>46209.166666666664</x:v>
      </x:c>
      <x:c r="Y1216" s="265" t="n">
        <x:v>2080</x:v>
      </x:c>
      <x:c r="Z1216" s="265" t="n">
        <x:v>6510</x:v>
      </x:c>
      <x:c r="AA1216" s="253" t="str">
        <x:f>IF(V1216="No","Maturing",IF(AND(U1216="Yes",Y1216&gt;0),"Yes","No"))</x:f>
        <x:v>No</x:v>
      </x:c>
      <x:c r="AB1216" s="253" t="str">
        <x:f>IF(W1216="No","Maturing",IF(AND(U1216="Yes",Z1216&gt;0),"Yes","No"))</x:f>
        <x:v>No</x:v>
      </x:c>
      <x:c r="AC1216" s="265" t="n">
        <x:v>1480.09</x:v>
      </x:c>
      <x:c r="AD1216" s="265" t="n">
        <x:v>2010.84</x:v>
      </x:c>
      <x:c r="AE1216" s="271" t="str"/>
      <x:c r="AF1216" s="274" t="str">
        <x:v>Not validated - no control/holdout</x:v>
      </x:c>
      <x:c r="AG1216" s="277" t="str">
        <x:v>Recovered execution only; assignment date and unclaimed-offer denominator unavailable</x:v>
      </x:c>
    </x:row>
    <x:row r="1217">
      <x:c r="A1217" s="252" t="str">
        <x:v>34860491</x:v>
      </x:c>
      <x:c r="B1217" s="253" t="str">
        <x:v>WS1</x:v>
      </x:c>
      <x:c r="C1217" s="253" t="str">
        <x:v>MB8</x:v>
      </x:c>
      <x:c r="D1217" s="262" t="n">
        <x:v>46209.90304398148</x:v>
      </x:c>
      <x:c r="E1217" s="259" t="n">
        <x:v>46209.166666666664</x:v>
      </x:c>
      <x:c r="F1217" s="253" t="str">
        <x:v>1055676</x:v>
      </x:c>
      <x:c r="G1217" s="253" t="str">
        <x:v>Hong1146</x:v>
      </x:c>
      <x:c r="H1217" s="253" t="str">
        <x:v>Yes</x:v>
      </x:c>
      <x:c r="I1217" s="253" t="str"/>
      <x:c r="J1217" s="253" t="str"/>
      <x:c r="K1217" s="259"/>
      <x:c r="L1217" s="268" t="str">
        <x:f>IFERROR(VLOOKUP(I1217,'Handler-Team Map'!$A$7:$C$17,2,FALSE),"")</x:f>
      </x:c>
      <x:c r="M1217" s="268" t="str">
        <x:f>IFERROR(VLOOKUP(I1217,'Handler-Team Map'!$A$7:$C$17,3,FALSE),"")</x:f>
      </x:c>
      <x:c r="N1217" s="274" t="str">
        <x:v>FT_VM_DEP800_GET400_1X</x:v>
      </x:c>
      <x:c r="O1217" s="274" t="str">
        <x:v>VIP BONUS - Deposit 800 Get 400 - 1x TO</x:v>
      </x:c>
      <x:c r="P1217" s="274" t="str">
        <x:v>DepositBonus</x:v>
      </x:c>
      <x:c r="Q1217" s="274" t="str">
        <x:v>Approved</x:v>
      </x:c>
      <x:c r="R1217" s="265" t="n">
        <x:v>400</x:v>
      </x:c>
      <x:c r="S1217" s="253" t="str">
        <x:v>Yes</x:v>
      </x:c>
      <x:c r="T1217" s="265" t="n">
        <x:v>36</x:v>
      </x:c>
      <x:c r="U1217" s="253" t="str">
        <x:f>IF(AND(S1217="Yes",T1217=0),"Yes","No")</x:f>
        <x:v>No</x:v>
      </x:c>
      <x:c r="V1217" s="253" t="str">
        <x:v>Yes</x:v>
      </x:c>
      <x:c r="W1217" s="253" t="str">
        <x:v>Yes</x:v>
      </x:c>
      <x:c r="X1217" s="259" t="n">
        <x:v>46209.166666666664</x:v>
      </x:c>
      <x:c r="Y1217" s="265" t="n">
        <x:v>800</x:v>
      </x:c>
      <x:c r="Z1217" s="265" t="n">
        <x:v>800</x:v>
      </x:c>
      <x:c r="AA1217" s="253" t="str">
        <x:f>IF(V1217="No","Maturing",IF(AND(U1217="Yes",Y1217&gt;0),"Yes","No"))</x:f>
        <x:v>No</x:v>
      </x:c>
      <x:c r="AB1217" s="253" t="str">
        <x:f>IF(W1217="No","Maturing",IF(AND(U1217="Yes",Z1217&gt;0),"Yes","No"))</x:f>
        <x:v>No</x:v>
      </x:c>
      <x:c r="AC1217" s="265" t="n">
        <x:v>-255.29</x:v>
      </x:c>
      <x:c r="AD1217" s="265" t="n">
        <x:v>-255.52</x:v>
      </x:c>
      <x:c r="AE1217" s="271" t="str"/>
      <x:c r="AF1217" s="274" t="str">
        <x:v>Not validated - no control/holdout</x:v>
      </x:c>
      <x:c r="AG1217" s="277" t="str">
        <x:v>Recovered execution only; assignment date and unclaimed-offer denominator unavailable</x:v>
      </x:c>
    </x:row>
    <x:row r="1218">
      <x:c r="A1218" s="252" t="str">
        <x:v>34860685</x:v>
      </x:c>
      <x:c r="B1218" s="253" t="str">
        <x:v>WS1</x:v>
      </x:c>
      <x:c r="C1218" s="253" t="str">
        <x:v>MB8</x:v>
      </x:c>
      <x:c r="D1218" s="262" t="n">
        <x:v>46209.914664351854</x:v>
      </x:c>
      <x:c r="E1218" s="259" t="n">
        <x:v>46209.166666666664</x:v>
      </x:c>
      <x:c r="F1218" s="253" t="str">
        <x:v>302345</x:v>
      </x:c>
      <x:c r="G1218" s="253" t="str">
        <x:v>bujiangfatt</x:v>
      </x:c>
      <x:c r="H1218" s="253" t="str">
        <x:v>Yes</x:v>
      </x:c>
      <x:c r="I1218" s="253" t="str">
        <x:v>Elda</x:v>
      </x:c>
      <x:c r="J1218" s="253" t="str">
        <x:v>Elda</x:v>
      </x:c>
      <x:c r="K1218" s="259" t="n">
        <x:v>45659.166666666664</x:v>
      </x:c>
      <x:c r="L1218" s="268" t="str">
        <x:f>IFERROR(VLOOKUP(I1218,'Handler-Team Map'!$A$7:$C$17,2,FALSE),"")</x:f>
      </x:c>
      <x:c r="M1218" s="268" t="str">
        <x:f>IFERROR(VLOOKUP(I1218,'Handler-Team Map'!$A$7:$C$17,3,FALSE),"")</x:f>
      </x:c>
      <x:c r="N1218" s="274" t="str">
        <x:v>FT_VM_DEP800_GET400_1X</x:v>
      </x:c>
      <x:c r="O1218" s="274" t="str">
        <x:v>VIP BONUS - Deposit 800 Get 400 - 1x TO</x:v>
      </x:c>
      <x:c r="P1218" s="274" t="str">
        <x:v>DepositBonus</x:v>
      </x:c>
      <x:c r="Q1218" s="274" t="str">
        <x:v>Approved</x:v>
      </x:c>
      <x:c r="R1218" s="265" t="n">
        <x:v>400</x:v>
      </x:c>
      <x:c r="S1218" s="253" t="str">
        <x:v>Yes</x:v>
      </x:c>
      <x:c r="T1218" s="265" t="n">
        <x:v>49337</x:v>
      </x:c>
      <x:c r="U1218" s="253" t="str">
        <x:f>IF(AND(S1218="Yes",T1218=0),"Yes","No")</x:f>
        <x:v>No</x:v>
      </x:c>
      <x:c r="V1218" s="253" t="str">
        <x:v>Yes</x:v>
      </x:c>
      <x:c r="W1218" s="253" t="str">
        <x:v>Yes</x:v>
      </x:c>
      <x:c r="X1218" s="259" t="n">
        <x:v>46209.166666666664</x:v>
      </x:c>
      <x:c r="Y1218" s="265" t="n">
        <x:v>5350</x:v>
      </x:c>
      <x:c r="Z1218" s="265" t="n">
        <x:v>8047</x:v>
      </x:c>
      <x:c r="AA1218" s="253" t="str">
        <x:f>IF(V1218="No","Maturing",IF(AND(U1218="Yes",Y1218&gt;0),"Yes","No"))</x:f>
        <x:v>No</x:v>
      </x:c>
      <x:c r="AB1218" s="253" t="str">
        <x:f>IF(W1218="No","Maturing",IF(AND(U1218="Yes",Z1218&gt;0),"Yes","No"))</x:f>
        <x:v>No</x:v>
      </x:c>
      <x:c r="AC1218" s="265" t="n">
        <x:v>3293.31</x:v>
      </x:c>
      <x:c r="AD1218" s="265" t="n">
        <x:v>5580.7</x:v>
      </x:c>
      <x:c r="AE1218" s="271" t="str"/>
      <x:c r="AF1218" s="274" t="str">
        <x:v>Not validated - no control/holdout</x:v>
      </x:c>
      <x:c r="AG1218" s="277" t="str">
        <x:v>Recovered execution only; assignment date and unclaimed-offer denominator unavailable</x:v>
      </x:c>
    </x:row>
    <x:row r="1219">
      <x:c r="A1219" s="252" t="str">
        <x:v>34860837</x:v>
      </x:c>
      <x:c r="B1219" s="253" t="str">
        <x:v>WS1</x:v>
      </x:c>
      <x:c r="C1219" s="253" t="str">
        <x:v>MB8</x:v>
      </x:c>
      <x:c r="D1219" s="262" t="n">
        <x:v>46209.92296296296</x:v>
      </x:c>
      <x:c r="E1219" s="259" t="n">
        <x:v>46209.166666666664</x:v>
      </x:c>
      <x:c r="F1219" s="253" t="str">
        <x:v>1183306</x:v>
      </x:c>
      <x:c r="G1219" s="253" t="str">
        <x:v>xuanearn88</x:v>
      </x:c>
      <x:c r="H1219" s="253" t="str">
        <x:v>Yes</x:v>
      </x:c>
      <x:c r="I1219" s="253" t="str">
        <x:v>Jiahui</x:v>
      </x:c>
      <x:c r="J1219" s="253" t="str">
        <x:v>Jiahui</x:v>
      </x:c>
      <x:c r="K1219" s="259" t="n">
        <x:v>45909.166666666664</x:v>
      </x:c>
      <x:c r="L1219" s="268" t="str">
        <x:f>IFERROR(VLOOKUP(I1219,'Handler-Team Map'!$A$7:$C$17,2,FALSE),"")</x:f>
      </x:c>
      <x:c r="M1219" s="268" t="str">
        <x:f>IFERROR(VLOOKUP(I1219,'Handler-Team Map'!$A$7:$C$17,3,FALSE),"")</x:f>
      </x:c>
      <x:c r="N1219" s="274" t="str">
        <x:v>FT_VM_DEP1000_GET500_1X</x:v>
      </x:c>
      <x:c r="O1219" s="274" t="str">
        <x:v>VIP BONUS - Deposit 1000 Get 500 - 1x TO</x:v>
      </x:c>
      <x:c r="P1219" s="274" t="str">
        <x:v>DepositBonus</x:v>
      </x:c>
      <x:c r="Q1219" s="274" t="str">
        <x:v>Approved</x:v>
      </x:c>
      <x:c r="R1219" s="265" t="n">
        <x:v>500</x:v>
      </x:c>
      <x:c r="S1219" s="253" t="str">
        <x:v>Yes</x:v>
      </x:c>
      <x:c r="T1219" s="265" t="n">
        <x:v>0</x:v>
      </x:c>
      <x:c r="U1219" s="253" t="str">
        <x:f>IF(AND(S1219="Yes",T1219=0),"Yes","No")</x:f>
        <x:v>Yes</x:v>
      </x:c>
      <x:c r="V1219" s="253" t="str">
        <x:v>Yes</x:v>
      </x:c>
      <x:c r="W1219" s="253" t="str">
        <x:v>Yes</x:v>
      </x:c>
      <x:c r="X1219" s="259" t="n">
        <x:v>46209.166666666664</x:v>
      </x:c>
      <x:c r="Y1219" s="265" t="n">
        <x:v>1000</x:v>
      </x:c>
      <x:c r="Z1219" s="265" t="n">
        <x:v>1000</x:v>
      </x:c>
      <x:c r="AA1219" s="253" t="str">
        <x:f>IF(V1219="No","Maturing",IF(AND(U1219="Yes",Y1219&gt;0),"Yes","No"))</x:f>
        <x:v>Yes</x:v>
      </x:c>
      <x:c r="AB1219" s="253" t="str">
        <x:f>IF(W1219="No","Maturing",IF(AND(U1219="Yes",Z1219&gt;0),"Yes","No"))</x:f>
        <x:v>Yes</x:v>
      </x:c>
      <x:c r="AC1219" s="265" t="n">
        <x:v>-231.95</x:v>
      </x:c>
      <x:c r="AD1219" s="265" t="n">
        <x:v>-231.95</x:v>
      </x:c>
      <x:c r="AE1219" s="271" t="str"/>
      <x:c r="AF1219" s="274" t="str">
        <x:v>Not validated - no control/holdout</x:v>
      </x:c>
      <x:c r="AG1219" s="277" t="str">
        <x:v>Recovered execution only; assignment date and unclaimed-offer denominator unavailable</x:v>
      </x:c>
    </x:row>
    <x:row r="1220">
      <x:c r="A1220" s="252" t="str">
        <x:v>34861905</x:v>
      </x:c>
      <x:c r="B1220" s="253" t="str">
        <x:v>WS1</x:v>
      </x:c>
      <x:c r="C1220" s="253" t="str">
        <x:v>MB8</x:v>
      </x:c>
      <x:c r="D1220" s="262" t="n">
        <x:v>46209.972395833334</x:v>
      </x:c>
      <x:c r="E1220" s="259" t="n">
        <x:v>46209.166666666664</x:v>
      </x:c>
      <x:c r="F1220" s="253" t="str">
        <x:v>631041</x:v>
      </x:c>
      <x:c r="G1220" s="253" t="str">
        <x:v>ThoMas0529</x:v>
      </x:c>
      <x:c r="H1220" s="253" t="str">
        <x:v>Yes</x:v>
      </x:c>
      <x:c r="I1220" s="253" t="str">
        <x:v>Tammy</x:v>
      </x:c>
      <x:c r="J1220" s="253" t="str">
        <x:v>Tammy</x:v>
      </x:c>
      <x:c r="K1220" s="259" t="n">
        <x:v>45951.166666666664</x:v>
      </x:c>
      <x:c r="L1220" s="268" t="str">
        <x:f>IFERROR(VLOOKUP(I1220,'Handler-Team Map'!$A$7:$C$17,2,FALSE),"")</x:f>
      </x:c>
      <x:c r="M1220" s="268" t="str">
        <x:f>IFERROR(VLOOKUP(I1220,'Handler-Team Map'!$A$7:$C$17,3,FALSE),"")</x:f>
      </x:c>
      <x:c r="N1220" s="274" t="str">
        <x:v>FT_VM_DEP800_GET400_2X</x:v>
      </x:c>
      <x:c r="O1220" s="274" t="str">
        <x:v>VIP BONUS - Deposit 800 Get 400 - 2x TO</x:v>
      </x:c>
      <x:c r="P1220" s="274" t="str">
        <x:v>DepositBonus</x:v>
      </x:c>
      <x:c r="Q1220" s="274" t="str">
        <x:v>Approved</x:v>
      </x:c>
      <x:c r="R1220" s="265" t="n">
        <x:v>400</x:v>
      </x:c>
      <x:c r="S1220" s="253" t="str">
        <x:v>Yes</x:v>
      </x:c>
      <x:c r="T1220" s="265" t="n">
        <x:v>1400</x:v>
      </x:c>
      <x:c r="U1220" s="253" t="str">
        <x:f>IF(AND(S1220="Yes",T1220=0),"Yes","No")</x:f>
        <x:v>No</x:v>
      </x:c>
      <x:c r="V1220" s="253" t="str">
        <x:v>Yes</x:v>
      </x:c>
      <x:c r="W1220" s="253" t="str">
        <x:v>Yes</x:v>
      </x:c>
      <x:c r="X1220" s="259" t="n">
        <x:v>46209.166666666664</x:v>
      </x:c>
      <x:c r="Y1220" s="265" t="n">
        <x:v>900</x:v>
      </x:c>
      <x:c r="Z1220" s="265" t="n">
        <x:v>900</x:v>
      </x:c>
      <x:c r="AA1220" s="253" t="str">
        <x:f>IF(V1220="No","Maturing",IF(AND(U1220="Yes",Y1220&gt;0),"Yes","No"))</x:f>
        <x:v>No</x:v>
      </x:c>
      <x:c r="AB1220" s="253" t="str">
        <x:f>IF(W1220="No","Maturing",IF(AND(U1220="Yes",Z1220&gt;0),"Yes","No"))</x:f>
        <x:v>No</x:v>
      </x:c>
      <x:c r="AC1220" s="265" t="n">
        <x:v>899.99</x:v>
      </x:c>
      <x:c r="AD1220" s="265" t="n">
        <x:v>896.71</x:v>
      </x:c>
      <x:c r="AE1220" s="271" t="str"/>
      <x:c r="AF1220" s="274" t="str">
        <x:v>Not validated - no control/holdout</x:v>
      </x:c>
      <x:c r="AG1220" s="277" t="str">
        <x:v>Recovered execution only; assignment date and unclaimed-offer denominator unavailable</x:v>
      </x:c>
    </x:row>
    <x:row r="1221">
      <x:c r="A1221" s="252" t="str">
        <x:v>34862547</x:v>
      </x:c>
      <x:c r="B1221" s="253" t="str">
        <x:v>WS1</x:v>
      </x:c>
      <x:c r="C1221" s="253" t="str">
        <x:v>MB8</x:v>
      </x:c>
      <x:c r="D1221" s="262" t="n">
        <x:v>46209.99952546296</x:v>
      </x:c>
      <x:c r="E1221" s="259" t="n">
        <x:v>46209.166666666664</x:v>
      </x:c>
      <x:c r="F1221" s="253" t="str">
        <x:v>806553</x:v>
      </x:c>
      <x:c r="G1221" s="253" t="str">
        <x:v>Win8win</x:v>
      </x:c>
      <x:c r="H1221" s="253" t="str">
        <x:v>Yes</x:v>
      </x:c>
      <x:c r="I1221" s="253" t="str">
        <x:v>Claire</x:v>
      </x:c>
      <x:c r="J1221" s="253" t="str">
        <x:v>Claire</x:v>
      </x:c>
      <x:c r="K1221" s="259" t="n">
        <x:v>45659.166666666664</x:v>
      </x:c>
      <x:c r="L1221" s="268" t="str">
        <x:f>IFERROR(VLOOKUP(I1221,'Handler-Team Map'!$A$7:$C$17,2,FALSE),"")</x:f>
      </x:c>
      <x:c r="M1221" s="268" t="str">
        <x:f>IFERROR(VLOOKUP(I1221,'Handler-Team Map'!$A$7:$C$17,3,FALSE),"")</x:f>
      </x:c>
      <x:c r="N1221" s="274" t="str">
        <x:v>FT_VM_DEP300_GET100_2X</x:v>
      </x:c>
      <x:c r="O1221" s="274" t="str">
        <x:v>VIP BONUS - Deposit 300 Get 100 - 2x TO</x:v>
      </x:c>
      <x:c r="P1221" s="274" t="str">
        <x:v>DepositBonus</x:v>
      </x:c>
      <x:c r="Q1221" s="274" t="str">
        <x:v>Approved</x:v>
      </x:c>
      <x:c r="R1221" s="265" t="n">
        <x:v>100</x:v>
      </x:c>
      <x:c r="S1221" s="253" t="str">
        <x:v>Yes</x:v>
      </x:c>
      <x:c r="T1221" s="265" t="n">
        <x:v>10060</x:v>
      </x:c>
      <x:c r="U1221" s="253" t="str">
        <x:f>IF(AND(S1221="Yes",T1221=0),"Yes","No")</x:f>
        <x:v>No</x:v>
      </x:c>
      <x:c r="V1221" s="253" t="str">
        <x:v>Yes</x:v>
      </x:c>
      <x:c r="W1221" s="253" t="str">
        <x:v>Yes</x:v>
      </x:c>
      <x:c r="X1221" s="259" t="n">
        <x:v>46209.166666666664</x:v>
      </x:c>
      <x:c r="Y1221" s="265" t="n">
        <x:v>1350</x:v>
      </x:c>
      <x:c r="Z1221" s="265" t="n">
        <x:v>1750</x:v>
      </x:c>
      <x:c r="AA1221" s="253" t="str">
        <x:f>IF(V1221="No","Maturing",IF(AND(U1221="Yes",Y1221&gt;0),"Yes","No"))</x:f>
        <x:v>No</x:v>
      </x:c>
      <x:c r="AB1221" s="253" t="str">
        <x:f>IF(W1221="No","Maturing",IF(AND(U1221="Yes",Z1221&gt;0),"Yes","No"))</x:f>
        <x:v>No</x:v>
      </x:c>
      <x:c r="AC1221" s="265" t="n">
        <x:v>548.77</x:v>
      </x:c>
      <x:c r="AD1221" s="265" t="n">
        <x:v>790.62</x:v>
      </x:c>
      <x:c r="AE1221" s="271" t="str"/>
      <x:c r="AF1221" s="274" t="str">
        <x:v>Not validated - no control/holdout</x:v>
      </x:c>
      <x:c r="AG1221" s="277" t="str">
        <x:v>Recovered execution only; assignment date and unclaimed-offer denominator unavailable</x:v>
      </x:c>
    </x:row>
    <x:row r="1222">
      <x:c r="A1222" s="252" t="str">
        <x:v>34864671</x:v>
      </x:c>
      <x:c r="B1222" s="253" t="str">
        <x:v>WS1</x:v>
      </x:c>
      <x:c r="C1222" s="253" t="str">
        <x:v>MB8</x:v>
      </x:c>
      <x:c r="D1222" s="262" t="n">
        <x:v>46210.117418981485</x:v>
      </x:c>
      <x:c r="E1222" s="259" t="n">
        <x:v>46210.166666666664</x:v>
      </x:c>
      <x:c r="F1222" s="253" t="str">
        <x:v>422328</x:v>
      </x:c>
      <x:c r="G1222" s="253" t="str">
        <x:v>yap5643</x:v>
      </x:c>
      <x:c r="H1222" s="253" t="str">
        <x:v>Yes</x:v>
      </x:c>
      <x:c r="I1222" s="253" t="str">
        <x:v>Claire</x:v>
      </x:c>
      <x:c r="J1222" s="253" t="str">
        <x:v>Claire</x:v>
      </x:c>
      <x:c r="K1222" s="259" t="n">
        <x:v>45659.166666666664</x:v>
      </x:c>
      <x:c r="L1222" s="268" t="str">
        <x:f>IFERROR(VLOOKUP(I1222,'Handler-Team Map'!$A$7:$C$17,2,FALSE),"")</x:f>
      </x:c>
      <x:c r="M1222" s="268" t="str">
        <x:f>IFERROR(VLOOKUP(I1222,'Handler-Team Map'!$A$7:$C$17,3,FALSE),"")</x:f>
      </x:c>
      <x:c r="N1222" s="274" t="str">
        <x:v>FT_VM_DEP1000_GET500_1X</x:v>
      </x:c>
      <x:c r="O1222" s="274" t="str">
        <x:v>VIP BONUS - Deposit 1000 Get 500 - 1x TO</x:v>
      </x:c>
      <x:c r="P1222" s="274" t="str">
        <x:v>DepositBonus</x:v>
      </x:c>
      <x:c r="Q1222" s="274" t="str">
        <x:v>Approved</x:v>
      </x:c>
      <x:c r="R1222" s="265" t="n">
        <x:v>500</x:v>
      </x:c>
      <x:c r="S1222" s="253" t="str">
        <x:v>Yes</x:v>
      </x:c>
      <x:c r="T1222" s="265" t="n">
        <x:v>149500</x:v>
      </x:c>
      <x:c r="U1222" s="253" t="str">
        <x:f>IF(AND(S1222="Yes",T1222=0),"Yes","No")</x:f>
        <x:v>No</x:v>
      </x:c>
      <x:c r="V1222" s="253" t="str">
        <x:v>Yes</x:v>
      </x:c>
      <x:c r="W1222" s="253" t="str">
        <x:v>Yes</x:v>
      </x:c>
      <x:c r="X1222" s="259" t="n">
        <x:v>46210.166666666664</x:v>
      </x:c>
      <x:c r="Y1222" s="265" t="n">
        <x:v>37900</x:v>
      </x:c>
      <x:c r="Z1222" s="265" t="n">
        <x:v>101900</x:v>
      </x:c>
      <x:c r="AA1222" s="253" t="str">
        <x:f>IF(V1222="No","Maturing",IF(AND(U1222="Yes",Y1222&gt;0),"Yes","No"))</x:f>
        <x:v>No</x:v>
      </x:c>
      <x:c r="AB1222" s="253" t="str">
        <x:f>IF(W1222="No","Maturing",IF(AND(U1222="Yes",Z1222&gt;0),"Yes","No"))</x:f>
        <x:v>No</x:v>
      </x:c>
      <x:c r="AC1222" s="265" t="n">
        <x:v>17882.38</x:v>
      </x:c>
      <x:c r="AD1222" s="265" t="n">
        <x:v>81098.22</x:v>
      </x:c>
      <x:c r="AE1222" s="271" t="str"/>
      <x:c r="AF1222" s="274" t="str">
        <x:v>Not validated - no control/holdout</x:v>
      </x:c>
      <x:c r="AG1222" s="277" t="str">
        <x:v>Recovered execution only; assignment date and unclaimed-offer denominator unavailable</x:v>
      </x:c>
    </x:row>
    <x:row r="1223">
      <x:c r="A1223" s="252" t="str">
        <x:v>34865019</x:v>
      </x:c>
      <x:c r="B1223" s="253" t="str">
        <x:v>WS1</x:v>
      </x:c>
      <x:c r="C1223" s="253" t="str">
        <x:v>MB8</x:v>
      </x:c>
      <x:c r="D1223" s="262" t="n">
        <x:v>46210.1575</x:v>
      </x:c>
      <x:c r="E1223" s="259" t="n">
        <x:v>46210.166666666664</x:v>
      </x:c>
      <x:c r="F1223" s="253" t="str">
        <x:v>809424</x:v>
      </x:c>
      <x:c r="G1223" s="253" t="str">
        <x:v>yeamwc</x:v>
      </x:c>
      <x:c r="H1223" s="253" t="str">
        <x:v>Yes</x:v>
      </x:c>
      <x:c r="I1223" s="253" t="str">
        <x:v>Elda</x:v>
      </x:c>
      <x:c r="J1223" s="253" t="str">
        <x:v>Elda</x:v>
      </x:c>
      <x:c r="K1223" s="259" t="n">
        <x:v>45659.166666666664</x:v>
      </x:c>
      <x:c r="L1223" s="268" t="str">
        <x:f>IFERROR(VLOOKUP(I1223,'Handler-Team Map'!$A$7:$C$17,2,FALSE),"")</x:f>
      </x:c>
      <x:c r="M1223" s="268" t="str">
        <x:f>IFERROR(VLOOKUP(I1223,'Handler-Team Map'!$A$7:$C$17,3,FALSE),"")</x:f>
      </x:c>
      <x:c r="N1223" s="274" t="str">
        <x:v>FT_VM_DEP700_GET300_2X</x:v>
      </x:c>
      <x:c r="O1223" s="274" t="str">
        <x:v>VIP BONUS - Deposit 700 Get 300 - 2x TO</x:v>
      </x:c>
      <x:c r="P1223" s="274" t="str">
        <x:v>DepositBonus</x:v>
      </x:c>
      <x:c r="Q1223" s="274" t="str">
        <x:v>Approved</x:v>
      </x:c>
      <x:c r="R1223" s="265" t="n">
        <x:v>300</x:v>
      </x:c>
      <x:c r="S1223" s="253" t="str">
        <x:v>Yes</x:v>
      </x:c>
      <x:c r="T1223" s="265" t="n">
        <x:v>110095</x:v>
      </x:c>
      <x:c r="U1223" s="253" t="str">
        <x:f>IF(AND(S1223="Yes",T1223=0),"Yes","No")</x:f>
        <x:v>No</x:v>
      </x:c>
      <x:c r="V1223" s="253" t="str">
        <x:v>Yes</x:v>
      </x:c>
      <x:c r="W1223" s="253" t="str">
        <x:v>Yes</x:v>
      </x:c>
      <x:c r="X1223" s="259" t="n">
        <x:v>46210.166666666664</x:v>
      </x:c>
      <x:c r="Y1223" s="265" t="n">
        <x:v>2600</x:v>
      </x:c>
      <x:c r="Z1223" s="265" t="n">
        <x:v>105600</x:v>
      </x:c>
      <x:c r="AA1223" s="253" t="str">
        <x:f>IF(V1223="No","Maturing",IF(AND(U1223="Yes",Y1223&gt;0),"Yes","No"))</x:f>
        <x:v>No</x:v>
      </x:c>
      <x:c r="AB1223" s="253" t="str">
        <x:f>IF(W1223="No","Maturing",IF(AND(U1223="Yes",Z1223&gt;0),"Yes","No"))</x:f>
        <x:v>No</x:v>
      </x:c>
      <x:c r="AC1223" s="265" t="n">
        <x:v>3129.83</x:v>
      </x:c>
      <x:c r="AD1223" s="265" t="n">
        <x:v>-6732.16</x:v>
      </x:c>
      <x:c r="AE1223" s="271" t="str"/>
      <x:c r="AF1223" s="274" t="str">
        <x:v>Not validated - no control/holdout</x:v>
      </x:c>
      <x:c r="AG1223" s="277" t="str">
        <x:v>Recovered execution only; assignment date and unclaimed-offer denominator unavailable</x:v>
      </x:c>
    </x:row>
    <x:row r="1224">
      <x:c r="A1224" s="252" t="str">
        <x:v>34865155</x:v>
      </x:c>
      <x:c r="B1224" s="253" t="str">
        <x:v>WS1</x:v>
      </x:c>
      <x:c r="C1224" s="253" t="str">
        <x:v>MB8</x:v>
      </x:c>
      <x:c r="D1224" s="262" t="n">
        <x:v>46210.17359953704</x:v>
      </x:c>
      <x:c r="E1224" s="259" t="n">
        <x:v>46210.166666666664</x:v>
      </x:c>
      <x:c r="F1224" s="253" t="str">
        <x:v>565191</x:v>
      </x:c>
      <x:c r="G1224" s="253" t="str">
        <x:v>Sasitaren</x:v>
      </x:c>
      <x:c r="H1224" s="253" t="str">
        <x:v>Yes</x:v>
      </x:c>
      <x:c r="I1224" s="253" t="str">
        <x:v>Kam</x:v>
      </x:c>
      <x:c r="J1224" s="253" t="str">
        <x:v>Kam</x:v>
      </x:c>
      <x:c r="K1224" s="259" t="n">
        <x:v>45951.166666666664</x:v>
      </x:c>
      <x:c r="L1224" s="268" t="str">
        <x:f>IFERROR(VLOOKUP(I1224,'Handler-Team Map'!$A$7:$C$17,2,FALSE),"")</x:f>
      </x:c>
      <x:c r="M1224" s="268" t="str">
        <x:f>IFERROR(VLOOKUP(I1224,'Handler-Team Map'!$A$7:$C$17,3,FALSE),"")</x:f>
      </x:c>
      <x:c r="N1224" s="274" t="str">
        <x:v>FT_VM_DEP1000_GET500_5X</x:v>
      </x:c>
      <x:c r="O1224" s="274" t="str">
        <x:v>VIP BONUS - Deposit 1000 Get 500 - 5x TO</x:v>
      </x:c>
      <x:c r="P1224" s="274" t="str">
        <x:v>DepositBonus</x:v>
      </x:c>
      <x:c r="Q1224" s="274" t="str">
        <x:v>Approved</x:v>
      </x:c>
      <x:c r="R1224" s="265" t="n">
        <x:v>500</x:v>
      </x:c>
      <x:c r="S1224" s="253" t="str">
        <x:v>Yes</x:v>
      </x:c>
      <x:c r="T1224" s="265" t="n">
        <x:v>36442</x:v>
      </x:c>
      <x:c r="U1224" s="253" t="str">
        <x:f>IF(AND(S1224="Yes",T1224=0),"Yes","No")</x:f>
        <x:v>No</x:v>
      </x:c>
      <x:c r="V1224" s="253" t="str">
        <x:v>Yes</x:v>
      </x:c>
      <x:c r="W1224" s="253" t="str">
        <x:v>Yes</x:v>
      </x:c>
      <x:c r="X1224" s="259" t="n">
        <x:v>46210.166666666664</x:v>
      </x:c>
      <x:c r="Y1224" s="265" t="n">
        <x:v>9444</x:v>
      </x:c>
      <x:c r="Z1224" s="265" t="n">
        <x:v>15999</x:v>
      </x:c>
      <x:c r="AA1224" s="253" t="str">
        <x:f>IF(V1224="No","Maturing",IF(AND(U1224="Yes",Y1224&gt;0),"Yes","No"))</x:f>
        <x:v>No</x:v>
      </x:c>
      <x:c r="AB1224" s="253" t="str">
        <x:f>IF(W1224="No","Maturing",IF(AND(U1224="Yes",Z1224&gt;0),"Yes","No"))</x:f>
        <x:v>No</x:v>
      </x:c>
      <x:c r="AC1224" s="265" t="n">
        <x:v>9335.89</x:v>
      </x:c>
      <x:c r="AD1224" s="265" t="n">
        <x:v>6375.15</x:v>
      </x:c>
      <x:c r="AE1224" s="271" t="str"/>
      <x:c r="AF1224" s="274" t="str">
        <x:v>Not validated - no control/holdout</x:v>
      </x:c>
      <x:c r="AG1224" s="277" t="str">
        <x:v>Recovered execution only; assignment date and unclaimed-offer denominator unavailable</x:v>
      </x:c>
    </x:row>
    <x:row r="1225">
      <x:c r="A1225" s="252" t="str">
        <x:v>34870656</x:v>
      </x:c>
      <x:c r="B1225" s="253" t="str">
        <x:v>WS1</x:v>
      </x:c>
      <x:c r="C1225" s="253" t="str">
        <x:v>MB8</x:v>
      </x:c>
      <x:c r="D1225" s="262" t="n">
        <x:v>46210.73054398148</x:v>
      </x:c>
      <x:c r="E1225" s="259" t="n">
        <x:v>46210.166666666664</x:v>
      </x:c>
      <x:c r="F1225" s="253" t="str">
        <x:v>700774</x:v>
      </x:c>
      <x:c r="G1225" s="253" t="str">
        <x:v>Arifbillah</x:v>
      </x:c>
      <x:c r="H1225" s="253" t="str">
        <x:v>Yes</x:v>
      </x:c>
      <x:c r="I1225" s="253" t="str">
        <x:v>Elda</x:v>
      </x:c>
      <x:c r="J1225" s="253" t="str">
        <x:v>Elda</x:v>
      </x:c>
      <x:c r="K1225" s="259" t="n">
        <x:v>46090.166666666664</x:v>
      </x:c>
      <x:c r="L1225" s="268" t="str">
        <x:f>IFERROR(VLOOKUP(I1225,'Handler-Team Map'!$A$7:$C$17,2,FALSE),"")</x:f>
      </x:c>
      <x:c r="M1225" s="268" t="str">
        <x:f>IFERROR(VLOOKUP(I1225,'Handler-Team Map'!$A$7:$C$17,3,FALSE),"")</x:f>
      </x:c>
      <x:c r="N1225" s="274" t="str">
        <x:v>FT_VM_DEP800_GET400_2X</x:v>
      </x:c>
      <x:c r="O1225" s="274" t="str">
        <x:v>VIP BONUS - Deposit 800 Get 400 - 2x TO</x:v>
      </x:c>
      <x:c r="P1225" s="274" t="str">
        <x:v>DepositBonus</x:v>
      </x:c>
      <x:c r="Q1225" s="274" t="str">
        <x:v>Approved</x:v>
      </x:c>
      <x:c r="R1225" s="265" t="n">
        <x:v>400</x:v>
      </x:c>
      <x:c r="S1225" s="253" t="str">
        <x:v>Yes</x:v>
      </x:c>
      <x:c r="T1225" s="265" t="n">
        <x:v>800</x:v>
      </x:c>
      <x:c r="U1225" s="253" t="str">
        <x:f>IF(AND(S1225="Yes",T1225=0),"Yes","No")</x:f>
        <x:v>No</x:v>
      </x:c>
      <x:c r="V1225" s="253" t="str">
        <x:v>Yes</x:v>
      </x:c>
      <x:c r="W1225" s="253" t="str">
        <x:v>Yes</x:v>
      </x:c>
      <x:c r="X1225" s="259" t="n">
        <x:v>46210.166666666664</x:v>
      </x:c>
      <x:c r="Y1225" s="265" t="n">
        <x:v>800</x:v>
      </x:c>
      <x:c r="Z1225" s="265" t="n">
        <x:v>800</x:v>
      </x:c>
      <x:c r="AA1225" s="253" t="str">
        <x:f>IF(V1225="No","Maturing",IF(AND(U1225="Yes",Y1225&gt;0),"Yes","No"))</x:f>
        <x:v>No</x:v>
      </x:c>
      <x:c r="AB1225" s="253" t="str">
        <x:f>IF(W1225="No","Maturing",IF(AND(U1225="Yes",Z1225&gt;0),"Yes","No"))</x:f>
        <x:v>No</x:v>
      </x:c>
      <x:c r="AC1225" s="265" t="n">
        <x:v>791.68</x:v>
      </x:c>
      <x:c r="AD1225" s="265" t="n">
        <x:v>800.11</x:v>
      </x:c>
      <x:c r="AE1225" s="271" t="str"/>
      <x:c r="AF1225" s="274" t="str">
        <x:v>Not validated - no control/holdout</x:v>
      </x:c>
      <x:c r="AG1225" s="277" t="str">
        <x:v>Recovered execution only; assignment date and unclaimed-offer denominator unavailable</x:v>
      </x:c>
    </x:row>
    <x:row r="1226">
      <x:c r="A1226" s="252" t="str">
        <x:v>34871351</x:v>
      </x:c>
      <x:c r="B1226" s="253" t="str">
        <x:v>WS1</x:v>
      </x:c>
      <x:c r="C1226" s="253" t="str">
        <x:v>MB8</x:v>
      </x:c>
      <x:c r="D1226" s="262" t="n">
        <x:v>46210.777766203704</x:v>
      </x:c>
      <x:c r="E1226" s="259" t="n">
        <x:v>46210.166666666664</x:v>
      </x:c>
      <x:c r="F1226" s="253" t="str">
        <x:v>242044</x:v>
      </x:c>
      <x:c r="G1226" s="253" t="str">
        <x:v>michaellining</x:v>
      </x:c>
      <x:c r="H1226" s="253" t="str">
        <x:v>Yes</x:v>
      </x:c>
      <x:c r="I1226" s="253" t="str">
        <x:v>Claire</x:v>
      </x:c>
      <x:c r="J1226" s="253" t="str">
        <x:v>Claire</x:v>
      </x:c>
      <x:c r="K1226" s="259" t="n">
        <x:v>45659.166666666664</x:v>
      </x:c>
      <x:c r="L1226" s="268" t="str">
        <x:f>IFERROR(VLOOKUP(I1226,'Handler-Team Map'!$A$7:$C$17,2,FALSE),"")</x:f>
      </x:c>
      <x:c r="M1226" s="268" t="str">
        <x:f>IFERROR(VLOOKUP(I1226,'Handler-Team Map'!$A$7:$C$17,3,FALSE),"")</x:f>
      </x:c>
      <x:c r="N1226" s="274" t="str">
        <x:v>FT_VM_DEP300_GET100_5X</x:v>
      </x:c>
      <x:c r="O1226" s="274" t="str">
        <x:v>VIP BONUS - Deposit 300 Get 100 - 5x TO</x:v>
      </x:c>
      <x:c r="P1226" s="274" t="str">
        <x:v>DepositBonus</x:v>
      </x:c>
      <x:c r="Q1226" s="274" t="str">
        <x:v>Approved</x:v>
      </x:c>
      <x:c r="R1226" s="265" t="n">
        <x:v>100</x:v>
      </x:c>
      <x:c r="S1226" s="253" t="str">
        <x:v>Yes</x:v>
      </x:c>
      <x:c r="T1226" s="265" t="n">
        <x:v>87210</x:v>
      </x:c>
      <x:c r="U1226" s="253" t="str">
        <x:f>IF(AND(S1226="Yes",T1226=0),"Yes","No")</x:f>
        <x:v>No</x:v>
      </x:c>
      <x:c r="V1226" s="253" t="str">
        <x:v>Yes</x:v>
      </x:c>
      <x:c r="W1226" s="253" t="str">
        <x:v>Yes</x:v>
      </x:c>
      <x:c r="X1226" s="259" t="n">
        <x:v>46210.166666666664</x:v>
      </x:c>
      <x:c r="Y1226" s="265" t="n">
        <x:v>30721</x:v>
      </x:c>
      <x:c r="Z1226" s="265" t="n">
        <x:v>42139</x:v>
      </x:c>
      <x:c r="AA1226" s="253" t="str">
        <x:f>IF(V1226="No","Maturing",IF(AND(U1226="Yes",Y1226&gt;0),"Yes","No"))</x:f>
        <x:v>No</x:v>
      </x:c>
      <x:c r="AB1226" s="253" t="str">
        <x:f>IF(W1226="No","Maturing",IF(AND(U1226="Yes",Z1226&gt;0),"Yes","No"))</x:f>
        <x:v>No</x:v>
      </x:c>
      <x:c r="AC1226" s="265" t="n">
        <x:v>3048.96</x:v>
      </x:c>
      <x:c r="AD1226" s="265" t="n">
        <x:v>5398.49</x:v>
      </x:c>
      <x:c r="AE1226" s="271" t="str"/>
      <x:c r="AF1226" s="274" t="str">
        <x:v>Not validated - no control/holdout</x:v>
      </x:c>
      <x:c r="AG1226" s="277" t="str">
        <x:v>Recovered execution only; assignment date and unclaimed-offer denominator unavailable</x:v>
      </x:c>
    </x:row>
    <x:row r="1227">
      <x:c r="A1227" s="252" t="str">
        <x:v>34871634</x:v>
      </x:c>
      <x:c r="B1227" s="253" t="str">
        <x:v>WS1</x:v>
      </x:c>
      <x:c r="C1227" s="253" t="str">
        <x:v>MB8</x:v>
      </x:c>
      <x:c r="D1227" s="262" t="n">
        <x:v>46210.79712962963</x:v>
      </x:c>
      <x:c r="E1227" s="259" t="n">
        <x:v>46210.166666666664</x:v>
      </x:c>
      <x:c r="F1227" s="253" t="str">
        <x:v>489812</x:v>
      </x:c>
      <x:c r="G1227" s="253" t="str">
        <x:v>C0132475770</x:v>
      </x:c>
      <x:c r="H1227" s="253" t="str">
        <x:v>Yes</x:v>
      </x:c>
      <x:c r="I1227" s="253" t="str">
        <x:v>Elda</x:v>
      </x:c>
      <x:c r="J1227" s="253" t="str">
        <x:v>Elda</x:v>
      </x:c>
      <x:c r="K1227" s="259" t="n">
        <x:v>45659.166666666664</x:v>
      </x:c>
      <x:c r="L1227" s="268" t="str">
        <x:f>IFERROR(VLOOKUP(I1227,'Handler-Team Map'!$A$7:$C$17,2,FALSE),"")</x:f>
      </x:c>
      <x:c r="M1227" s="268" t="str">
        <x:f>IFERROR(VLOOKUP(I1227,'Handler-Team Map'!$A$7:$C$17,3,FALSE),"")</x:f>
      </x:c>
      <x:c r="N1227" s="274" t="str">
        <x:v>FT_VM_DEP1000_GET800_2X</x:v>
      </x:c>
      <x:c r="O1227" s="274" t="str">
        <x:v>VIP BONUS - Deposit 1000 Get 800 - 2x TO</x:v>
      </x:c>
      <x:c r="P1227" s="274" t="str">
        <x:v>DepositBonus</x:v>
      </x:c>
      <x:c r="Q1227" s="274" t="str">
        <x:v>Approved</x:v>
      </x:c>
      <x:c r="R1227" s="265" t="n">
        <x:v>800</x:v>
      </x:c>
      <x:c r="S1227" s="253" t="str">
        <x:v>Yes</x:v>
      </x:c>
      <x:c r="T1227" s="265" t="n">
        <x:v>1200</x:v>
      </x:c>
      <x:c r="U1227" s="253" t="str">
        <x:f>IF(AND(S1227="Yes",T1227=0),"Yes","No")</x:f>
        <x:v>No</x:v>
      </x:c>
      <x:c r="V1227" s="253" t="str">
        <x:v>Yes</x:v>
      </x:c>
      <x:c r="W1227" s="253" t="str">
        <x:v>Yes</x:v>
      </x:c>
      <x:c r="X1227" s="259" t="n">
        <x:v>46210.166666666664</x:v>
      </x:c>
      <x:c r="Y1227" s="265" t="n">
        <x:v>1000</x:v>
      </x:c>
      <x:c r="Z1227" s="265" t="n">
        <x:v>1000</x:v>
      </x:c>
      <x:c r="AA1227" s="253" t="str">
        <x:f>IF(V1227="No","Maturing",IF(AND(U1227="Yes",Y1227&gt;0),"Yes","No"))</x:f>
        <x:v>No</x:v>
      </x:c>
      <x:c r="AB1227" s="253" t="str">
        <x:f>IF(W1227="No","Maturing",IF(AND(U1227="Yes",Z1227&gt;0),"Yes","No"))</x:f>
        <x:v>No</x:v>
      </x:c>
      <x:c r="AC1227" s="265" t="n">
        <x:v>-114.14</x:v>
      </x:c>
      <x:c r="AD1227" s="265" t="n">
        <x:v>-114.14</x:v>
      </x:c>
      <x:c r="AE1227" s="271" t="str"/>
      <x:c r="AF1227" s="274" t="str">
        <x:v>Not validated - no control/holdout</x:v>
      </x:c>
      <x:c r="AG1227" s="277" t="str">
        <x:v>Recovered execution only; assignment date and unclaimed-offer denominator unavailable</x:v>
      </x:c>
    </x:row>
    <x:row r="1228">
      <x:c r="A1228" s="252" t="str">
        <x:v>34872127</x:v>
      </x:c>
      <x:c r="B1228" s="253" t="str">
        <x:v>WS1</x:v>
      </x:c>
      <x:c r="C1228" s="253" t="str">
        <x:v>MB8</x:v>
      </x:c>
      <x:c r="D1228" s="262" t="n">
        <x:v>46210.831828703704</x:v>
      </x:c>
      <x:c r="E1228" s="259" t="n">
        <x:v>46210.166666666664</x:v>
      </x:c>
      <x:c r="F1228" s="253" t="str">
        <x:v>99213</x:v>
      </x:c>
      <x:c r="G1228" s="253" t="str">
        <x:v>tony0722</x:v>
      </x:c>
      <x:c r="H1228" s="253" t="str">
        <x:v>Yes</x:v>
      </x:c>
      <x:c r="I1228" s="253" t="str">
        <x:v>Claire</x:v>
      </x:c>
      <x:c r="J1228" s="253" t="str">
        <x:v>Claire</x:v>
      </x:c>
      <x:c r="K1228" s="259" t="n">
        <x:v>45659.166666666664</x:v>
      </x:c>
      <x:c r="L1228" s="268" t="str">
        <x:f>IFERROR(VLOOKUP(I1228,'Handler-Team Map'!$A$7:$C$17,2,FALSE),"")</x:f>
      </x:c>
      <x:c r="M1228" s="268" t="str">
        <x:f>IFERROR(VLOOKUP(I1228,'Handler-Team Map'!$A$7:$C$17,3,FALSE),"")</x:f>
      </x:c>
      <x:c r="N1228" s="274" t="str">
        <x:v>FT_VM_DEP1000_GET800_1X</x:v>
      </x:c>
      <x:c r="O1228" s="274" t="str">
        <x:v>VIP BONUS - Deposit 1000 Get 800 - 1x TO</x:v>
      </x:c>
      <x:c r="P1228" s="274" t="str">
        <x:v>DepositBonus</x:v>
      </x:c>
      <x:c r="Q1228" s="274" t="str">
        <x:v>Approved</x:v>
      </x:c>
      <x:c r="R1228" s="265" t="n">
        <x:v>800</x:v>
      </x:c>
      <x:c r="S1228" s="253" t="str">
        <x:v>Yes</x:v>
      </x:c>
      <x:c r="T1228" s="265" t="n">
        <x:v>2000</x:v>
      </x:c>
      <x:c r="U1228" s="253" t="str">
        <x:f>IF(AND(S1228="Yes",T1228=0),"Yes","No")</x:f>
        <x:v>No</x:v>
      </x:c>
      <x:c r="V1228" s="253" t="str">
        <x:v>Yes</x:v>
      </x:c>
      <x:c r="W1228" s="253" t="str">
        <x:v>Yes</x:v>
      </x:c>
      <x:c r="X1228" s="259" t="n">
        <x:v>46210.166666666664</x:v>
      </x:c>
      <x:c r="Y1228" s="265" t="n">
        <x:v>1150</x:v>
      </x:c>
      <x:c r="Z1228" s="265" t="n">
        <x:v>1150</x:v>
      </x:c>
      <x:c r="AA1228" s="253" t="str">
        <x:f>IF(V1228="No","Maturing",IF(AND(U1228="Yes",Y1228&gt;0),"Yes","No"))</x:f>
        <x:v>No</x:v>
      </x:c>
      <x:c r="AB1228" s="253" t="str">
        <x:f>IF(W1228="No","Maturing",IF(AND(U1228="Yes",Z1228&gt;0),"Yes","No"))</x:f>
        <x:v>No</x:v>
      </x:c>
      <x:c r="AC1228" s="265" t="n">
        <x:v>-1470.56</x:v>
      </x:c>
      <x:c r="AD1228" s="265" t="n">
        <x:v>-1470.44</x:v>
      </x:c>
      <x:c r="AE1228" s="271" t="str"/>
      <x:c r="AF1228" s="274" t="str">
        <x:v>Not validated - no control/holdout</x:v>
      </x:c>
      <x:c r="AG1228" s="277" t="str">
        <x:v>Recovered execution only; assignment date and unclaimed-offer denominator unavailable</x:v>
      </x:c>
    </x:row>
    <x:row r="1229">
      <x:c r="A1229" s="252" t="str">
        <x:v>34872460</x:v>
      </x:c>
      <x:c r="B1229" s="253" t="str">
        <x:v>WS1</x:v>
      </x:c>
      <x:c r="C1229" s="253" t="str">
        <x:v>MB8</x:v>
      </x:c>
      <x:c r="D1229" s="262" t="n">
        <x:v>46210.85681712963</x:v>
      </x:c>
      <x:c r="E1229" s="259" t="n">
        <x:v>46210.166666666664</x:v>
      </x:c>
      <x:c r="F1229" s="253" t="str">
        <x:v>534007</x:v>
      </x:c>
      <x:c r="G1229" s="253" t="str">
        <x:v>sahilyar15</x:v>
      </x:c>
      <x:c r="H1229" s="253" t="str">
        <x:v>Yes</x:v>
      </x:c>
      <x:c r="I1229" s="253" t="str">
        <x:v>Tammy</x:v>
      </x:c>
      <x:c r="J1229" s="253" t="str">
        <x:v>Tammy</x:v>
      </x:c>
      <x:c r="K1229" s="259" t="n">
        <x:v>45951.166666666664</x:v>
      </x:c>
      <x:c r="L1229" s="268" t="str">
        <x:f>IFERROR(VLOOKUP(I1229,'Handler-Team Map'!$A$7:$C$17,2,FALSE),"")</x:f>
      </x:c>
      <x:c r="M1229" s="268" t="str">
        <x:f>IFERROR(VLOOKUP(I1229,'Handler-Team Map'!$A$7:$C$17,3,FALSE),"")</x:f>
      </x:c>
      <x:c r="N1229" s="274" t="str">
        <x:v>FT_VM_DEP1000_GET500_5X</x:v>
      </x:c>
      <x:c r="O1229" s="274" t="str">
        <x:v>VIP BONUS - Deposit 1000 Get 500 - 5x TO</x:v>
      </x:c>
      <x:c r="P1229" s="274" t="str">
        <x:v>DepositBonus</x:v>
      </x:c>
      <x:c r="Q1229" s="274" t="str">
        <x:v>Approved</x:v>
      </x:c>
      <x:c r="R1229" s="265" t="n">
        <x:v>500</x:v>
      </x:c>
      <x:c r="S1229" s="253" t="str">
        <x:v>Yes</x:v>
      </x:c>
      <x:c r="T1229" s="265" t="n">
        <x:v>8715</x:v>
      </x:c>
      <x:c r="U1229" s="253" t="str">
        <x:f>IF(AND(S1229="Yes",T1229=0),"Yes","No")</x:f>
        <x:v>No</x:v>
      </x:c>
      <x:c r="V1229" s="253" t="str">
        <x:v>Yes</x:v>
      </x:c>
      <x:c r="W1229" s="253" t="str">
        <x:v>Yes</x:v>
      </x:c>
      <x:c r="X1229" s="259" t="n">
        <x:v>46210.166666666664</x:v>
      </x:c>
      <x:c r="Y1229" s="265" t="n">
        <x:v>2800</x:v>
      </x:c>
      <x:c r="Z1229" s="265" t="n">
        <x:v>15700</x:v>
      </x:c>
      <x:c r="AA1229" s="253" t="str">
        <x:f>IF(V1229="No","Maturing",IF(AND(U1229="Yes",Y1229&gt;0),"Yes","No"))</x:f>
        <x:v>No</x:v>
      </x:c>
      <x:c r="AB1229" s="253" t="str">
        <x:f>IF(W1229="No","Maturing",IF(AND(U1229="Yes",Z1229&gt;0),"Yes","No"))</x:f>
        <x:v>No</x:v>
      </x:c>
      <x:c r="AC1229" s="265" t="n">
        <x:v>1641.4</x:v>
      </x:c>
      <x:c r="AD1229" s="265" t="n">
        <x:v>741.27</x:v>
      </x:c>
      <x:c r="AE1229" s="271" t="str"/>
      <x:c r="AF1229" s="274" t="str">
        <x:v>Not validated - no control/holdout</x:v>
      </x:c>
      <x:c r="AG1229" s="277" t="str">
        <x:v>Recovered execution only; assignment date and unclaimed-offer denominator unavailable</x:v>
      </x:c>
    </x:row>
    <x:row r="1230">
      <x:c r="A1230" s="252" t="str">
        <x:v>34873775</x:v>
      </x:c>
      <x:c r="B1230" s="253" t="str">
        <x:v>WS1</x:v>
      </x:c>
      <x:c r="C1230" s="253" t="str">
        <x:v>MB8</x:v>
      </x:c>
      <x:c r="D1230" s="262" t="n">
        <x:v>46210.93099537037</x:v>
      </x:c>
      <x:c r="E1230" s="259" t="n">
        <x:v>46210.166666666664</x:v>
      </x:c>
      <x:c r="F1230" s="253" t="str">
        <x:v>139287</x:v>
      </x:c>
      <x:c r="G1230" s="253" t="str">
        <x:v>Gunasek</x:v>
      </x:c>
      <x:c r="H1230" s="253" t="str">
        <x:v>Yes</x:v>
      </x:c>
      <x:c r="I1230" s="253" t="str">
        <x:v>Elda</x:v>
      </x:c>
      <x:c r="J1230" s="253" t="str">
        <x:v>Elda</x:v>
      </x:c>
      <x:c r="K1230" s="259" t="n">
        <x:v>45659.166666666664</x:v>
      </x:c>
      <x:c r="L1230" s="268" t="str">
        <x:f>IFERROR(VLOOKUP(I1230,'Handler-Team Map'!$A$7:$C$17,2,FALSE),"")</x:f>
      </x:c>
      <x:c r="M1230" s="268" t="str">
        <x:f>IFERROR(VLOOKUP(I1230,'Handler-Team Map'!$A$7:$C$17,3,FALSE),"")</x:f>
      </x:c>
      <x:c r="N1230" s="274" t="str">
        <x:v>FT_VM_DEP150_GET50_5X</x:v>
      </x:c>
      <x:c r="O1230" s="274" t="str">
        <x:v>VIP BONUS - Deposit 150 Get 50 - 5x TO</x:v>
      </x:c>
      <x:c r="P1230" s="274" t="str">
        <x:v>DepositBonus</x:v>
      </x:c>
      <x:c r="Q1230" s="274" t="str">
        <x:v>Approved</x:v>
      </x:c>
      <x:c r="R1230" s="265" t="n">
        <x:v>50</x:v>
      </x:c>
      <x:c r="S1230" s="253" t="str">
        <x:v>Yes</x:v>
      </x:c>
      <x:c r="T1230" s="265" t="n">
        <x:v>43652</x:v>
      </x:c>
      <x:c r="U1230" s="253" t="str">
        <x:f>IF(AND(S1230="Yes",T1230=0),"Yes","No")</x:f>
        <x:v>No</x:v>
      </x:c>
      <x:c r="V1230" s="253" t="str">
        <x:v>Yes</x:v>
      </x:c>
      <x:c r="W1230" s="253" t="str">
        <x:v>Yes</x:v>
      </x:c>
      <x:c r="X1230" s="259" t="n">
        <x:v>46210.166666666664</x:v>
      </x:c>
      <x:c r="Y1230" s="265" t="n">
        <x:v>980</x:v>
      </x:c>
      <x:c r="Z1230" s="265" t="n">
        <x:v>1060</x:v>
      </x:c>
      <x:c r="AA1230" s="253" t="str">
        <x:f>IF(V1230="No","Maturing",IF(AND(U1230="Yes",Y1230&gt;0),"Yes","No"))</x:f>
        <x:v>No</x:v>
      </x:c>
      <x:c r="AB1230" s="253" t="str">
        <x:f>IF(W1230="No","Maturing",IF(AND(U1230="Yes",Z1230&gt;0),"Yes","No"))</x:f>
        <x:v>No</x:v>
      </x:c>
      <x:c r="AC1230" s="265" t="n">
        <x:v>979.81</x:v>
      </x:c>
      <x:c r="AD1230" s="265" t="n">
        <x:v>1059.99</x:v>
      </x:c>
      <x:c r="AE1230" s="271" t="str"/>
      <x:c r="AF1230" s="274" t="str">
        <x:v>Not validated - no control/holdout</x:v>
      </x:c>
      <x:c r="AG1230" s="277" t="str">
        <x:v>Recovered execution only; assignment date and unclaimed-offer denominator unavailable</x:v>
      </x:c>
    </x:row>
    <x:row r="1231">
      <x:c r="A1231" s="252" t="str">
        <x:v>34874226</x:v>
      </x:c>
      <x:c r="B1231" s="253" t="str">
        <x:v>WS1</x:v>
      </x:c>
      <x:c r="C1231" s="253" t="str">
        <x:v>MB8</x:v>
      </x:c>
      <x:c r="D1231" s="262" t="n">
        <x:v>46210.951377314814</x:v>
      </x:c>
      <x:c r="E1231" s="259" t="n">
        <x:v>46210.166666666664</x:v>
      </x:c>
      <x:c r="F1231" s="253" t="str">
        <x:v>676845</x:v>
      </x:c>
      <x:c r="G1231" s="253" t="str">
        <x:v>ericokw96</x:v>
      </x:c>
      <x:c r="H1231" s="253" t="str">
        <x:v>Yes</x:v>
      </x:c>
      <x:c r="I1231" s="253" t="str"/>
      <x:c r="J1231" s="253" t="str"/>
      <x:c r="K1231" s="259"/>
      <x:c r="L1231" s="268" t="str">
        <x:f>IFERROR(VLOOKUP(I1231,'Handler-Team Map'!$A$7:$C$17,2,FALSE),"")</x:f>
      </x:c>
      <x:c r="M1231" s="268" t="str">
        <x:f>IFERROR(VLOOKUP(I1231,'Handler-Team Map'!$A$7:$C$17,3,FALSE),"")</x:f>
      </x:c>
      <x:c r="N1231" s="274" t="str">
        <x:v>FT_VM_DEP700_GET300_2X</x:v>
      </x:c>
      <x:c r="O1231" s="274" t="str">
        <x:v>VIP BONUS - Deposit 700 Get 300 - 2x TO</x:v>
      </x:c>
      <x:c r="P1231" s="274" t="str">
        <x:v>DepositBonus</x:v>
      </x:c>
      <x:c r="Q1231" s="274" t="str">
        <x:v>Approved</x:v>
      </x:c>
      <x:c r="R1231" s="265" t="n">
        <x:v>300</x:v>
      </x:c>
      <x:c r="S1231" s="253" t="str">
        <x:v>Yes</x:v>
      </x:c>
      <x:c r="T1231" s="265" t="n">
        <x:v>1600</x:v>
      </x:c>
      <x:c r="U1231" s="253" t="str">
        <x:f>IF(AND(S1231="Yes",T1231=0),"Yes","No")</x:f>
        <x:v>No</x:v>
      </x:c>
      <x:c r="V1231" s="253" t="str">
        <x:v>Yes</x:v>
      </x:c>
      <x:c r="W1231" s="253" t="str">
        <x:v>Yes</x:v>
      </x:c>
      <x:c r="X1231" s="259" t="n">
        <x:v>46210.166666666664</x:v>
      </x:c>
      <x:c r="Y1231" s="265" t="n">
        <x:v>700</x:v>
      </x:c>
      <x:c r="Z1231" s="265" t="n">
        <x:v>700</x:v>
      </x:c>
      <x:c r="AA1231" s="253" t="str">
        <x:f>IF(V1231="No","Maturing",IF(AND(U1231="Yes",Y1231&gt;0),"Yes","No"))</x:f>
        <x:v>No</x:v>
      </x:c>
      <x:c r="AB1231" s="253" t="str">
        <x:f>IF(W1231="No","Maturing",IF(AND(U1231="Yes",Z1231&gt;0),"Yes","No"))</x:f>
        <x:v>No</x:v>
      </x:c>
      <x:c r="AC1231" s="265" t="n">
        <x:v>-1092.08</x:v>
      </x:c>
      <x:c r="AD1231" s="265" t="n">
        <x:v>-1092.08</x:v>
      </x:c>
      <x:c r="AE1231" s="271" t="str"/>
      <x:c r="AF1231" s="274" t="str">
        <x:v>Not validated - no control/holdout</x:v>
      </x:c>
      <x:c r="AG1231" s="277" t="str">
        <x:v>Recovered execution only; assignment date and unclaimed-offer denominator unavailable</x:v>
      </x:c>
    </x:row>
    <x:row r="1232">
      <x:c r="A1232" s="252" t="str">
        <x:v>34875792</x:v>
      </x:c>
      <x:c r="B1232" s="253" t="str">
        <x:v>WS1</x:v>
      </x:c>
      <x:c r="C1232" s="253" t="str">
        <x:v>MB8</x:v>
      </x:c>
      <x:c r="D1232" s="262" t="n">
        <x:v>46211.011354166665</x:v>
      </x:c>
      <x:c r="E1232" s="259" t="n">
        <x:v>46211.166666666664</x:v>
      </x:c>
      <x:c r="F1232" s="253" t="str">
        <x:v>58882</x:v>
      </x:c>
      <x:c r="G1232" s="253" t="str">
        <x:v>Farfr96</x:v>
      </x:c>
      <x:c r="H1232" s="253" t="str">
        <x:v>Yes</x:v>
      </x:c>
      <x:c r="I1232" s="253" t="str"/>
      <x:c r="J1232" s="253" t="str"/>
      <x:c r="K1232" s="259"/>
      <x:c r="L1232" s="268" t="str">
        <x:f>IFERROR(VLOOKUP(I1232,'Handler-Team Map'!$A$7:$C$17,2,FALSE),"")</x:f>
      </x:c>
      <x:c r="M1232" s="268" t="str">
        <x:f>IFERROR(VLOOKUP(I1232,'Handler-Team Map'!$A$7:$C$17,3,FALSE),"")</x:f>
      </x:c>
      <x:c r="N1232" s="274" t="str">
        <x:v>FT_VM_DEP800_GET400_1X</x:v>
      </x:c>
      <x:c r="O1232" s="274" t="str">
        <x:v>VIP BONUS - Deposit 800 Get 400 - 1x TO</x:v>
      </x:c>
      <x:c r="P1232" s="274" t="str">
        <x:v>DepositBonus</x:v>
      </x:c>
      <x:c r="Q1232" s="274" t="str">
        <x:v>Approved</x:v>
      </x:c>
      <x:c r="R1232" s="265" t="n">
        <x:v>400</x:v>
      </x:c>
      <x:c r="S1232" s="253" t="str">
        <x:v>Yes</x:v>
      </x:c>
      <x:c r="T1232" s="265" t="n">
        <x:v>30</x:v>
      </x:c>
      <x:c r="U1232" s="253" t="str">
        <x:f>IF(AND(S1232="Yes",T1232=0),"Yes","No")</x:f>
        <x:v>No</x:v>
      </x:c>
      <x:c r="V1232" s="253" t="str">
        <x:v>Yes</x:v>
      </x:c>
      <x:c r="W1232" s="253" t="str">
        <x:v>Yes</x:v>
      </x:c>
      <x:c r="X1232" s="259" t="n">
        <x:v>46211.166666666664</x:v>
      </x:c>
      <x:c r="Y1232" s="265" t="n">
        <x:v>800</x:v>
      </x:c>
      <x:c r="Z1232" s="265" t="n">
        <x:v>800</x:v>
      </x:c>
      <x:c r="AA1232" s="253" t="str">
        <x:f>IF(V1232="No","Maturing",IF(AND(U1232="Yes",Y1232&gt;0),"Yes","No"))</x:f>
        <x:v>No</x:v>
      </x:c>
      <x:c r="AB1232" s="253" t="str">
        <x:f>IF(W1232="No","Maturing",IF(AND(U1232="Yes",Z1232&gt;0),"Yes","No"))</x:f>
        <x:v>No</x:v>
      </x:c>
      <x:c r="AC1232" s="265" t="n">
        <x:v>-100.54</x:v>
      </x:c>
      <x:c r="AD1232" s="265" t="n">
        <x:v>-100.51</x:v>
      </x:c>
      <x:c r="AE1232" s="271" t="str"/>
      <x:c r="AF1232" s="274" t="str">
        <x:v>Not validated - no control/holdout</x:v>
      </x:c>
      <x:c r="AG1232" s="277" t="str">
        <x:v>Recovered execution only; assignment date and unclaimed-offer denominator unavailable</x:v>
      </x:c>
    </x:row>
    <x:row r="1233">
      <x:c r="A1233" s="252" t="str">
        <x:v>34875846</x:v>
      </x:c>
      <x:c r="B1233" s="253" t="str">
        <x:v>WS1</x:v>
      </x:c>
      <x:c r="C1233" s="253" t="str">
        <x:v>MB8</x:v>
      </x:c>
      <x:c r="D1233" s="262" t="n">
        <x:v>46211.01391203704</x:v>
      </x:c>
      <x:c r="E1233" s="259" t="n">
        <x:v>46211.166666666664</x:v>
      </x:c>
      <x:c r="F1233" s="253" t="str">
        <x:v>1079990</x:v>
      </x:c>
      <x:c r="G1233" s="253" t="str">
        <x:v>Ayidsepang</x:v>
      </x:c>
      <x:c r="H1233" s="253" t="str">
        <x:v>Yes</x:v>
      </x:c>
      <x:c r="I1233" s="253" t="str"/>
      <x:c r="J1233" s="253" t="str"/>
      <x:c r="K1233" s="259"/>
      <x:c r="L1233" s="268" t="str">
        <x:f>IFERROR(VLOOKUP(I1233,'Handler-Team Map'!$A$7:$C$17,2,FALSE),"")</x:f>
      </x:c>
      <x:c r="M1233" s="268" t="str">
        <x:f>IFERROR(VLOOKUP(I1233,'Handler-Team Map'!$A$7:$C$17,3,FALSE),"")</x:f>
      </x:c>
      <x:c r="N1233" s="274" t="str">
        <x:v>FT_VM_DEP1000_GET700_1X</x:v>
      </x:c>
      <x:c r="O1233" s="274" t="str">
        <x:v>VIP BONUS - Deposit 1000 Get 700 - 1x TO</x:v>
      </x:c>
      <x:c r="P1233" s="274" t="str">
        <x:v>DepositBonus</x:v>
      </x:c>
      <x:c r="Q1233" s="274" t="str">
        <x:v>Approved</x:v>
      </x:c>
      <x:c r="R1233" s="265" t="n">
        <x:v>700</x:v>
      </x:c>
      <x:c r="S1233" s="253" t="str">
        <x:v>Yes</x:v>
      </x:c>
      <x:c r="T1233" s="265" t="n">
        <x:v>1260</x:v>
      </x:c>
      <x:c r="U1233" s="253" t="str">
        <x:f>IF(AND(S1233="Yes",T1233=0),"Yes","No")</x:f>
        <x:v>No</x:v>
      </x:c>
      <x:c r="V1233" s="253" t="str">
        <x:v>Yes</x:v>
      </x:c>
      <x:c r="W1233" s="253" t="str">
        <x:v>Yes</x:v>
      </x:c>
      <x:c r="X1233" s="259" t="n">
        <x:v>46211.166666666664</x:v>
      </x:c>
      <x:c r="Y1233" s="265" t="n">
        <x:v>2910</x:v>
      </x:c>
      <x:c r="Z1233" s="265" t="n">
        <x:v>4010</x:v>
      </x:c>
      <x:c r="AA1233" s="253" t="str">
        <x:f>IF(V1233="No","Maturing",IF(AND(U1233="Yes",Y1233&gt;0),"Yes","No"))</x:f>
        <x:v>No</x:v>
      </x:c>
      <x:c r="AB1233" s="253" t="str">
        <x:f>IF(W1233="No","Maturing",IF(AND(U1233="Yes",Z1233&gt;0),"Yes","No"))</x:f>
        <x:v>No</x:v>
      </x:c>
      <x:c r="AC1233" s="265" t="n">
        <x:v>-229.44</x:v>
      </x:c>
      <x:c r="AD1233" s="265" t="n">
        <x:v>868.71</x:v>
      </x:c>
      <x:c r="AE1233" s="271" t="str"/>
      <x:c r="AF1233" s="274" t="str">
        <x:v>Not validated - no control/holdout</x:v>
      </x:c>
      <x:c r="AG1233" s="277" t="str">
        <x:v>Recovered execution only; assignment date and unclaimed-offer denominator unavailable</x:v>
      </x:c>
    </x:row>
    <x:row r="1234">
      <x:c r="A1234" s="252" t="str">
        <x:v>34876226</x:v>
      </x:c>
      <x:c r="B1234" s="253" t="str">
        <x:v>WS1</x:v>
      </x:c>
      <x:c r="C1234" s="253" t="str">
        <x:v>MB8</x:v>
      </x:c>
      <x:c r="D1234" s="262" t="n">
        <x:v>46211.02667824074</x:v>
      </x:c>
      <x:c r="E1234" s="259" t="n">
        <x:v>46211.166666666664</x:v>
      </x:c>
      <x:c r="F1234" s="253" t="str">
        <x:v>564867</x:v>
      </x:c>
      <x:c r="G1234" s="253" t="str">
        <x:v>Nageen</x:v>
      </x:c>
      <x:c r="H1234" s="253" t="str">
        <x:v>Yes</x:v>
      </x:c>
      <x:c r="I1234" s="253" t="str">
        <x:v>Claire</x:v>
      </x:c>
      <x:c r="J1234" s="253" t="str">
        <x:v>Claire</x:v>
      </x:c>
      <x:c r="K1234" s="259" t="n">
        <x:v>45659.166666666664</x:v>
      </x:c>
      <x:c r="L1234" s="268" t="str">
        <x:f>IFERROR(VLOOKUP(I1234,'Handler-Team Map'!$A$7:$C$17,2,FALSE),"")</x:f>
      </x:c>
      <x:c r="M1234" s="268" t="str">
        <x:f>IFERROR(VLOOKUP(I1234,'Handler-Team Map'!$A$7:$C$17,3,FALSE),"")</x:f>
      </x:c>
      <x:c r="N1234" s="274" t="str">
        <x:v>FT_VM_DEP1000_GET500_5X</x:v>
      </x:c>
      <x:c r="O1234" s="274" t="str">
        <x:v>VIP BONUS - Deposit 1000 Get 500 - 5x TO</x:v>
      </x:c>
      <x:c r="P1234" s="274" t="str">
        <x:v>DepositBonus</x:v>
      </x:c>
      <x:c r="Q1234" s="274" t="str">
        <x:v>Approved</x:v>
      </x:c>
      <x:c r="R1234" s="265" t="n">
        <x:v>500</x:v>
      </x:c>
      <x:c r="S1234" s="253" t="str">
        <x:v>Yes</x:v>
      </x:c>
      <x:c r="T1234" s="265" t="n">
        <x:v>109303.28</x:v>
      </x:c>
      <x:c r="U1234" s="253" t="str">
        <x:f>IF(AND(S1234="Yes",T1234=0),"Yes","No")</x:f>
        <x:v>No</x:v>
      </x:c>
      <x:c r="V1234" s="253" t="str">
        <x:v>Yes</x:v>
      </x:c>
      <x:c r="W1234" s="253" t="str">
        <x:v>Yes</x:v>
      </x:c>
      <x:c r="X1234" s="259" t="n">
        <x:v>46211.166666666664</x:v>
      </x:c>
      <x:c r="Y1234" s="265" t="n">
        <x:v>10366</x:v>
      </x:c>
      <x:c r="Z1234" s="265" t="n">
        <x:v>20546</x:v>
      </x:c>
      <x:c r="AA1234" s="253" t="str">
        <x:f>IF(V1234="No","Maturing",IF(AND(U1234="Yes",Y1234&gt;0),"Yes","No"))</x:f>
        <x:v>No</x:v>
      </x:c>
      <x:c r="AB1234" s="253" t="str">
        <x:f>IF(W1234="No","Maturing",IF(AND(U1234="Yes",Z1234&gt;0),"Yes","No"))</x:f>
        <x:v>No</x:v>
      </x:c>
      <x:c r="AC1234" s="265" t="n">
        <x:v>5553.18</x:v>
      </x:c>
      <x:c r="AD1234" s="265" t="n">
        <x:v>-22249.72</x:v>
      </x:c>
      <x:c r="AE1234" s="271" t="str"/>
      <x:c r="AF1234" s="274" t="str">
        <x:v>Not validated - no control/holdout</x:v>
      </x:c>
      <x:c r="AG1234" s="277" t="str">
        <x:v>Recovered execution only; assignment date and unclaimed-offer denominator unavailable</x:v>
      </x:c>
    </x:row>
    <x:row r="1235">
      <x:c r="A1235" s="252" t="str">
        <x:v>34877950</x:v>
      </x:c>
      <x:c r="B1235" s="253" t="str">
        <x:v>WS1</x:v>
      </x:c>
      <x:c r="C1235" s="253" t="str">
        <x:v>MB8</x:v>
      </x:c>
      <x:c r="D1235" s="262" t="n">
        <x:v>46211.122245370374</x:v>
      </x:c>
      <x:c r="E1235" s="259" t="n">
        <x:v>46211.166666666664</x:v>
      </x:c>
      <x:c r="F1235" s="253" t="str">
        <x:v>769782</x:v>
      </x:c>
      <x:c r="G1235" s="253" t="str">
        <x:v>anwar58</x:v>
      </x:c>
      <x:c r="H1235" s="253" t="str">
        <x:v>Yes</x:v>
      </x:c>
      <x:c r="I1235" s="253" t="str">
        <x:v>Jiahui</x:v>
      </x:c>
      <x:c r="J1235" s="253" t="str">
        <x:v>Jiahui</x:v>
      </x:c>
      <x:c r="K1235" s="259" t="n">
        <x:v>45797.166666666664</x:v>
      </x:c>
      <x:c r="L1235" s="268" t="str">
        <x:f>IFERROR(VLOOKUP(I1235,'Handler-Team Map'!$A$7:$C$17,2,FALSE),"")</x:f>
      </x:c>
      <x:c r="M1235" s="268" t="str">
        <x:f>IFERROR(VLOOKUP(I1235,'Handler-Team Map'!$A$7:$C$17,3,FALSE),"")</x:f>
      </x:c>
      <x:c r="N1235" s="274" t="str">
        <x:v>FT_VM_DEP1000_GET500_1X</x:v>
      </x:c>
      <x:c r="O1235" s="274" t="str">
        <x:v>VIP BONUS - Deposit 1000 Get 500 - 1x TO</x:v>
      </x:c>
      <x:c r="P1235" s="274" t="str">
        <x:v>DepositBonus</x:v>
      </x:c>
      <x:c r="Q1235" s="274" t="str">
        <x:v>Approved</x:v>
      </x:c>
      <x:c r="R1235" s="265" t="n">
        <x:v>500</x:v>
      </x:c>
      <x:c r="S1235" s="253" t="str">
        <x:v>Yes</x:v>
      </x:c>
      <x:c r="T1235" s="265" t="n">
        <x:v>304</x:v>
      </x:c>
      <x:c r="U1235" s="253" t="str">
        <x:f>IF(AND(S1235="Yes",T1235=0),"Yes","No")</x:f>
        <x:v>No</x:v>
      </x:c>
      <x:c r="V1235" s="253" t="str">
        <x:v>Yes</x:v>
      </x:c>
      <x:c r="W1235" s="253" t="str">
        <x:v>Yes</x:v>
      </x:c>
      <x:c r="X1235" s="259" t="n">
        <x:v>46211.166666666664</x:v>
      </x:c>
      <x:c r="Y1235" s="265" t="n">
        <x:v>1000</x:v>
      </x:c>
      <x:c r="Z1235" s="265" t="n">
        <x:v>1000</x:v>
      </x:c>
      <x:c r="AA1235" s="253" t="str">
        <x:f>IF(V1235="No","Maturing",IF(AND(U1235="Yes",Y1235&gt;0),"Yes","No"))</x:f>
        <x:v>No</x:v>
      </x:c>
      <x:c r="AB1235" s="253" t="str">
        <x:f>IF(W1235="No","Maturing",IF(AND(U1235="Yes",Z1235&gt;0),"Yes","No"))</x:f>
        <x:v>No</x:v>
      </x:c>
      <x:c r="AC1235" s="265" t="n">
        <x:v>-1667.79</x:v>
      </x:c>
      <x:c r="AD1235" s="265" t="n">
        <x:v>-1667.79</x:v>
      </x:c>
      <x:c r="AE1235" s="271" t="str"/>
      <x:c r="AF1235" s="274" t="str">
        <x:v>Not validated - no control/holdout</x:v>
      </x:c>
      <x:c r="AG1235" s="277" t="str">
        <x:v>Recovered execution only; assignment date and unclaimed-offer denominator unavailable</x:v>
      </x:c>
    </x:row>
    <x:row r="1236">
      <x:c r="A1236" s="252" t="str">
        <x:v>34878052</x:v>
      </x:c>
      <x:c r="B1236" s="253" t="str">
        <x:v>WS1</x:v>
      </x:c>
      <x:c r="C1236" s="253" t="str">
        <x:v>MB8</x:v>
      </x:c>
      <x:c r="D1236" s="262" t="n">
        <x:v>46211.13505787037</x:v>
      </x:c>
      <x:c r="E1236" s="259" t="n">
        <x:v>46211.166666666664</x:v>
      </x:c>
      <x:c r="F1236" s="253" t="str">
        <x:v>3155</x:v>
      </x:c>
      <x:c r="G1236" s="253" t="str">
        <x:v>Boboy92</x:v>
      </x:c>
      <x:c r="H1236" s="253" t="str">
        <x:v>Yes</x:v>
      </x:c>
      <x:c r="I1236" s="253" t="str">
        <x:v>Elda</x:v>
      </x:c>
      <x:c r="J1236" s="253" t="str">
        <x:v>Elda</x:v>
      </x:c>
      <x:c r="K1236" s="259" t="n">
        <x:v>45790.166666666664</x:v>
      </x:c>
      <x:c r="L1236" s="268" t="str">
        <x:f>IFERROR(VLOOKUP(I1236,'Handler-Team Map'!$A$7:$C$17,2,FALSE),"")</x:f>
      </x:c>
      <x:c r="M1236" s="268" t="str">
        <x:f>IFERROR(VLOOKUP(I1236,'Handler-Team Map'!$A$7:$C$17,3,FALSE),"")</x:f>
      </x:c>
      <x:c r="N1236" s="274" t="str">
        <x:v>FT_VM_DEP800_GET400_2X</x:v>
      </x:c>
      <x:c r="O1236" s="274" t="str">
        <x:v>VIP BONUS - Deposit 800 Get 400 - 2x TO</x:v>
      </x:c>
      <x:c r="P1236" s="274" t="str">
        <x:v>DepositBonus</x:v>
      </x:c>
      <x:c r="Q1236" s="274" t="str">
        <x:v>Approved</x:v>
      </x:c>
      <x:c r="R1236" s="265" t="n">
        <x:v>400</x:v>
      </x:c>
      <x:c r="S1236" s="253" t="str">
        <x:v>Yes</x:v>
      </x:c>
      <x:c r="T1236" s="265" t="n">
        <x:v>6230.8</x:v>
      </x:c>
      <x:c r="U1236" s="253" t="str">
        <x:f>IF(AND(S1236="Yes",T1236=0),"Yes","No")</x:f>
        <x:v>No</x:v>
      </x:c>
      <x:c r="V1236" s="253" t="str">
        <x:v>Yes</x:v>
      </x:c>
      <x:c r="W1236" s="253" t="str">
        <x:v>Yes</x:v>
      </x:c>
      <x:c r="X1236" s="259" t="n">
        <x:v>46211.166666666664</x:v>
      </x:c>
      <x:c r="Y1236" s="265" t="n">
        <x:v>800</x:v>
      </x:c>
      <x:c r="Z1236" s="265" t="n">
        <x:v>830</x:v>
      </x:c>
      <x:c r="AA1236" s="253" t="str">
        <x:f>IF(V1236="No","Maturing",IF(AND(U1236="Yes",Y1236&gt;0),"Yes","No"))</x:f>
        <x:v>No</x:v>
      </x:c>
      <x:c r="AB1236" s="253" t="str">
        <x:f>IF(W1236="No","Maturing",IF(AND(U1236="Yes",Z1236&gt;0),"Yes","No"))</x:f>
        <x:v>No</x:v>
      </x:c>
      <x:c r="AC1236" s="265" t="n">
        <x:v>958.35</x:v>
      </x:c>
      <x:c r="AD1236" s="265" t="n">
        <x:v>1006.35</x:v>
      </x:c>
      <x:c r="AE1236" s="271" t="str"/>
      <x:c r="AF1236" s="274" t="str">
        <x:v>Not validated - no control/holdout</x:v>
      </x:c>
      <x:c r="AG1236" s="277" t="str">
        <x:v>Recovered execution only; assignment date and unclaimed-offer denominator unavailable</x:v>
      </x:c>
    </x:row>
    <x:row r="1237">
      <x:c r="A1237" s="252" t="str">
        <x:v>34878076</x:v>
      </x:c>
      <x:c r="B1237" s="253" t="str">
        <x:v>WS1</x:v>
      </x:c>
      <x:c r="C1237" s="253" t="str">
        <x:v>MB8</x:v>
      </x:c>
      <x:c r="D1237" s="262" t="n">
        <x:v>46211.135717592595</x:v>
      </x:c>
      <x:c r="E1237" s="259" t="n">
        <x:v>46211.166666666664</x:v>
      </x:c>
      <x:c r="F1237" s="253" t="str">
        <x:v>187244</x:v>
      </x:c>
      <x:c r="G1237" s="253" t="str">
        <x:v>Adam500756</x:v>
      </x:c>
      <x:c r="H1237" s="253" t="str">
        <x:v>Yes</x:v>
      </x:c>
      <x:c r="I1237" s="253" t="str">
        <x:v>Kam</x:v>
      </x:c>
      <x:c r="J1237" s="253" t="str">
        <x:v>Kam</x:v>
      </x:c>
      <x:c r="K1237" s="259" t="n">
        <x:v>45824.166666666664</x:v>
      </x:c>
      <x:c r="L1237" s="268" t="str">
        <x:f>IFERROR(VLOOKUP(I1237,'Handler-Team Map'!$A$7:$C$17,2,FALSE),"")</x:f>
      </x:c>
      <x:c r="M1237" s="268" t="str">
        <x:f>IFERROR(VLOOKUP(I1237,'Handler-Team Map'!$A$7:$C$17,3,FALSE),"")</x:f>
      </x:c>
      <x:c r="N1237" s="274" t="str">
        <x:v>FT_VM_DEP1000_GET500_1X</x:v>
      </x:c>
      <x:c r="O1237" s="274" t="str">
        <x:v>VIP BONUS - Deposit 1000 Get 500 - 1x TO</x:v>
      </x:c>
      <x:c r="P1237" s="274" t="str">
        <x:v>DepositBonus</x:v>
      </x:c>
      <x:c r="Q1237" s="274" t="str">
        <x:v>Approved</x:v>
      </x:c>
      <x:c r="R1237" s="265" t="n">
        <x:v>500</x:v>
      </x:c>
      <x:c r="S1237" s="253" t="str">
        <x:v>Yes</x:v>
      </x:c>
      <x:c r="T1237" s="265" t="n">
        <x:v>0</x:v>
      </x:c>
      <x:c r="U1237" s="253" t="str">
        <x:f>IF(AND(S1237="Yes",T1237=0),"Yes","No")</x:f>
        <x:v>Yes</x:v>
      </x:c>
      <x:c r="V1237" s="253" t="str">
        <x:v>Yes</x:v>
      </x:c>
      <x:c r="W1237" s="253" t="str">
        <x:v>Yes</x:v>
      </x:c>
      <x:c r="X1237" s="259" t="n">
        <x:v>46211.166666666664</x:v>
      </x:c>
      <x:c r="Y1237" s="265" t="n">
        <x:v>1100</x:v>
      </x:c>
      <x:c r="Z1237" s="265" t="n">
        <x:v>1100</x:v>
      </x:c>
      <x:c r="AA1237" s="253" t="str">
        <x:f>IF(V1237="No","Maturing",IF(AND(U1237="Yes",Y1237&gt;0),"Yes","No"))</x:f>
        <x:v>Yes</x:v>
      </x:c>
      <x:c r="AB1237" s="253" t="str">
        <x:f>IF(W1237="No","Maturing",IF(AND(U1237="Yes",Z1237&gt;0),"Yes","No"))</x:f>
        <x:v>Yes</x:v>
      </x:c>
      <x:c r="AC1237" s="265" t="n">
        <x:v>-5254.08</x:v>
      </x:c>
      <x:c r="AD1237" s="265" t="n">
        <x:v>-5254.67</x:v>
      </x:c>
      <x:c r="AE1237" s="271" t="str"/>
      <x:c r="AF1237" s="274" t="str">
        <x:v>Not validated - no control/holdout</x:v>
      </x:c>
      <x:c r="AG1237" s="277" t="str">
        <x:v>Recovered execution only; assignment date and unclaimed-offer denominator unavailable</x:v>
      </x:c>
    </x:row>
    <x:row r="1238">
      <x:c r="A1238" s="252" t="str">
        <x:v>34878455</x:v>
      </x:c>
      <x:c r="B1238" s="253" t="str">
        <x:v>WS1</x:v>
      </x:c>
      <x:c r="C1238" s="253" t="str">
        <x:v>MB8</x:v>
      </x:c>
      <x:c r="D1238" s="262" t="n">
        <x:v>46211.16291666667</x:v>
      </x:c>
      <x:c r="E1238" s="259" t="n">
        <x:v>46211.166666666664</x:v>
      </x:c>
      <x:c r="F1238" s="253" t="str">
        <x:v>36477</x:v>
      </x:c>
      <x:c r="G1238" s="253" t="str">
        <x:v>Lynnda89</x:v>
      </x:c>
      <x:c r="H1238" s="253" t="str">
        <x:v>Yes</x:v>
      </x:c>
      <x:c r="I1238" s="253" t="str">
        <x:v>Christy</x:v>
      </x:c>
      <x:c r="J1238" s="253" t="str">
        <x:v>Christy</x:v>
      </x:c>
      <x:c r="K1238" s="259" t="n">
        <x:v>45831.166666666664</x:v>
      </x:c>
      <x:c r="L1238" s="268" t="str">
        <x:f>IFERROR(VLOOKUP(I1238,'Handler-Team Map'!$A$7:$C$17,2,FALSE),"")</x:f>
      </x:c>
      <x:c r="M1238" s="268" t="str">
        <x:f>IFERROR(VLOOKUP(I1238,'Handler-Team Map'!$A$7:$C$17,3,FALSE),"")</x:f>
      </x:c>
      <x:c r="N1238" s="274" t="str">
        <x:v>FT_VM_DEP150_GET50_5X</x:v>
      </x:c>
      <x:c r="O1238" s="274" t="str">
        <x:v>VIP BONUS - Deposit 150 Get 50 - 5x TO</x:v>
      </x:c>
      <x:c r="P1238" s="274" t="str">
        <x:v>DepositBonus</x:v>
      </x:c>
      <x:c r="Q1238" s="274" t="str">
        <x:v>Approved</x:v>
      </x:c>
      <x:c r="R1238" s="265" t="n">
        <x:v>50</x:v>
      </x:c>
      <x:c r="S1238" s="253" t="str">
        <x:v>Yes</x:v>
      </x:c>
      <x:c r="T1238" s="265" t="n">
        <x:v>15997</x:v>
      </x:c>
      <x:c r="U1238" s="253" t="str">
        <x:f>IF(AND(S1238="Yes",T1238=0),"Yes","No")</x:f>
        <x:v>No</x:v>
      </x:c>
      <x:c r="V1238" s="253" t="str">
        <x:v>Yes</x:v>
      </x:c>
      <x:c r="W1238" s="253" t="str">
        <x:v>Yes</x:v>
      </x:c>
      <x:c r="X1238" s="259" t="n">
        <x:v>46211.166666666664</x:v>
      </x:c>
      <x:c r="Y1238" s="265" t="n">
        <x:v>5499</x:v>
      </x:c>
      <x:c r="Z1238" s="265" t="n">
        <x:v>10464</x:v>
      </x:c>
      <x:c r="AA1238" s="253" t="str">
        <x:f>IF(V1238="No","Maturing",IF(AND(U1238="Yes",Y1238&gt;0),"Yes","No"))</x:f>
        <x:v>No</x:v>
      </x:c>
      <x:c r="AB1238" s="253" t="str">
        <x:f>IF(W1238="No","Maturing",IF(AND(U1238="Yes",Z1238&gt;0),"Yes","No"))</x:f>
        <x:v>No</x:v>
      </x:c>
      <x:c r="AC1238" s="265" t="n">
        <x:v>-2627.77</x:v>
      </x:c>
      <x:c r="AD1238" s="265" t="n">
        <x:v>1207.94</x:v>
      </x:c>
      <x:c r="AE1238" s="271" t="str"/>
      <x:c r="AF1238" s="274" t="str">
        <x:v>Not validated - no control/holdout</x:v>
      </x:c>
      <x:c r="AG1238" s="277" t="str">
        <x:v>Recovered execution only; assignment date and unclaimed-offer denominator unavailable</x:v>
      </x:c>
    </x:row>
    <x:row r="1239">
      <x:c r="A1239" s="252" t="str">
        <x:v>34880331</x:v>
      </x:c>
      <x:c r="B1239" s="253" t="str">
        <x:v>WS1</x:v>
      </x:c>
      <x:c r="C1239" s="253" t="str">
        <x:v>MB8</x:v>
      </x:c>
      <x:c r="D1239" s="262" t="n">
        <x:v>46211.442974537036</x:v>
      </x:c>
      <x:c r="E1239" s="259" t="n">
        <x:v>46211.166666666664</x:v>
      </x:c>
      <x:c r="F1239" s="253" t="str">
        <x:v>803558</x:v>
      </x:c>
      <x:c r="G1239" s="253" t="str">
        <x:v>ctt123</x:v>
      </x:c>
      <x:c r="H1239" s="253" t="str">
        <x:v>Yes</x:v>
      </x:c>
      <x:c r="I1239" s="253" t="str">
        <x:v>Elda</x:v>
      </x:c>
      <x:c r="J1239" s="253" t="str">
        <x:v>Elda</x:v>
      </x:c>
      <x:c r="K1239" s="259" t="n">
        <x:v>45659.166666666664</x:v>
      </x:c>
      <x:c r="L1239" s="268" t="str">
        <x:f>IFERROR(VLOOKUP(I1239,'Handler-Team Map'!$A$7:$C$17,2,FALSE),"")</x:f>
      </x:c>
      <x:c r="M1239" s="268" t="str">
        <x:f>IFERROR(VLOOKUP(I1239,'Handler-Team Map'!$A$7:$C$17,3,FALSE),"")</x:f>
      </x:c>
      <x:c r="N1239" s="274" t="str">
        <x:v>FT_VM_DEP800_GET400_1X</x:v>
      </x:c>
      <x:c r="O1239" s="274" t="str">
        <x:v>VIP BONUS - Deposit 800 Get 400 - 1x TO</x:v>
      </x:c>
      <x:c r="P1239" s="274" t="str">
        <x:v>DepositBonus</x:v>
      </x:c>
      <x:c r="Q1239" s="274" t="str">
        <x:v>Approved</x:v>
      </x:c>
      <x:c r="R1239" s="265" t="n">
        <x:v>400</x:v>
      </x:c>
      <x:c r="S1239" s="253" t="str">
        <x:v>Yes</x:v>
      </x:c>
      <x:c r="T1239" s="265" t="n">
        <x:v>800</x:v>
      </x:c>
      <x:c r="U1239" s="253" t="str">
        <x:f>IF(AND(S1239="Yes",T1239=0),"Yes","No")</x:f>
        <x:v>No</x:v>
      </x:c>
      <x:c r="V1239" s="253" t="str">
        <x:v>Yes</x:v>
      </x:c>
      <x:c r="W1239" s="253" t="str">
        <x:v>Yes</x:v>
      </x:c>
      <x:c r="X1239" s="259" t="n">
        <x:v>46211.166666666664</x:v>
      </x:c>
      <x:c r="Y1239" s="265" t="n">
        <x:v>800</x:v>
      </x:c>
      <x:c r="Z1239" s="265" t="n">
        <x:v>800</x:v>
      </x:c>
      <x:c r="AA1239" s="253" t="str">
        <x:f>IF(V1239="No","Maturing",IF(AND(U1239="Yes",Y1239&gt;0),"Yes","No"))</x:f>
        <x:v>No</x:v>
      </x:c>
      <x:c r="AB1239" s="253" t="str">
        <x:f>IF(W1239="No","Maturing",IF(AND(U1239="Yes",Z1239&gt;0),"Yes","No"))</x:f>
        <x:v>No</x:v>
      </x:c>
      <x:c r="AC1239" s="265" t="n">
        <x:v>-5.2</x:v>
      </x:c>
      <x:c r="AD1239" s="265" t="n">
        <x:v>-5.2</x:v>
      </x:c>
      <x:c r="AE1239" s="271" t="str"/>
      <x:c r="AF1239" s="274" t="str">
        <x:v>Not validated - no control/holdout</x:v>
      </x:c>
      <x:c r="AG1239" s="277" t="str">
        <x:v>Recovered execution only; assignment date and unclaimed-offer denominator unavailable</x:v>
      </x:c>
    </x:row>
    <x:row r="1240">
      <x:c r="A1240" s="252" t="str">
        <x:v>34880974</x:v>
      </x:c>
      <x:c r="B1240" s="253" t="str">
        <x:v>WS1</x:v>
      </x:c>
      <x:c r="C1240" s="253" t="str">
        <x:v>MB8</x:v>
      </x:c>
      <x:c r="D1240" s="262" t="n">
        <x:v>46211.50239583333</x:v>
      </x:c>
      <x:c r="E1240" s="259" t="n">
        <x:v>46211.166666666664</x:v>
      </x:c>
      <x:c r="F1240" s="253" t="str">
        <x:v>839193</x:v>
      </x:c>
      <x:c r="G1240" s="253" t="str">
        <x:v>ckckeat123</x:v>
      </x:c>
      <x:c r="H1240" s="253" t="str">
        <x:v>Yes</x:v>
      </x:c>
      <x:c r="I1240" s="253" t="str"/>
      <x:c r="J1240" s="253" t="str"/>
      <x:c r="K1240" s="259"/>
      <x:c r="L1240" s="268" t="str">
        <x:f>IFERROR(VLOOKUP(I1240,'Handler-Team Map'!$A$7:$C$17,2,FALSE),"")</x:f>
      </x:c>
      <x:c r="M1240" s="268" t="str">
        <x:f>IFERROR(VLOOKUP(I1240,'Handler-Team Map'!$A$7:$C$17,3,FALSE),"")</x:f>
      </x:c>
      <x:c r="N1240" s="274" t="str">
        <x:v>FT_VM_DEP700_GET300_2X</x:v>
      </x:c>
      <x:c r="O1240" s="274" t="str">
        <x:v>VIP BONUS - Deposit 700 Get 300 - 2x TO</x:v>
      </x:c>
      <x:c r="P1240" s="274" t="str">
        <x:v>DepositBonus</x:v>
      </x:c>
      <x:c r="Q1240" s="274" t="str">
        <x:v>Approved</x:v>
      </x:c>
      <x:c r="R1240" s="265" t="n">
        <x:v>300</x:v>
      </x:c>
      <x:c r="S1240" s="253" t="str">
        <x:v>Yes</x:v>
      </x:c>
      <x:c r="T1240" s="265" t="n">
        <x:v>1000</x:v>
      </x:c>
      <x:c r="U1240" s="253" t="str">
        <x:f>IF(AND(S1240="Yes",T1240=0),"Yes","No")</x:f>
        <x:v>No</x:v>
      </x:c>
      <x:c r="V1240" s="253" t="str">
        <x:v>Yes</x:v>
      </x:c>
      <x:c r="W1240" s="253" t="str">
        <x:v>Yes</x:v>
      </x:c>
      <x:c r="X1240" s="259" t="n">
        <x:v>46211.166666666664</x:v>
      </x:c>
      <x:c r="Y1240" s="265" t="n">
        <x:v>700</x:v>
      </x:c>
      <x:c r="Z1240" s="265" t="n">
        <x:v>700</x:v>
      </x:c>
      <x:c r="AA1240" s="253" t="str">
        <x:f>IF(V1240="No","Maturing",IF(AND(U1240="Yes",Y1240&gt;0),"Yes","No"))</x:f>
        <x:v>No</x:v>
      </x:c>
      <x:c r="AB1240" s="253" t="str">
        <x:f>IF(W1240="No","Maturing",IF(AND(U1240="Yes",Z1240&gt;0),"Yes","No"))</x:f>
        <x:v>No</x:v>
      </x:c>
      <x:c r="AC1240" s="265" t="n">
        <x:v>-757.85</x:v>
      </x:c>
      <x:c r="AD1240" s="265" t="n">
        <x:v>-757.85</x:v>
      </x:c>
      <x:c r="AE1240" s="271" t="str"/>
      <x:c r="AF1240" s="274" t="str">
        <x:v>Not validated - no control/holdout</x:v>
      </x:c>
      <x:c r="AG1240" s="277" t="str">
        <x:v>Recovered execution only; assignment date and unclaimed-offer denominator unavailable</x:v>
      </x:c>
    </x:row>
    <x:row r="1241">
      <x:c r="A1241" s="252" t="str">
        <x:v>34881191</x:v>
      </x:c>
      <x:c r="B1241" s="253" t="str">
        <x:v>WS1</x:v>
      </x:c>
      <x:c r="C1241" s="253" t="str">
        <x:v>MB8</x:v>
      </x:c>
      <x:c r="D1241" s="262" t="n">
        <x:v>46211.519895833335</x:v>
      </x:c>
      <x:c r="E1241" s="259" t="n">
        <x:v>46211.166666666664</x:v>
      </x:c>
      <x:c r="F1241" s="253" t="str">
        <x:v>1214590</x:v>
      </x:c>
      <x:c r="G1241" s="253" t="str">
        <x:v>Mano131010</x:v>
      </x:c>
      <x:c r="H1241" s="253" t="str">
        <x:v>Yes</x:v>
      </x:c>
      <x:c r="I1241" s="253" t="str"/>
      <x:c r="J1241" s="253" t="str"/>
      <x:c r="K1241" s="259"/>
      <x:c r="L1241" s="268" t="str">
        <x:f>IFERROR(VLOOKUP(I1241,'Handler-Team Map'!$A$7:$C$17,2,FALSE),"")</x:f>
      </x:c>
      <x:c r="M1241" s="268" t="str">
        <x:f>IFERROR(VLOOKUP(I1241,'Handler-Team Map'!$A$7:$C$17,3,FALSE),"")</x:f>
      </x:c>
      <x:c r="N1241" s="274" t="str">
        <x:v>FT_VM_DEP150_GET50_5X</x:v>
      </x:c>
      <x:c r="O1241" s="274" t="str">
        <x:v>VIP BONUS - Deposit 150 Get 50 - 5x TO</x:v>
      </x:c>
      <x:c r="P1241" s="274" t="str">
        <x:v>DepositBonus</x:v>
      </x:c>
      <x:c r="Q1241" s="274" t="str">
        <x:v>Approved</x:v>
      </x:c>
      <x:c r="R1241" s="265" t="n">
        <x:v>50</x:v>
      </x:c>
      <x:c r="S1241" s="253" t="str">
        <x:v>Yes</x:v>
      </x:c>
      <x:c r="T1241" s="265" t="n">
        <x:v>68930</x:v>
      </x:c>
      <x:c r="U1241" s="253" t="str">
        <x:f>IF(AND(S1241="Yes",T1241=0),"Yes","No")</x:f>
        <x:v>No</x:v>
      </x:c>
      <x:c r="V1241" s="253" t="str">
        <x:v>Yes</x:v>
      </x:c>
      <x:c r="W1241" s="253" t="str">
        <x:v>Yes</x:v>
      </x:c>
      <x:c r="X1241" s="259" t="n">
        <x:v>46211.166666666664</x:v>
      </x:c>
      <x:c r="Y1241" s="265" t="n">
        <x:v>53010</x:v>
      </x:c>
      <x:c r="Z1241" s="265" t="n">
        <x:v>58050</x:v>
      </x:c>
      <x:c r="AA1241" s="253" t="str">
        <x:f>IF(V1241="No","Maturing",IF(AND(U1241="Yes",Y1241&gt;0),"Yes","No"))</x:f>
        <x:v>No</x:v>
      </x:c>
      <x:c r="AB1241" s="253" t="str">
        <x:f>IF(W1241="No","Maturing",IF(AND(U1241="Yes",Z1241&gt;0),"Yes","No"))</x:f>
        <x:v>No</x:v>
      </x:c>
      <x:c r="AC1241" s="265" t="n">
        <x:v>14505.5</x:v>
      </x:c>
      <x:c r="AD1241" s="265" t="n">
        <x:v>19545.53</x:v>
      </x:c>
      <x:c r="AE1241" s="271" t="str"/>
      <x:c r="AF1241" s="274" t="str">
        <x:v>Not validated - no control/holdout</x:v>
      </x:c>
      <x:c r="AG1241" s="277" t="str">
        <x:v>Recovered execution only; assignment date and unclaimed-offer denominator unavailable</x:v>
      </x:c>
    </x:row>
    <x:row r="1242">
      <x:c r="A1242" s="252" t="str">
        <x:v>34881474</x:v>
      </x:c>
      <x:c r="B1242" s="253" t="str">
        <x:v>WS1</x:v>
      </x:c>
      <x:c r="C1242" s="253" t="str">
        <x:v>MB8</x:v>
      </x:c>
      <x:c r="D1242" s="262" t="n">
        <x:v>46211.54398148148</x:v>
      </x:c>
      <x:c r="E1242" s="259" t="n">
        <x:v>46211.166666666664</x:v>
      </x:c>
      <x:c r="F1242" s="253" t="str">
        <x:v>566047</x:v>
      </x:c>
      <x:c r="G1242" s="253" t="str">
        <x:v>Jarance22833</x:v>
      </x:c>
      <x:c r="H1242" s="253" t="str">
        <x:v>Yes</x:v>
      </x:c>
      <x:c r="I1242" s="253" t="str">
        <x:v>Claire</x:v>
      </x:c>
      <x:c r="J1242" s="253" t="str">
        <x:v>Claire</x:v>
      </x:c>
      <x:c r="K1242" s="259" t="n">
        <x:v>45659.166666666664</x:v>
      </x:c>
      <x:c r="L1242" s="268" t="str">
        <x:f>IFERROR(VLOOKUP(I1242,'Handler-Team Map'!$A$7:$C$17,2,FALSE),"")</x:f>
      </x:c>
      <x:c r="M1242" s="268" t="str">
        <x:f>IFERROR(VLOOKUP(I1242,'Handler-Team Map'!$A$7:$C$17,3,FALSE),"")</x:f>
      </x:c>
      <x:c r="N1242" s="274" t="str">
        <x:v>FT_VM_DEP1000_GET800_2X</x:v>
      </x:c>
      <x:c r="O1242" s="274" t="str">
        <x:v>VIP BONUS - Deposit 1000 Get 800 - 2x TO</x:v>
      </x:c>
      <x:c r="P1242" s="274" t="str">
        <x:v>DepositBonus</x:v>
      </x:c>
      <x:c r="Q1242" s="274" t="str">
        <x:v>Approved</x:v>
      </x:c>
      <x:c r="R1242" s="265" t="n">
        <x:v>800</x:v>
      </x:c>
      <x:c r="S1242" s="253" t="str">
        <x:v>Yes</x:v>
      </x:c>
      <x:c r="T1242" s="265" t="n">
        <x:v>4400.48</x:v>
      </x:c>
      <x:c r="U1242" s="253" t="str">
        <x:f>IF(AND(S1242="Yes",T1242=0),"Yes","No")</x:f>
        <x:v>No</x:v>
      </x:c>
      <x:c r="V1242" s="253" t="str">
        <x:v>Yes</x:v>
      </x:c>
      <x:c r="W1242" s="253" t="str">
        <x:v>Yes</x:v>
      </x:c>
      <x:c r="X1242" s="259" t="n">
        <x:v>46211.166666666664</x:v>
      </x:c>
      <x:c r="Y1242" s="265" t="n">
        <x:v>1500</x:v>
      </x:c>
      <x:c r="Z1242" s="265" t="n">
        <x:v>3200</x:v>
      </x:c>
      <x:c r="AA1242" s="253" t="str">
        <x:f>IF(V1242="No","Maturing",IF(AND(U1242="Yes",Y1242&gt;0),"Yes","No"))</x:f>
        <x:v>No</x:v>
      </x:c>
      <x:c r="AB1242" s="253" t="str">
        <x:f>IF(W1242="No","Maturing",IF(AND(U1242="Yes",Z1242&gt;0),"Yes","No"))</x:f>
        <x:v>No</x:v>
      </x:c>
      <x:c r="AC1242" s="265" t="n">
        <x:v>-2798.84</x:v>
      </x:c>
      <x:c r="AD1242" s="265" t="n">
        <x:v>-3611.12</x:v>
      </x:c>
      <x:c r="AE1242" s="271" t="str"/>
      <x:c r="AF1242" s="274" t="str">
        <x:v>Not validated - no control/holdout</x:v>
      </x:c>
      <x:c r="AG1242" s="277" t="str">
        <x:v>Recovered execution only; assignment date and unclaimed-offer denominator unavailable</x:v>
      </x:c>
    </x:row>
    <x:row r="1243">
      <x:c r="A1243" s="252" t="str">
        <x:v>34881515</x:v>
      </x:c>
      <x:c r="B1243" s="253" t="str">
        <x:v>WS1</x:v>
      </x:c>
      <x:c r="C1243" s="253" t="str">
        <x:v>MB8</x:v>
      </x:c>
      <x:c r="D1243" s="262" t="n">
        <x:v>46211.548171296294</x:v>
      </x:c>
      <x:c r="E1243" s="259" t="n">
        <x:v>46211.166666666664</x:v>
      </x:c>
      <x:c r="F1243" s="253" t="str">
        <x:v>218256</x:v>
      </x:c>
      <x:c r="G1243" s="253" t="str">
        <x:v>Bobby2626</x:v>
      </x:c>
      <x:c r="H1243" s="253" t="str">
        <x:v>Yes</x:v>
      </x:c>
      <x:c r="I1243" s="253" t="str">
        <x:v>Elda</x:v>
      </x:c>
      <x:c r="J1243" s="253" t="str">
        <x:v>Elda</x:v>
      </x:c>
      <x:c r="K1243" s="259" t="n">
        <x:v>45659.166666666664</x:v>
      </x:c>
      <x:c r="L1243" s="268" t="str">
        <x:f>IFERROR(VLOOKUP(I1243,'Handler-Team Map'!$A$7:$C$17,2,FALSE),"")</x:f>
      </x:c>
      <x:c r="M1243" s="268" t="str">
        <x:f>IFERROR(VLOOKUP(I1243,'Handler-Team Map'!$A$7:$C$17,3,FALSE),"")</x:f>
      </x:c>
      <x:c r="N1243" s="274" t="str">
        <x:v>FT_VM_DEP1000_GET1000_1X</x:v>
      </x:c>
      <x:c r="O1243" s="274" t="str">
        <x:v>VIP BONUS - Deposit 1000 Get 1000 - 1x TO</x:v>
      </x:c>
      <x:c r="P1243" s="274" t="str">
        <x:v>DepositBonus</x:v>
      </x:c>
      <x:c r="Q1243" s="274" t="str">
        <x:v>Approved</x:v>
      </x:c>
      <x:c r="R1243" s="265" t="n">
        <x:v>1000</x:v>
      </x:c>
      <x:c r="S1243" s="253" t="str">
        <x:v>Yes</x:v>
      </x:c>
      <x:c r="T1243" s="265" t="n">
        <x:v>93200</x:v>
      </x:c>
      <x:c r="U1243" s="253" t="str">
        <x:f>IF(AND(S1243="Yes",T1243=0),"Yes","No")</x:f>
        <x:v>No</x:v>
      </x:c>
      <x:c r="V1243" s="253" t="str">
        <x:v>Yes</x:v>
      </x:c>
      <x:c r="W1243" s="253" t="str">
        <x:v>Yes</x:v>
      </x:c>
      <x:c r="X1243" s="259" t="n">
        <x:v>46211.166666666664</x:v>
      </x:c>
      <x:c r="Y1243" s="265" t="n">
        <x:v>10000</x:v>
      </x:c>
      <x:c r="Z1243" s="265" t="n">
        <x:v>52500</x:v>
      </x:c>
      <x:c r="AA1243" s="253" t="str">
        <x:f>IF(V1243="No","Maturing",IF(AND(U1243="Yes",Y1243&gt;0),"Yes","No"))</x:f>
        <x:v>No</x:v>
      </x:c>
      <x:c r="AB1243" s="253" t="str">
        <x:f>IF(W1243="No","Maturing",IF(AND(U1243="Yes",Z1243&gt;0),"Yes","No"))</x:f>
        <x:v>No</x:v>
      </x:c>
      <x:c r="AC1243" s="265" t="n">
        <x:v>-1311.17</x:v>
      </x:c>
      <x:c r="AD1243" s="265" t="n">
        <x:v>-103115.42</x:v>
      </x:c>
      <x:c r="AE1243" s="271" t="str"/>
      <x:c r="AF1243" s="274" t="str">
        <x:v>Not validated - no control/holdout</x:v>
      </x:c>
      <x:c r="AG1243" s="277" t="str">
        <x:v>Recovered execution only; assignment date and unclaimed-offer denominator unavailable</x:v>
      </x:c>
    </x:row>
    <x:row r="1244">
      <x:c r="A1244" s="252" t="str">
        <x:v>34881706</x:v>
      </x:c>
      <x:c r="B1244" s="253" t="str">
        <x:v>WS1</x:v>
      </x:c>
      <x:c r="C1244" s="253" t="str">
        <x:v>MB8</x:v>
      </x:c>
      <x:c r="D1244" s="262" t="n">
        <x:v>46211.56783564815</x:v>
      </x:c>
      <x:c r="E1244" s="259" t="n">
        <x:v>46211.166666666664</x:v>
      </x:c>
      <x:c r="F1244" s="253" t="str">
        <x:v>837833</x:v>
      </x:c>
      <x:c r="G1244" s="253" t="str">
        <x:v>yamaha38</x:v>
      </x:c>
      <x:c r="H1244" s="253" t="str">
        <x:v>Yes</x:v>
      </x:c>
      <x:c r="I1244" s="253" t="str"/>
      <x:c r="J1244" s="253" t="str"/>
      <x:c r="K1244" s="259"/>
      <x:c r="L1244" s="268" t="str">
        <x:f>IFERROR(VLOOKUP(I1244,'Handler-Team Map'!$A$7:$C$17,2,FALSE),"")</x:f>
      </x:c>
      <x:c r="M1244" s="268" t="str">
        <x:f>IFERROR(VLOOKUP(I1244,'Handler-Team Map'!$A$7:$C$17,3,FALSE),"")</x:f>
      </x:c>
      <x:c r="N1244" s="274" t="str">
        <x:v>FT_VM_DEP800_GET400_2X</x:v>
      </x:c>
      <x:c r="O1244" s="274" t="str">
        <x:v>VIP BONUS - Deposit 800 Get 400 - 2x TO</x:v>
      </x:c>
      <x:c r="P1244" s="274" t="str">
        <x:v>DepositBonus</x:v>
      </x:c>
      <x:c r="Q1244" s="274" t="str">
        <x:v>Approved</x:v>
      </x:c>
      <x:c r="R1244" s="265" t="n">
        <x:v>400</x:v>
      </x:c>
      <x:c r="S1244" s="253" t="str">
        <x:v>Yes</x:v>
      </x:c>
      <x:c r="T1244" s="265" t="n">
        <x:v>0</x:v>
      </x:c>
      <x:c r="U1244" s="253" t="str">
        <x:f>IF(AND(S1244="Yes",T1244=0),"Yes","No")</x:f>
        <x:v>Yes</x:v>
      </x:c>
      <x:c r="V1244" s="253" t="str">
        <x:v>Yes</x:v>
      </x:c>
      <x:c r="W1244" s="253" t="str">
        <x:v>Yes</x:v>
      </x:c>
      <x:c r="X1244" s="259" t="n">
        <x:v>46211.166666666664</x:v>
      </x:c>
      <x:c r="Y1244" s="265" t="n">
        <x:v>800</x:v>
      </x:c>
      <x:c r="Z1244" s="265" t="n">
        <x:v>800</x:v>
      </x:c>
      <x:c r="AA1244" s="253" t="str">
        <x:f>IF(V1244="No","Maturing",IF(AND(U1244="Yes",Y1244&gt;0),"Yes","No"))</x:f>
        <x:v>Yes</x:v>
      </x:c>
      <x:c r="AB1244" s="253" t="str">
        <x:f>IF(W1244="No","Maturing",IF(AND(U1244="Yes",Z1244&gt;0),"Yes","No"))</x:f>
        <x:v>Yes</x:v>
      </x:c>
      <x:c r="AC1244" s="265" t="n">
        <x:v>-141.95</x:v>
      </x:c>
      <x:c r="AD1244" s="265" t="n">
        <x:v>-141.95</x:v>
      </x:c>
      <x:c r="AE1244" s="271" t="str"/>
      <x:c r="AF1244" s="274" t="str">
        <x:v>Not validated - no control/holdout</x:v>
      </x:c>
      <x:c r="AG1244" s="277" t="str">
        <x:v>Recovered execution only; assignment date and unclaimed-offer denominator unavailable</x:v>
      </x:c>
    </x:row>
    <x:row r="1245">
      <x:c r="A1245" s="252" t="str">
        <x:v>34882513</x:v>
      </x:c>
      <x:c r="B1245" s="253" t="str">
        <x:v>WS1</x:v>
      </x:c>
      <x:c r="C1245" s="253" t="str">
        <x:v>MB8</x:v>
      </x:c>
      <x:c r="D1245" s="262" t="n">
        <x:v>46211.63255787037</x:v>
      </x:c>
      <x:c r="E1245" s="259" t="n">
        <x:v>46211.166666666664</x:v>
      </x:c>
      <x:c r="F1245" s="253" t="str">
        <x:v>291306</x:v>
      </x:c>
      <x:c r="G1245" s="253" t="str">
        <x:v>Jochang88</x:v>
      </x:c>
      <x:c r="H1245" s="253" t="str">
        <x:v>Yes</x:v>
      </x:c>
      <x:c r="I1245" s="253" t="str">
        <x:v>zhen</x:v>
      </x:c>
      <x:c r="J1245" s="253" t="str">
        <x:v>zhen</x:v>
      </x:c>
      <x:c r="K1245" s="259" t="n">
        <x:v>45880.166666666664</x:v>
      </x:c>
      <x:c r="L1245" s="268" t="str">
        <x:f>IFERROR(VLOOKUP(I1245,'Handler-Team Map'!$A$7:$C$17,2,FALSE),"")</x:f>
      </x:c>
      <x:c r="M1245" s="268" t="str">
        <x:f>IFERROR(VLOOKUP(I1245,'Handler-Team Map'!$A$7:$C$17,3,FALSE),"")</x:f>
      </x:c>
      <x:c r="N1245" s="274" t="str">
        <x:v>FT_VM_DEP600_GET200_5X</x:v>
      </x:c>
      <x:c r="O1245" s="274" t="str">
        <x:v>VIP BONUS - Deposit 600 Get 200 - 5x TO</x:v>
      </x:c>
      <x:c r="P1245" s="274" t="str">
        <x:v>DepositBonus</x:v>
      </x:c>
      <x:c r="Q1245" s="274" t="str">
        <x:v>Approved</x:v>
      </x:c>
      <x:c r="R1245" s="265" t="n">
        <x:v>200</x:v>
      </x:c>
      <x:c r="S1245" s="253" t="str">
        <x:v>Yes</x:v>
      </x:c>
      <x:c r="T1245" s="265" t="n">
        <x:v>18655</x:v>
      </x:c>
      <x:c r="U1245" s="253" t="str">
        <x:f>IF(AND(S1245="Yes",T1245=0),"Yes","No")</x:f>
        <x:v>No</x:v>
      </x:c>
      <x:c r="V1245" s="253" t="str">
        <x:v>Yes</x:v>
      </x:c>
      <x:c r="W1245" s="253" t="str">
        <x:v>Yes</x:v>
      </x:c>
      <x:c r="X1245" s="259" t="n">
        <x:v>46211.166666666664</x:v>
      </x:c>
      <x:c r="Y1245" s="265" t="n">
        <x:v>600</x:v>
      </x:c>
      <x:c r="Z1245" s="265" t="n">
        <x:v>3700</x:v>
      </x:c>
      <x:c r="AA1245" s="253" t="str">
        <x:f>IF(V1245="No","Maturing",IF(AND(U1245="Yes",Y1245&gt;0),"Yes","No"))</x:f>
        <x:v>No</x:v>
      </x:c>
      <x:c r="AB1245" s="253" t="str">
        <x:f>IF(W1245="No","Maturing",IF(AND(U1245="Yes",Z1245&gt;0),"Yes","No"))</x:f>
        <x:v>No</x:v>
      </x:c>
      <x:c r="AC1245" s="265" t="n">
        <x:v>600</x:v>
      </x:c>
      <x:c r="AD1245" s="265" t="n">
        <x:v>719.34</x:v>
      </x:c>
      <x:c r="AE1245" s="271" t="str"/>
      <x:c r="AF1245" s="274" t="str">
        <x:v>Not validated - no control/holdout</x:v>
      </x:c>
      <x:c r="AG1245" s="277" t="str">
        <x:v>Recovered execution only; assignment date and unclaimed-offer denominator unavailable</x:v>
      </x:c>
    </x:row>
    <x:row r="1246">
      <x:c r="A1246" s="252" t="str">
        <x:v>34882677</x:v>
      </x:c>
      <x:c r="B1246" s="253" t="str">
        <x:v>WS1</x:v>
      </x:c>
      <x:c r="C1246" s="253" t="str">
        <x:v>MB8</x:v>
      </x:c>
      <x:c r="D1246" s="262" t="n">
        <x:v>46211.64435185185</x:v>
      </x:c>
      <x:c r="E1246" s="259" t="n">
        <x:v>46211.166666666664</x:v>
      </x:c>
      <x:c r="F1246" s="253" t="str">
        <x:v>539</x:v>
      </x:c>
      <x:c r="G1246" s="253" t="str">
        <x:v>sslssl</x:v>
      </x:c>
      <x:c r="H1246" s="253" t="str">
        <x:v>Yes</x:v>
      </x:c>
      <x:c r="I1246" s="253" t="str">
        <x:v>Elda</x:v>
      </x:c>
      <x:c r="J1246" s="253" t="str">
        <x:v>Elda</x:v>
      </x:c>
      <x:c r="K1246" s="259" t="n">
        <x:v>45659.166666666664</x:v>
      </x:c>
      <x:c r="L1246" s="268" t="str">
        <x:f>IFERROR(VLOOKUP(I1246,'Handler-Team Map'!$A$7:$C$17,2,FALSE),"")</x:f>
      </x:c>
      <x:c r="M1246" s="268" t="str">
        <x:f>IFERROR(VLOOKUP(I1246,'Handler-Team Map'!$A$7:$C$17,3,FALSE),"")</x:f>
      </x:c>
      <x:c r="N1246" s="274" t="str">
        <x:v>FT_VM_DEP1000_GET900_1X</x:v>
      </x:c>
      <x:c r="O1246" s="274" t="str">
        <x:v>VIP BONUS - Deposit 1000 Get 900 - 1x TO</x:v>
      </x:c>
      <x:c r="P1246" s="274" t="str">
        <x:v>DepositBonus</x:v>
      </x:c>
      <x:c r="Q1246" s="274" t="str">
        <x:v>Approved</x:v>
      </x:c>
      <x:c r="R1246" s="265" t="n">
        <x:v>900</x:v>
      </x:c>
      <x:c r="S1246" s="253" t="str">
        <x:v>Yes</x:v>
      </x:c>
      <x:c r="T1246" s="265" t="n">
        <x:v>585511</x:v>
      </x:c>
      <x:c r="U1246" s="253" t="str">
        <x:f>IF(AND(S1246="Yes",T1246=0),"Yes","No")</x:f>
        <x:v>No</x:v>
      </x:c>
      <x:c r="V1246" s="253" t="str">
        <x:v>Yes</x:v>
      </x:c>
      <x:c r="W1246" s="253" t="str">
        <x:v>Yes</x:v>
      </x:c>
      <x:c r="X1246" s="259" t="n">
        <x:v>46211.166666666664</x:v>
      </x:c>
      <x:c r="Y1246" s="265" t="n">
        <x:v>21252</x:v>
      </x:c>
      <x:c r="Z1246" s="265" t="n">
        <x:v>31578</x:v>
      </x:c>
      <x:c r="AA1246" s="253" t="str">
        <x:f>IF(V1246="No","Maturing",IF(AND(U1246="Yes",Y1246&gt;0),"Yes","No"))</x:f>
        <x:v>No</x:v>
      </x:c>
      <x:c r="AB1246" s="253" t="str">
        <x:f>IF(W1246="No","Maturing",IF(AND(U1246="Yes",Z1246&gt;0),"Yes","No"))</x:f>
        <x:v>No</x:v>
      </x:c>
      <x:c r="AC1246" s="265" t="n">
        <x:v>12453.31</x:v>
      </x:c>
      <x:c r="AD1246" s="265" t="n">
        <x:v>22705.65</x:v>
      </x:c>
      <x:c r="AE1246" s="271" t="str"/>
      <x:c r="AF1246" s="274" t="str">
        <x:v>Not validated - no control/holdout</x:v>
      </x:c>
      <x:c r="AG1246" s="277" t="str">
        <x:v>Recovered execution only; assignment date and unclaimed-offer denominator unavailable</x:v>
      </x:c>
    </x:row>
    <x:row r="1247">
      <x:c r="A1247" s="252" t="str">
        <x:v>34882906</x:v>
      </x:c>
      <x:c r="B1247" s="253" t="str">
        <x:v>WS1</x:v>
      </x:c>
      <x:c r="C1247" s="253" t="str">
        <x:v>MB8</x:v>
      </x:c>
      <x:c r="D1247" s="262" t="n">
        <x:v>46211.65896990741</x:v>
      </x:c>
      <x:c r="E1247" s="259" t="n">
        <x:v>46211.166666666664</x:v>
      </x:c>
      <x:c r="F1247" s="253" t="str">
        <x:v>567203</x:v>
      </x:c>
      <x:c r="G1247" s="253" t="str">
        <x:v>Booboo</x:v>
      </x:c>
      <x:c r="H1247" s="253" t="str">
        <x:v>Yes</x:v>
      </x:c>
      <x:c r="I1247" s="253" t="str">
        <x:v>Elda</x:v>
      </x:c>
      <x:c r="J1247" s="253" t="str">
        <x:v>Elda</x:v>
      </x:c>
      <x:c r="K1247" s="259" t="n">
        <x:v>45659.166666666664</x:v>
      </x:c>
      <x:c r="L1247" s="268" t="str">
        <x:f>IFERROR(VLOOKUP(I1247,'Handler-Team Map'!$A$7:$C$17,2,FALSE),"")</x:f>
      </x:c>
      <x:c r="M1247" s="268" t="str">
        <x:f>IFERROR(VLOOKUP(I1247,'Handler-Team Map'!$A$7:$C$17,3,FALSE),"")</x:f>
      </x:c>
      <x:c r="N1247" s="274" t="str">
        <x:v>FT_VM_DEP1000_GET500_5X</x:v>
      </x:c>
      <x:c r="O1247" s="274" t="str">
        <x:v>VIP BONUS - Deposit 1000 Get 500 - 5x TO</x:v>
      </x:c>
      <x:c r="P1247" s="274" t="str">
        <x:v>DepositBonus</x:v>
      </x:c>
      <x:c r="Q1247" s="274" t="str">
        <x:v>Approved</x:v>
      </x:c>
      <x:c r="R1247" s="265" t="n">
        <x:v>500</x:v>
      </x:c>
      <x:c r="S1247" s="253" t="str">
        <x:v>Yes</x:v>
      </x:c>
      <x:c r="T1247" s="265" t="n">
        <x:v>25947.38</x:v>
      </x:c>
      <x:c r="U1247" s="253" t="str">
        <x:f>IF(AND(S1247="Yes",T1247=0),"Yes","No")</x:f>
        <x:v>No</x:v>
      </x:c>
      <x:c r="V1247" s="253" t="str">
        <x:v>Yes</x:v>
      </x:c>
      <x:c r="W1247" s="253" t="str">
        <x:v>Yes</x:v>
      </x:c>
      <x:c r="X1247" s="259" t="n">
        <x:v>46211.166666666664</x:v>
      </x:c>
      <x:c r="Y1247" s="265" t="n">
        <x:v>8740</x:v>
      </x:c>
      <x:c r="Z1247" s="265" t="n">
        <x:v>10821</x:v>
      </x:c>
      <x:c r="AA1247" s="253" t="str">
        <x:f>IF(V1247="No","Maturing",IF(AND(U1247="Yes",Y1247&gt;0),"Yes","No"))</x:f>
        <x:v>No</x:v>
      </x:c>
      <x:c r="AB1247" s="253" t="str">
        <x:f>IF(W1247="No","Maturing",IF(AND(U1247="Yes",Z1247&gt;0),"Yes","No"))</x:f>
        <x:v>No</x:v>
      </x:c>
      <x:c r="AC1247" s="265" t="n">
        <x:v>5038.51</x:v>
      </x:c>
      <x:c r="AD1247" s="265" t="n">
        <x:v>5048.69</x:v>
      </x:c>
      <x:c r="AE1247" s="271" t="str"/>
      <x:c r="AF1247" s="274" t="str">
        <x:v>Not validated - no control/holdout</x:v>
      </x:c>
      <x:c r="AG1247" s="277" t="str">
        <x:v>Recovered execution only; assignment date and unclaimed-offer denominator unavailable</x:v>
      </x:c>
    </x:row>
    <x:row r="1248">
      <x:c r="A1248" s="252" t="str">
        <x:v>34883456</x:v>
      </x:c>
      <x:c r="B1248" s="253" t="str">
        <x:v>WS1</x:v>
      </x:c>
      <x:c r="C1248" s="253" t="str">
        <x:v>MB8</x:v>
      </x:c>
      <x:c r="D1248" s="262" t="n">
        <x:v>46211.69315972222</x:v>
      </x:c>
      <x:c r="E1248" s="259" t="n">
        <x:v>46211.166666666664</x:v>
      </x:c>
      <x:c r="F1248" s="253" t="str">
        <x:v>627212</x:v>
      </x:c>
      <x:c r="G1248" s="253" t="str">
        <x:v>Saddam19</x:v>
      </x:c>
      <x:c r="H1248" s="253" t="str">
        <x:v>Yes</x:v>
      </x:c>
      <x:c r="I1248" s="253" t="str">
        <x:v>Christy</x:v>
      </x:c>
      <x:c r="J1248" s="253" t="str">
        <x:v>Christy</x:v>
      </x:c>
      <x:c r="K1248" s="259" t="n">
        <x:v>45831.166666666664</x:v>
      </x:c>
      <x:c r="L1248" s="268" t="str">
        <x:f>IFERROR(VLOOKUP(I1248,'Handler-Team Map'!$A$7:$C$17,2,FALSE),"")</x:f>
      </x:c>
      <x:c r="M1248" s="268" t="str">
        <x:f>IFERROR(VLOOKUP(I1248,'Handler-Team Map'!$A$7:$C$17,3,FALSE),"")</x:f>
      </x:c>
      <x:c r="N1248" s="274" t="str">
        <x:v>FT_VM_DEP700_GET300_2X</x:v>
      </x:c>
      <x:c r="O1248" s="274" t="str">
        <x:v>VIP BONUS - Deposit 700 Get 300 - 2x TO</x:v>
      </x:c>
      <x:c r="P1248" s="274" t="str">
        <x:v>DepositBonus</x:v>
      </x:c>
      <x:c r="Q1248" s="274" t="str">
        <x:v>Approved</x:v>
      </x:c>
      <x:c r="R1248" s="265" t="n">
        <x:v>300</x:v>
      </x:c>
      <x:c r="S1248" s="253" t="str">
        <x:v>Yes</x:v>
      </x:c>
      <x:c r="T1248" s="265" t="n">
        <x:v>800</x:v>
      </x:c>
      <x:c r="U1248" s="253" t="str">
        <x:f>IF(AND(S1248="Yes",T1248=0),"Yes","No")</x:f>
        <x:v>No</x:v>
      </x:c>
      <x:c r="V1248" s="253" t="str">
        <x:v>Yes</x:v>
      </x:c>
      <x:c r="W1248" s="253" t="str">
        <x:v>Yes</x:v>
      </x:c>
      <x:c r="X1248" s="259" t="n">
        <x:v>46211.166666666664</x:v>
      </x:c>
      <x:c r="Y1248" s="265" t="n">
        <x:v>700</x:v>
      </x:c>
      <x:c r="Z1248" s="265" t="n">
        <x:v>700</x:v>
      </x:c>
      <x:c r="AA1248" s="253" t="str">
        <x:f>IF(V1248="No","Maturing",IF(AND(U1248="Yes",Y1248&gt;0),"Yes","No"))</x:f>
        <x:v>No</x:v>
      </x:c>
      <x:c r="AB1248" s="253" t="str">
        <x:f>IF(W1248="No","Maturing",IF(AND(U1248="Yes",Z1248&gt;0),"Yes","No"))</x:f>
        <x:v>No</x:v>
      </x:c>
      <x:c r="AC1248" s="265" t="n">
        <x:v>-4843.58</x:v>
      </x:c>
      <x:c r="AD1248" s="265" t="n">
        <x:v>-5393.79</x:v>
      </x:c>
      <x:c r="AE1248" s="271" t="str"/>
      <x:c r="AF1248" s="274" t="str">
        <x:v>Not validated - no control/holdout</x:v>
      </x:c>
      <x:c r="AG1248" s="277" t="str">
        <x:v>Recovered execution only; assignment date and unclaimed-offer denominator unavailable</x:v>
      </x:c>
    </x:row>
    <x:row r="1249">
      <x:c r="A1249" s="252" t="str">
        <x:v>34883506</x:v>
      </x:c>
      <x:c r="B1249" s="253" t="str">
        <x:v>WS1</x:v>
      </x:c>
      <x:c r="C1249" s="253" t="str">
        <x:v>MB8</x:v>
      </x:c>
      <x:c r="D1249" s="262" t="n">
        <x:v>46211.69697916666</x:v>
      </x:c>
      <x:c r="E1249" s="259" t="n">
        <x:v>46211.166666666664</x:v>
      </x:c>
      <x:c r="F1249" s="253" t="str">
        <x:v>717988</x:v>
      </x:c>
      <x:c r="G1249" s="253" t="str">
        <x:v>How7878</x:v>
      </x:c>
      <x:c r="H1249" s="253" t="str">
        <x:v>Yes</x:v>
      </x:c>
      <x:c r="I1249" s="253" t="str">
        <x:v>zhen</x:v>
      </x:c>
      <x:c r="J1249" s="253" t="str">
        <x:v>zhen</x:v>
      </x:c>
      <x:c r="K1249" s="259" t="n">
        <x:v>45985.166666666664</x:v>
      </x:c>
      <x:c r="L1249" s="268" t="str">
        <x:f>IFERROR(VLOOKUP(I1249,'Handler-Team Map'!$A$7:$C$17,2,FALSE),"")</x:f>
      </x:c>
      <x:c r="M1249" s="268" t="str">
        <x:f>IFERROR(VLOOKUP(I1249,'Handler-Team Map'!$A$7:$C$17,3,FALSE),"")</x:f>
      </x:c>
      <x:c r="N1249" s="274" t="str">
        <x:v>FT_VM_DEP1000_GET800_2X</x:v>
      </x:c>
      <x:c r="O1249" s="274" t="str">
        <x:v>VIP BONUS - Deposit 1000 Get 800 - 2x TO</x:v>
      </x:c>
      <x:c r="P1249" s="274" t="str">
        <x:v>DepositBonus</x:v>
      </x:c>
      <x:c r="Q1249" s="274" t="str">
        <x:v>Approved</x:v>
      </x:c>
      <x:c r="R1249" s="265" t="n">
        <x:v>800</x:v>
      </x:c>
      <x:c r="S1249" s="253" t="str">
        <x:v>Yes</x:v>
      </x:c>
      <x:c r="T1249" s="265" t="n">
        <x:v>2200</x:v>
      </x:c>
      <x:c r="U1249" s="253" t="str">
        <x:f>IF(AND(S1249="Yes",T1249=0),"Yes","No")</x:f>
        <x:v>No</x:v>
      </x:c>
      <x:c r="V1249" s="253" t="str">
        <x:v>Yes</x:v>
      </x:c>
      <x:c r="W1249" s="253" t="str">
        <x:v>Yes</x:v>
      </x:c>
      <x:c r="X1249" s="259" t="n">
        <x:v>46211.166666666664</x:v>
      </x:c>
      <x:c r="Y1249" s="265" t="n">
        <x:v>1000</x:v>
      </x:c>
      <x:c r="Z1249" s="265" t="n">
        <x:v>1000</x:v>
      </x:c>
      <x:c r="AA1249" s="253" t="str">
        <x:f>IF(V1249="No","Maturing",IF(AND(U1249="Yes",Y1249&gt;0),"Yes","No"))</x:f>
        <x:v>No</x:v>
      </x:c>
      <x:c r="AB1249" s="253" t="str">
        <x:f>IF(W1249="No","Maturing",IF(AND(U1249="Yes",Z1249&gt;0),"Yes","No"))</x:f>
        <x:v>No</x:v>
      </x:c>
      <x:c r="AC1249" s="265" t="n">
        <x:v>-3502.8</x:v>
      </x:c>
      <x:c r="AD1249" s="265" t="n">
        <x:v>-3502.8</x:v>
      </x:c>
      <x:c r="AE1249" s="271" t="str"/>
      <x:c r="AF1249" s="274" t="str">
        <x:v>Not validated - no control/holdout</x:v>
      </x:c>
      <x:c r="AG1249" s="277" t="str">
        <x:v>Recovered execution only; assignment date and unclaimed-offer denominator unavailable</x:v>
      </x:c>
    </x:row>
    <x:row r="1250">
      <x:c r="A1250" s="252" t="str">
        <x:v>34883556</x:v>
      </x:c>
      <x:c r="B1250" s="253" t="str">
        <x:v>WS1</x:v>
      </x:c>
      <x:c r="C1250" s="253" t="str">
        <x:v>MB8</x:v>
      </x:c>
      <x:c r="D1250" s="262" t="n">
        <x:v>46211.70034722222</x:v>
      </x:c>
      <x:c r="E1250" s="259" t="n">
        <x:v>46211.166666666664</x:v>
      </x:c>
      <x:c r="F1250" s="253" t="str">
        <x:v>605081</x:v>
      </x:c>
      <x:c r="G1250" s="253" t="str">
        <x:v>xxdra</x:v>
      </x:c>
      <x:c r="H1250" s="253" t="str">
        <x:v>Yes</x:v>
      </x:c>
      <x:c r="I1250" s="253" t="str">
        <x:v>Mikki</x:v>
      </x:c>
      <x:c r="J1250" s="253" t="str">
        <x:v>Mikki</x:v>
      </x:c>
      <x:c r="K1250" s="259" t="n">
        <x:v>45993.166666666664</x:v>
      </x:c>
      <x:c r="L1250" s="268" t="str">
        <x:f>IFERROR(VLOOKUP(I1250,'Handler-Team Map'!$A$7:$C$17,2,FALSE),"")</x:f>
      </x:c>
      <x:c r="M1250" s="268" t="str">
        <x:f>IFERROR(VLOOKUP(I1250,'Handler-Team Map'!$A$7:$C$17,3,FALSE),"")</x:f>
      </x:c>
      <x:c r="N1250" s="274" t="str">
        <x:v>FT_VM_DEP1000_GET500_5X</x:v>
      </x:c>
      <x:c r="O1250" s="274" t="str">
        <x:v>VIP BONUS - Deposit 1000 Get 500 - 5x TO</x:v>
      </x:c>
      <x:c r="P1250" s="274" t="str">
        <x:v>DepositBonus</x:v>
      </x:c>
      <x:c r="Q1250" s="274" t="str">
        <x:v>Approved</x:v>
      </x:c>
      <x:c r="R1250" s="265" t="n">
        <x:v>500</x:v>
      </x:c>
      <x:c r="S1250" s="253" t="str">
        <x:v>Yes</x:v>
      </x:c>
      <x:c r="T1250" s="265" t="n">
        <x:v>16820</x:v>
      </x:c>
      <x:c r="U1250" s="253" t="str">
        <x:f>IF(AND(S1250="Yes",T1250=0),"Yes","No")</x:f>
        <x:v>No</x:v>
      </x:c>
      <x:c r="V1250" s="253" t="str">
        <x:v>Yes</x:v>
      </x:c>
      <x:c r="W1250" s="253" t="str">
        <x:v>Yes</x:v>
      </x:c>
      <x:c r="X1250" s="259" t="n">
        <x:v>46211.166666666664</x:v>
      </x:c>
      <x:c r="Y1250" s="265" t="n">
        <x:v>2000</x:v>
      </x:c>
      <x:c r="Z1250" s="265" t="n">
        <x:v>15515</x:v>
      </x:c>
      <x:c r="AA1250" s="253" t="str">
        <x:f>IF(V1250="No","Maturing",IF(AND(U1250="Yes",Y1250&gt;0),"Yes","No"))</x:f>
        <x:v>No</x:v>
      </x:c>
      <x:c r="AB1250" s="253" t="str">
        <x:f>IF(W1250="No","Maturing",IF(AND(U1250="Yes",Z1250&gt;0),"Yes","No"))</x:f>
        <x:v>No</x:v>
      </x:c>
      <x:c r="AC1250" s="265" t="n">
        <x:v>-9387.29</x:v>
      </x:c>
      <x:c r="AD1250" s="265" t="n">
        <x:v>632.17</x:v>
      </x:c>
      <x:c r="AE1250" s="271" t="str"/>
      <x:c r="AF1250" s="274" t="str">
        <x:v>Not validated - no control/holdout</x:v>
      </x:c>
      <x:c r="AG1250" s="277" t="str">
        <x:v>Recovered execution only; assignment date and unclaimed-offer denominator unavailable</x:v>
      </x:c>
    </x:row>
    <x:row r="1251">
      <x:c r="A1251" s="252" t="str">
        <x:v>34884116</x:v>
      </x:c>
      <x:c r="B1251" s="253" t="str">
        <x:v>WS1</x:v>
      </x:c>
      <x:c r="C1251" s="253" t="str">
        <x:v>MB8</x:v>
      </x:c>
      <x:c r="D1251" s="262" t="n">
        <x:v>46211.737233796295</x:v>
      </x:c>
      <x:c r="E1251" s="259" t="n">
        <x:v>46211.166666666664</x:v>
      </x:c>
      <x:c r="F1251" s="253" t="str">
        <x:v>663490</x:v>
      </x:c>
      <x:c r="G1251" s="253" t="str">
        <x:v>Arsenal9968</x:v>
      </x:c>
      <x:c r="H1251" s="253" t="str">
        <x:v>Yes</x:v>
      </x:c>
      <x:c r="I1251" s="253" t="str">
        <x:v>Claire</x:v>
      </x:c>
      <x:c r="J1251" s="253" t="str">
        <x:v>Claire</x:v>
      </x:c>
      <x:c r="K1251" s="259" t="n">
        <x:v>45659.166666666664</x:v>
      </x:c>
      <x:c r="L1251" s="268" t="str">
        <x:f>IFERROR(VLOOKUP(I1251,'Handler-Team Map'!$A$7:$C$17,2,FALSE),"")</x:f>
      </x:c>
      <x:c r="M1251" s="268" t="str">
        <x:f>IFERROR(VLOOKUP(I1251,'Handler-Team Map'!$A$7:$C$17,3,FALSE),"")</x:f>
      </x:c>
      <x:c r="N1251" s="274" t="str">
        <x:v>FT_VM_DEP600_GET200_5X</x:v>
      </x:c>
      <x:c r="O1251" s="274" t="str">
        <x:v>VIP BONUS - Deposit 600 Get 200 - 5x TO</x:v>
      </x:c>
      <x:c r="P1251" s="274" t="str">
        <x:v>DepositBonus</x:v>
      </x:c>
      <x:c r="Q1251" s="274" t="str">
        <x:v>Approved</x:v>
      </x:c>
      <x:c r="R1251" s="265" t="n">
        <x:v>200</x:v>
      </x:c>
      <x:c r="S1251" s="253" t="str">
        <x:v>Yes</x:v>
      </x:c>
      <x:c r="T1251" s="265" t="n">
        <x:v>83814</x:v>
      </x:c>
      <x:c r="U1251" s="253" t="str">
        <x:f>IF(AND(S1251="Yes",T1251=0),"Yes","No")</x:f>
        <x:v>No</x:v>
      </x:c>
      <x:c r="V1251" s="253" t="str">
        <x:v>Yes</x:v>
      </x:c>
      <x:c r="W1251" s="253" t="str">
        <x:v>Yes</x:v>
      </x:c>
      <x:c r="X1251" s="259" t="n">
        <x:v>46211.166666666664</x:v>
      </x:c>
      <x:c r="Y1251" s="265" t="n">
        <x:v>14320</x:v>
      </x:c>
      <x:c r="Z1251" s="265" t="n">
        <x:v>80360</x:v>
      </x:c>
      <x:c r="AA1251" s="253" t="str">
        <x:f>IF(V1251="No","Maturing",IF(AND(U1251="Yes",Y1251&gt;0),"Yes","No"))</x:f>
        <x:v>No</x:v>
      </x:c>
      <x:c r="AB1251" s="253" t="str">
        <x:f>IF(W1251="No","Maturing",IF(AND(U1251="Yes",Z1251&gt;0),"Yes","No"))</x:f>
        <x:v>No</x:v>
      </x:c>
      <x:c r="AC1251" s="265" t="n">
        <x:v>2319.48</x:v>
      </x:c>
      <x:c r="AD1251" s="265" t="n">
        <x:v>-107260.41</x:v>
      </x:c>
      <x:c r="AE1251" s="271" t="str"/>
      <x:c r="AF1251" s="274" t="str">
        <x:v>Not validated - no control/holdout</x:v>
      </x:c>
      <x:c r="AG1251" s="277" t="str">
        <x:v>Recovered execution only; assignment date and unclaimed-offer denominator unavailable</x:v>
      </x:c>
    </x:row>
    <x:row r="1252">
      <x:c r="A1252" s="252" t="str">
        <x:v>34884475</x:v>
      </x:c>
      <x:c r="B1252" s="253" t="str">
        <x:v>WS1</x:v>
      </x:c>
      <x:c r="C1252" s="253" t="str">
        <x:v>MB8</x:v>
      </x:c>
      <x:c r="D1252" s="262" t="n">
        <x:v>46211.76038194444</x:v>
      </x:c>
      <x:c r="E1252" s="259" t="n">
        <x:v>46211.166666666664</x:v>
      </x:c>
      <x:c r="F1252" s="253" t="str">
        <x:v>483139</x:v>
      </x:c>
      <x:c r="G1252" s="253" t="str">
        <x:v>attieu</x:v>
      </x:c>
      <x:c r="H1252" s="253" t="str">
        <x:v>Yes</x:v>
      </x:c>
      <x:c r="I1252" s="253" t="str">
        <x:v>Serene</x:v>
      </x:c>
      <x:c r="J1252" s="253" t="str">
        <x:v>Serene</x:v>
      </x:c>
      <x:c r="K1252" s="259" t="n">
        <x:v>45859.166666666664</x:v>
      </x:c>
      <x:c r="L1252" s="268" t="str">
        <x:f>IFERROR(VLOOKUP(I1252,'Handler-Team Map'!$A$7:$C$17,2,FALSE),"")</x:f>
      </x:c>
      <x:c r="M1252" s="268" t="str">
        <x:f>IFERROR(VLOOKUP(I1252,'Handler-Team Map'!$A$7:$C$17,3,FALSE),"")</x:f>
      </x:c>
      <x:c r="N1252" s="274" t="str">
        <x:v>FT_VM_DEP600_GET200_5X</x:v>
      </x:c>
      <x:c r="O1252" s="274" t="str">
        <x:v>VIP BONUS - Deposit 600 Get 200 - 5x TO</x:v>
      </x:c>
      <x:c r="P1252" s="274" t="str">
        <x:v>DepositBonus</x:v>
      </x:c>
      <x:c r="Q1252" s="274" t="str">
        <x:v>Approved</x:v>
      </x:c>
      <x:c r="R1252" s="265" t="n">
        <x:v>200</x:v>
      </x:c>
      <x:c r="S1252" s="253" t="str">
        <x:v>Yes</x:v>
      </x:c>
      <x:c r="T1252" s="265" t="n">
        <x:v>32250</x:v>
      </x:c>
      <x:c r="U1252" s="253" t="str">
        <x:f>IF(AND(S1252="Yes",T1252=0),"Yes","No")</x:f>
        <x:v>No</x:v>
      </x:c>
      <x:c r="V1252" s="253" t="str">
        <x:v>Yes</x:v>
      </x:c>
      <x:c r="W1252" s="253" t="str">
        <x:v>Yes</x:v>
      </x:c>
      <x:c r="X1252" s="259" t="n">
        <x:v>46211.166666666664</x:v>
      </x:c>
      <x:c r="Y1252" s="265" t="n">
        <x:v>4300</x:v>
      </x:c>
      <x:c r="Z1252" s="265" t="n">
        <x:v>11900</x:v>
      </x:c>
      <x:c r="AA1252" s="253" t="str">
        <x:f>IF(V1252="No","Maturing",IF(AND(U1252="Yes",Y1252&gt;0),"Yes","No"))</x:f>
        <x:v>No</x:v>
      </x:c>
      <x:c r="AB1252" s="253" t="str">
        <x:f>IF(W1252="No","Maturing",IF(AND(U1252="Yes",Z1252&gt;0),"Yes","No"))</x:f>
        <x:v>No</x:v>
      </x:c>
      <x:c r="AC1252" s="265" t="n">
        <x:v>-7264.67</x:v>
      </x:c>
      <x:c r="AD1252" s="265" t="n">
        <x:v>-5578.99</x:v>
      </x:c>
      <x:c r="AE1252" s="271" t="str"/>
      <x:c r="AF1252" s="274" t="str">
        <x:v>Not validated - no control/holdout</x:v>
      </x:c>
      <x:c r="AG1252" s="277" t="str">
        <x:v>Recovered execution only; assignment date and unclaimed-offer denominator unavailable</x:v>
      </x:c>
    </x:row>
    <x:row r="1253">
      <x:c r="A1253" s="252" t="str">
        <x:v>34884801</x:v>
      </x:c>
      <x:c r="B1253" s="253" t="str">
        <x:v>WS1</x:v>
      </x:c>
      <x:c r="C1253" s="253" t="str">
        <x:v>MB8</x:v>
      </x:c>
      <x:c r="D1253" s="262" t="n">
        <x:v>46211.78175925926</x:v>
      </x:c>
      <x:c r="E1253" s="259" t="n">
        <x:v>46211.166666666664</x:v>
      </x:c>
      <x:c r="F1253" s="253" t="str">
        <x:v>552057</x:v>
      </x:c>
      <x:c r="G1253" s="253" t="str">
        <x:v>jackie888</x:v>
      </x:c>
      <x:c r="H1253" s="253" t="str">
        <x:v>Yes</x:v>
      </x:c>
      <x:c r="I1253" s="253" t="str">
        <x:v>zhen</x:v>
      </x:c>
      <x:c r="J1253" s="253" t="str">
        <x:v>zhen</x:v>
      </x:c>
      <x:c r="K1253" s="259" t="n">
        <x:v>45985.166666666664</x:v>
      </x:c>
      <x:c r="L1253" s="268" t="str">
        <x:f>IFERROR(VLOOKUP(I1253,'Handler-Team Map'!$A$7:$C$17,2,FALSE),"")</x:f>
      </x:c>
      <x:c r="M1253" s="268" t="str">
        <x:f>IFERROR(VLOOKUP(I1253,'Handler-Team Map'!$A$7:$C$17,3,FALSE),"")</x:f>
      </x:c>
      <x:c r="N1253" s="274" t="str">
        <x:v>FT_VM_DEP1000_GET500_5X</x:v>
      </x:c>
      <x:c r="O1253" s="274" t="str">
        <x:v>VIP BONUS - Deposit 1000 Get 500 - 5x TO</x:v>
      </x:c>
      <x:c r="P1253" s="274" t="str">
        <x:v>DepositBonus</x:v>
      </x:c>
      <x:c r="Q1253" s="274" t="str">
        <x:v>Approved</x:v>
      </x:c>
      <x:c r="R1253" s="265" t="n">
        <x:v>500</x:v>
      </x:c>
      <x:c r="S1253" s="253" t="str">
        <x:v>Yes</x:v>
      </x:c>
      <x:c r="T1253" s="265" t="n">
        <x:v>27000</x:v>
      </x:c>
      <x:c r="U1253" s="253" t="str">
        <x:f>IF(AND(S1253="Yes",T1253=0),"Yes","No")</x:f>
        <x:v>No</x:v>
      </x:c>
      <x:c r="V1253" s="253" t="str">
        <x:v>Yes</x:v>
      </x:c>
      <x:c r="W1253" s="253" t="str">
        <x:v>Yes</x:v>
      </x:c>
      <x:c r="X1253" s="259" t="n">
        <x:v>46211.166666666664</x:v>
      </x:c>
      <x:c r="Y1253" s="265" t="n">
        <x:v>14700</x:v>
      </x:c>
      <x:c r="Z1253" s="265" t="n">
        <x:v>26200</x:v>
      </x:c>
      <x:c r="AA1253" s="253" t="str">
        <x:f>IF(V1253="No","Maturing",IF(AND(U1253="Yes",Y1253&gt;0),"Yes","No"))</x:f>
        <x:v>No</x:v>
      </x:c>
      <x:c r="AB1253" s="253" t="str">
        <x:f>IF(W1253="No","Maturing",IF(AND(U1253="Yes",Z1253&gt;0),"Yes","No"))</x:f>
        <x:v>No</x:v>
      </x:c>
      <x:c r="AC1253" s="265" t="n">
        <x:v>4079.95</x:v>
      </x:c>
      <x:c r="AD1253" s="265" t="n">
        <x:v>-7368.27</x:v>
      </x:c>
      <x:c r="AE1253" s="271" t="str"/>
      <x:c r="AF1253" s="274" t="str">
        <x:v>Not validated - no control/holdout</x:v>
      </x:c>
      <x:c r="AG1253" s="277" t="str">
        <x:v>Recovered execution only; assignment date and unclaimed-offer denominator unavailable</x:v>
      </x:c>
    </x:row>
    <x:row r="1254">
      <x:c r="A1254" s="252" t="str">
        <x:v>34885123</x:v>
      </x:c>
      <x:c r="B1254" s="253" t="str">
        <x:v>WS1</x:v>
      </x:c>
      <x:c r="C1254" s="253" t="str">
        <x:v>MB8</x:v>
      </x:c>
      <x:c r="D1254" s="262" t="n">
        <x:v>46211.80236111111</x:v>
      </x:c>
      <x:c r="E1254" s="259" t="n">
        <x:v>46211.166666666664</x:v>
      </x:c>
      <x:c r="F1254" s="253" t="str">
        <x:v>38910</x:v>
      </x:c>
      <x:c r="G1254" s="253" t="str">
        <x:v>Snowy2kaki</x:v>
      </x:c>
      <x:c r="H1254" s="253" t="str">
        <x:v>Yes</x:v>
      </x:c>
      <x:c r="I1254" s="253" t="str">
        <x:v>Claire</x:v>
      </x:c>
      <x:c r="J1254" s="253" t="str">
        <x:v>Claire</x:v>
      </x:c>
      <x:c r="K1254" s="259" t="n">
        <x:v>45659.166666666664</x:v>
      </x:c>
      <x:c r="L1254" s="268" t="str">
        <x:f>IFERROR(VLOOKUP(I1254,'Handler-Team Map'!$A$7:$C$17,2,FALSE),"")</x:f>
      </x:c>
      <x:c r="M1254" s="268" t="str">
        <x:f>IFERROR(VLOOKUP(I1254,'Handler-Team Map'!$A$7:$C$17,3,FALSE),"")</x:f>
      </x:c>
      <x:c r="N1254" s="274" t="str">
        <x:v>FT_VM_DEP700_GET300_1X</x:v>
      </x:c>
      <x:c r="O1254" s="274" t="str">
        <x:v>VIP BONUS - Deposit 700 Get 300 - 1x TO</x:v>
      </x:c>
      <x:c r="P1254" s="274" t="str">
        <x:v>DepositBonus</x:v>
      </x:c>
      <x:c r="Q1254" s="274" t="str">
        <x:v>Approved</x:v>
      </x:c>
      <x:c r="R1254" s="265" t="n">
        <x:v>300</x:v>
      </x:c>
      <x:c r="S1254" s="253" t="str">
        <x:v>Yes</x:v>
      </x:c>
      <x:c r="T1254" s="265" t="n">
        <x:v>120700</x:v>
      </x:c>
      <x:c r="U1254" s="253" t="str">
        <x:f>IF(AND(S1254="Yes",T1254=0),"Yes","No")</x:f>
        <x:v>No</x:v>
      </x:c>
      <x:c r="V1254" s="253" t="str">
        <x:v>Yes</x:v>
      </x:c>
      <x:c r="W1254" s="253" t="str">
        <x:v>Yes</x:v>
      </x:c>
      <x:c r="X1254" s="259" t="n">
        <x:v>46211.166666666664</x:v>
      </x:c>
      <x:c r="Y1254" s="265" t="n">
        <x:v>43000</x:v>
      </x:c>
      <x:c r="Z1254" s="265" t="n">
        <x:v>60500</x:v>
      </x:c>
      <x:c r="AA1254" s="253" t="str">
        <x:f>IF(V1254="No","Maturing",IF(AND(U1254="Yes",Y1254&gt;0),"Yes","No"))</x:f>
        <x:v>No</x:v>
      </x:c>
      <x:c r="AB1254" s="253" t="str">
        <x:f>IF(W1254="No","Maturing",IF(AND(U1254="Yes",Z1254&gt;0),"Yes","No"))</x:f>
        <x:v>No</x:v>
      </x:c>
      <x:c r="AC1254" s="265" t="n">
        <x:v>-269618.63</x:v>
      </x:c>
      <x:c r="AD1254" s="265" t="n">
        <x:v>-203499.83</x:v>
      </x:c>
      <x:c r="AE1254" s="271" t="str"/>
      <x:c r="AF1254" s="274" t="str">
        <x:v>Not validated - no control/holdout</x:v>
      </x:c>
      <x:c r="AG1254" s="277" t="str">
        <x:v>Recovered execution only; assignment date and unclaimed-offer denominator unavailable</x:v>
      </x:c>
    </x:row>
    <x:row r="1255">
      <x:c r="A1255" s="252" t="str">
        <x:v>34885279</x:v>
      </x:c>
      <x:c r="B1255" s="253" t="str">
        <x:v>WS1</x:v>
      </x:c>
      <x:c r="C1255" s="253" t="str">
        <x:v>MB8</x:v>
      </x:c>
      <x:c r="D1255" s="262" t="n">
        <x:v>46211.81694444444</x:v>
      </x:c>
      <x:c r="E1255" s="259" t="n">
        <x:v>46211.166666666664</x:v>
      </x:c>
      <x:c r="F1255" s="253" t="str">
        <x:v>672372</x:v>
      </x:c>
      <x:c r="G1255" s="253" t="str">
        <x:v>Sllim</x:v>
      </x:c>
      <x:c r="H1255" s="253" t="str">
        <x:v>Yes</x:v>
      </x:c>
      <x:c r="I1255" s="253" t="str">
        <x:v>Jiahui</x:v>
      </x:c>
      <x:c r="J1255" s="253" t="str">
        <x:v>Jiahui</x:v>
      </x:c>
      <x:c r="K1255" s="259" t="n">
        <x:v>45797.166666666664</x:v>
      </x:c>
      <x:c r="L1255" s="268" t="str">
        <x:f>IFERROR(VLOOKUP(I1255,'Handler-Team Map'!$A$7:$C$17,2,FALSE),"")</x:f>
      </x:c>
      <x:c r="M1255" s="268" t="str">
        <x:f>IFERROR(VLOOKUP(I1255,'Handler-Team Map'!$A$7:$C$17,3,FALSE),"")</x:f>
      </x:c>
      <x:c r="N1255" s="274" t="str">
        <x:v>FT_VM_DEP1000_GET700_2X</x:v>
      </x:c>
      <x:c r="O1255" s="274" t="str">
        <x:v>VIP BONUS - Deposit 1000 Get 700 - 2x TO</x:v>
      </x:c>
      <x:c r="P1255" s="274" t="str">
        <x:v>DepositBonus</x:v>
      </x:c>
      <x:c r="Q1255" s="274" t="str">
        <x:v>Approved</x:v>
      </x:c>
      <x:c r="R1255" s="265" t="n">
        <x:v>700</x:v>
      </x:c>
      <x:c r="S1255" s="253" t="str">
        <x:v>Yes</x:v>
      </x:c>
      <x:c r="T1255" s="265" t="n">
        <x:v>2000</x:v>
      </x:c>
      <x:c r="U1255" s="253" t="str">
        <x:f>IF(AND(S1255="Yes",T1255=0),"Yes","No")</x:f>
        <x:v>No</x:v>
      </x:c>
      <x:c r="V1255" s="253" t="str">
        <x:v>Yes</x:v>
      </x:c>
      <x:c r="W1255" s="253" t="str">
        <x:v>Yes</x:v>
      </x:c>
      <x:c r="X1255" s="259" t="n">
        <x:v>46211.166666666664</x:v>
      </x:c>
      <x:c r="Y1255" s="265" t="n">
        <x:v>1000</x:v>
      </x:c>
      <x:c r="Z1255" s="265" t="n">
        <x:v>1000</x:v>
      </x:c>
      <x:c r="AA1255" s="253" t="str">
        <x:f>IF(V1255="No","Maturing",IF(AND(U1255="Yes",Y1255&gt;0),"Yes","No"))</x:f>
        <x:v>No</x:v>
      </x:c>
      <x:c r="AB1255" s="253" t="str">
        <x:f>IF(W1255="No","Maturing",IF(AND(U1255="Yes",Z1255&gt;0),"Yes","No"))</x:f>
        <x:v>No</x:v>
      </x:c>
      <x:c r="AC1255" s="265" t="n">
        <x:v>965.93</x:v>
      </x:c>
      <x:c r="AD1255" s="265" t="n">
        <x:v>965.93</x:v>
      </x:c>
      <x:c r="AE1255" s="271" t="str"/>
      <x:c r="AF1255" s="274" t="str">
        <x:v>Not validated - no control/holdout</x:v>
      </x:c>
      <x:c r="AG1255" s="277" t="str">
        <x:v>Recovered execution only; assignment date and unclaimed-offer denominator unavailable</x:v>
      </x:c>
    </x:row>
    <x:row r="1256">
      <x:c r="A1256" s="252" t="str">
        <x:v>34885980</x:v>
      </x:c>
      <x:c r="B1256" s="253" t="str">
        <x:v>WS1</x:v>
      </x:c>
      <x:c r="C1256" s="253" t="str">
        <x:v>MB8</x:v>
      </x:c>
      <x:c r="D1256" s="262" t="n">
        <x:v>46211.861759259256</x:v>
      </x:c>
      <x:c r="E1256" s="259" t="n">
        <x:v>46211.166666666664</x:v>
      </x:c>
      <x:c r="F1256" s="253" t="str">
        <x:v>869594</x:v>
      </x:c>
      <x:c r="G1256" s="253" t="str">
        <x:v>Tiam1688</x:v>
      </x:c>
      <x:c r="H1256" s="253" t="str">
        <x:v>Yes</x:v>
      </x:c>
      <x:c r="I1256" s="253" t="str"/>
      <x:c r="J1256" s="253" t="str"/>
      <x:c r="K1256" s="259"/>
      <x:c r="L1256" s="268" t="str">
        <x:f>IFERROR(VLOOKUP(I1256,'Handler-Team Map'!$A$7:$C$17,2,FALSE),"")</x:f>
      </x:c>
      <x:c r="M1256" s="268" t="str">
        <x:f>IFERROR(VLOOKUP(I1256,'Handler-Team Map'!$A$7:$C$17,3,FALSE),"")</x:f>
      </x:c>
      <x:c r="N1256" s="274" t="str">
        <x:v>FT_VM_DEP700_GET300_2X</x:v>
      </x:c>
      <x:c r="O1256" s="274" t="str">
        <x:v>VIP BONUS - Deposit 700 Get 300 - 2x TO</x:v>
      </x:c>
      <x:c r="P1256" s="274" t="str">
        <x:v>DepositBonus</x:v>
      </x:c>
      <x:c r="Q1256" s="274" t="str">
        <x:v>Approved</x:v>
      </x:c>
      <x:c r="R1256" s="265" t="n">
        <x:v>300</x:v>
      </x:c>
      <x:c r="S1256" s="253" t="str">
        <x:v>Yes</x:v>
      </x:c>
      <x:c r="T1256" s="265" t="n">
        <x:v>900</x:v>
      </x:c>
      <x:c r="U1256" s="253" t="str">
        <x:f>IF(AND(S1256="Yes",T1256=0),"Yes","No")</x:f>
        <x:v>No</x:v>
      </x:c>
      <x:c r="V1256" s="253" t="str">
        <x:v>Yes</x:v>
      </x:c>
      <x:c r="W1256" s="253" t="str">
        <x:v>Yes</x:v>
      </x:c>
      <x:c r="X1256" s="259" t="n">
        <x:v>46211.166666666664</x:v>
      </x:c>
      <x:c r="Y1256" s="265" t="n">
        <x:v>700</x:v>
      </x:c>
      <x:c r="Z1256" s="265" t="n">
        <x:v>700</x:v>
      </x:c>
      <x:c r="AA1256" s="253" t="str">
        <x:f>IF(V1256="No","Maturing",IF(AND(U1256="Yes",Y1256&gt;0),"Yes","No"))</x:f>
        <x:v>No</x:v>
      </x:c>
      <x:c r="AB1256" s="253" t="str">
        <x:f>IF(W1256="No","Maturing",IF(AND(U1256="Yes",Z1256&gt;0),"Yes","No"))</x:f>
        <x:v>No</x:v>
      </x:c>
      <x:c r="AC1256" s="265" t="n">
        <x:v>699.8</x:v>
      </x:c>
      <x:c r="AD1256" s="265" t="n">
        <x:v>699.9</x:v>
      </x:c>
      <x:c r="AE1256" s="271" t="str"/>
      <x:c r="AF1256" s="274" t="str">
        <x:v>Not validated - no control/holdout</x:v>
      </x:c>
      <x:c r="AG1256" s="277" t="str">
        <x:v>Recovered execution only; assignment date and unclaimed-offer denominator unavailable</x:v>
      </x:c>
    </x:row>
    <x:row r="1257">
      <x:c r="A1257" s="252" t="str">
        <x:v>34886513</x:v>
      </x:c>
      <x:c r="B1257" s="253" t="str">
        <x:v>WS1</x:v>
      </x:c>
      <x:c r="C1257" s="253" t="str">
        <x:v>MB8</x:v>
      </x:c>
      <x:c r="D1257" s="262" t="n">
        <x:v>46211.89292824074</x:v>
      </x:c>
      <x:c r="E1257" s="259" t="n">
        <x:v>46211.166666666664</x:v>
      </x:c>
      <x:c r="F1257" s="253" t="str">
        <x:v>1192824</x:v>
      </x:c>
      <x:c r="G1257" s="253" t="str">
        <x:v>Timi0922</x:v>
      </x:c>
      <x:c r="H1257" s="253" t="str">
        <x:v>Yes</x:v>
      </x:c>
      <x:c r="I1257" s="253" t="str"/>
      <x:c r="J1257" s="253" t="str"/>
      <x:c r="K1257" s="259"/>
      <x:c r="L1257" s="268" t="str">
        <x:f>IFERROR(VLOOKUP(I1257,'Handler-Team Map'!$A$7:$C$17,2,FALSE),"")</x:f>
      </x:c>
      <x:c r="M1257" s="268" t="str">
        <x:f>IFERROR(VLOOKUP(I1257,'Handler-Team Map'!$A$7:$C$17,3,FALSE),"")</x:f>
      </x:c>
      <x:c r="N1257" s="274" t="str">
        <x:v>FT_VM_DEP600_GET200_5X</x:v>
      </x:c>
      <x:c r="O1257" s="274" t="str">
        <x:v>VIP BONUS - Deposit 600 Get 200 - 5x TO</x:v>
      </x:c>
      <x:c r="P1257" s="274" t="str">
        <x:v>DepositBonus</x:v>
      </x:c>
      <x:c r="Q1257" s="274" t="str">
        <x:v>Approved</x:v>
      </x:c>
      <x:c r="R1257" s="265" t="n">
        <x:v>200</x:v>
      </x:c>
      <x:c r="S1257" s="253" t="str">
        <x:v>Yes</x:v>
      </x:c>
      <x:c r="T1257" s="265" t="n">
        <x:v>400</x:v>
      </x:c>
      <x:c r="U1257" s="253" t="str">
        <x:f>IF(AND(S1257="Yes",T1257=0),"Yes","No")</x:f>
        <x:v>No</x:v>
      </x:c>
      <x:c r="V1257" s="253" t="str">
        <x:v>Yes</x:v>
      </x:c>
      <x:c r="W1257" s="253" t="str">
        <x:v>Yes</x:v>
      </x:c>
      <x:c r="X1257" s="259" t="n">
        <x:v>46211.166666666664</x:v>
      </x:c>
      <x:c r="Y1257" s="265" t="n">
        <x:v>600</x:v>
      </x:c>
      <x:c r="Z1257" s="265" t="n">
        <x:v>600</x:v>
      </x:c>
      <x:c r="AA1257" s="253" t="str">
        <x:f>IF(V1257="No","Maturing",IF(AND(U1257="Yes",Y1257&gt;0),"Yes","No"))</x:f>
        <x:v>No</x:v>
      </x:c>
      <x:c r="AB1257" s="253" t="str">
        <x:f>IF(W1257="No","Maturing",IF(AND(U1257="Yes",Z1257&gt;0),"Yes","No"))</x:f>
        <x:v>No</x:v>
      </x:c>
      <x:c r="AC1257" s="265" t="n">
        <x:v>599.73</x:v>
      </x:c>
      <x:c r="AD1257" s="265" t="n">
        <x:v>600.05</x:v>
      </x:c>
      <x:c r="AE1257" s="271" t="str"/>
      <x:c r="AF1257" s="274" t="str">
        <x:v>Not validated - no control/holdout</x:v>
      </x:c>
      <x:c r="AG1257" s="277" t="str">
        <x:v>Recovered execution only; assignment date and unclaimed-offer denominator unavailable</x:v>
      </x:c>
    </x:row>
    <x:row r="1258">
      <x:c r="A1258" s="252" t="str">
        <x:v>5937658</x:v>
      </x:c>
      <x:c r="B1258" s="253" t="str">
        <x:v>WS1</x:v>
      </x:c>
      <x:c r="C1258" s="253" t="str">
        <x:v>MB8</x:v>
      </x:c>
      <x:c r="D1258" s="262" t="n">
        <x:v>46211.90355324074</x:v>
      </x:c>
      <x:c r="E1258" s="259" t="n">
        <x:v>46211.166666666664</x:v>
      </x:c>
      <x:c r="F1258" s="253" t="str">
        <x:v>687570</x:v>
      </x:c>
      <x:c r="G1258" s="253" t="str">
        <x:v>tingns555</x:v>
      </x:c>
      <x:c r="H1258" s="253" t="str">
        <x:v>Yes</x:v>
      </x:c>
      <x:c r="I1258" s="253" t="str">
        <x:v>Serene</x:v>
      </x:c>
      <x:c r="J1258" s="253" t="str">
        <x:v>Serene</x:v>
      </x:c>
      <x:c r="K1258" s="259" t="n">
        <x:v>45859.166666666664</x:v>
      </x:c>
      <x:c r="L1258" s="268" t="str">
        <x:f>IFERROR(VLOOKUP(I1258,'Handler-Team Map'!$A$7:$C$17,2,FALSE),"")</x:f>
      </x:c>
      <x:c r="M1258" s="268" t="str">
        <x:f>IFERROR(VLOOKUP(I1258,'Handler-Team Map'!$A$7:$C$17,3,FALSE),"")</x:f>
      </x:c>
      <x:c r="N1258" s="274" t="str">
        <x:v>FT_VMFC_VARIABLE_3X</x:v>
      </x:c>
      <x:c r="O1258" s="274" t="str">
        <x:v>VIP SPECIAL FREE CREDIT - 3x TO</x:v>
      </x:c>
      <x:c r="P1258" s="274" t="str">
        <x:v>FreeCredit</x:v>
      </x:c>
      <x:c r="Q1258" s="274" t="str">
        <x:v>Redeemed</x:v>
      </x:c>
      <x:c r="R1258" s="265" t="n">
        <x:v>2588</x:v>
      </x:c>
      <x:c r="S1258" s="253" t="str">
        <x:v>Yes</x:v>
      </x:c>
      <x:c r="T1258" s="265" t="n">
        <x:v>0</x:v>
      </x:c>
      <x:c r="U1258" s="253" t="str">
        <x:f>IF(AND(S1258="Yes",T1258=0),"Yes","No")</x:f>
        <x:v>Yes</x:v>
      </x:c>
      <x:c r="V1258" s="253" t="str">
        <x:v>Yes</x:v>
      </x:c>
      <x:c r="W1258" s="253" t="str">
        <x:v>Yes</x:v>
      </x:c>
      <x:c r="X1258" s="259" t="n">
        <x:v>46222.166666666664</x:v>
      </x:c>
      <x:c r="Y1258" s="265" t="n">
        <x:v>0</x:v>
      </x:c>
      <x:c r="Z1258" s="265" t="n">
        <x:v>1600</x:v>
      </x:c>
      <x:c r="AA1258" s="253" t="str">
        <x:f>IF(V1258="No","Maturing",IF(AND(U1258="Yes",Y1258&gt;0),"Yes","No"))</x:f>
        <x:v>No</x:v>
      </x:c>
      <x:c r="AB1258" s="253" t="str">
        <x:f>IF(W1258="No","Maturing",IF(AND(U1258="Yes",Z1258&gt;0),"Yes","No"))</x:f>
        <x:v>Yes</x:v>
      </x:c>
      <x:c r="AC1258" s="265" t="n">
        <x:v>-0.11</x:v>
      </x:c>
      <x:c r="AD1258" s="265" t="n">
        <x:v>1598.89</x:v>
      </x:c>
      <x:c r="AE1258" s="271" t="str"/>
      <x:c r="AF1258" s="274" t="str">
        <x:v>Not validated - no control/holdout</x:v>
      </x:c>
      <x:c r="AG1258" s="277" t="str">
        <x:v>Recovered execution only; assignment date and unclaimed-offer denominator unavailable</x:v>
      </x:c>
    </x:row>
    <x:row r="1259">
      <x:c r="A1259" s="252" t="str">
        <x:v>34886761</x:v>
      </x:c>
      <x:c r="B1259" s="253" t="str">
        <x:v>WS1</x:v>
      </x:c>
      <x:c r="C1259" s="253" t="str">
        <x:v>MB8</x:v>
      </x:c>
      <x:c r="D1259" s="262" t="n">
        <x:v>46211.90773148148</x:v>
      </x:c>
      <x:c r="E1259" s="259" t="n">
        <x:v>46211.166666666664</x:v>
      </x:c>
      <x:c r="F1259" s="253" t="str">
        <x:v>612280</x:v>
      </x:c>
      <x:c r="G1259" s="253" t="str">
        <x:v>Sarfaraz1</x:v>
      </x:c>
      <x:c r="H1259" s="253" t="str">
        <x:v>Yes</x:v>
      </x:c>
      <x:c r="I1259" s="253" t="str"/>
      <x:c r="J1259" s="253" t="str"/>
      <x:c r="K1259" s="259"/>
      <x:c r="L1259" s="268" t="str">
        <x:f>IFERROR(VLOOKUP(I1259,'Handler-Team Map'!$A$7:$C$17,2,FALSE),"")</x:f>
      </x:c>
      <x:c r="M1259" s="268" t="str">
        <x:f>IFERROR(VLOOKUP(I1259,'Handler-Team Map'!$A$7:$C$17,3,FALSE),"")</x:f>
      </x:c>
      <x:c r="N1259" s="274" t="str">
        <x:v>FT_VM_DEP800_GET400_1X</x:v>
      </x:c>
      <x:c r="O1259" s="274" t="str">
        <x:v>VIP BONUS - Deposit 800 Get 400 - 1x TO</x:v>
      </x:c>
      <x:c r="P1259" s="274" t="str">
        <x:v>DepositBonus</x:v>
      </x:c>
      <x:c r="Q1259" s="274" t="str">
        <x:v>Approved</x:v>
      </x:c>
      <x:c r="R1259" s="265" t="n">
        <x:v>400</x:v>
      </x:c>
      <x:c r="S1259" s="253" t="str">
        <x:v>Yes</x:v>
      </x:c>
      <x:c r="T1259" s="265" t="n">
        <x:v>700</x:v>
      </x:c>
      <x:c r="U1259" s="253" t="str">
        <x:f>IF(AND(S1259="Yes",T1259=0),"Yes","No")</x:f>
        <x:v>No</x:v>
      </x:c>
      <x:c r="V1259" s="253" t="str">
        <x:v>Yes</x:v>
      </x:c>
      <x:c r="W1259" s="253" t="str">
        <x:v>Yes</x:v>
      </x:c>
      <x:c r="X1259" s="259" t="n">
        <x:v>46211.166666666664</x:v>
      </x:c>
      <x:c r="Y1259" s="265" t="n">
        <x:v>1400</x:v>
      </x:c>
      <x:c r="Z1259" s="265" t="n">
        <x:v>2000</x:v>
      </x:c>
      <x:c r="AA1259" s="253" t="str">
        <x:f>IF(V1259="No","Maturing",IF(AND(U1259="Yes",Y1259&gt;0),"Yes","No"))</x:f>
        <x:v>No</x:v>
      </x:c>
      <x:c r="AB1259" s="253" t="str">
        <x:f>IF(W1259="No","Maturing",IF(AND(U1259="Yes",Z1259&gt;0),"Yes","No"))</x:f>
        <x:v>No</x:v>
      </x:c>
      <x:c r="AC1259" s="265" t="n">
        <x:v>797.83</x:v>
      </x:c>
      <x:c r="AD1259" s="265" t="n">
        <x:v>1397.08</x:v>
      </x:c>
      <x:c r="AE1259" s="271" t="str"/>
      <x:c r="AF1259" s="274" t="str">
        <x:v>Not validated - no control/holdout</x:v>
      </x:c>
      <x:c r="AG1259" s="277" t="str">
        <x:v>Recovered execution only; assignment date and unclaimed-offer denominator unavailable</x:v>
      </x:c>
    </x:row>
    <x:row r="1260">
      <x:c r="A1260" s="252" t="str">
        <x:v>34892389</x:v>
      </x:c>
      <x:c r="B1260" s="253" t="str">
        <x:v>WS1</x:v>
      </x:c>
      <x:c r="C1260" s="253" t="str">
        <x:v>MB8</x:v>
      </x:c>
      <x:c r="D1260" s="262" t="n">
        <x:v>46212.41075231481</x:v>
      </x:c>
      <x:c r="E1260" s="259" t="n">
        <x:v>46212.166666666664</x:v>
      </x:c>
      <x:c r="F1260" s="253" t="str">
        <x:v>1201713</x:v>
      </x:c>
      <x:c r="G1260" s="253" t="str">
        <x:v>limmeeishii</x:v>
      </x:c>
      <x:c r="H1260" s="253" t="str">
        <x:v>Yes</x:v>
      </x:c>
      <x:c r="I1260" s="253" t="str"/>
      <x:c r="J1260" s="253" t="str"/>
      <x:c r="K1260" s="259"/>
      <x:c r="L1260" s="268" t="str">
        <x:f>IFERROR(VLOOKUP(I1260,'Handler-Team Map'!$A$7:$C$17,2,FALSE),"")</x:f>
      </x:c>
      <x:c r="M1260" s="268" t="str">
        <x:f>IFERROR(VLOOKUP(I1260,'Handler-Team Map'!$A$7:$C$17,3,FALSE),"")</x:f>
      </x:c>
      <x:c r="N1260" s="274" t="str">
        <x:v>FT_VM_DEP1000_GET500_1X</x:v>
      </x:c>
      <x:c r="O1260" s="274" t="str">
        <x:v>VIP BONUS - Deposit 1000 Get 500 - 1x TO</x:v>
      </x:c>
      <x:c r="P1260" s="274" t="str">
        <x:v>DepositBonus</x:v>
      </x:c>
      <x:c r="Q1260" s="274" t="str">
        <x:v>Approved</x:v>
      </x:c>
      <x:c r="R1260" s="265" t="n">
        <x:v>500</x:v>
      </x:c>
      <x:c r="S1260" s="253" t="str">
        <x:v>Yes</x:v>
      </x:c>
      <x:c r="T1260" s="265" t="n">
        <x:v>0</x:v>
      </x:c>
      <x:c r="U1260" s="253" t="str">
        <x:f>IF(AND(S1260="Yes",T1260=0),"Yes","No")</x:f>
        <x:v>Yes</x:v>
      </x:c>
      <x:c r="V1260" s="253" t="str">
        <x:v>Yes</x:v>
      </x:c>
      <x:c r="W1260" s="253" t="str">
        <x:v>Yes</x:v>
      </x:c>
      <x:c r="X1260" s="259" t="n">
        <x:v>46212.166666666664</x:v>
      </x:c>
      <x:c r="Y1260" s="265" t="n">
        <x:v>10630</x:v>
      </x:c>
      <x:c r="Z1260" s="265" t="n">
        <x:v>11930</x:v>
      </x:c>
      <x:c r="AA1260" s="253" t="str">
        <x:f>IF(V1260="No","Maturing",IF(AND(U1260="Yes",Y1260&gt;0),"Yes","No"))</x:f>
        <x:v>Yes</x:v>
      </x:c>
      <x:c r="AB1260" s="253" t="str">
        <x:f>IF(W1260="No","Maturing",IF(AND(U1260="Yes",Z1260&gt;0),"Yes","No"))</x:f>
        <x:v>Yes</x:v>
      </x:c>
      <x:c r="AC1260" s="265" t="n">
        <x:v>-8579.53</x:v>
      </x:c>
      <x:c r="AD1260" s="265" t="n">
        <x:v>-7274.98</x:v>
      </x:c>
      <x:c r="AE1260" s="271" t="str"/>
      <x:c r="AF1260" s="274" t="str">
        <x:v>Not validated - no control/holdout</x:v>
      </x:c>
      <x:c r="AG1260" s="277" t="str">
        <x:v>Recovered execution only; assignment date and unclaimed-offer denominator unavailable</x:v>
      </x:c>
    </x:row>
    <x:row r="1261">
      <x:c r="A1261" s="252" t="str">
        <x:v>34893432</x:v>
      </x:c>
      <x:c r="B1261" s="253" t="str">
        <x:v>WS1</x:v>
      </x:c>
      <x:c r="C1261" s="253" t="str">
        <x:v>MB8</x:v>
      </x:c>
      <x:c r="D1261" s="262" t="n">
        <x:v>46212.52454861111</x:v>
      </x:c>
      <x:c r="E1261" s="259" t="n">
        <x:v>46212.166666666664</x:v>
      </x:c>
      <x:c r="F1261" s="253" t="str">
        <x:v>306733</x:v>
      </x:c>
      <x:c r="G1261" s="253" t="str">
        <x:v>HC5140</x:v>
      </x:c>
      <x:c r="H1261" s="253" t="str">
        <x:v>Yes</x:v>
      </x:c>
      <x:c r="I1261" s="253" t="str">
        <x:v>Claire</x:v>
      </x:c>
      <x:c r="J1261" s="253" t="str">
        <x:v>Claire</x:v>
      </x:c>
      <x:c r="K1261" s="259" t="n">
        <x:v>45659.166666666664</x:v>
      </x:c>
      <x:c r="L1261" s="268" t="str">
        <x:f>IFERROR(VLOOKUP(I1261,'Handler-Team Map'!$A$7:$C$17,2,FALSE),"")</x:f>
      </x:c>
      <x:c r="M1261" s="268" t="str">
        <x:f>IFERROR(VLOOKUP(I1261,'Handler-Team Map'!$A$7:$C$17,3,FALSE),"")</x:f>
      </x:c>
      <x:c r="N1261" s="274" t="str">
        <x:v>FT_VM_DEP1000_GET500_5X</x:v>
      </x:c>
      <x:c r="O1261" s="274" t="str">
        <x:v>VIP BONUS - Deposit 1000 Get 500 - 5x TO</x:v>
      </x:c>
      <x:c r="P1261" s="274" t="str">
        <x:v>DepositBonus</x:v>
      </x:c>
      <x:c r="Q1261" s="274" t="str">
        <x:v>Approved</x:v>
      </x:c>
      <x:c r="R1261" s="265" t="n">
        <x:v>500</x:v>
      </x:c>
      <x:c r="S1261" s="253" t="str">
        <x:v>Yes</x:v>
      </x:c>
      <x:c r="T1261" s="265" t="n">
        <x:v>90324</x:v>
      </x:c>
      <x:c r="U1261" s="253" t="str">
        <x:f>IF(AND(S1261="Yes",T1261=0),"Yes","No")</x:f>
        <x:v>No</x:v>
      </x:c>
      <x:c r="V1261" s="253" t="str">
        <x:v>Yes</x:v>
      </x:c>
      <x:c r="W1261" s="253" t="str">
        <x:v>Yes</x:v>
      </x:c>
      <x:c r="X1261" s="259" t="n">
        <x:v>46212.166666666664</x:v>
      </x:c>
      <x:c r="Y1261" s="265" t="n">
        <x:v>5510</x:v>
      </x:c>
      <x:c r="Z1261" s="265" t="n">
        <x:v>21240</x:v>
      </x:c>
      <x:c r="AA1261" s="253" t="str">
        <x:f>IF(V1261="No","Maturing",IF(AND(U1261="Yes",Y1261&gt;0),"Yes","No"))</x:f>
        <x:v>No</x:v>
      </x:c>
      <x:c r="AB1261" s="253" t="str">
        <x:f>IF(W1261="No","Maturing",IF(AND(U1261="Yes",Z1261&gt;0),"Yes","No"))</x:f>
        <x:v>No</x:v>
      </x:c>
      <x:c r="AC1261" s="265" t="n">
        <x:v>-2228.62</x:v>
      </x:c>
      <x:c r="AD1261" s="265" t="n">
        <x:v>-5119.51</x:v>
      </x:c>
      <x:c r="AE1261" s="271" t="str"/>
      <x:c r="AF1261" s="274" t="str">
        <x:v>Not validated - no control/holdout</x:v>
      </x:c>
      <x:c r="AG1261" s="277" t="str">
        <x:v>Recovered execution only; assignment date and unclaimed-offer denominator unavailable</x:v>
      </x:c>
    </x:row>
    <x:row r="1262">
      <x:c r="A1262" s="252" t="str">
        <x:v>34894584</x:v>
      </x:c>
      <x:c r="B1262" s="253" t="str">
        <x:v>WS1</x:v>
      </x:c>
      <x:c r="C1262" s="253" t="str">
        <x:v>MB8</x:v>
      </x:c>
      <x:c r="D1262" s="262" t="n">
        <x:v>46212.650659722225</x:v>
      </x:c>
      <x:c r="E1262" s="259" t="n">
        <x:v>46212.166666666664</x:v>
      </x:c>
      <x:c r="F1262" s="253" t="str">
        <x:v>433845</x:v>
      </x:c>
      <x:c r="G1262" s="253" t="str">
        <x:v>aderson124</x:v>
      </x:c>
      <x:c r="H1262" s="253" t="str">
        <x:v>Yes</x:v>
      </x:c>
      <x:c r="I1262" s="253" t="str">
        <x:v>Sheena</x:v>
      </x:c>
      <x:c r="J1262" s="253" t="str">
        <x:v>Sheena</x:v>
      </x:c>
      <x:c r="K1262" s="259" t="n">
        <x:v>45852.166666666664</x:v>
      </x:c>
      <x:c r="L1262" s="268" t="str">
        <x:f>IFERROR(VLOOKUP(I1262,'Handler-Team Map'!$A$7:$C$17,2,FALSE),"")</x:f>
      </x:c>
      <x:c r="M1262" s="268" t="str">
        <x:f>IFERROR(VLOOKUP(I1262,'Handler-Team Map'!$A$7:$C$17,3,FALSE),"")</x:f>
      </x:c>
      <x:c r="N1262" s="274" t="str">
        <x:v>FT_VM_DEP1000_GET500_5X</x:v>
      </x:c>
      <x:c r="O1262" s="274" t="str">
        <x:v>VIP BONUS - Deposit 1000 Get 500 - 5x TO</x:v>
      </x:c>
      <x:c r="P1262" s="274" t="str">
        <x:v>DepositBonus</x:v>
      </x:c>
      <x:c r="Q1262" s="274" t="str">
        <x:v>Approved</x:v>
      </x:c>
      <x:c r="R1262" s="265" t="n">
        <x:v>500</x:v>
      </x:c>
      <x:c r="S1262" s="253" t="str">
        <x:v>Yes</x:v>
      </x:c>
      <x:c r="T1262" s="265" t="n">
        <x:v>73687</x:v>
      </x:c>
      <x:c r="U1262" s="253" t="str">
        <x:f>IF(AND(S1262="Yes",T1262=0),"Yes","No")</x:f>
        <x:v>No</x:v>
      </x:c>
      <x:c r="V1262" s="253" t="str">
        <x:v>Yes</x:v>
      </x:c>
      <x:c r="W1262" s="253" t="str">
        <x:v>Yes</x:v>
      </x:c>
      <x:c r="X1262" s="259" t="n">
        <x:v>46212.166666666664</x:v>
      </x:c>
      <x:c r="Y1262" s="265" t="n">
        <x:v>2000</x:v>
      </x:c>
      <x:c r="Z1262" s="265" t="n">
        <x:v>5000</x:v>
      </x:c>
      <x:c r="AA1262" s="253" t="str">
        <x:f>IF(V1262="No","Maturing",IF(AND(U1262="Yes",Y1262&gt;0),"Yes","No"))</x:f>
        <x:v>No</x:v>
      </x:c>
      <x:c r="AB1262" s="253" t="str">
        <x:f>IF(W1262="No","Maturing",IF(AND(U1262="Yes",Z1262&gt;0),"Yes","No"))</x:f>
        <x:v>No</x:v>
      </x:c>
      <x:c r="AC1262" s="265" t="n">
        <x:v>-3967.7</x:v>
      </x:c>
      <x:c r="AD1262" s="265" t="n">
        <x:v>-2038.52</x:v>
      </x:c>
      <x:c r="AE1262" s="271" t="str"/>
      <x:c r="AF1262" s="274" t="str">
        <x:v>Not validated - no control/holdout</x:v>
      </x:c>
      <x:c r="AG1262" s="277" t="str">
        <x:v>Recovered execution only; assignment date and unclaimed-offer denominator unavailable</x:v>
      </x:c>
    </x:row>
    <x:row r="1263">
      <x:c r="A1263" s="252" t="str">
        <x:v>34894832</x:v>
      </x:c>
      <x:c r="B1263" s="253" t="str">
        <x:v>WS1</x:v>
      </x:c>
      <x:c r="C1263" s="253" t="str">
        <x:v>MB8</x:v>
      </x:c>
      <x:c r="D1263" s="262" t="n">
        <x:v>46212.66966435185</x:v>
      </x:c>
      <x:c r="E1263" s="259" t="n">
        <x:v>46212.166666666664</x:v>
      </x:c>
      <x:c r="F1263" s="253" t="str">
        <x:v>158072</x:v>
      </x:c>
      <x:c r="G1263" s="253" t="str">
        <x:v>jackycheng7</x:v>
      </x:c>
      <x:c r="H1263" s="253" t="str">
        <x:v>Yes</x:v>
      </x:c>
      <x:c r="I1263" s="253" t="str"/>
      <x:c r="J1263" s="253" t="str"/>
      <x:c r="K1263" s="259"/>
      <x:c r="L1263" s="268" t="str">
        <x:f>IFERROR(VLOOKUP(I1263,'Handler-Team Map'!$A$7:$C$17,2,FALSE),"")</x:f>
      </x:c>
      <x:c r="M1263" s="268" t="str">
        <x:f>IFERROR(VLOOKUP(I1263,'Handler-Team Map'!$A$7:$C$17,3,FALSE),"")</x:f>
      </x:c>
      <x:c r="N1263" s="274" t="str">
        <x:v>FT_VM_DEP700_GET300_2X</x:v>
      </x:c>
      <x:c r="O1263" s="274" t="str">
        <x:v>VIP BONUS - Deposit 700 Get 300 - 2x TO</x:v>
      </x:c>
      <x:c r="P1263" s="274" t="str">
        <x:v>DepositBonus</x:v>
      </x:c>
      <x:c r="Q1263" s="274" t="str">
        <x:v>Approved</x:v>
      </x:c>
      <x:c r="R1263" s="265" t="n">
        <x:v>300</x:v>
      </x:c>
      <x:c r="S1263" s="253" t="str">
        <x:v>Yes</x:v>
      </x:c>
      <x:c r="T1263" s="265" t="n">
        <x:v>0</x:v>
      </x:c>
      <x:c r="U1263" s="253" t="str">
        <x:f>IF(AND(S1263="Yes",T1263=0),"Yes","No")</x:f>
        <x:v>Yes</x:v>
      </x:c>
      <x:c r="V1263" s="253" t="str">
        <x:v>Yes</x:v>
      </x:c>
      <x:c r="W1263" s="253" t="str">
        <x:v>Yes</x:v>
      </x:c>
      <x:c r="X1263" s="259" t="n">
        <x:v>46212.166666666664</x:v>
      </x:c>
      <x:c r="Y1263" s="265" t="n">
        <x:v>700</x:v>
      </x:c>
      <x:c r="Z1263" s="265" t="n">
        <x:v>700</x:v>
      </x:c>
      <x:c r="AA1263" s="253" t="str">
        <x:f>IF(V1263="No","Maturing",IF(AND(U1263="Yes",Y1263&gt;0),"Yes","No"))</x:f>
        <x:v>Yes</x:v>
      </x:c>
      <x:c r="AB1263" s="253" t="str">
        <x:f>IF(W1263="No","Maturing",IF(AND(U1263="Yes",Z1263&gt;0),"Yes","No"))</x:f>
        <x:v>Yes</x:v>
      </x:c>
      <x:c r="AC1263" s="265" t="n">
        <x:v>-2000.43</x:v>
      </x:c>
      <x:c r="AD1263" s="265" t="n">
        <x:v>-753.39</x:v>
      </x:c>
      <x:c r="AE1263" s="271" t="str"/>
      <x:c r="AF1263" s="274" t="str">
        <x:v>Not validated - no control/holdout</x:v>
      </x:c>
      <x:c r="AG1263" s="277" t="str">
        <x:v>Recovered execution only; assignment date and unclaimed-offer denominator unavailable</x:v>
      </x:c>
    </x:row>
    <x:row r="1264">
      <x:c r="A1264" s="252" t="str">
        <x:v>34895000</x:v>
      </x:c>
      <x:c r="B1264" s="253" t="str">
        <x:v>WS1</x:v>
      </x:c>
      <x:c r="C1264" s="253" t="str">
        <x:v>MB8</x:v>
      </x:c>
      <x:c r="D1264" s="262" t="n">
        <x:v>46212.68054398148</x:v>
      </x:c>
      <x:c r="E1264" s="259" t="n">
        <x:v>46212.166666666664</x:v>
      </x:c>
      <x:c r="F1264" s="253" t="str">
        <x:v>438623</x:v>
      </x:c>
      <x:c r="G1264" s="253" t="str">
        <x:v>Allaxe88</x:v>
      </x:c>
      <x:c r="H1264" s="253" t="str">
        <x:v>Yes</x:v>
      </x:c>
      <x:c r="I1264" s="253" t="str">
        <x:v>Claire</x:v>
      </x:c>
      <x:c r="J1264" s="253" t="str">
        <x:v>Claire</x:v>
      </x:c>
      <x:c r="K1264" s="259" t="n">
        <x:v>46090.166666666664</x:v>
      </x:c>
      <x:c r="L1264" s="268" t="str">
        <x:f>IFERROR(VLOOKUP(I1264,'Handler-Team Map'!$A$7:$C$17,2,FALSE),"")</x:f>
      </x:c>
      <x:c r="M1264" s="268" t="str">
        <x:f>IFERROR(VLOOKUP(I1264,'Handler-Team Map'!$A$7:$C$17,3,FALSE),"")</x:f>
      </x:c>
      <x:c r="N1264" s="274" t="str">
        <x:v>FT_VM_DEP1000_GET500_5X</x:v>
      </x:c>
      <x:c r="O1264" s="274" t="str">
        <x:v>VIP BONUS - Deposit 1000 Get 500 - 5x TO</x:v>
      </x:c>
      <x:c r="P1264" s="274" t="str">
        <x:v>DepositBonus</x:v>
      </x:c>
      <x:c r="Q1264" s="274" t="str">
        <x:v>Approved</x:v>
      </x:c>
      <x:c r="R1264" s="265" t="n">
        <x:v>500</x:v>
      </x:c>
      <x:c r="S1264" s="253" t="str">
        <x:v>Yes</x:v>
      </x:c>
      <x:c r="T1264" s="265" t="n">
        <x:v>24550</x:v>
      </x:c>
      <x:c r="U1264" s="253" t="str">
        <x:f>IF(AND(S1264="Yes",T1264=0),"Yes","No")</x:f>
        <x:v>No</x:v>
      </x:c>
      <x:c r="V1264" s="253" t="str">
        <x:v>Yes</x:v>
      </x:c>
      <x:c r="W1264" s="253" t="str">
        <x:v>Yes</x:v>
      </x:c>
      <x:c r="X1264" s="259" t="n">
        <x:v>46212.166666666664</x:v>
      </x:c>
      <x:c r="Y1264" s="265" t="n">
        <x:v>1500</x:v>
      </x:c>
      <x:c r="Z1264" s="265" t="n">
        <x:v>1500</x:v>
      </x:c>
      <x:c r="AA1264" s="253" t="str">
        <x:f>IF(V1264="No","Maturing",IF(AND(U1264="Yes",Y1264&gt;0),"Yes","No"))</x:f>
        <x:v>No</x:v>
      </x:c>
      <x:c r="AB1264" s="253" t="str">
        <x:f>IF(W1264="No","Maturing",IF(AND(U1264="Yes",Z1264&gt;0),"Yes","No"))</x:f>
        <x:v>No</x:v>
      </x:c>
      <x:c r="AC1264" s="265" t="n">
        <x:v>-1220.45</x:v>
      </x:c>
      <x:c r="AD1264" s="265" t="n">
        <x:v>-1431.77</x:v>
      </x:c>
      <x:c r="AE1264" s="271" t="str"/>
      <x:c r="AF1264" s="274" t="str">
        <x:v>Not validated - no control/holdout</x:v>
      </x:c>
      <x:c r="AG1264" s="277" t="str">
        <x:v>Recovered execution only; assignment date and unclaimed-offer denominator unavailable</x:v>
      </x:c>
    </x:row>
    <x:row r="1265">
      <x:c r="A1265" s="252" t="str">
        <x:v>34896022</x:v>
      </x:c>
      <x:c r="B1265" s="253" t="str">
        <x:v>WS1</x:v>
      </x:c>
      <x:c r="C1265" s="253" t="str">
        <x:v>MB8</x:v>
      </x:c>
      <x:c r="D1265" s="262" t="n">
        <x:v>46212.765810185185</x:v>
      </x:c>
      <x:c r="E1265" s="259" t="n">
        <x:v>46212.166666666664</x:v>
      </x:c>
      <x:c r="F1265" s="253" t="str">
        <x:v>269339</x:v>
      </x:c>
      <x:c r="G1265" s="253" t="str">
        <x:v>Gohan123</x:v>
      </x:c>
      <x:c r="H1265" s="253" t="str">
        <x:v>Yes</x:v>
      </x:c>
      <x:c r="I1265" s="253" t="str">
        <x:v>zhen</x:v>
      </x:c>
      <x:c r="J1265" s="253" t="str">
        <x:v>zhen</x:v>
      </x:c>
      <x:c r="K1265" s="259" t="n">
        <x:v>45985.166666666664</x:v>
      </x:c>
      <x:c r="L1265" s="268" t="str">
        <x:f>IFERROR(VLOOKUP(I1265,'Handler-Team Map'!$A$7:$C$17,2,FALSE),"")</x:f>
      </x:c>
      <x:c r="M1265" s="268" t="str">
        <x:f>IFERROR(VLOOKUP(I1265,'Handler-Team Map'!$A$7:$C$17,3,FALSE),"")</x:f>
      </x:c>
      <x:c r="N1265" s="274" t="str">
        <x:v>FT_VM_DEP1000_GET500_5X</x:v>
      </x:c>
      <x:c r="O1265" s="274" t="str">
        <x:v>VIP BONUS - Deposit 1000 Get 500 - 5x TO</x:v>
      </x:c>
      <x:c r="P1265" s="274" t="str">
        <x:v>DepositBonus</x:v>
      </x:c>
      <x:c r="Q1265" s="274" t="str">
        <x:v>Approved</x:v>
      </x:c>
      <x:c r="R1265" s="265" t="n">
        <x:v>500</x:v>
      </x:c>
      <x:c r="S1265" s="253" t="str">
        <x:v>Yes</x:v>
      </x:c>
      <x:c r="T1265" s="265" t="n">
        <x:v>61720</x:v>
      </x:c>
      <x:c r="U1265" s="253" t="str">
        <x:f>IF(AND(S1265="Yes",T1265=0),"Yes","No")</x:f>
        <x:v>No</x:v>
      </x:c>
      <x:c r="V1265" s="253" t="str">
        <x:v>Yes</x:v>
      </x:c>
      <x:c r="W1265" s="253" t="str">
        <x:v>Yes</x:v>
      </x:c>
      <x:c r="X1265" s="259" t="n">
        <x:v>46212.166666666664</x:v>
      </x:c>
      <x:c r="Y1265" s="265" t="n">
        <x:v>17990</x:v>
      </x:c>
      <x:c r="Z1265" s="265" t="n">
        <x:v>27125</x:v>
      </x:c>
      <x:c r="AA1265" s="253" t="str">
        <x:f>IF(V1265="No","Maturing",IF(AND(U1265="Yes",Y1265&gt;0),"Yes","No"))</x:f>
        <x:v>No</x:v>
      </x:c>
      <x:c r="AB1265" s="253" t="str">
        <x:f>IF(W1265="No","Maturing",IF(AND(U1265="Yes",Z1265&gt;0),"Yes","No"))</x:f>
        <x:v>No</x:v>
      </x:c>
      <x:c r="AC1265" s="265" t="n">
        <x:v>3855.74</x:v>
      </x:c>
      <x:c r="AD1265" s="265" t="n">
        <x:v>12882.25</x:v>
      </x:c>
      <x:c r="AE1265" s="271" t="str"/>
      <x:c r="AF1265" s="274" t="str">
        <x:v>Not validated - no control/holdout</x:v>
      </x:c>
      <x:c r="AG1265" s="277" t="str">
        <x:v>Recovered execution only; assignment date and unclaimed-offer denominator unavailable</x:v>
      </x:c>
    </x:row>
    <x:row r="1266">
      <x:c r="A1266" s="252" t="str">
        <x:v>34897109</x:v>
      </x:c>
      <x:c r="B1266" s="253" t="str">
        <x:v>WS1</x:v>
      </x:c>
      <x:c r="C1266" s="253" t="str">
        <x:v>MB8</x:v>
      </x:c>
      <x:c r="D1266" s="262" t="n">
        <x:v>46212.85254629629</x:v>
      </x:c>
      <x:c r="E1266" s="259" t="n">
        <x:v>46212.166666666664</x:v>
      </x:c>
      <x:c r="F1266" s="253" t="str">
        <x:v>779106</x:v>
      </x:c>
      <x:c r="G1266" s="253" t="str">
        <x:v>babykee</x:v>
      </x:c>
      <x:c r="H1266" s="253" t="str">
        <x:v>Yes</x:v>
      </x:c>
      <x:c r="I1266" s="253" t="str"/>
      <x:c r="J1266" s="253" t="str"/>
      <x:c r="K1266" s="259"/>
      <x:c r="L1266" s="268" t="str">
        <x:f>IFERROR(VLOOKUP(I1266,'Handler-Team Map'!$A$7:$C$17,2,FALSE),"")</x:f>
      </x:c>
      <x:c r="M1266" s="268" t="str">
        <x:f>IFERROR(VLOOKUP(I1266,'Handler-Team Map'!$A$7:$C$17,3,FALSE),"")</x:f>
      </x:c>
      <x:c r="N1266" s="274" t="str">
        <x:v>FT_VM_DEP700_GET300_2X</x:v>
      </x:c>
      <x:c r="O1266" s="274" t="str">
        <x:v>VIP BONUS - Deposit 700 Get 300 - 2x TO</x:v>
      </x:c>
      <x:c r="P1266" s="274" t="str">
        <x:v>DepositBonus</x:v>
      </x:c>
      <x:c r="Q1266" s="274" t="str">
        <x:v>Approved</x:v>
      </x:c>
      <x:c r="R1266" s="265" t="n">
        <x:v>300</x:v>
      </x:c>
      <x:c r="S1266" s="253" t="str">
        <x:v>Yes</x:v>
      </x:c>
      <x:c r="T1266" s="265" t="n">
        <x:v>1000</x:v>
      </x:c>
      <x:c r="U1266" s="253" t="str">
        <x:f>IF(AND(S1266="Yes",T1266=0),"Yes","No")</x:f>
        <x:v>No</x:v>
      </x:c>
      <x:c r="V1266" s="253" t="str">
        <x:v>Yes</x:v>
      </x:c>
      <x:c r="W1266" s="253" t="str">
        <x:v>Yes</x:v>
      </x:c>
      <x:c r="X1266" s="259" t="n">
        <x:v>46212.166666666664</x:v>
      </x:c>
      <x:c r="Y1266" s="265" t="n">
        <x:v>700</x:v>
      </x:c>
      <x:c r="Z1266" s="265" t="n">
        <x:v>700</x:v>
      </x:c>
      <x:c r="AA1266" s="253" t="str">
        <x:f>IF(V1266="No","Maturing",IF(AND(U1266="Yes",Y1266&gt;0),"Yes","No"))</x:f>
        <x:v>No</x:v>
      </x:c>
      <x:c r="AB1266" s="253" t="str">
        <x:f>IF(W1266="No","Maturing",IF(AND(U1266="Yes",Z1266&gt;0),"Yes","No"))</x:f>
        <x:v>No</x:v>
      </x:c>
      <x:c r="AC1266" s="265" t="n">
        <x:v>-851.85</x:v>
      </x:c>
      <x:c r="AD1266" s="265" t="n">
        <x:v>-851.85</x:v>
      </x:c>
      <x:c r="AE1266" s="271" t="str"/>
      <x:c r="AF1266" s="274" t="str">
        <x:v>Not validated - no control/holdout</x:v>
      </x:c>
      <x:c r="AG1266" s="277" t="str">
        <x:v>Recovered execution only; assignment date and unclaimed-offer denominator unavailable</x:v>
      </x:c>
    </x:row>
    <x:row r="1267">
      <x:c r="A1267" s="252" t="str">
        <x:v>34897325</x:v>
      </x:c>
      <x:c r="B1267" s="253" t="str">
        <x:v>WS1</x:v>
      </x:c>
      <x:c r="C1267" s="253" t="str">
        <x:v>MB8</x:v>
      </x:c>
      <x:c r="D1267" s="262" t="n">
        <x:v>46212.866631944446</x:v>
      </x:c>
      <x:c r="E1267" s="259" t="n">
        <x:v>46212.166666666664</x:v>
      </x:c>
      <x:c r="F1267" s="253" t="str">
        <x:v>476126</x:v>
      </x:c>
      <x:c r="G1267" s="253" t="str">
        <x:v>Mahendraj</x:v>
      </x:c>
      <x:c r="H1267" s="253" t="str">
        <x:v>Yes</x:v>
      </x:c>
      <x:c r="I1267" s="253" t="str">
        <x:v>Sheena</x:v>
      </x:c>
      <x:c r="J1267" s="253" t="str">
        <x:v>Sheena</x:v>
      </x:c>
      <x:c r="K1267" s="259" t="n">
        <x:v>46090.166666666664</x:v>
      </x:c>
      <x:c r="L1267" s="268" t="str">
        <x:f>IFERROR(VLOOKUP(I1267,'Handler-Team Map'!$A$7:$C$17,2,FALSE),"")</x:f>
      </x:c>
      <x:c r="M1267" s="268" t="str">
        <x:f>IFERROR(VLOOKUP(I1267,'Handler-Team Map'!$A$7:$C$17,3,FALSE),"")</x:f>
      </x:c>
      <x:c r="N1267" s="274" t="str">
        <x:v>FT_VM_DEP1000_GET500_5X</x:v>
      </x:c>
      <x:c r="O1267" s="274" t="str">
        <x:v>VIP BONUS - Deposit 1000 Get 500 - 5x TO</x:v>
      </x:c>
      <x:c r="P1267" s="274" t="str">
        <x:v>DepositBonus</x:v>
      </x:c>
      <x:c r="Q1267" s="274" t="str">
        <x:v>Approved</x:v>
      </x:c>
      <x:c r="R1267" s="265" t="n">
        <x:v>500</x:v>
      </x:c>
      <x:c r="S1267" s="253" t="str">
        <x:v>Yes</x:v>
      </x:c>
      <x:c r="T1267" s="265" t="n">
        <x:v>4700</x:v>
      </x:c>
      <x:c r="U1267" s="253" t="str">
        <x:f>IF(AND(S1267="Yes",T1267=0),"Yes","No")</x:f>
        <x:v>No</x:v>
      </x:c>
      <x:c r="V1267" s="253" t="str">
        <x:v>Yes</x:v>
      </x:c>
      <x:c r="W1267" s="253" t="str">
        <x:v>Yes</x:v>
      </x:c>
      <x:c r="X1267" s="259" t="n">
        <x:v>46212.166666666664</x:v>
      </x:c>
      <x:c r="Y1267" s="265" t="n">
        <x:v>6030</x:v>
      </x:c>
      <x:c r="Z1267" s="265" t="n">
        <x:v>6770</x:v>
      </x:c>
      <x:c r="AA1267" s="253" t="str">
        <x:f>IF(V1267="No","Maturing",IF(AND(U1267="Yes",Y1267&gt;0),"Yes","No"))</x:f>
        <x:v>No</x:v>
      </x:c>
      <x:c r="AB1267" s="253" t="str">
        <x:f>IF(W1267="No","Maturing",IF(AND(U1267="Yes",Z1267&gt;0),"Yes","No"))</x:f>
        <x:v>No</x:v>
      </x:c>
      <x:c r="AC1267" s="265" t="n">
        <x:v>5629.94</x:v>
      </x:c>
      <x:c r="AD1267" s="265" t="n">
        <x:v>6309.68</x:v>
      </x:c>
      <x:c r="AE1267" s="271" t="str"/>
      <x:c r="AF1267" s="274" t="str">
        <x:v>Not validated - no control/holdout</x:v>
      </x:c>
      <x:c r="AG1267" s="277" t="str">
        <x:v>Recovered execution only; assignment date and unclaimed-offer denominator unavailable</x:v>
      </x:c>
    </x:row>
    <x:row r="1268">
      <x:c r="A1268" s="252" t="str">
        <x:v>34897714</x:v>
      </x:c>
      <x:c r="B1268" s="253" t="str">
        <x:v>WS1</x:v>
      </x:c>
      <x:c r="C1268" s="253" t="str">
        <x:v>MB8</x:v>
      </x:c>
      <x:c r="D1268" s="262" t="n">
        <x:v>46212.89231481482</x:v>
      </x:c>
      <x:c r="E1268" s="259" t="n">
        <x:v>46212.166666666664</x:v>
      </x:c>
      <x:c r="F1268" s="253" t="str">
        <x:v>476510</x:v>
      </x:c>
      <x:c r="G1268" s="253" t="str">
        <x:v>giinshen</x:v>
      </x:c>
      <x:c r="H1268" s="253" t="str">
        <x:v>Yes</x:v>
      </x:c>
      <x:c r="I1268" s="253" t="str">
        <x:v>Claire</x:v>
      </x:c>
      <x:c r="J1268" s="253" t="str">
        <x:v>Claire</x:v>
      </x:c>
      <x:c r="K1268" s="259" t="n">
        <x:v>45659.166666666664</x:v>
      </x:c>
      <x:c r="L1268" s="268" t="str">
        <x:f>IFERROR(VLOOKUP(I1268,'Handler-Team Map'!$A$7:$C$17,2,FALSE),"")</x:f>
      </x:c>
      <x:c r="M1268" s="268" t="str">
        <x:f>IFERROR(VLOOKUP(I1268,'Handler-Team Map'!$A$7:$C$17,3,FALSE),"")</x:f>
      </x:c>
      <x:c r="N1268" s="274" t="str">
        <x:v>FT_VM_DEP600_GET200_5X</x:v>
      </x:c>
      <x:c r="O1268" s="274" t="str">
        <x:v>VIP BONUS - Deposit 600 Get 200 - 5x TO</x:v>
      </x:c>
      <x:c r="P1268" s="274" t="str">
        <x:v>DepositBonus</x:v>
      </x:c>
      <x:c r="Q1268" s="274" t="str">
        <x:v>Approved</x:v>
      </x:c>
      <x:c r="R1268" s="265" t="n">
        <x:v>200</x:v>
      </x:c>
      <x:c r="S1268" s="253" t="str">
        <x:v>Yes</x:v>
      </x:c>
      <x:c r="T1268" s="265" t="n">
        <x:v>77100</x:v>
      </x:c>
      <x:c r="U1268" s="253" t="str">
        <x:f>IF(AND(S1268="Yes",T1268=0),"Yes","No")</x:f>
        <x:v>No</x:v>
      </x:c>
      <x:c r="V1268" s="253" t="str">
        <x:v>Yes</x:v>
      </x:c>
      <x:c r="W1268" s="253" t="str">
        <x:v>Yes</x:v>
      </x:c>
      <x:c r="X1268" s="259" t="n">
        <x:v>46212.166666666664</x:v>
      </x:c>
      <x:c r="Y1268" s="265" t="n">
        <x:v>85100</x:v>
      </x:c>
      <x:c r="Z1268" s="265" t="n">
        <x:v>98600</x:v>
      </x:c>
      <x:c r="AA1268" s="253" t="str">
        <x:f>IF(V1268="No","Maturing",IF(AND(U1268="Yes",Y1268&gt;0),"Yes","No"))</x:f>
        <x:v>No</x:v>
      </x:c>
      <x:c r="AB1268" s="253" t="str">
        <x:f>IF(W1268="No","Maturing",IF(AND(U1268="Yes",Z1268&gt;0),"Yes","No"))</x:f>
        <x:v>No</x:v>
      </x:c>
      <x:c r="AC1268" s="265" t="n">
        <x:v>44064.45</x:v>
      </x:c>
      <x:c r="AD1268" s="265" t="n">
        <x:v>57470.32</x:v>
      </x:c>
      <x:c r="AE1268" s="271" t="str"/>
      <x:c r="AF1268" s="274" t="str">
        <x:v>Not validated - no control/holdout</x:v>
      </x:c>
      <x:c r="AG1268" s="277" t="str">
        <x:v>Recovered execution only; assignment date and unclaimed-offer denominator unavailable</x:v>
      </x:c>
    </x:row>
    <x:row r="1269">
      <x:c r="A1269" s="252" t="str">
        <x:v>34897735</x:v>
      </x:c>
      <x:c r="B1269" s="253" t="str">
        <x:v>WS1</x:v>
      </x:c>
      <x:c r="C1269" s="253" t="str">
        <x:v>MB8</x:v>
      </x:c>
      <x:c r="D1269" s="262" t="n">
        <x:v>46212.89412037037</x:v>
      </x:c>
      <x:c r="E1269" s="259" t="n">
        <x:v>46212.166666666664</x:v>
      </x:c>
      <x:c r="F1269" s="253" t="str">
        <x:v>1025832</x:v>
      </x:c>
      <x:c r="G1269" s="253" t="str">
        <x:v>Kenyongwk</x:v>
      </x:c>
      <x:c r="H1269" s="253" t="str">
        <x:v>Yes</x:v>
      </x:c>
      <x:c r="I1269" s="253" t="str">
        <x:v>zhen</x:v>
      </x:c>
      <x:c r="J1269" s="253" t="str">
        <x:v>zhen</x:v>
      </x:c>
      <x:c r="K1269" s="259" t="n">
        <x:v>45985.166666666664</x:v>
      </x:c>
      <x:c r="L1269" s="268" t="str">
        <x:f>IFERROR(VLOOKUP(I1269,'Handler-Team Map'!$A$7:$C$17,2,FALSE),"")</x:f>
      </x:c>
      <x:c r="M1269" s="268" t="str">
        <x:f>IFERROR(VLOOKUP(I1269,'Handler-Team Map'!$A$7:$C$17,3,FALSE),"")</x:f>
      </x:c>
      <x:c r="N1269" s="274" t="str">
        <x:v>FT_VM_DEP300_GET100_5X</x:v>
      </x:c>
      <x:c r="O1269" s="274" t="str">
        <x:v>VIP BONUS - Deposit 300 Get 100 - 5x TO</x:v>
      </x:c>
      <x:c r="P1269" s="274" t="str">
        <x:v>DepositBonus</x:v>
      </x:c>
      <x:c r="Q1269" s="274" t="str">
        <x:v>Approved</x:v>
      </x:c>
      <x:c r="R1269" s="265" t="n">
        <x:v>100</x:v>
      </x:c>
      <x:c r="S1269" s="253" t="str">
        <x:v>Yes</x:v>
      </x:c>
      <x:c r="T1269" s="265" t="n">
        <x:v>45200</x:v>
      </x:c>
      <x:c r="U1269" s="253" t="str">
        <x:f>IF(AND(S1269="Yes",T1269=0),"Yes","No")</x:f>
        <x:v>No</x:v>
      </x:c>
      <x:c r="V1269" s="253" t="str">
        <x:v>Yes</x:v>
      </x:c>
      <x:c r="W1269" s="253" t="str">
        <x:v>Yes</x:v>
      </x:c>
      <x:c r="X1269" s="259" t="n">
        <x:v>46212.166666666664</x:v>
      </x:c>
      <x:c r="Y1269" s="265" t="n">
        <x:v>5800</x:v>
      </x:c>
      <x:c r="Z1269" s="265" t="n">
        <x:v>8800</x:v>
      </x:c>
      <x:c r="AA1269" s="253" t="str">
        <x:f>IF(V1269="No","Maturing",IF(AND(U1269="Yes",Y1269&gt;0),"Yes","No"))</x:f>
        <x:v>No</x:v>
      </x:c>
      <x:c r="AB1269" s="253" t="str">
        <x:f>IF(W1269="No","Maturing",IF(AND(U1269="Yes",Z1269&gt;0),"Yes","No"))</x:f>
        <x:v>No</x:v>
      </x:c>
      <x:c r="AC1269" s="265" t="n">
        <x:v>2310.2</x:v>
      </x:c>
      <x:c r="AD1269" s="265" t="n">
        <x:v>-690.27</x:v>
      </x:c>
      <x:c r="AE1269" s="271" t="str"/>
      <x:c r="AF1269" s="274" t="str">
        <x:v>Not validated - no control/holdout</x:v>
      </x:c>
      <x:c r="AG1269" s="277" t="str">
        <x:v>Recovered execution only; assignment date and unclaimed-offer denominator unavailable</x:v>
      </x:c>
    </x:row>
    <x:row r="1270">
      <x:c r="A1270" s="252" t="str">
        <x:v>34899861</x:v>
      </x:c>
      <x:c r="B1270" s="253" t="str">
        <x:v>WS1</x:v>
      </x:c>
      <x:c r="C1270" s="253" t="str">
        <x:v>MB8</x:v>
      </x:c>
      <x:c r="D1270" s="262" t="n">
        <x:v>46213.009108796294</x:v>
      </x:c>
      <x:c r="E1270" s="259" t="n">
        <x:v>46213.166666666664</x:v>
      </x:c>
      <x:c r="F1270" s="253" t="str">
        <x:v>348567</x:v>
      </x:c>
      <x:c r="G1270" s="253" t="str">
        <x:v>Firzor</x:v>
      </x:c>
      <x:c r="H1270" s="253" t="str">
        <x:v>Yes</x:v>
      </x:c>
      <x:c r="I1270" s="253" t="str"/>
      <x:c r="J1270" s="253" t="str"/>
      <x:c r="K1270" s="259"/>
      <x:c r="L1270" s="268" t="str">
        <x:f>IFERROR(VLOOKUP(I1270,'Handler-Team Map'!$A$7:$C$17,2,FALSE),"")</x:f>
      </x:c>
      <x:c r="M1270" s="268" t="str">
        <x:f>IFERROR(VLOOKUP(I1270,'Handler-Team Map'!$A$7:$C$17,3,FALSE),"")</x:f>
      </x:c>
      <x:c r="N1270" s="274" t="str">
        <x:v>FT_VM_DEP1000_GET500_5X</x:v>
      </x:c>
      <x:c r="O1270" s="274" t="str">
        <x:v>VIP BONUS - Deposit 1000 Get 500 - 5x TO</x:v>
      </x:c>
      <x:c r="P1270" s="274" t="str">
        <x:v>DepositBonus</x:v>
      </x:c>
      <x:c r="Q1270" s="274" t="str">
        <x:v>Approved</x:v>
      </x:c>
      <x:c r="R1270" s="265" t="n">
        <x:v>500</x:v>
      </x:c>
      <x:c r="S1270" s="253" t="str">
        <x:v>Yes</x:v>
      </x:c>
      <x:c r="T1270" s="265" t="n">
        <x:v>2000</x:v>
      </x:c>
      <x:c r="U1270" s="253" t="str">
        <x:f>IF(AND(S1270="Yes",T1270=0),"Yes","No")</x:f>
        <x:v>No</x:v>
      </x:c>
      <x:c r="V1270" s="253" t="str">
        <x:v>Yes</x:v>
      </x:c>
      <x:c r="W1270" s="253" t="str">
        <x:v>No</x:v>
      </x:c>
      <x:c r="X1270" s="259" t="n">
        <x:v>46213.166666666664</x:v>
      </x:c>
      <x:c r="Y1270" s="265" t="n">
        <x:v>1000</x:v>
      </x:c>
      <x:c r="Z1270" s="265" t="n">
        <x:v>1000</x:v>
      </x:c>
      <x:c r="AA1270" s="253" t="str">
        <x:f>IF(V1270="No","Maturing",IF(AND(U1270="Yes",Y1270&gt;0),"Yes","No"))</x:f>
        <x:v>No</x:v>
      </x:c>
      <x:c r="AB1270" s="253" t="str">
        <x:f>IF(W1270="No","Maturing",IF(AND(U1270="Yes",Z1270&gt;0),"Yes","No"))</x:f>
        <x:v>Maturing</x:v>
      </x:c>
      <x:c r="AC1270" s="265" t="n">
        <x:v>-4285.43</x:v>
      </x:c>
      <x:c r="AD1270" s="265" t="n">
        <x:v>-9595.91</x:v>
      </x:c>
      <x:c r="AE1270" s="271" t="str"/>
      <x:c r="AF1270" s="274" t="str">
        <x:v>Not validated - no control/holdout</x:v>
      </x:c>
      <x:c r="AG1270" s="277" t="str">
        <x:v>Recovered execution only; assignment date and unclaimed-offer denominator unavailable</x:v>
      </x:c>
    </x:row>
    <x:row r="1271">
      <x:c r="A1271" s="252" t="str">
        <x:v>34900006</x:v>
      </x:c>
      <x:c r="B1271" s="253" t="str">
        <x:v>WS1</x:v>
      </x:c>
      <x:c r="C1271" s="253" t="str">
        <x:v>MB8</x:v>
      </x:c>
      <x:c r="D1271" s="262" t="n">
        <x:v>46213.01489583333</x:v>
      </x:c>
      <x:c r="E1271" s="259" t="n">
        <x:v>46213.166666666664</x:v>
      </x:c>
      <x:c r="F1271" s="253" t="str">
        <x:v>112453</x:v>
      </x:c>
      <x:c r="G1271" s="253" t="str">
        <x:v>0146031243L</x:v>
      </x:c>
      <x:c r="H1271" s="253" t="str">
        <x:v>Yes</x:v>
      </x:c>
      <x:c r="I1271" s="253" t="str"/>
      <x:c r="J1271" s="253" t="str"/>
      <x:c r="K1271" s="259"/>
      <x:c r="L1271" s="268" t="str">
        <x:f>IFERROR(VLOOKUP(I1271,'Handler-Team Map'!$A$7:$C$17,2,FALSE),"")</x:f>
      </x:c>
      <x:c r="M1271" s="268" t="str">
        <x:f>IFERROR(VLOOKUP(I1271,'Handler-Team Map'!$A$7:$C$17,3,FALSE),"")</x:f>
      </x:c>
      <x:c r="N1271" s="274" t="str">
        <x:v>FT_VM_DEP1000_GET800_2X</x:v>
      </x:c>
      <x:c r="O1271" s="274" t="str">
        <x:v>VIP BONUS - Deposit 1000 Get 800 - 2x TO</x:v>
      </x:c>
      <x:c r="P1271" s="274" t="str">
        <x:v>DepositBonus</x:v>
      </x:c>
      <x:c r="Q1271" s="274" t="str">
        <x:v>Approved</x:v>
      </x:c>
      <x:c r="R1271" s="265" t="n">
        <x:v>800</x:v>
      </x:c>
      <x:c r="S1271" s="253" t="str">
        <x:v>Yes</x:v>
      </x:c>
      <x:c r="T1271" s="265" t="n">
        <x:v>0</x:v>
      </x:c>
      <x:c r="U1271" s="253" t="str">
        <x:f>IF(AND(S1271="Yes",T1271=0),"Yes","No")</x:f>
        <x:v>Yes</x:v>
      </x:c>
      <x:c r="V1271" s="253" t="str">
        <x:v>Yes</x:v>
      </x:c>
      <x:c r="W1271" s="253" t="str">
        <x:v>No</x:v>
      </x:c>
      <x:c r="X1271" s="259" t="n">
        <x:v>46213.166666666664</x:v>
      </x:c>
      <x:c r="Y1271" s="265" t="n">
        <x:v>1500</x:v>
      </x:c>
      <x:c r="Z1271" s="265" t="n">
        <x:v>9300</x:v>
      </x:c>
      <x:c r="AA1271" s="253" t="str">
        <x:f>IF(V1271="No","Maturing",IF(AND(U1271="Yes",Y1271&gt;0),"Yes","No"))</x:f>
        <x:v>Yes</x:v>
      </x:c>
      <x:c r="AB1271" s="253" t="str">
        <x:f>IF(W1271="No","Maturing",IF(AND(U1271="Yes",Z1271&gt;0),"Yes","No"))</x:f>
        <x:v>Maturing</x:v>
      </x:c>
      <x:c r="AC1271" s="265" t="n">
        <x:v>-6490.62</x:v>
      </x:c>
      <x:c r="AD1271" s="265" t="n">
        <x:v>7990.2</x:v>
      </x:c>
      <x:c r="AE1271" s="271" t="str"/>
      <x:c r="AF1271" s="274" t="str">
        <x:v>Not validated - no control/holdout</x:v>
      </x:c>
      <x:c r="AG1271" s="277" t="str">
        <x:v>Recovered execution only; assignment date and unclaimed-offer denominator unavailable</x:v>
      </x:c>
    </x:row>
    <x:row r="1272">
      <x:c r="A1272" s="252" t="str">
        <x:v>34900662</x:v>
      </x:c>
      <x:c r="B1272" s="253" t="str">
        <x:v>WS1</x:v>
      </x:c>
      <x:c r="C1272" s="253" t="str">
        <x:v>MB8</x:v>
      </x:c>
      <x:c r="D1272" s="262" t="n">
        <x:v>46213.04556712963</x:v>
      </x:c>
      <x:c r="E1272" s="259" t="n">
        <x:v>46213.166666666664</x:v>
      </x:c>
      <x:c r="F1272" s="253" t="str">
        <x:v>1182820</x:v>
      </x:c>
      <x:c r="G1272" s="253" t="str">
        <x:v>enqing0222</x:v>
      </x:c>
      <x:c r="H1272" s="253" t="str">
        <x:v>Yes</x:v>
      </x:c>
      <x:c r="I1272" s="253" t="str"/>
      <x:c r="J1272" s="253" t="str"/>
      <x:c r="K1272" s="259"/>
      <x:c r="L1272" s="268" t="str">
        <x:f>IFERROR(VLOOKUP(I1272,'Handler-Team Map'!$A$7:$C$17,2,FALSE),"")</x:f>
      </x:c>
      <x:c r="M1272" s="268" t="str">
        <x:f>IFERROR(VLOOKUP(I1272,'Handler-Team Map'!$A$7:$C$17,3,FALSE),"")</x:f>
      </x:c>
      <x:c r="N1272" s="274" t="str">
        <x:v>FT_VM_DEP600_GET200_5X</x:v>
      </x:c>
      <x:c r="O1272" s="274" t="str">
        <x:v>VIP BONUS - Deposit 600 Get 200 - 5x TO</x:v>
      </x:c>
      <x:c r="P1272" s="274" t="str">
        <x:v>DepositBonus</x:v>
      </x:c>
      <x:c r="Q1272" s="274" t="str">
        <x:v>Approved</x:v>
      </x:c>
      <x:c r="R1272" s="265" t="n">
        <x:v>200</x:v>
      </x:c>
      <x:c r="S1272" s="253" t="str">
        <x:v>Yes</x:v>
      </x:c>
      <x:c r="T1272" s="265" t="n">
        <x:v>25000</x:v>
      </x:c>
      <x:c r="U1272" s="253" t="str">
        <x:f>IF(AND(S1272="Yes",T1272=0),"Yes","No")</x:f>
        <x:v>No</x:v>
      </x:c>
      <x:c r="V1272" s="253" t="str">
        <x:v>Yes</x:v>
      </x:c>
      <x:c r="W1272" s="253" t="str">
        <x:v>No</x:v>
      </x:c>
      <x:c r="X1272" s="259" t="n">
        <x:v>46213.166666666664</x:v>
      </x:c>
      <x:c r="Y1272" s="265" t="n">
        <x:v>9300</x:v>
      </x:c>
      <x:c r="Z1272" s="265" t="n">
        <x:v>9900</x:v>
      </x:c>
      <x:c r="AA1272" s="253" t="str">
        <x:f>IF(V1272="No","Maturing",IF(AND(U1272="Yes",Y1272&gt;0),"Yes","No"))</x:f>
        <x:v>No</x:v>
      </x:c>
      <x:c r="AB1272" s="253" t="str">
        <x:f>IF(W1272="No","Maturing",IF(AND(U1272="Yes",Z1272&gt;0),"Yes","No"))</x:f>
        <x:v>Maturing</x:v>
      </x:c>
      <x:c r="AC1272" s="265" t="n">
        <x:v>6948.03</x:v>
      </x:c>
      <x:c r="AD1272" s="265" t="n">
        <x:v>7603.1</x:v>
      </x:c>
      <x:c r="AE1272" s="271" t="str"/>
      <x:c r="AF1272" s="274" t="str">
        <x:v>Not validated - no control/holdout</x:v>
      </x:c>
      <x:c r="AG1272" s="277" t="str">
        <x:v>Recovered execution only; assignment date and unclaimed-offer denominator unavailable</x:v>
      </x:c>
    </x:row>
    <x:row r="1273">
      <x:c r="A1273" s="252" t="str">
        <x:v>34904613</x:v>
      </x:c>
      <x:c r="B1273" s="253" t="str">
        <x:v>WS1</x:v>
      </x:c>
      <x:c r="C1273" s="253" t="str">
        <x:v>MB8</x:v>
      </x:c>
      <x:c r="D1273" s="262" t="n">
        <x:v>46213.49502314815</x:v>
      </x:c>
      <x:c r="E1273" s="259" t="n">
        <x:v>46213.166666666664</x:v>
      </x:c>
      <x:c r="F1273" s="253" t="str">
        <x:v>113180</x:v>
      </x:c>
      <x:c r="G1273" s="253" t="str">
        <x:v>Hazel</x:v>
      </x:c>
      <x:c r="H1273" s="253" t="str">
        <x:v>Yes</x:v>
      </x:c>
      <x:c r="I1273" s="253" t="str">
        <x:v>Serene</x:v>
      </x:c>
      <x:c r="J1273" s="253" t="str">
        <x:v>Serene</x:v>
      </x:c>
      <x:c r="K1273" s="259" t="n">
        <x:v>45831.166666666664</x:v>
      </x:c>
      <x:c r="L1273" s="268" t="str">
        <x:f>IFERROR(VLOOKUP(I1273,'Handler-Team Map'!$A$7:$C$17,2,FALSE),"")</x:f>
      </x:c>
      <x:c r="M1273" s="268" t="str">
        <x:f>IFERROR(VLOOKUP(I1273,'Handler-Team Map'!$A$7:$C$17,3,FALSE),"")</x:f>
      </x:c>
      <x:c r="N1273" s="274" t="str">
        <x:v>FT_VM_DEP1000_GET500_5X</x:v>
      </x:c>
      <x:c r="O1273" s="274" t="str">
        <x:v>VIP BONUS - Deposit 1000 Get 500 - 5x TO</x:v>
      </x:c>
      <x:c r="P1273" s="274" t="str">
        <x:v>DepositBonus</x:v>
      </x:c>
      <x:c r="Q1273" s="274" t="str">
        <x:v>Approved</x:v>
      </x:c>
      <x:c r="R1273" s="265" t="n">
        <x:v>500</x:v>
      </x:c>
      <x:c r="S1273" s="253" t="str">
        <x:v>Yes</x:v>
      </x:c>
      <x:c r="T1273" s="265" t="n">
        <x:v>3860</x:v>
      </x:c>
      <x:c r="U1273" s="253" t="str">
        <x:f>IF(AND(S1273="Yes",T1273=0),"Yes","No")</x:f>
        <x:v>No</x:v>
      </x:c>
      <x:c r="V1273" s="253" t="str">
        <x:v>Yes</x:v>
      </x:c>
      <x:c r="W1273" s="253" t="str">
        <x:v>No</x:v>
      </x:c>
      <x:c r="X1273" s="259" t="n">
        <x:v>46213.166666666664</x:v>
      </x:c>
      <x:c r="Y1273" s="265" t="n">
        <x:v>2300</x:v>
      </x:c>
      <x:c r="Z1273" s="265" t="n">
        <x:v>3460</x:v>
      </x:c>
      <x:c r="AA1273" s="253" t="str">
        <x:f>IF(V1273="No","Maturing",IF(AND(U1273="Yes",Y1273&gt;0),"Yes","No"))</x:f>
        <x:v>No</x:v>
      </x:c>
      <x:c r="AB1273" s="253" t="str">
        <x:f>IF(W1273="No","Maturing",IF(AND(U1273="Yes",Z1273&gt;0),"Yes","No"))</x:f>
        <x:v>Maturing</x:v>
      </x:c>
      <x:c r="AC1273" s="265" t="n">
        <x:v>1821.05</x:v>
      </x:c>
      <x:c r="AD1273" s="265" t="n">
        <x:v>2301.42</x:v>
      </x:c>
      <x:c r="AE1273" s="271" t="str"/>
      <x:c r="AF1273" s="274" t="str">
        <x:v>Not validated - no control/holdout</x:v>
      </x:c>
      <x:c r="AG1273" s="277" t="str">
        <x:v>Recovered execution only; assignment date and unclaimed-offer denominator unavailable</x:v>
      </x:c>
    </x:row>
    <x:row r="1274">
      <x:c r="A1274" s="252" t="str">
        <x:v>34904688</x:v>
      </x:c>
      <x:c r="B1274" s="253" t="str">
        <x:v>WS1</x:v>
      </x:c>
      <x:c r="C1274" s="253" t="str">
        <x:v>MB8</x:v>
      </x:c>
      <x:c r="D1274" s="262" t="n">
        <x:v>46213.50334490741</x:v>
      </x:c>
      <x:c r="E1274" s="259" t="n">
        <x:v>46213.166666666664</x:v>
      </x:c>
      <x:c r="F1274" s="253" t="str">
        <x:v>773122</x:v>
      </x:c>
      <x:c r="G1274" s="253" t="str">
        <x:v>Kadir0361</x:v>
      </x:c>
      <x:c r="H1274" s="253" t="str">
        <x:v>Yes</x:v>
      </x:c>
      <x:c r="I1274" s="253" t="str">
        <x:v>Serene</x:v>
      </x:c>
      <x:c r="J1274" s="253" t="str">
        <x:v>Serene</x:v>
      </x:c>
      <x:c r="K1274" s="259" t="n">
        <x:v>46090.166666666664</x:v>
      </x:c>
      <x:c r="L1274" s="268" t="str">
        <x:f>IFERROR(VLOOKUP(I1274,'Handler-Team Map'!$A$7:$C$17,2,FALSE),"")</x:f>
      </x:c>
      <x:c r="M1274" s="268" t="str">
        <x:f>IFERROR(VLOOKUP(I1274,'Handler-Team Map'!$A$7:$C$17,3,FALSE),"")</x:f>
      </x:c>
      <x:c r="N1274" s="274" t="str">
        <x:v>FT_VM_DEP600_GET200_5X</x:v>
      </x:c>
      <x:c r="O1274" s="274" t="str">
        <x:v>VIP BONUS - Deposit 600 Get 200 - 5x TO</x:v>
      </x:c>
      <x:c r="P1274" s="274" t="str">
        <x:v>DepositBonus</x:v>
      </x:c>
      <x:c r="Q1274" s="274" t="str">
        <x:v>Approved</x:v>
      </x:c>
      <x:c r="R1274" s="265" t="n">
        <x:v>200</x:v>
      </x:c>
      <x:c r="S1274" s="253" t="str">
        <x:v>Yes</x:v>
      </x:c>
      <x:c r="T1274" s="265" t="n">
        <x:v>2947</x:v>
      </x:c>
      <x:c r="U1274" s="253" t="str">
        <x:f>IF(AND(S1274="Yes",T1274=0),"Yes","No")</x:f>
        <x:v>No</x:v>
      </x:c>
      <x:c r="V1274" s="253" t="str">
        <x:v>Yes</x:v>
      </x:c>
      <x:c r="W1274" s="253" t="str">
        <x:v>No</x:v>
      </x:c>
      <x:c r="X1274" s="259" t="n">
        <x:v>46213.166666666664</x:v>
      </x:c>
      <x:c r="Y1274" s="265" t="n">
        <x:v>1600</x:v>
      </x:c>
      <x:c r="Z1274" s="265" t="n">
        <x:v>1600</x:v>
      </x:c>
      <x:c r="AA1274" s="253" t="str">
        <x:f>IF(V1274="No","Maturing",IF(AND(U1274="Yes",Y1274&gt;0),"Yes","No"))</x:f>
        <x:v>No</x:v>
      </x:c>
      <x:c r="AB1274" s="253" t="str">
        <x:f>IF(W1274="No","Maturing",IF(AND(U1274="Yes",Z1274&gt;0),"Yes","No"))</x:f>
        <x:v>Maturing</x:v>
      </x:c>
      <x:c r="AC1274" s="265" t="n">
        <x:v>1576.06</x:v>
      </x:c>
      <x:c r="AD1274" s="265" t="n">
        <x:v>1576.06</x:v>
      </x:c>
      <x:c r="AE1274" s="271" t="str"/>
      <x:c r="AF1274" s="274" t="str">
        <x:v>Not validated - no control/holdout</x:v>
      </x:c>
      <x:c r="AG1274" s="277" t="str">
        <x:v>Recovered execution only; assignment date and unclaimed-offer denominator unavailable</x:v>
      </x:c>
    </x:row>
    <x:row r="1275">
      <x:c r="A1275" s="252" t="str">
        <x:v>5945465</x:v>
      </x:c>
      <x:c r="B1275" s="253" t="str">
        <x:v>WS1</x:v>
      </x:c>
      <x:c r="C1275" s="253" t="str">
        <x:v>MB8</x:v>
      </x:c>
      <x:c r="D1275" s="262" t="n">
        <x:v>46213.625613425924</x:v>
      </x:c>
      <x:c r="E1275" s="259" t="n">
        <x:v>46213.166666666664</x:v>
      </x:c>
      <x:c r="F1275" s="253" t="str">
        <x:v>406955</x:v>
      </x:c>
      <x:c r="G1275" s="253" t="str">
        <x:v>calvin322</x:v>
      </x:c>
      <x:c r="H1275" s="253" t="str">
        <x:v>Yes</x:v>
      </x:c>
      <x:c r="I1275" s="253" t="str">
        <x:v>Jiahui</x:v>
      </x:c>
      <x:c r="J1275" s="253" t="str">
        <x:v>Jiahui</x:v>
      </x:c>
      <x:c r="K1275" s="259" t="n">
        <x:v>46090.166666666664</x:v>
      </x:c>
      <x:c r="L1275" s="268" t="str">
        <x:f>IFERROR(VLOOKUP(I1275,'Handler-Team Map'!$A$7:$C$17,2,FALSE),"")</x:f>
      </x:c>
      <x:c r="M1275" s="268" t="str">
        <x:f>IFERROR(VLOOKUP(I1275,'Handler-Team Map'!$A$7:$C$17,3,FALSE),"")</x:f>
      </x:c>
      <x:c r="N1275" s="274" t="str">
        <x:v>FT_VMFC_VARIABLE_3X</x:v>
      </x:c>
      <x:c r="O1275" s="274" t="str">
        <x:v>VIP SPECIAL FREE CREDIT - 3x TO</x:v>
      </x:c>
      <x:c r="P1275" s="274" t="str">
        <x:v>FreeCredit</x:v>
      </x:c>
      <x:c r="Q1275" s="274" t="str">
        <x:v>Redeemed</x:v>
      </x:c>
      <x:c r="R1275" s="265" t="n">
        <x:v>2588</x:v>
      </x:c>
      <x:c r="S1275" s="253" t="str">
        <x:v>Yes</x:v>
      </x:c>
      <x:c r="T1275" s="265" t="n">
        <x:v>0</x:v>
      </x:c>
      <x:c r="U1275" s="253" t="str">
        <x:f>IF(AND(S1275="Yes",T1275=0),"Yes","No")</x:f>
        <x:v>Yes</x:v>
      </x:c>
      <x:c r="V1275" s="253" t="str">
        <x:v>Yes</x:v>
      </x:c>
      <x:c r="W1275" s="253" t="str">
        <x:v>No</x:v>
      </x:c>
      <x:c r="X1275" s="259" t="n">
        <x:v>46218.166666666664</x:v>
      </x:c>
      <x:c r="Y1275" s="265" t="n">
        <x:v>2000</x:v>
      </x:c>
      <x:c r="Z1275" s="265" t="n">
        <x:v>37000</x:v>
      </x:c>
      <x:c r="AA1275" s="253" t="str">
        <x:f>IF(V1275="No","Maturing",IF(AND(U1275="Yes",Y1275&gt;0),"Yes","No"))</x:f>
        <x:v>Yes</x:v>
      </x:c>
      <x:c r="AB1275" s="253" t="str">
        <x:f>IF(W1275="No","Maturing",IF(AND(U1275="Yes",Z1275&gt;0),"Yes","No"))</x:f>
        <x:v>Maturing</x:v>
      </x:c>
      <x:c r="AC1275" s="265" t="n">
        <x:v>-11102</x:v>
      </x:c>
      <x:c r="AD1275" s="265" t="n">
        <x:v>23454.89</x:v>
      </x:c>
      <x:c r="AE1275" s="271" t="str"/>
      <x:c r="AF1275" s="274" t="str">
        <x:v>Not validated - no control/holdout</x:v>
      </x:c>
      <x:c r="AG1275" s="277" t="str">
        <x:v>Recovered execution only; assignment date and unclaimed-offer denominator unavailable</x:v>
      </x:c>
    </x:row>
    <x:row r="1276">
      <x:c r="A1276" s="252" t="str">
        <x:v>34906073</x:v>
      </x:c>
      <x:c r="B1276" s="253" t="str">
        <x:v>WS1</x:v>
      </x:c>
      <x:c r="C1276" s="253" t="str">
        <x:v>MB8</x:v>
      </x:c>
      <x:c r="D1276" s="262" t="n">
        <x:v>46213.63359953704</x:v>
      </x:c>
      <x:c r="E1276" s="259" t="n">
        <x:v>46213.166666666664</x:v>
      </x:c>
      <x:c r="F1276" s="253" t="str">
        <x:v>684255</x:v>
      </x:c>
      <x:c r="G1276" s="253" t="str">
        <x:v>Huei0322</x:v>
      </x:c>
      <x:c r="H1276" s="253" t="str">
        <x:v>Yes</x:v>
      </x:c>
      <x:c r="I1276" s="253" t="str">
        <x:v>Kam</x:v>
      </x:c>
      <x:c r="J1276" s="253" t="str">
        <x:v>Kam</x:v>
      </x:c>
      <x:c r="K1276" s="259" t="n">
        <x:v>45951.166666666664</x:v>
      </x:c>
      <x:c r="L1276" s="268" t="str">
        <x:f>IFERROR(VLOOKUP(I1276,'Handler-Team Map'!$A$7:$C$17,2,FALSE),"")</x:f>
      </x:c>
      <x:c r="M1276" s="268" t="str">
        <x:f>IFERROR(VLOOKUP(I1276,'Handler-Team Map'!$A$7:$C$17,3,FALSE),"")</x:f>
      </x:c>
      <x:c r="N1276" s="274" t="str">
        <x:v>FT_VM_REL100PCT_X1</x:v>
      </x:c>
      <x:c r="O1276" s="274" t="str">
        <x:v>100% Reload Bonus - VIP Offer</x:v>
      </x:c>
      <x:c r="P1276" s="274" t="str">
        <x:v>DepositBonus</x:v>
      </x:c>
      <x:c r="Q1276" s="274" t="str">
        <x:v>Approved</x:v>
      </x:c>
      <x:c r="R1276" s="265" t="n">
        <x:v>500</x:v>
      </x:c>
      <x:c r="S1276" s="253" t="str">
        <x:v>Yes</x:v>
      </x:c>
      <x:c r="T1276" s="265" t="n">
        <x:v>0</x:v>
      </x:c>
      <x:c r="U1276" s="253" t="str">
        <x:f>IF(AND(S1276="Yes",T1276=0),"Yes","No")</x:f>
        <x:v>Yes</x:v>
      </x:c>
      <x:c r="V1276" s="253" t="str">
        <x:v>Yes</x:v>
      </x:c>
      <x:c r="W1276" s="253" t="str">
        <x:v>No</x:v>
      </x:c>
      <x:c r="X1276" s="259" t="n">
        <x:v>46213.166666666664</x:v>
      </x:c>
      <x:c r="Y1276" s="265" t="n">
        <x:v>500</x:v>
      </x:c>
      <x:c r="Z1276" s="265" t="n">
        <x:v>500</x:v>
      </x:c>
      <x:c r="AA1276" s="253" t="str">
        <x:f>IF(V1276="No","Maturing",IF(AND(U1276="Yes",Y1276&gt;0),"Yes","No"))</x:f>
        <x:v>Yes</x:v>
      </x:c>
      <x:c r="AB1276" s="253" t="str">
        <x:f>IF(W1276="No","Maturing",IF(AND(U1276="Yes",Z1276&gt;0),"Yes","No"))</x:f>
        <x:v>Maturing</x:v>
      </x:c>
      <x:c r="AC1276" s="265" t="n">
        <x:v>466.47</x:v>
      </x:c>
      <x:c r="AD1276" s="265" t="n">
        <x:v>505.47</x:v>
      </x:c>
      <x:c r="AE1276" s="271" t="str"/>
      <x:c r="AF1276" s="274" t="str">
        <x:v>Not validated - no control/holdout</x:v>
      </x:c>
      <x:c r="AG1276" s="277" t="str">
        <x:v>Recovered execution only; assignment date and unclaimed-offer denominator unavailable</x:v>
      </x:c>
    </x:row>
    <x:row r="1277">
      <x:c r="A1277" s="252" t="str">
        <x:v>34906741</x:v>
      </x:c>
      <x:c r="B1277" s="253" t="str">
        <x:v>WS1</x:v>
      </x:c>
      <x:c r="C1277" s="253" t="str">
        <x:v>MB8</x:v>
      </x:c>
      <x:c r="D1277" s="262" t="n">
        <x:v>46213.68881944445</x:v>
      </x:c>
      <x:c r="E1277" s="259" t="n">
        <x:v>46213.166666666664</x:v>
      </x:c>
      <x:c r="F1277" s="253" t="str">
        <x:v>269734</x:v>
      </x:c>
      <x:c r="G1277" s="253" t="str">
        <x:v>Rr1234</x:v>
      </x:c>
      <x:c r="H1277" s="253" t="str">
        <x:v>Yes</x:v>
      </x:c>
      <x:c r="I1277" s="253" t="str">
        <x:v>Serene</x:v>
      </x:c>
      <x:c r="J1277" s="253" t="str">
        <x:v>Serene</x:v>
      </x:c>
      <x:c r="K1277" s="259" t="n">
        <x:v>45797.166666666664</x:v>
      </x:c>
      <x:c r="L1277" s="268" t="str">
        <x:f>IFERROR(VLOOKUP(I1277,'Handler-Team Map'!$A$7:$C$17,2,FALSE),"")</x:f>
      </x:c>
      <x:c r="M1277" s="268" t="str">
        <x:f>IFERROR(VLOOKUP(I1277,'Handler-Team Map'!$A$7:$C$17,3,FALSE),"")</x:f>
      </x:c>
      <x:c r="N1277" s="274" t="str">
        <x:v>FT_VM_DEP300_GET100_5X</x:v>
      </x:c>
      <x:c r="O1277" s="274" t="str">
        <x:v>VIP BONUS - Deposit 300 Get 100 - 5x TO</x:v>
      </x:c>
      <x:c r="P1277" s="274" t="str">
        <x:v>DepositBonus</x:v>
      </x:c>
      <x:c r="Q1277" s="274" t="str">
        <x:v>Approved</x:v>
      </x:c>
      <x:c r="R1277" s="265" t="n">
        <x:v>100</x:v>
      </x:c>
      <x:c r="S1277" s="253" t="str">
        <x:v>Yes</x:v>
      </x:c>
      <x:c r="T1277" s="265" t="n">
        <x:v>14345</x:v>
      </x:c>
      <x:c r="U1277" s="253" t="str">
        <x:f>IF(AND(S1277="Yes",T1277=0),"Yes","No")</x:f>
        <x:v>No</x:v>
      </x:c>
      <x:c r="V1277" s="253" t="str">
        <x:v>Yes</x:v>
      </x:c>
      <x:c r="W1277" s="253" t="str">
        <x:v>No</x:v>
      </x:c>
      <x:c r="X1277" s="259" t="n">
        <x:v>46213.166666666664</x:v>
      </x:c>
      <x:c r="Y1277" s="265" t="n">
        <x:v>850</x:v>
      </x:c>
      <x:c r="Z1277" s="265" t="n">
        <x:v>2550</x:v>
      </x:c>
      <x:c r="AA1277" s="253" t="str">
        <x:f>IF(V1277="No","Maturing",IF(AND(U1277="Yes",Y1277&gt;0),"Yes","No"))</x:f>
        <x:v>No</x:v>
      </x:c>
      <x:c r="AB1277" s="253" t="str">
        <x:f>IF(W1277="No","Maturing",IF(AND(U1277="Yes",Z1277&gt;0),"Yes","No"))</x:f>
        <x:v>Maturing</x:v>
      </x:c>
      <x:c r="AC1277" s="265" t="n">
        <x:v>245.32</x:v>
      </x:c>
      <x:c r="AD1277" s="265" t="n">
        <x:v>-1348.65</x:v>
      </x:c>
      <x:c r="AE1277" s="271" t="str"/>
      <x:c r="AF1277" s="274" t="str">
        <x:v>Not validated - no control/holdout</x:v>
      </x:c>
      <x:c r="AG1277" s="277" t="str">
        <x:v>Recovered execution only; assignment date and unclaimed-offer denominator unavailable</x:v>
      </x:c>
    </x:row>
    <x:row r="1278">
      <x:c r="A1278" s="252" t="str">
        <x:v>34906869</x:v>
      </x:c>
      <x:c r="B1278" s="253" t="str">
        <x:v>WS1</x:v>
      </x:c>
      <x:c r="C1278" s="253" t="str">
        <x:v>MB8</x:v>
      </x:c>
      <x:c r="D1278" s="262" t="n">
        <x:v>46213.69731481482</x:v>
      </x:c>
      <x:c r="E1278" s="259" t="n">
        <x:v>46213.166666666664</x:v>
      </x:c>
      <x:c r="F1278" s="253" t="str">
        <x:v>106797</x:v>
      </x:c>
      <x:c r="G1278" s="253" t="str">
        <x:v>airul1987</x:v>
      </x:c>
      <x:c r="H1278" s="253" t="str">
        <x:v>Yes</x:v>
      </x:c>
      <x:c r="I1278" s="253" t="str">
        <x:v>Jiahui</x:v>
      </x:c>
      <x:c r="J1278" s="253" t="str">
        <x:v>Jiahui</x:v>
      </x:c>
      <x:c r="K1278" s="259" t="n">
        <x:v>45831.166666666664</x:v>
      </x:c>
      <x:c r="L1278" s="268" t="str">
        <x:f>IFERROR(VLOOKUP(I1278,'Handler-Team Map'!$A$7:$C$17,2,FALSE),"")</x:f>
      </x:c>
      <x:c r="M1278" s="268" t="str">
        <x:f>IFERROR(VLOOKUP(I1278,'Handler-Team Map'!$A$7:$C$17,3,FALSE),"")</x:f>
      </x:c>
      <x:c r="N1278" s="274" t="str">
        <x:v>FT_VM_DEP300_GET100_5X</x:v>
      </x:c>
      <x:c r="O1278" s="274" t="str">
        <x:v>VIP BONUS - Deposit 300 Get 100 - 5x TO</x:v>
      </x:c>
      <x:c r="P1278" s="274" t="str">
        <x:v>DepositBonus</x:v>
      </x:c>
      <x:c r="Q1278" s="274" t="str">
        <x:v>Approved</x:v>
      </x:c>
      <x:c r="R1278" s="265" t="n">
        <x:v>100</x:v>
      </x:c>
      <x:c r="S1278" s="253" t="str">
        <x:v>Yes</x:v>
      </x:c>
      <x:c r="T1278" s="265" t="n">
        <x:v>21713</x:v>
      </x:c>
      <x:c r="U1278" s="253" t="str">
        <x:f>IF(AND(S1278="Yes",T1278=0),"Yes","No")</x:f>
        <x:v>No</x:v>
      </x:c>
      <x:c r="V1278" s="253" t="str">
        <x:v>Yes</x:v>
      </x:c>
      <x:c r="W1278" s="253" t="str">
        <x:v>No</x:v>
      </x:c>
      <x:c r="X1278" s="259" t="n">
        <x:v>46213.166666666664</x:v>
      </x:c>
      <x:c r="Y1278" s="265" t="n">
        <x:v>3550</x:v>
      </x:c>
      <x:c r="Z1278" s="265" t="n">
        <x:v>10430</x:v>
      </x:c>
      <x:c r="AA1278" s="253" t="str">
        <x:f>IF(V1278="No","Maturing",IF(AND(U1278="Yes",Y1278&gt;0),"Yes","No"))</x:f>
        <x:v>No</x:v>
      </x:c>
      <x:c r="AB1278" s="253" t="str">
        <x:f>IF(W1278="No","Maturing",IF(AND(U1278="Yes",Z1278&gt;0),"Yes","No"))</x:f>
        <x:v>Maturing</x:v>
      </x:c>
      <x:c r="AC1278" s="265" t="n">
        <x:v>-4585.31</x:v>
      </x:c>
      <x:c r="AD1278" s="265" t="n">
        <x:v>-3299.01</x:v>
      </x:c>
      <x:c r="AE1278" s="271" t="str"/>
      <x:c r="AF1278" s="274" t="str">
        <x:v>Not validated - no control/holdout</x:v>
      </x:c>
      <x:c r="AG1278" s="277" t="str">
        <x:v>Recovered execution only; assignment date and unclaimed-offer denominator unavailable</x:v>
      </x:c>
    </x:row>
    <x:row r="1279">
      <x:c r="A1279" s="252" t="str">
        <x:v>34907440</x:v>
      </x:c>
      <x:c r="B1279" s="253" t="str">
        <x:v>WS1</x:v>
      </x:c>
      <x:c r="C1279" s="253" t="str">
        <x:v>MB8</x:v>
      </x:c>
      <x:c r="D1279" s="262" t="n">
        <x:v>46213.73266203704</x:v>
      </x:c>
      <x:c r="E1279" s="259" t="n">
        <x:v>46213.166666666664</x:v>
      </x:c>
      <x:c r="F1279" s="253" t="str">
        <x:v>1181391</x:v>
      </x:c>
      <x:c r="G1279" s="253" t="str">
        <x:v>Kook27</x:v>
      </x:c>
      <x:c r="H1279" s="253" t="str">
        <x:v>Yes</x:v>
      </x:c>
      <x:c r="I1279" s="253" t="str">
        <x:v>Jiahui</x:v>
      </x:c>
      <x:c r="J1279" s="253" t="str">
        <x:v>Jiahui</x:v>
      </x:c>
      <x:c r="K1279" s="259" t="n">
        <x:v>45811.166666666664</x:v>
      </x:c>
      <x:c r="L1279" s="268" t="str">
        <x:f>IFERROR(VLOOKUP(I1279,'Handler-Team Map'!$A$7:$C$17,2,FALSE),"")</x:f>
      </x:c>
      <x:c r="M1279" s="268" t="str">
        <x:f>IFERROR(VLOOKUP(I1279,'Handler-Team Map'!$A$7:$C$17,3,FALSE),"")</x:f>
      </x:c>
      <x:c r="N1279" s="274" t="str">
        <x:v>FT_VM_DEP1000_GET500_5X</x:v>
      </x:c>
      <x:c r="O1279" s="274" t="str">
        <x:v>VIP BONUS - Deposit 1000 Get 500 - 5x TO</x:v>
      </x:c>
      <x:c r="P1279" s="274" t="str">
        <x:v>DepositBonus</x:v>
      </x:c>
      <x:c r="Q1279" s="274" t="str">
        <x:v>Approved</x:v>
      </x:c>
      <x:c r="R1279" s="265" t="n">
        <x:v>500</x:v>
      </x:c>
      <x:c r="S1279" s="253" t="str">
        <x:v>Yes</x:v>
      </x:c>
      <x:c r="T1279" s="265" t="n">
        <x:v>3100</x:v>
      </x:c>
      <x:c r="U1279" s="253" t="str">
        <x:f>IF(AND(S1279="Yes",T1279=0),"Yes","No")</x:f>
        <x:v>No</x:v>
      </x:c>
      <x:c r="V1279" s="253" t="str">
        <x:v>Yes</x:v>
      </x:c>
      <x:c r="W1279" s="253" t="str">
        <x:v>No</x:v>
      </x:c>
      <x:c r="X1279" s="259" t="n">
        <x:v>46213.166666666664</x:v>
      </x:c>
      <x:c r="Y1279" s="265" t="n">
        <x:v>14139</x:v>
      </x:c>
      <x:c r="Z1279" s="265" t="n">
        <x:v>14139</x:v>
      </x:c>
      <x:c r="AA1279" s="253" t="str">
        <x:f>IF(V1279="No","Maturing",IF(AND(U1279="Yes",Y1279&gt;0),"Yes","No"))</x:f>
        <x:v>No</x:v>
      </x:c>
      <x:c r="AB1279" s="253" t="str">
        <x:f>IF(W1279="No","Maturing",IF(AND(U1279="Yes",Z1279&gt;0),"Yes","No"))</x:f>
        <x:v>Maturing</x:v>
      </x:c>
      <x:c r="AC1279" s="265" t="n">
        <x:v>12463.14</x:v>
      </x:c>
      <x:c r="AD1279" s="265" t="n">
        <x:v>12463.14</x:v>
      </x:c>
      <x:c r="AE1279" s="271" t="str"/>
      <x:c r="AF1279" s="274" t="str">
        <x:v>Not validated - no control/holdout</x:v>
      </x:c>
      <x:c r="AG1279" s="277" t="str">
        <x:v>Recovered execution only; assignment date and unclaimed-offer denominator unavailable</x:v>
      </x:c>
    </x:row>
    <x:row r="1280">
      <x:c r="A1280" s="252" t="str">
        <x:v>34908107</x:v>
      </x:c>
      <x:c r="B1280" s="253" t="str">
        <x:v>WS1</x:v>
      </x:c>
      <x:c r="C1280" s="253" t="str">
        <x:v>MB8</x:v>
      </x:c>
      <x:c r="D1280" s="262" t="n">
        <x:v>46213.78962962963</x:v>
      </x:c>
      <x:c r="E1280" s="259" t="n">
        <x:v>46213.166666666664</x:v>
      </x:c>
      <x:c r="F1280" s="253" t="str">
        <x:v>572270</x:v>
      </x:c>
      <x:c r="G1280" s="253" t="str">
        <x:v>mybet1881</x:v>
      </x:c>
      <x:c r="H1280" s="253" t="str">
        <x:v>Yes</x:v>
      </x:c>
      <x:c r="I1280" s="253" t="str">
        <x:v>Sheena</x:v>
      </x:c>
      <x:c r="J1280" s="253" t="str">
        <x:v>Sheena</x:v>
      </x:c>
      <x:c r="K1280" s="259" t="n">
        <x:v>46105.166666666664</x:v>
      </x:c>
      <x:c r="L1280" s="268" t="str">
        <x:f>IFERROR(VLOOKUP(I1280,'Handler-Team Map'!$A$7:$C$17,2,FALSE),"")</x:f>
      </x:c>
      <x:c r="M1280" s="268" t="str">
        <x:f>IFERROR(VLOOKUP(I1280,'Handler-Team Map'!$A$7:$C$17,3,FALSE),"")</x:f>
      </x:c>
      <x:c r="N1280" s="274" t="str">
        <x:v>FT_VM_DEP1000_GET500_5X</x:v>
      </x:c>
      <x:c r="O1280" s="274" t="str">
        <x:v>VIP BONUS - Deposit 1000 Get 500 - 5x TO</x:v>
      </x:c>
      <x:c r="P1280" s="274" t="str">
        <x:v>DepositBonus</x:v>
      </x:c>
      <x:c r="Q1280" s="274" t="str">
        <x:v>Approved</x:v>
      </x:c>
      <x:c r="R1280" s="265" t="n">
        <x:v>500</x:v>
      </x:c>
      <x:c r="S1280" s="253" t="str">
        <x:v>Yes</x:v>
      </x:c>
      <x:c r="T1280" s="265" t="n">
        <x:v>3500</x:v>
      </x:c>
      <x:c r="U1280" s="253" t="str">
        <x:f>IF(AND(S1280="Yes",T1280=0),"Yes","No")</x:f>
        <x:v>No</x:v>
      </x:c>
      <x:c r="V1280" s="253" t="str">
        <x:v>Yes</x:v>
      </x:c>
      <x:c r="W1280" s="253" t="str">
        <x:v>No</x:v>
      </x:c>
      <x:c r="X1280" s="259" t="n">
        <x:v>46213.166666666664</x:v>
      </x:c>
      <x:c r="Y1280" s="265" t="n">
        <x:v>3800</x:v>
      </x:c>
      <x:c r="Z1280" s="265" t="n">
        <x:v>6600</x:v>
      </x:c>
      <x:c r="AA1280" s="253" t="str">
        <x:f>IF(V1280="No","Maturing",IF(AND(U1280="Yes",Y1280&gt;0),"Yes","No"))</x:f>
        <x:v>No</x:v>
      </x:c>
      <x:c r="AB1280" s="253" t="str">
        <x:f>IF(W1280="No","Maturing",IF(AND(U1280="Yes",Z1280&gt;0),"Yes","No"))</x:f>
        <x:v>Maturing</x:v>
      </x:c>
      <x:c r="AC1280" s="265" t="n">
        <x:v>3777.11</x:v>
      </x:c>
      <x:c r="AD1280" s="265" t="n">
        <x:v>3677.02</x:v>
      </x:c>
      <x:c r="AE1280" s="271" t="str"/>
      <x:c r="AF1280" s="274" t="str">
        <x:v>Not validated - no control/holdout</x:v>
      </x:c>
      <x:c r="AG1280" s="277" t="str">
        <x:v>Recovered execution only; assignment date and unclaimed-offer denominator unavailable</x:v>
      </x:c>
    </x:row>
    <x:row r="1281">
      <x:c r="A1281" s="252" t="str">
        <x:v>34908120</x:v>
      </x:c>
      <x:c r="B1281" s="253" t="str">
        <x:v>WS1</x:v>
      </x:c>
      <x:c r="C1281" s="253" t="str">
        <x:v>MB8</x:v>
      </x:c>
      <x:c r="D1281" s="262" t="n">
        <x:v>46213.789976851855</x:v>
      </x:c>
      <x:c r="E1281" s="259" t="n">
        <x:v>46213.166666666664</x:v>
      </x:c>
      <x:c r="F1281" s="253" t="str">
        <x:v>672000</x:v>
      </x:c>
      <x:c r="G1281" s="253" t="str">
        <x:v>Alexseng67</x:v>
      </x:c>
      <x:c r="H1281" s="253" t="str">
        <x:v>Yes</x:v>
      </x:c>
      <x:c r="I1281" s="253" t="str"/>
      <x:c r="J1281" s="253" t="str"/>
      <x:c r="K1281" s="259"/>
      <x:c r="L1281" s="268" t="str">
        <x:f>IFERROR(VLOOKUP(I1281,'Handler-Team Map'!$A$7:$C$17,2,FALSE),"")</x:f>
      </x:c>
      <x:c r="M1281" s="268" t="str">
        <x:f>IFERROR(VLOOKUP(I1281,'Handler-Team Map'!$A$7:$C$17,3,FALSE),"")</x:f>
      </x:c>
      <x:c r="N1281" s="274" t="str">
        <x:v>FT_VM_DEP600_GET200_5X</x:v>
      </x:c>
      <x:c r="O1281" s="274" t="str">
        <x:v>VIP BONUS - Deposit 600 Get 200 - 5x TO</x:v>
      </x:c>
      <x:c r="P1281" s="274" t="str">
        <x:v>DepositBonus</x:v>
      </x:c>
      <x:c r="Q1281" s="274" t="str">
        <x:v>Approved</x:v>
      </x:c>
      <x:c r="R1281" s="265" t="n">
        <x:v>200</x:v>
      </x:c>
      <x:c r="S1281" s="253" t="str">
        <x:v>Yes</x:v>
      </x:c>
      <x:c r="T1281" s="265" t="n">
        <x:v>4375</x:v>
      </x:c>
      <x:c r="U1281" s="253" t="str">
        <x:f>IF(AND(S1281="Yes",T1281=0),"Yes","No")</x:f>
        <x:v>No</x:v>
      </x:c>
      <x:c r="V1281" s="253" t="str">
        <x:v>Yes</x:v>
      </x:c>
      <x:c r="W1281" s="253" t="str">
        <x:v>No</x:v>
      </x:c>
      <x:c r="X1281" s="259" t="n">
        <x:v>46213.166666666664</x:v>
      </x:c>
      <x:c r="Y1281" s="265" t="n">
        <x:v>1730</x:v>
      </x:c>
      <x:c r="Z1281" s="265" t="n">
        <x:v>2230</x:v>
      </x:c>
      <x:c r="AA1281" s="253" t="str">
        <x:f>IF(V1281="No","Maturing",IF(AND(U1281="Yes",Y1281&gt;0),"Yes","No"))</x:f>
        <x:v>No</x:v>
      </x:c>
      <x:c r="AB1281" s="253" t="str">
        <x:f>IF(W1281="No","Maturing",IF(AND(U1281="Yes",Z1281&gt;0),"Yes","No"))</x:f>
        <x:v>Maturing</x:v>
      </x:c>
      <x:c r="AC1281" s="265" t="n">
        <x:v>-830.04</x:v>
      </x:c>
      <x:c r="AD1281" s="265" t="n">
        <x:v>-830.12</x:v>
      </x:c>
      <x:c r="AE1281" s="271" t="str"/>
      <x:c r="AF1281" s="274" t="str">
        <x:v>Not validated - no control/holdout</x:v>
      </x:c>
      <x:c r="AG1281" s="277" t="str">
        <x:v>Recovered execution only; assignment date and unclaimed-offer denominator unavailable</x:v>
      </x:c>
    </x:row>
    <x:row r="1282">
      <x:c r="A1282" s="252" t="str">
        <x:v>34908870</x:v>
      </x:c>
      <x:c r="B1282" s="253" t="str">
        <x:v>WS1</x:v>
      </x:c>
      <x:c r="C1282" s="253" t="str">
        <x:v>MB8</x:v>
      </x:c>
      <x:c r="D1282" s="262" t="n">
        <x:v>46213.85141203704</x:v>
      </x:c>
      <x:c r="E1282" s="259" t="n">
        <x:v>46213.166666666664</x:v>
      </x:c>
      <x:c r="F1282" s="253" t="str">
        <x:v>536244</x:v>
      </x:c>
      <x:c r="G1282" s="253" t="str">
        <x:v>rong888</x:v>
      </x:c>
      <x:c r="H1282" s="253" t="str">
        <x:v>Yes</x:v>
      </x:c>
      <x:c r="I1282" s="253" t="str"/>
      <x:c r="J1282" s="253" t="str"/>
      <x:c r="K1282" s="259"/>
      <x:c r="L1282" s="268" t="str">
        <x:f>IFERROR(VLOOKUP(I1282,'Handler-Team Map'!$A$7:$C$17,2,FALSE),"")</x:f>
      </x:c>
      <x:c r="M1282" s="268" t="str">
        <x:f>IFERROR(VLOOKUP(I1282,'Handler-Team Map'!$A$7:$C$17,3,FALSE),"")</x:f>
      </x:c>
      <x:c r="N1282" s="274" t="str">
        <x:v>FT_VM_DEP1000_GET500_1X</x:v>
      </x:c>
      <x:c r="O1282" s="274" t="str">
        <x:v>VIP BONUS - Deposit 1000 Get 500 - 1x TO</x:v>
      </x:c>
      <x:c r="P1282" s="274" t="str">
        <x:v>DepositBonus</x:v>
      </x:c>
      <x:c r="Q1282" s="274" t="str">
        <x:v>Approved</x:v>
      </x:c>
      <x:c r="R1282" s="265" t="n">
        <x:v>500</x:v>
      </x:c>
      <x:c r="S1282" s="253" t="str">
        <x:v>Yes</x:v>
      </x:c>
      <x:c r="T1282" s="265" t="n">
        <x:v>1200</x:v>
      </x:c>
      <x:c r="U1282" s="253" t="str">
        <x:f>IF(AND(S1282="Yes",T1282=0),"Yes","No")</x:f>
        <x:v>No</x:v>
      </x:c>
      <x:c r="V1282" s="253" t="str">
        <x:v>Yes</x:v>
      </x:c>
      <x:c r="W1282" s="253" t="str">
        <x:v>No</x:v>
      </x:c>
      <x:c r="X1282" s="259" t="n">
        <x:v>46213.166666666664</x:v>
      </x:c>
      <x:c r="Y1282" s="265" t="n">
        <x:v>1001</x:v>
      </x:c>
      <x:c r="Z1282" s="265" t="n">
        <x:v>1001</x:v>
      </x:c>
      <x:c r="AA1282" s="253" t="str">
        <x:f>IF(V1282="No","Maturing",IF(AND(U1282="Yes",Y1282&gt;0),"Yes","No"))</x:f>
        <x:v>No</x:v>
      </x:c>
      <x:c r="AB1282" s="253" t="str">
        <x:f>IF(W1282="No","Maturing",IF(AND(U1282="Yes",Z1282&gt;0),"Yes","No"))</x:f>
        <x:v>Maturing</x:v>
      </x:c>
      <x:c r="AC1282" s="265" t="n">
        <x:v>-321.34</x:v>
      </x:c>
      <x:c r="AD1282" s="265" t="n">
        <x:v>-321.34</x:v>
      </x:c>
      <x:c r="AE1282" s="271" t="str"/>
      <x:c r="AF1282" s="274" t="str">
        <x:v>Not validated - no control/holdout</x:v>
      </x:c>
      <x:c r="AG1282" s="277" t="str">
        <x:v>Recovered execution only; assignment date and unclaimed-offer denominator unavailable</x:v>
      </x:c>
    </x:row>
    <x:row r="1283">
      <x:c r="A1283" s="252" t="str">
        <x:v>34908901</x:v>
      </x:c>
      <x:c r="B1283" s="253" t="str">
        <x:v>WS1</x:v>
      </x:c>
      <x:c r="C1283" s="253" t="str">
        <x:v>MB8</x:v>
      </x:c>
      <x:c r="D1283" s="262" t="n">
        <x:v>46213.85327546296</x:v>
      </x:c>
      <x:c r="E1283" s="259" t="n">
        <x:v>46213.166666666664</x:v>
      </x:c>
      <x:c r="F1283" s="253" t="str">
        <x:v>8822</x:v>
      </x:c>
      <x:c r="G1283" s="253" t="str">
        <x:v>bryan1234</x:v>
      </x:c>
      <x:c r="H1283" s="253" t="str">
        <x:v>Yes</x:v>
      </x:c>
      <x:c r="I1283" s="253" t="str">
        <x:v>Serene</x:v>
      </x:c>
      <x:c r="J1283" s="253" t="str">
        <x:v>Serene</x:v>
      </x:c>
      <x:c r="K1283" s="259" t="n">
        <x:v>45859.166666666664</x:v>
      </x:c>
      <x:c r="L1283" s="268" t="str">
        <x:f>IFERROR(VLOOKUP(I1283,'Handler-Team Map'!$A$7:$C$17,2,FALSE),"")</x:f>
      </x:c>
      <x:c r="M1283" s="268" t="str">
        <x:f>IFERROR(VLOOKUP(I1283,'Handler-Team Map'!$A$7:$C$17,3,FALSE),"")</x:f>
      </x:c>
      <x:c r="N1283" s="274" t="str">
        <x:v>FT_VM_DEP1000_GET800_2X</x:v>
      </x:c>
      <x:c r="O1283" s="274" t="str">
        <x:v>VIP BONUS - Deposit 1000 Get 800 - 2x TO</x:v>
      </x:c>
      <x:c r="P1283" s="274" t="str">
        <x:v>DepositBonus</x:v>
      </x:c>
      <x:c r="Q1283" s="274" t="str">
        <x:v>Approved</x:v>
      </x:c>
      <x:c r="R1283" s="265" t="n">
        <x:v>800</x:v>
      </x:c>
      <x:c r="S1283" s="253" t="str">
        <x:v>Yes</x:v>
      </x:c>
      <x:c r="T1283" s="265" t="n">
        <x:v>1400</x:v>
      </x:c>
      <x:c r="U1283" s="253" t="str">
        <x:f>IF(AND(S1283="Yes",T1283=0),"Yes","No")</x:f>
        <x:v>No</x:v>
      </x:c>
      <x:c r="V1283" s="253" t="str">
        <x:v>Yes</x:v>
      </x:c>
      <x:c r="W1283" s="253" t="str">
        <x:v>No</x:v>
      </x:c>
      <x:c r="X1283" s="259" t="n">
        <x:v>46213.166666666664</x:v>
      </x:c>
      <x:c r="Y1283" s="265" t="n">
        <x:v>1000</x:v>
      </x:c>
      <x:c r="Z1283" s="265" t="n">
        <x:v>2000</x:v>
      </x:c>
      <x:c r="AA1283" s="253" t="str">
        <x:f>IF(V1283="No","Maturing",IF(AND(U1283="Yes",Y1283&gt;0),"Yes","No"))</x:f>
        <x:v>No</x:v>
      </x:c>
      <x:c r="AB1283" s="253" t="str">
        <x:f>IF(W1283="No","Maturing",IF(AND(U1283="Yes",Z1283&gt;0),"Yes","No"))</x:f>
        <x:v>Maturing</x:v>
      </x:c>
      <x:c r="AC1283" s="265" t="n">
        <x:v>1000.5</x:v>
      </x:c>
      <x:c r="AD1283" s="265" t="n">
        <x:v>-1599</x:v>
      </x:c>
      <x:c r="AE1283" s="271" t="str"/>
      <x:c r="AF1283" s="274" t="str">
        <x:v>Not validated - no control/holdout</x:v>
      </x:c>
      <x:c r="AG1283" s="277" t="str">
        <x:v>Recovered execution only; assignment date and unclaimed-offer denominator unavailable</x:v>
      </x:c>
    </x:row>
    <x:row r="1284">
      <x:c r="A1284" s="252" t="str">
        <x:v>34908940</x:v>
      </x:c>
      <x:c r="B1284" s="253" t="str">
        <x:v>WS1</x:v>
      </x:c>
      <x:c r="C1284" s="253" t="str">
        <x:v>MB8</x:v>
      </x:c>
      <x:c r="D1284" s="262" t="n">
        <x:v>46213.85601851852</x:v>
      </x:c>
      <x:c r="E1284" s="259" t="n">
        <x:v>46213.166666666664</x:v>
      </x:c>
      <x:c r="F1284" s="253" t="str">
        <x:v>630254</x:v>
      </x:c>
      <x:c r="G1284" s="253" t="str">
        <x:v>Cris0917</x:v>
      </x:c>
      <x:c r="H1284" s="253" t="str">
        <x:v>Yes</x:v>
      </x:c>
      <x:c r="I1284" s="253" t="str">
        <x:v>zhen</x:v>
      </x:c>
      <x:c r="J1284" s="253" t="str">
        <x:v>zhen</x:v>
      </x:c>
      <x:c r="K1284" s="259" t="n">
        <x:v>45880.166666666664</x:v>
      </x:c>
      <x:c r="L1284" s="268" t="str">
        <x:f>IFERROR(VLOOKUP(I1284,'Handler-Team Map'!$A$7:$C$17,2,FALSE),"")</x:f>
      </x:c>
      <x:c r="M1284" s="268" t="str">
        <x:f>IFERROR(VLOOKUP(I1284,'Handler-Team Map'!$A$7:$C$17,3,FALSE),"")</x:f>
      </x:c>
      <x:c r="N1284" s="274" t="str">
        <x:v>FT_VM_DEP1000_GET500_5X</x:v>
      </x:c>
      <x:c r="O1284" s="274" t="str">
        <x:v>VIP BONUS - Deposit 1000 Get 500 - 5x TO</x:v>
      </x:c>
      <x:c r="P1284" s="274" t="str">
        <x:v>DepositBonus</x:v>
      </x:c>
      <x:c r="Q1284" s="274" t="str">
        <x:v>Approved</x:v>
      </x:c>
      <x:c r="R1284" s="265" t="n">
        <x:v>500</x:v>
      </x:c>
      <x:c r="S1284" s="253" t="str">
        <x:v>Yes</x:v>
      </x:c>
      <x:c r="T1284" s="265" t="n">
        <x:v>13170</x:v>
      </x:c>
      <x:c r="U1284" s="253" t="str">
        <x:f>IF(AND(S1284="Yes",T1284=0),"Yes","No")</x:f>
        <x:v>No</x:v>
      </x:c>
      <x:c r="V1284" s="253" t="str">
        <x:v>Yes</x:v>
      </x:c>
      <x:c r="W1284" s="253" t="str">
        <x:v>No</x:v>
      </x:c>
      <x:c r="X1284" s="259" t="n">
        <x:v>46213.166666666664</x:v>
      </x:c>
      <x:c r="Y1284" s="265" t="n">
        <x:v>6460</x:v>
      </x:c>
      <x:c r="Z1284" s="265" t="n">
        <x:v>7500</x:v>
      </x:c>
      <x:c r="AA1284" s="253" t="str">
        <x:f>IF(V1284="No","Maturing",IF(AND(U1284="Yes",Y1284&gt;0),"Yes","No"))</x:f>
        <x:v>No</x:v>
      </x:c>
      <x:c r="AB1284" s="253" t="str">
        <x:f>IF(W1284="No","Maturing",IF(AND(U1284="Yes",Z1284&gt;0),"Yes","No"))</x:f>
        <x:v>Maturing</x:v>
      </x:c>
      <x:c r="AC1284" s="265" t="n">
        <x:v>3416.95</x:v>
      </x:c>
      <x:c r="AD1284" s="265" t="n">
        <x:v>3449.47</x:v>
      </x:c>
      <x:c r="AE1284" s="271" t="str"/>
      <x:c r="AF1284" s="274" t="str">
        <x:v>Not validated - no control/holdout</x:v>
      </x:c>
      <x:c r="AG1284" s="277" t="str">
        <x:v>Recovered execution only; assignment date and unclaimed-offer denominator unavailable</x:v>
      </x:c>
    </x:row>
    <x:row r="1285">
      <x:c r="A1285" s="252" t="str">
        <x:v>34910975</x:v>
      </x:c>
      <x:c r="B1285" s="253" t="str">
        <x:v>WS1</x:v>
      </x:c>
      <x:c r="C1285" s="253" t="str">
        <x:v>MB8</x:v>
      </x:c>
      <x:c r="D1285" s="262" t="n">
        <x:v>46213.98701388889</x:v>
      </x:c>
      <x:c r="E1285" s="259" t="n">
        <x:v>46213.166666666664</x:v>
      </x:c>
      <x:c r="F1285" s="253" t="str">
        <x:v>693045</x:v>
      </x:c>
      <x:c r="G1285" s="253" t="str">
        <x:v>S0109427034</x:v>
      </x:c>
      <x:c r="H1285" s="253" t="str">
        <x:v>Yes</x:v>
      </x:c>
      <x:c r="I1285" s="253" t="str">
        <x:v>Christy</x:v>
      </x:c>
      <x:c r="J1285" s="253" t="str">
        <x:v>Christy</x:v>
      </x:c>
      <x:c r="K1285" s="259" t="n">
        <x:v>45831.166666666664</x:v>
      </x:c>
      <x:c r="L1285" s="268" t="str">
        <x:f>IFERROR(VLOOKUP(I1285,'Handler-Team Map'!$A$7:$C$17,2,FALSE),"")</x:f>
      </x:c>
      <x:c r="M1285" s="268" t="str">
        <x:f>IFERROR(VLOOKUP(I1285,'Handler-Team Map'!$A$7:$C$17,3,FALSE),"")</x:f>
      </x:c>
      <x:c r="N1285" s="274" t="str">
        <x:v>FT_VM_DEP1000_GET500_5X</x:v>
      </x:c>
      <x:c r="O1285" s="274" t="str">
        <x:v>VIP BONUS - Deposit 1000 Get 500 - 5x TO</x:v>
      </x:c>
      <x:c r="P1285" s="274" t="str">
        <x:v>DepositBonus</x:v>
      </x:c>
      <x:c r="Q1285" s="274" t="str">
        <x:v>Approved</x:v>
      </x:c>
      <x:c r="R1285" s="265" t="n">
        <x:v>500</x:v>
      </x:c>
      <x:c r="S1285" s="253" t="str">
        <x:v>Yes</x:v>
      </x:c>
      <x:c r="T1285" s="265" t="n">
        <x:v>60170.3</x:v>
      </x:c>
      <x:c r="U1285" s="253" t="str">
        <x:f>IF(AND(S1285="Yes",T1285=0),"Yes","No")</x:f>
        <x:v>No</x:v>
      </x:c>
      <x:c r="V1285" s="253" t="str">
        <x:v>Yes</x:v>
      </x:c>
      <x:c r="W1285" s="253" t="str">
        <x:v>No</x:v>
      </x:c>
      <x:c r="X1285" s="259" t="n">
        <x:v>46213.166666666664</x:v>
      </x:c>
      <x:c r="Y1285" s="265" t="n">
        <x:v>10556.9</x:v>
      </x:c>
      <x:c r="Z1285" s="265" t="n">
        <x:v>14600.9</x:v>
      </x:c>
      <x:c r="AA1285" s="253" t="str">
        <x:f>IF(V1285="No","Maturing",IF(AND(U1285="Yes",Y1285&gt;0),"Yes","No"))</x:f>
        <x:v>No</x:v>
      </x:c>
      <x:c r="AB1285" s="253" t="str">
        <x:f>IF(W1285="No","Maturing",IF(AND(U1285="Yes",Z1285&gt;0),"Yes","No"))</x:f>
        <x:v>Maturing</x:v>
      </x:c>
      <x:c r="AC1285" s="265" t="n">
        <x:v>-5542.97</x:v>
      </x:c>
      <x:c r="AD1285" s="265" t="n">
        <x:v>-4500.77</x:v>
      </x:c>
      <x:c r="AE1285" s="271" t="str"/>
      <x:c r="AF1285" s="274" t="str">
        <x:v>Not validated - no control/holdout</x:v>
      </x:c>
      <x:c r="AG1285" s="277" t="str">
        <x:v>Recovered execution only; assignment date and unclaimed-offer denominator unavailable</x:v>
      </x:c>
    </x:row>
    <x:row r="1286">
      <x:c r="A1286" s="252" t="str">
        <x:v>34926304</x:v>
      </x:c>
      <x:c r="B1286" s="253" t="str">
        <x:v>WS1</x:v>
      </x:c>
      <x:c r="C1286" s="253" t="str">
        <x:v>MB8</x:v>
      </x:c>
      <x:c r="D1286" s="262" t="n">
        <x:v>46215.22174768519</x:v>
      </x:c>
      <x:c r="E1286" s="259" t="n">
        <x:v>46215.166666666664</x:v>
      </x:c>
      <x:c r="F1286" s="253" t="str">
        <x:v>653861</x:v>
      </x:c>
      <x:c r="G1286" s="253" t="str">
        <x:v>Raymond167</x:v>
      </x:c>
      <x:c r="H1286" s="253" t="str">
        <x:v>Yes</x:v>
      </x:c>
      <x:c r="I1286" s="253" t="str">
        <x:v>Jiahui</x:v>
      </x:c>
      <x:c r="J1286" s="253" t="str">
        <x:v>Jiahui</x:v>
      </x:c>
      <x:c r="K1286" s="259" t="n">
        <x:v>46090.166666666664</x:v>
      </x:c>
      <x:c r="L1286" s="268" t="str">
        <x:f>IFERROR(VLOOKUP(I1286,'Handler-Team Map'!$A$7:$C$17,2,FALSE),"")</x:f>
      </x:c>
      <x:c r="M1286" s="268" t="str">
        <x:f>IFERROR(VLOOKUP(I1286,'Handler-Team Map'!$A$7:$C$17,3,FALSE),"")</x:f>
      </x:c>
      <x:c r="N1286" s="274" t="str">
        <x:v>FT_VM_DEP1000_GET500_1X</x:v>
      </x:c>
      <x:c r="O1286" s="274" t="str">
        <x:v>VIP BONUS - Deposit 1000 Get 500 - 1x TO</x:v>
      </x:c>
      <x:c r="P1286" s="274" t="str">
        <x:v>DepositBonus</x:v>
      </x:c>
      <x:c r="Q1286" s="274" t="str">
        <x:v>Approved</x:v>
      </x:c>
      <x:c r="R1286" s="265" t="n">
        <x:v>500</x:v>
      </x:c>
      <x:c r="S1286" s="253" t="str">
        <x:v>Yes</x:v>
      </x:c>
      <x:c r="T1286" s="265" t="n">
        <x:v>1110</x:v>
      </x:c>
      <x:c r="U1286" s="253" t="str">
        <x:f>IF(AND(S1286="Yes",T1286=0),"Yes","No")</x:f>
        <x:v>No</x:v>
      </x:c>
      <x:c r="V1286" s="253" t="str">
        <x:v>Yes</x:v>
      </x:c>
      <x:c r="W1286" s="253" t="str">
        <x:v>No</x:v>
      </x:c>
      <x:c r="X1286" s="259" t="n">
        <x:v>46215.166666666664</x:v>
      </x:c>
      <x:c r="Y1286" s="265" t="n">
        <x:v>4370</x:v>
      </x:c>
      <x:c r="Z1286" s="265" t="n">
        <x:v>4370</x:v>
      </x:c>
      <x:c r="AA1286" s="253" t="str">
        <x:f>IF(V1286="No","Maturing",IF(AND(U1286="Yes",Y1286&gt;0),"Yes","No"))</x:f>
        <x:v>No</x:v>
      </x:c>
      <x:c r="AB1286" s="253" t="str">
        <x:f>IF(W1286="No","Maturing",IF(AND(U1286="Yes",Z1286&gt;0),"Yes","No"))</x:f>
        <x:v>Maturing</x:v>
      </x:c>
      <x:c r="AC1286" s="265" t="n">
        <x:v>2379.31</x:v>
      </x:c>
      <x:c r="AD1286" s="265" t="n">
        <x:v>2379.31</x:v>
      </x:c>
      <x:c r="AE1286" s="271" t="str"/>
      <x:c r="AF1286" s="274" t="str">
        <x:v>Not validated - no control/holdout</x:v>
      </x:c>
      <x:c r="AG1286" s="277" t="str">
        <x:v>Recovered execution only; assignment date and unclaimed-offer denominator unavailable</x:v>
      </x:c>
    </x:row>
    <x:row r="1287">
      <x:c r="A1287" s="252" t="str">
        <x:v>34930619</x:v>
      </x:c>
      <x:c r="B1287" s="253" t="str">
        <x:v>WS1</x:v>
      </x:c>
      <x:c r="C1287" s="253" t="str">
        <x:v>MB8</x:v>
      </x:c>
      <x:c r="D1287" s="262" t="n">
        <x:v>46215.693032407406</x:v>
      </x:c>
      <x:c r="E1287" s="259" t="n">
        <x:v>46215.166666666664</x:v>
      </x:c>
      <x:c r="F1287" s="253" t="str">
        <x:v>676296</x:v>
      </x:c>
      <x:c r="G1287" s="253" t="str">
        <x:v>ngmuhau</x:v>
      </x:c>
      <x:c r="H1287" s="253" t="str">
        <x:v>Yes</x:v>
      </x:c>
      <x:c r="I1287" s="253" t="str">
        <x:v>Jiahui</x:v>
      </x:c>
      <x:c r="J1287" s="253" t="str">
        <x:v>Jiahui</x:v>
      </x:c>
      <x:c r="K1287" s="259" t="n">
        <x:v>45993.166666666664</x:v>
      </x:c>
      <x:c r="L1287" s="268" t="str">
        <x:f>IFERROR(VLOOKUP(I1287,'Handler-Team Map'!$A$7:$C$17,2,FALSE),"")</x:f>
      </x:c>
      <x:c r="M1287" s="268" t="str">
        <x:f>IFERROR(VLOOKUP(I1287,'Handler-Team Map'!$A$7:$C$17,3,FALSE),"")</x:f>
      </x:c>
      <x:c r="N1287" s="274" t="str">
        <x:v>FT_VM_DEP600_GET200_5X</x:v>
      </x:c>
      <x:c r="O1287" s="274" t="str">
        <x:v>VIP BONUS - Deposit 600 Get 200 - 5x TO</x:v>
      </x:c>
      <x:c r="P1287" s="274" t="str">
        <x:v>DepositBonus</x:v>
      </x:c>
      <x:c r="Q1287" s="274" t="str">
        <x:v>Approved</x:v>
      </x:c>
      <x:c r="R1287" s="265" t="n">
        <x:v>200</x:v>
      </x:c>
      <x:c r="S1287" s="253" t="str">
        <x:v>Yes</x:v>
      </x:c>
      <x:c r="T1287" s="265" t="n">
        <x:v>144100</x:v>
      </x:c>
      <x:c r="U1287" s="253" t="str">
        <x:f>IF(AND(S1287="Yes",T1287=0),"Yes","No")</x:f>
        <x:v>No</x:v>
      </x:c>
      <x:c r="V1287" s="253" t="str">
        <x:v>Yes</x:v>
      </x:c>
      <x:c r="W1287" s="253" t="str">
        <x:v>No</x:v>
      </x:c>
      <x:c r="X1287" s="259" t="n">
        <x:v>46215.166666666664</x:v>
      </x:c>
      <x:c r="Y1287" s="265" t="n">
        <x:v>7400</x:v>
      </x:c>
      <x:c r="Z1287" s="265" t="n">
        <x:v>13900</x:v>
      </x:c>
      <x:c r="AA1287" s="253" t="str">
        <x:f>IF(V1287="No","Maturing",IF(AND(U1287="Yes",Y1287&gt;0),"Yes","No"))</x:f>
        <x:v>No</x:v>
      </x:c>
      <x:c r="AB1287" s="253" t="str">
        <x:f>IF(W1287="No","Maturing",IF(AND(U1287="Yes",Z1287&gt;0),"Yes","No"))</x:f>
        <x:v>Maturing</x:v>
      </x:c>
      <x:c r="AC1287" s="265" t="n">
        <x:v>-1849.75</x:v>
      </x:c>
      <x:c r="AD1287" s="265" t="n">
        <x:v>-8707.52</x:v>
      </x:c>
      <x:c r="AE1287" s="271" t="str"/>
      <x:c r="AF1287" s="274" t="str">
        <x:v>Not validated - no control/holdout</x:v>
      </x:c>
      <x:c r="AG1287" s="277" t="str">
        <x:v>Recovered execution only; assignment date and unclaimed-offer denominator unavailable</x:v>
      </x:c>
    </x:row>
    <x:row r="1288">
      <x:c r="A1288" s="252" t="str">
        <x:v>34931025</x:v>
      </x:c>
      <x:c r="B1288" s="253" t="str">
        <x:v>WS1</x:v>
      </x:c>
      <x:c r="C1288" s="253" t="str">
        <x:v>MB8</x:v>
      </x:c>
      <x:c r="D1288" s="262" t="n">
        <x:v>46215.72561342592</x:v>
      </x:c>
      <x:c r="E1288" s="259" t="n">
        <x:v>46215.166666666664</x:v>
      </x:c>
      <x:c r="F1288" s="253" t="str">
        <x:v>257261</x:v>
      </x:c>
      <x:c r="G1288" s="253" t="str">
        <x:v>NAZI7192</x:v>
      </x:c>
      <x:c r="H1288" s="253" t="str">
        <x:v>Yes</x:v>
      </x:c>
      <x:c r="I1288" s="253" t="str">
        <x:v>Elda</x:v>
      </x:c>
      <x:c r="J1288" s="253" t="str">
        <x:v>Elda</x:v>
      </x:c>
      <x:c r="K1288" s="259" t="n">
        <x:v>45779.166666666664</x:v>
      </x:c>
      <x:c r="L1288" s="268" t="str">
        <x:f>IFERROR(VLOOKUP(I1288,'Handler-Team Map'!$A$7:$C$17,2,FALSE),"")</x:f>
      </x:c>
      <x:c r="M1288" s="268" t="str">
        <x:f>IFERROR(VLOOKUP(I1288,'Handler-Team Map'!$A$7:$C$17,3,FALSE),"")</x:f>
      </x:c>
      <x:c r="N1288" s="274" t="str">
        <x:v>FT_VM_DEP300_GET100_5X</x:v>
      </x:c>
      <x:c r="O1288" s="274" t="str">
        <x:v>VIP BONUS - Deposit 300 Get 100 - 5x TO</x:v>
      </x:c>
      <x:c r="P1288" s="274" t="str">
        <x:v>DepositBonus</x:v>
      </x:c>
      <x:c r="Q1288" s="274" t="str">
        <x:v>Approved</x:v>
      </x:c>
      <x:c r="R1288" s="265" t="n">
        <x:v>100</x:v>
      </x:c>
      <x:c r="S1288" s="253" t="str">
        <x:v>Yes</x:v>
      </x:c>
      <x:c r="T1288" s="265" t="n">
        <x:v>18160</x:v>
      </x:c>
      <x:c r="U1288" s="253" t="str">
        <x:f>IF(AND(S1288="Yes",T1288=0),"Yes","No")</x:f>
        <x:v>No</x:v>
      </x:c>
      <x:c r="V1288" s="253" t="str">
        <x:v>Yes</x:v>
      </x:c>
      <x:c r="W1288" s="253" t="str">
        <x:v>No</x:v>
      </x:c>
      <x:c r="X1288" s="259" t="n">
        <x:v>46215.166666666664</x:v>
      </x:c>
      <x:c r="Y1288" s="265" t="n">
        <x:v>4150</x:v>
      </x:c>
      <x:c r="Z1288" s="265" t="n">
        <x:v>4150</x:v>
      </x:c>
      <x:c r="AA1288" s="253" t="str">
        <x:f>IF(V1288="No","Maturing",IF(AND(U1288="Yes",Y1288&gt;0),"Yes","No"))</x:f>
        <x:v>No</x:v>
      </x:c>
      <x:c r="AB1288" s="253" t="str">
        <x:f>IF(W1288="No","Maturing",IF(AND(U1288="Yes",Z1288&gt;0),"Yes","No"))</x:f>
        <x:v>Maturing</x:v>
      </x:c>
      <x:c r="AC1288" s="265" t="n">
        <x:v>2150.03</x:v>
      </x:c>
      <x:c r="AD1288" s="265" t="n">
        <x:v>2149.97</x:v>
      </x:c>
      <x:c r="AE1288" s="271" t="str"/>
      <x:c r="AF1288" s="274" t="str">
        <x:v>Not validated - no control/holdout</x:v>
      </x:c>
      <x:c r="AG1288" s="277" t="str">
        <x:v>Recovered execution only; assignment date and unclaimed-offer denominator unavailable</x:v>
      </x:c>
    </x:row>
    <x:row r="1289">
      <x:c r="A1289" s="252" t="str">
        <x:v>34933102</x:v>
      </x:c>
      <x:c r="B1289" s="253" t="str">
        <x:v>WS1</x:v>
      </x:c>
      <x:c r="C1289" s="253" t="str">
        <x:v>MB8</x:v>
      </x:c>
      <x:c r="D1289" s="262" t="n">
        <x:v>46215.89476851852</x:v>
      </x:c>
      <x:c r="E1289" s="259" t="n">
        <x:v>46215.166666666664</x:v>
      </x:c>
      <x:c r="F1289" s="253" t="str">
        <x:v>1014620</x:v>
      </x:c>
      <x:c r="G1289" s="253" t="str">
        <x:v>Surianti8</x:v>
      </x:c>
      <x:c r="H1289" s="253" t="str">
        <x:v>Yes</x:v>
      </x:c>
      <x:c r="I1289" s="253" t="str">
        <x:v>zhen</x:v>
      </x:c>
      <x:c r="J1289" s="253" t="str">
        <x:v>zhen</x:v>
      </x:c>
      <x:c r="K1289" s="259" t="n">
        <x:v>45880.166666666664</x:v>
      </x:c>
      <x:c r="L1289" s="268" t="str">
        <x:f>IFERROR(VLOOKUP(I1289,'Handler-Team Map'!$A$7:$C$17,2,FALSE),"")</x:f>
      </x:c>
      <x:c r="M1289" s="268" t="str">
        <x:f>IFERROR(VLOOKUP(I1289,'Handler-Team Map'!$A$7:$C$17,3,FALSE),"")</x:f>
      </x:c>
      <x:c r="N1289" s="274" t="str">
        <x:v>FT_VM_DEP700_GET300_2X</x:v>
      </x:c>
      <x:c r="O1289" s="274" t="str">
        <x:v>VIP BONUS - Deposit 700 Get 300 - 2x TO</x:v>
      </x:c>
      <x:c r="P1289" s="274" t="str">
        <x:v>DepositBonus</x:v>
      </x:c>
      <x:c r="Q1289" s="274" t="str">
        <x:v>Approved</x:v>
      </x:c>
      <x:c r="R1289" s="265" t="n">
        <x:v>300</x:v>
      </x:c>
      <x:c r="S1289" s="253" t="str">
        <x:v>Yes</x:v>
      </x:c>
      <x:c r="T1289" s="265" t="n">
        <x:v>720</x:v>
      </x:c>
      <x:c r="U1289" s="253" t="str">
        <x:f>IF(AND(S1289="Yes",T1289=0),"Yes","No")</x:f>
        <x:v>No</x:v>
      </x:c>
      <x:c r="V1289" s="253" t="str">
        <x:v>Yes</x:v>
      </x:c>
      <x:c r="W1289" s="253" t="str">
        <x:v>No</x:v>
      </x:c>
      <x:c r="X1289" s="259" t="n">
        <x:v>46215.166666666664</x:v>
      </x:c>
      <x:c r="Y1289" s="265" t="n">
        <x:v>700</x:v>
      </x:c>
      <x:c r="Z1289" s="265" t="n">
        <x:v>700</x:v>
      </x:c>
      <x:c r="AA1289" s="253" t="str">
        <x:f>IF(V1289="No","Maturing",IF(AND(U1289="Yes",Y1289&gt;0),"Yes","No"))</x:f>
        <x:v>No</x:v>
      </x:c>
      <x:c r="AB1289" s="253" t="str">
        <x:f>IF(W1289="No","Maturing",IF(AND(U1289="Yes",Z1289&gt;0),"Yes","No"))</x:f>
        <x:v>Maturing</x:v>
      </x:c>
      <x:c r="AC1289" s="265" t="n">
        <x:v>-305.59</x:v>
      </x:c>
      <x:c r="AD1289" s="265" t="n">
        <x:v>-299.17</x:v>
      </x:c>
      <x:c r="AE1289" s="271" t="str"/>
      <x:c r="AF1289" s="274" t="str">
        <x:v>Not validated - no control/holdout</x:v>
      </x:c>
      <x:c r="AG1289" s="277" t="str">
        <x:v>Recovered execution only; assignment date and unclaimed-offer denominator unavailable</x:v>
      </x:c>
    </x:row>
    <x:row r="1290">
      <x:c r="A1290" s="252" t="str">
        <x:v>34936410</x:v>
      </x:c>
      <x:c r="B1290" s="253" t="str">
        <x:v>WS1</x:v>
      </x:c>
      <x:c r="C1290" s="253" t="str">
        <x:v>MB8</x:v>
      </x:c>
      <x:c r="D1290" s="262" t="n">
        <x:v>46216.164351851854</x:v>
      </x:c>
      <x:c r="E1290" s="259" t="n">
        <x:v>46216.166666666664</x:v>
      </x:c>
      <x:c r="F1290" s="253" t="str">
        <x:v>975289</x:v>
      </x:c>
      <x:c r="G1290" s="253" t="str">
        <x:v>Hayabusa</x:v>
      </x:c>
      <x:c r="H1290" s="253" t="str">
        <x:v>Yes</x:v>
      </x:c>
      <x:c r="I1290" s="253" t="str"/>
      <x:c r="J1290" s="253" t="str"/>
      <x:c r="K1290" s="259"/>
      <x:c r="L1290" s="268" t="str">
        <x:f>IFERROR(VLOOKUP(I1290,'Handler-Team Map'!$A$7:$C$17,2,FALSE),"")</x:f>
      </x:c>
      <x:c r="M1290" s="268" t="str">
        <x:f>IFERROR(VLOOKUP(I1290,'Handler-Team Map'!$A$7:$C$17,3,FALSE),"")</x:f>
      </x:c>
      <x:c r="N1290" s="274" t="str">
        <x:v>FT_VM_DEP150_GET50_5X</x:v>
      </x:c>
      <x:c r="O1290" s="274" t="str">
        <x:v>VIP BONUS - Deposit 150 Get 50 - 5x TO</x:v>
      </x:c>
      <x:c r="P1290" s="274" t="str">
        <x:v>DepositBonus</x:v>
      </x:c>
      <x:c r="Q1290" s="274" t="str">
        <x:v>Approved</x:v>
      </x:c>
      <x:c r="R1290" s="265" t="n">
        <x:v>50</x:v>
      </x:c>
      <x:c r="S1290" s="253" t="str">
        <x:v>Yes</x:v>
      </x:c>
      <x:c r="T1290" s="265" t="n">
        <x:v>2809.1</x:v>
      </x:c>
      <x:c r="U1290" s="253" t="str">
        <x:f>IF(AND(S1290="Yes",T1290=0),"Yes","No")</x:f>
        <x:v>No</x:v>
      </x:c>
      <x:c r="V1290" s="253" t="str">
        <x:v>Yes</x:v>
      </x:c>
      <x:c r="W1290" s="253" t="str">
        <x:v>No</x:v>
      </x:c>
      <x:c r="X1290" s="259" t="n">
        <x:v>46216.166666666664</x:v>
      </x:c>
      <x:c r="Y1290" s="265" t="n">
        <x:v>4419</x:v>
      </x:c>
      <x:c r="Z1290" s="265" t="n">
        <x:v>4869</x:v>
      </x:c>
      <x:c r="AA1290" s="253" t="str">
        <x:f>IF(V1290="No","Maturing",IF(AND(U1290="Yes",Y1290&gt;0),"Yes","No"))</x:f>
        <x:v>No</x:v>
      </x:c>
      <x:c r="AB1290" s="253" t="str">
        <x:f>IF(W1290="No","Maturing",IF(AND(U1290="Yes",Z1290&gt;0),"Yes","No"))</x:f>
        <x:v>Maturing</x:v>
      </x:c>
      <x:c r="AC1290" s="265" t="n">
        <x:v>-1326.45</x:v>
      </x:c>
      <x:c r="AD1290" s="265" t="n">
        <x:v>-2426.69</x:v>
      </x:c>
      <x:c r="AE1290" s="271" t="str"/>
      <x:c r="AF1290" s="274" t="str">
        <x:v>Not validated - no control/holdout</x:v>
      </x:c>
      <x:c r="AG1290" s="277" t="str">
        <x:v>Recovered execution only; assignment date and unclaimed-offer denominator unavailable</x:v>
      </x:c>
    </x:row>
    <x:row r="1291">
      <x:c r="A1291" s="252" t="str">
        <x:v>34937118</x:v>
      </x:c>
      <x:c r="B1291" s="253" t="str">
        <x:v>WS1</x:v>
      </x:c>
      <x:c r="C1291" s="253" t="str">
        <x:v>MB8</x:v>
      </x:c>
      <x:c r="D1291" s="262" t="n">
        <x:v>46216.3440625</x:v>
      </x:c>
      <x:c r="E1291" s="259" t="n">
        <x:v>46216.166666666664</x:v>
      </x:c>
      <x:c r="F1291" s="253" t="str">
        <x:v>461181</x:v>
      </x:c>
      <x:c r="G1291" s="253" t="str">
        <x:v>wei0412</x:v>
      </x:c>
      <x:c r="H1291" s="253" t="str">
        <x:v>Yes</x:v>
      </x:c>
      <x:c r="I1291" s="253" t="str"/>
      <x:c r="J1291" s="253" t="str"/>
      <x:c r="K1291" s="259"/>
      <x:c r="L1291" s="268" t="str">
        <x:f>IFERROR(VLOOKUP(I1291,'Handler-Team Map'!$A$7:$C$17,2,FALSE),"")</x:f>
      </x:c>
      <x:c r="M1291" s="268" t="str">
        <x:f>IFERROR(VLOOKUP(I1291,'Handler-Team Map'!$A$7:$C$17,3,FALSE),"")</x:f>
      </x:c>
      <x:c r="N1291" s="274" t="str">
        <x:v>FT_VM_DEP600_GET200_5X</x:v>
      </x:c>
      <x:c r="O1291" s="274" t="str">
        <x:v>VIP BONUS - Deposit 600 Get 200 - 5x TO</x:v>
      </x:c>
      <x:c r="P1291" s="274" t="str">
        <x:v>DepositBonus</x:v>
      </x:c>
      <x:c r="Q1291" s="274" t="str">
        <x:v>Approved</x:v>
      </x:c>
      <x:c r="R1291" s="265" t="n">
        <x:v>200</x:v>
      </x:c>
      <x:c r="S1291" s="253" t="str">
        <x:v>Yes</x:v>
      </x:c>
      <x:c r="T1291" s="265" t="n">
        <x:v>41061.22</x:v>
      </x:c>
      <x:c r="U1291" s="253" t="str">
        <x:f>IF(AND(S1291="Yes",T1291=0),"Yes","No")</x:f>
        <x:v>No</x:v>
      </x:c>
      <x:c r="V1291" s="253" t="str">
        <x:v>Yes</x:v>
      </x:c>
      <x:c r="W1291" s="253" t="str">
        <x:v>No</x:v>
      </x:c>
      <x:c r="X1291" s="259" t="n">
        <x:v>46216.166666666664</x:v>
      </x:c>
      <x:c r="Y1291" s="265" t="n">
        <x:v>12700</x:v>
      </x:c>
      <x:c r="Z1291" s="265" t="n">
        <x:v>21900</x:v>
      </x:c>
      <x:c r="AA1291" s="253" t="str">
        <x:f>IF(V1291="No","Maturing",IF(AND(U1291="Yes",Y1291&gt;0),"Yes","No"))</x:f>
        <x:v>No</x:v>
      </x:c>
      <x:c r="AB1291" s="253" t="str">
        <x:f>IF(W1291="No","Maturing",IF(AND(U1291="Yes",Z1291&gt;0),"Yes","No"))</x:f>
        <x:v>Maturing</x:v>
      </x:c>
      <x:c r="AC1291" s="265" t="n">
        <x:v>6418.34</x:v>
      </x:c>
      <x:c r="AD1291" s="265" t="n">
        <x:v>-1910.38</x:v>
      </x:c>
      <x:c r="AE1291" s="271" t="str"/>
      <x:c r="AF1291" s="274" t="str">
        <x:v>Not validated - no control/holdout</x:v>
      </x:c>
      <x:c r="AG1291" s="277" t="str">
        <x:v>Recovered execution only; assignment date and unclaimed-offer denominator unavailable</x:v>
      </x:c>
    </x:row>
    <x:row r="1292">
      <x:c r="A1292" s="252" t="str">
        <x:v>34938903</x:v>
      </x:c>
      <x:c r="B1292" s="253" t="str">
        <x:v>WS1</x:v>
      </x:c>
      <x:c r="C1292" s="253" t="str">
        <x:v>MB8</x:v>
      </x:c>
      <x:c r="D1292" s="262" t="n">
        <x:v>46216.58645833333</x:v>
      </x:c>
      <x:c r="E1292" s="259" t="n">
        <x:v>46216.166666666664</x:v>
      </x:c>
      <x:c r="F1292" s="253" t="str">
        <x:v>788711</x:v>
      </x:c>
      <x:c r="G1292" s="253" t="str">
        <x:v>ientao945</x:v>
      </x:c>
      <x:c r="H1292" s="253" t="str">
        <x:v>Yes</x:v>
      </x:c>
      <x:c r="I1292" s="253" t="str">
        <x:v>zhen</x:v>
      </x:c>
      <x:c r="J1292" s="253" t="str">
        <x:v>zhen</x:v>
      </x:c>
      <x:c r="K1292" s="259" t="n">
        <x:v>45880.166666666664</x:v>
      </x:c>
      <x:c r="L1292" s="268" t="str">
        <x:f>IFERROR(VLOOKUP(I1292,'Handler-Team Map'!$A$7:$C$17,2,FALSE),"")</x:f>
      </x:c>
      <x:c r="M1292" s="268" t="str">
        <x:f>IFERROR(VLOOKUP(I1292,'Handler-Team Map'!$A$7:$C$17,3,FALSE),"")</x:f>
      </x:c>
      <x:c r="N1292" s="274" t="str">
        <x:v>FT_VM_DEP600_GET200_5X</x:v>
      </x:c>
      <x:c r="O1292" s="274" t="str">
        <x:v>VIP BONUS - Deposit 600 Get 200 - 5x TO</x:v>
      </x:c>
      <x:c r="P1292" s="274" t="str">
        <x:v>DepositBonus</x:v>
      </x:c>
      <x:c r="Q1292" s="274" t="str">
        <x:v>Approved</x:v>
      </x:c>
      <x:c r="R1292" s="265" t="n">
        <x:v>200</x:v>
      </x:c>
      <x:c r="S1292" s="253" t="str">
        <x:v>Yes</x:v>
      </x:c>
      <x:c r="T1292" s="265" t="n">
        <x:v>3295</x:v>
      </x:c>
      <x:c r="U1292" s="253" t="str">
        <x:f>IF(AND(S1292="Yes",T1292=0),"Yes","No")</x:f>
        <x:v>No</x:v>
      </x:c>
      <x:c r="V1292" s="253" t="str">
        <x:v>Yes</x:v>
      </x:c>
      <x:c r="W1292" s="253" t="str">
        <x:v>No</x:v>
      </x:c>
      <x:c r="X1292" s="259" t="n">
        <x:v>46216.166666666664</x:v>
      </x:c>
      <x:c r="Y1292" s="265" t="n">
        <x:v>2699</x:v>
      </x:c>
      <x:c r="Z1292" s="265" t="n">
        <x:v>3201</x:v>
      </x:c>
      <x:c r="AA1292" s="253" t="str">
        <x:f>IF(V1292="No","Maturing",IF(AND(U1292="Yes",Y1292&gt;0),"Yes","No"))</x:f>
        <x:v>No</x:v>
      </x:c>
      <x:c r="AB1292" s="253" t="str">
        <x:f>IF(W1292="No","Maturing",IF(AND(U1292="Yes",Z1292&gt;0),"Yes","No"))</x:f>
        <x:v>Maturing</x:v>
      </x:c>
      <x:c r="AC1292" s="265" t="n">
        <x:v>-1189.97</x:v>
      </x:c>
      <x:c r="AD1292" s="265" t="n">
        <x:v>-3376.63</x:v>
      </x:c>
      <x:c r="AE1292" s="271" t="str"/>
      <x:c r="AF1292" s="274" t="str">
        <x:v>Not validated - no control/holdout</x:v>
      </x:c>
      <x:c r="AG1292" s="277" t="str">
        <x:v>Recovered execution only; assignment date and unclaimed-offer denominator unavailable</x:v>
      </x:c>
    </x:row>
    <x:row r="1293">
      <x:c r="A1293" s="252" t="str">
        <x:v>34939250</x:v>
      </x:c>
      <x:c r="B1293" s="253" t="str">
        <x:v>WS1</x:v>
      </x:c>
      <x:c r="C1293" s="253" t="str">
        <x:v>MB8</x:v>
      </x:c>
      <x:c r="D1293" s="262" t="n">
        <x:v>46216.62380787037</x:v>
      </x:c>
      <x:c r="E1293" s="259" t="n">
        <x:v>46216.166666666664</x:v>
      </x:c>
      <x:c r="F1293" s="253" t="str">
        <x:v>605081</x:v>
      </x:c>
      <x:c r="G1293" s="253" t="str">
        <x:v>xxdra</x:v>
      </x:c>
      <x:c r="H1293" s="253" t="str">
        <x:v>Yes</x:v>
      </x:c>
      <x:c r="I1293" s="253" t="str">
        <x:v>Mikki</x:v>
      </x:c>
      <x:c r="J1293" s="253" t="str">
        <x:v>Mikki</x:v>
      </x:c>
      <x:c r="K1293" s="259" t="n">
        <x:v>45993.166666666664</x:v>
      </x:c>
      <x:c r="L1293" s="268" t="str">
        <x:f>IFERROR(VLOOKUP(I1293,'Handler-Team Map'!$A$7:$C$17,2,FALSE),"")</x:f>
      </x:c>
      <x:c r="M1293" s="268" t="str">
        <x:f>IFERROR(VLOOKUP(I1293,'Handler-Team Map'!$A$7:$C$17,3,FALSE),"")</x:f>
      </x:c>
      <x:c r="N1293" s="274" t="str">
        <x:v>FT_VM_DEP1000_GET500_5X</x:v>
      </x:c>
      <x:c r="O1293" s="274" t="str">
        <x:v>VIP BONUS - Deposit 1000 Get 500 - 5x TO</x:v>
      </x:c>
      <x:c r="P1293" s="274" t="str">
        <x:v>DepositBonus</x:v>
      </x:c>
      <x:c r="Q1293" s="274" t="str">
        <x:v>Approved</x:v>
      </x:c>
      <x:c r="R1293" s="265" t="n">
        <x:v>500</x:v>
      </x:c>
      <x:c r="S1293" s="253" t="str">
        <x:v>Yes</x:v>
      </x:c>
      <x:c r="T1293" s="265" t="n">
        <x:v>10310</x:v>
      </x:c>
      <x:c r="U1293" s="253" t="str">
        <x:f>IF(AND(S1293="Yes",T1293=0),"Yes","No")</x:f>
        <x:v>No</x:v>
      </x:c>
      <x:c r="V1293" s="253" t="str">
        <x:v>Yes</x:v>
      </x:c>
      <x:c r="W1293" s="253" t="str">
        <x:v>No</x:v>
      </x:c>
      <x:c r="X1293" s="259" t="n">
        <x:v>46216.166666666664</x:v>
      </x:c>
      <x:c r="Y1293" s="265" t="n">
        <x:v>14415</x:v>
      </x:c>
      <x:c r="Z1293" s="265" t="n">
        <x:v>17995</x:v>
      </x:c>
      <x:c r="AA1293" s="253" t="str">
        <x:f>IF(V1293="No","Maturing",IF(AND(U1293="Yes",Y1293&gt;0),"Yes","No"))</x:f>
        <x:v>No</x:v>
      </x:c>
      <x:c r="AB1293" s="253" t="str">
        <x:f>IF(W1293="No","Maturing",IF(AND(U1293="Yes",Z1293&gt;0),"Yes","No"))</x:f>
        <x:v>Maturing</x:v>
      </x:c>
      <x:c r="AC1293" s="265" t="n">
        <x:v>6547.85</x:v>
      </x:c>
      <x:c r="AD1293" s="265" t="n">
        <x:v>8022.73</x:v>
      </x:c>
      <x:c r="AE1293" s="271" t="str"/>
      <x:c r="AF1293" s="274" t="str">
        <x:v>Not validated - no control/holdout</x:v>
      </x:c>
      <x:c r="AG1293" s="277" t="str">
        <x:v>Recovered execution only; assignment date and unclaimed-offer denominator unavailable</x:v>
      </x:c>
    </x:row>
    <x:row r="1294">
      <x:c r="A1294" s="252" t="str">
        <x:v>34939375</x:v>
      </x:c>
      <x:c r="B1294" s="253" t="str">
        <x:v>WS1</x:v>
      </x:c>
      <x:c r="C1294" s="253" t="str">
        <x:v>MB8</x:v>
      </x:c>
      <x:c r="D1294" s="262" t="n">
        <x:v>46216.64026620371</x:v>
      </x:c>
      <x:c r="E1294" s="259" t="n">
        <x:v>46216.166666666664</x:v>
      </x:c>
      <x:c r="F1294" s="253" t="str">
        <x:v>521114</x:v>
      </x:c>
      <x:c r="G1294" s="253" t="str">
        <x:v>Nzboss8181</x:v>
      </x:c>
      <x:c r="H1294" s="253" t="str">
        <x:v>Yes</x:v>
      </x:c>
      <x:c r="I1294" s="253" t="str">
        <x:v>Claire</x:v>
      </x:c>
      <x:c r="J1294" s="253" t="str">
        <x:v>Claire</x:v>
      </x:c>
      <x:c r="K1294" s="259" t="n">
        <x:v>45659.166666666664</x:v>
      </x:c>
      <x:c r="L1294" s="268" t="str">
        <x:f>IFERROR(VLOOKUP(I1294,'Handler-Team Map'!$A$7:$C$17,2,FALSE),"")</x:f>
      </x:c>
      <x:c r="M1294" s="268" t="str">
        <x:f>IFERROR(VLOOKUP(I1294,'Handler-Team Map'!$A$7:$C$17,3,FALSE),"")</x:f>
      </x:c>
      <x:c r="N1294" s="274" t="str">
        <x:v>FT_VM_DEP1000_GET800_2X</x:v>
      </x:c>
      <x:c r="O1294" s="274" t="str">
        <x:v>VIP BONUS - Deposit 1000 Get 800 - 2x TO</x:v>
      </x:c>
      <x:c r="P1294" s="274" t="str">
        <x:v>DepositBonus</x:v>
      </x:c>
      <x:c r="Q1294" s="274" t="str">
        <x:v>Approved</x:v>
      </x:c>
      <x:c r="R1294" s="265" t="n">
        <x:v>800</x:v>
      </x:c>
      <x:c r="S1294" s="253" t="str">
        <x:v>Yes</x:v>
      </x:c>
      <x:c r="T1294" s="265" t="n">
        <x:v>316800</x:v>
      </x:c>
      <x:c r="U1294" s="253" t="str">
        <x:f>IF(AND(S1294="Yes",T1294=0),"Yes","No")</x:f>
        <x:v>No</x:v>
      </x:c>
      <x:c r="V1294" s="253" t="str">
        <x:v>Yes</x:v>
      </x:c>
      <x:c r="W1294" s="253" t="str">
        <x:v>No</x:v>
      </x:c>
      <x:c r="X1294" s="259" t="n">
        <x:v>46216.166666666664</x:v>
      </x:c>
      <x:c r="Y1294" s="265" t="n">
        <x:v>77000</x:v>
      </x:c>
      <x:c r="Z1294" s="265" t="n">
        <x:v>118800</x:v>
      </x:c>
      <x:c r="AA1294" s="253" t="str">
        <x:f>IF(V1294="No","Maturing",IF(AND(U1294="Yes",Y1294&gt;0),"Yes","No"))</x:f>
        <x:v>No</x:v>
      </x:c>
      <x:c r="AB1294" s="253" t="str">
        <x:f>IF(W1294="No","Maturing",IF(AND(U1294="Yes",Z1294&gt;0),"Yes","No"))</x:f>
        <x:v>Maturing</x:v>
      </x:c>
      <x:c r="AC1294" s="265" t="n">
        <x:v>35353.04</x:v>
      </x:c>
      <x:c r="AD1294" s="265" t="n">
        <x:v>60153.05</x:v>
      </x:c>
      <x:c r="AE1294" s="271" t="str"/>
      <x:c r="AF1294" s="274" t="str">
        <x:v>Not validated - no control/holdout</x:v>
      </x:c>
      <x:c r="AG1294" s="277" t="str">
        <x:v>Recovered execution only; assignment date and unclaimed-offer denominator unavailable</x:v>
      </x:c>
    </x:row>
    <x:row r="1295">
      <x:c r="A1295" s="252" t="str">
        <x:v>34939426</x:v>
      </x:c>
      <x:c r="B1295" s="253" t="str">
        <x:v>WS1</x:v>
      </x:c>
      <x:c r="C1295" s="253" t="str">
        <x:v>MB8</x:v>
      </x:c>
      <x:c r="D1295" s="262" t="n">
        <x:v>46216.64542824074</x:v>
      </x:c>
      <x:c r="E1295" s="259" t="n">
        <x:v>46216.166666666664</x:v>
      </x:c>
      <x:c r="F1295" s="253" t="str">
        <x:v>648071</x:v>
      </x:c>
      <x:c r="G1295" s="253" t="str">
        <x:v>Zainul1271</x:v>
      </x:c>
      <x:c r="H1295" s="253" t="str">
        <x:v>Yes</x:v>
      </x:c>
      <x:c r="I1295" s="253" t="str">
        <x:v>Christy</x:v>
      </x:c>
      <x:c r="J1295" s="253" t="str">
        <x:v>Christy</x:v>
      </x:c>
      <x:c r="K1295" s="259" t="n">
        <x:v>45859.166666666664</x:v>
      </x:c>
      <x:c r="L1295" s="268" t="str">
        <x:f>IFERROR(VLOOKUP(I1295,'Handler-Team Map'!$A$7:$C$17,2,FALSE),"")</x:f>
      </x:c>
      <x:c r="M1295" s="268" t="str">
        <x:f>IFERROR(VLOOKUP(I1295,'Handler-Team Map'!$A$7:$C$17,3,FALSE),"")</x:f>
      </x:c>
      <x:c r="N1295" s="274" t="str">
        <x:v>FT_VM_DEP300_GET100_5X</x:v>
      </x:c>
      <x:c r="O1295" s="274" t="str">
        <x:v>VIP BONUS - Deposit 300 Get 100 - 5x TO</x:v>
      </x:c>
      <x:c r="P1295" s="274" t="str">
        <x:v>DepositBonus</x:v>
      </x:c>
      <x:c r="Q1295" s="274" t="str">
        <x:v>Approved</x:v>
      </x:c>
      <x:c r="R1295" s="265" t="n">
        <x:v>100</x:v>
      </x:c>
      <x:c r="S1295" s="253" t="str">
        <x:v>Yes</x:v>
      </x:c>
      <x:c r="T1295" s="265" t="n">
        <x:v>77300</x:v>
      </x:c>
      <x:c r="U1295" s="253" t="str">
        <x:f>IF(AND(S1295="Yes",T1295=0),"Yes","No")</x:f>
        <x:v>No</x:v>
      </x:c>
      <x:c r="V1295" s="253" t="str">
        <x:v>Yes</x:v>
      </x:c>
      <x:c r="W1295" s="253" t="str">
        <x:v>No</x:v>
      </x:c>
      <x:c r="X1295" s="259" t="n">
        <x:v>46216.166666666664</x:v>
      </x:c>
      <x:c r="Y1295" s="265" t="n">
        <x:v>4850</x:v>
      </x:c>
      <x:c r="Z1295" s="265" t="n">
        <x:v>4850</x:v>
      </x:c>
      <x:c r="AA1295" s="253" t="str">
        <x:f>IF(V1295="No","Maturing",IF(AND(U1295="Yes",Y1295&gt;0),"Yes","No"))</x:f>
        <x:v>No</x:v>
      </x:c>
      <x:c r="AB1295" s="253" t="str">
        <x:f>IF(W1295="No","Maturing",IF(AND(U1295="Yes",Z1295&gt;0),"Yes","No"))</x:f>
        <x:v>Maturing</x:v>
      </x:c>
      <x:c r="AC1295" s="265" t="n">
        <x:v>4846.02</x:v>
      </x:c>
      <x:c r="AD1295" s="265" t="n">
        <x:v>4846.02</x:v>
      </x:c>
      <x:c r="AE1295" s="271" t="str"/>
      <x:c r="AF1295" s="274" t="str">
        <x:v>Not validated - no control/holdout</x:v>
      </x:c>
      <x:c r="AG1295" s="277" t="str">
        <x:v>Recovered execution only; assignment date and unclaimed-offer denominator unavailable</x:v>
      </x:c>
    </x:row>
    <x:row r="1296">
      <x:c r="A1296" s="252" t="str">
        <x:v>34939485</x:v>
      </x:c>
      <x:c r="B1296" s="253" t="str">
        <x:v>WS1</x:v>
      </x:c>
      <x:c r="C1296" s="253" t="str">
        <x:v>MB8</x:v>
      </x:c>
      <x:c r="D1296" s="262" t="n">
        <x:v>46216.6540625</x:v>
      </x:c>
      <x:c r="E1296" s="259" t="n">
        <x:v>46216.166666666664</x:v>
      </x:c>
      <x:c r="F1296" s="253" t="str">
        <x:v>827371</x:v>
      </x:c>
      <x:c r="G1296" s="253" t="str">
        <x:v>marc187</x:v>
      </x:c>
      <x:c r="H1296" s="253" t="str">
        <x:v>Yes</x:v>
      </x:c>
      <x:c r="I1296" s="253" t="str">
        <x:v>Claire</x:v>
      </x:c>
      <x:c r="J1296" s="253" t="str">
        <x:v>Claire</x:v>
      </x:c>
      <x:c r="K1296" s="259" t="n">
        <x:v>45755.166666666664</x:v>
      </x:c>
      <x:c r="L1296" s="268" t="str">
        <x:f>IFERROR(VLOOKUP(I1296,'Handler-Team Map'!$A$7:$C$17,2,FALSE),"")</x:f>
      </x:c>
      <x:c r="M1296" s="268" t="str">
        <x:f>IFERROR(VLOOKUP(I1296,'Handler-Team Map'!$A$7:$C$17,3,FALSE),"")</x:f>
      </x:c>
      <x:c r="N1296" s="274" t="str">
        <x:v>FT_VM_DEP1000_GET1000_2X</x:v>
      </x:c>
      <x:c r="O1296" s="274" t="str">
        <x:v>VIP BONUS - Deposit 1000 Get 1000 - 2x TO</x:v>
      </x:c>
      <x:c r="P1296" s="274" t="str">
        <x:v>DepositBonus</x:v>
      </x:c>
      <x:c r="Q1296" s="274" t="str">
        <x:v>Approved</x:v>
      </x:c>
      <x:c r="R1296" s="265" t="n">
        <x:v>1000</x:v>
      </x:c>
      <x:c r="S1296" s="253" t="str">
        <x:v>Yes</x:v>
      </x:c>
      <x:c r="T1296" s="265" t="n">
        <x:v>1315018.11</x:v>
      </x:c>
      <x:c r="U1296" s="253" t="str">
        <x:f>IF(AND(S1296="Yes",T1296=0),"Yes","No")</x:f>
        <x:v>No</x:v>
      </x:c>
      <x:c r="V1296" s="253" t="str">
        <x:v>Yes</x:v>
      </x:c>
      <x:c r="W1296" s="253" t="str">
        <x:v>No</x:v>
      </x:c>
      <x:c r="X1296" s="259" t="n">
        <x:v>46216.166666666664</x:v>
      </x:c>
      <x:c r="Y1296" s="265" t="n">
        <x:v>229600</x:v>
      </x:c>
      <x:c r="Z1296" s="265" t="n">
        <x:v>374600</x:v>
      </x:c>
      <x:c r="AA1296" s="253" t="str">
        <x:f>IF(V1296="No","Maturing",IF(AND(U1296="Yes",Y1296&gt;0),"Yes","No"))</x:f>
        <x:v>No</x:v>
      </x:c>
      <x:c r="AB1296" s="253" t="str">
        <x:f>IF(W1296="No","Maturing",IF(AND(U1296="Yes",Z1296&gt;0),"Yes","No"))</x:f>
        <x:v>Maturing</x:v>
      </x:c>
      <x:c r="AC1296" s="265" t="n">
        <x:v>62769.25</x:v>
      </x:c>
      <x:c r="AD1296" s="265" t="n">
        <x:v>126875.63</x:v>
      </x:c>
      <x:c r="AE1296" s="271" t="str"/>
      <x:c r="AF1296" s="274" t="str">
        <x:v>Not validated - no control/holdout</x:v>
      </x:c>
      <x:c r="AG1296" s="277" t="str">
        <x:v>Recovered execution only; assignment date and unclaimed-offer denominator unavailable</x:v>
      </x:c>
    </x:row>
    <x:row r="1297">
      <x:c r="A1297" s="252" t="str">
        <x:v>34939794</x:v>
      </x:c>
      <x:c r="B1297" s="253" t="str">
        <x:v>WS1</x:v>
      </x:c>
      <x:c r="C1297" s="253" t="str">
        <x:v>MB8</x:v>
      </x:c>
      <x:c r="D1297" s="262" t="n">
        <x:v>46216.682534722226</x:v>
      </x:c>
      <x:c r="E1297" s="259" t="n">
        <x:v>46216.166666666664</x:v>
      </x:c>
      <x:c r="F1297" s="253" t="str">
        <x:v>693045</x:v>
      </x:c>
      <x:c r="G1297" s="253" t="str">
        <x:v>S0109427034</x:v>
      </x:c>
      <x:c r="H1297" s="253" t="str">
        <x:v>Yes</x:v>
      </x:c>
      <x:c r="I1297" s="253" t="str">
        <x:v>Christy</x:v>
      </x:c>
      <x:c r="J1297" s="253" t="str">
        <x:v>Christy</x:v>
      </x:c>
      <x:c r="K1297" s="259" t="n">
        <x:v>45831.166666666664</x:v>
      </x:c>
      <x:c r="L1297" s="268" t="str">
        <x:f>IFERROR(VLOOKUP(I1297,'Handler-Team Map'!$A$7:$C$17,2,FALSE),"")</x:f>
      </x:c>
      <x:c r="M1297" s="268" t="str">
        <x:f>IFERROR(VLOOKUP(I1297,'Handler-Team Map'!$A$7:$C$17,3,FALSE),"")</x:f>
      </x:c>
      <x:c r="N1297" s="274" t="str">
        <x:v>FT_VM_DEP300_GET100_5X</x:v>
      </x:c>
      <x:c r="O1297" s="274" t="str">
        <x:v>VIP BONUS - Deposit 300 Get 100 - 5x TO</x:v>
      </x:c>
      <x:c r="P1297" s="274" t="str">
        <x:v>DepositBonus</x:v>
      </x:c>
      <x:c r="Q1297" s="274" t="str">
        <x:v>Approved</x:v>
      </x:c>
      <x:c r="R1297" s="265" t="n">
        <x:v>100</x:v>
      </x:c>
      <x:c r="S1297" s="253" t="str">
        <x:v>Yes</x:v>
      </x:c>
      <x:c r="T1297" s="265" t="n">
        <x:v>62545.3</x:v>
      </x:c>
      <x:c r="U1297" s="253" t="str">
        <x:f>IF(AND(S1297="Yes",T1297=0),"Yes","No")</x:f>
        <x:v>No</x:v>
      </x:c>
      <x:c r="V1297" s="253" t="str">
        <x:v>Yes</x:v>
      </x:c>
      <x:c r="W1297" s="253" t="str">
        <x:v>No</x:v>
      </x:c>
      <x:c r="X1297" s="259" t="n">
        <x:v>46216.166666666664</x:v>
      </x:c>
      <x:c r="Y1297" s="265" t="n">
        <x:v>9335.7</x:v>
      </x:c>
      <x:c r="Z1297" s="265" t="n">
        <x:v>10970.1</x:v>
      </x:c>
      <x:c r="AA1297" s="253" t="str">
        <x:f>IF(V1297="No","Maturing",IF(AND(U1297="Yes",Y1297&gt;0),"Yes","No"))</x:f>
        <x:v>No</x:v>
      </x:c>
      <x:c r="AB1297" s="253" t="str">
        <x:f>IF(W1297="No","Maturing",IF(AND(U1297="Yes",Z1297&gt;0),"Yes","No"))</x:f>
        <x:v>Maturing</x:v>
      </x:c>
      <x:c r="AC1297" s="265" t="n">
        <x:v>3109.06</x:v>
      </x:c>
      <x:c r="AD1297" s="265" t="n">
        <x:v>1742.28</x:v>
      </x:c>
      <x:c r="AE1297" s="271" t="str"/>
      <x:c r="AF1297" s="274" t="str">
        <x:v>Not validated - no control/holdout</x:v>
      </x:c>
      <x:c r="AG1297" s="277" t="str">
        <x:v>Recovered execution only; assignment date and unclaimed-offer denominator unavailable</x:v>
      </x:c>
    </x:row>
    <x:row r="1298">
      <x:c r="A1298" s="252" t="str">
        <x:v>34939926</x:v>
      </x:c>
      <x:c r="B1298" s="253" t="str">
        <x:v>WS1</x:v>
      </x:c>
      <x:c r="C1298" s="253" t="str">
        <x:v>MB8</x:v>
      </x:c>
      <x:c r="D1298" s="262" t="n">
        <x:v>46216.69318287037</x:v>
      </x:c>
      <x:c r="E1298" s="259" t="n">
        <x:v>46216.166666666664</x:v>
      </x:c>
      <x:c r="F1298" s="253" t="str">
        <x:v>1181391</x:v>
      </x:c>
      <x:c r="G1298" s="253" t="str">
        <x:v>Kook27</x:v>
      </x:c>
      <x:c r="H1298" s="253" t="str">
        <x:v>Yes</x:v>
      </x:c>
      <x:c r="I1298" s="253" t="str">
        <x:v>Jiahui</x:v>
      </x:c>
      <x:c r="J1298" s="253" t="str">
        <x:v>Jiahui</x:v>
      </x:c>
      <x:c r="K1298" s="259" t="n">
        <x:v>45811.166666666664</x:v>
      </x:c>
      <x:c r="L1298" s="268" t="str">
        <x:f>IFERROR(VLOOKUP(I1298,'Handler-Team Map'!$A$7:$C$17,2,FALSE),"")</x:f>
      </x:c>
      <x:c r="M1298" s="268" t="str">
        <x:f>IFERROR(VLOOKUP(I1298,'Handler-Team Map'!$A$7:$C$17,3,FALSE),"")</x:f>
      </x:c>
      <x:c r="N1298" s="274" t="str">
        <x:v>FT_VM_DEP1000_GET500_5X</x:v>
      </x:c>
      <x:c r="O1298" s="274" t="str">
        <x:v>VIP BONUS - Deposit 1000 Get 500 - 5x TO</x:v>
      </x:c>
      <x:c r="P1298" s="274" t="str">
        <x:v>DepositBonus</x:v>
      </x:c>
      <x:c r="Q1298" s="274" t="str">
        <x:v>Approved</x:v>
      </x:c>
      <x:c r="R1298" s="265" t="n">
        <x:v>500</x:v>
      </x:c>
      <x:c r="S1298" s="253" t="str">
        <x:v>Yes</x:v>
      </x:c>
      <x:c r="T1298" s="265" t="n">
        <x:v>10739</x:v>
      </x:c>
      <x:c r="U1298" s="253" t="str">
        <x:f>IF(AND(S1298="Yes",T1298=0),"Yes","No")</x:f>
        <x:v>No</x:v>
      </x:c>
      <x:c r="V1298" s="253" t="str">
        <x:v>Yes</x:v>
      </x:c>
      <x:c r="W1298" s="253" t="str">
        <x:v>No</x:v>
      </x:c>
      <x:c r="X1298" s="259" t="n">
        <x:v>46216.166666666664</x:v>
      </x:c>
      <x:c r="Y1298" s="265" t="n">
        <x:v>6500</x:v>
      </x:c>
      <x:c r="Z1298" s="265" t="n">
        <x:v>6500</x:v>
      </x:c>
      <x:c r="AA1298" s="253" t="str">
        <x:f>IF(V1298="No","Maturing",IF(AND(U1298="Yes",Y1298&gt;0),"Yes","No"))</x:f>
        <x:v>No</x:v>
      </x:c>
      <x:c r="AB1298" s="253" t="str">
        <x:f>IF(W1298="No","Maturing",IF(AND(U1298="Yes",Z1298&gt;0),"Yes","No"))</x:f>
        <x:v>Maturing</x:v>
      </x:c>
      <x:c r="AC1298" s="265" t="n">
        <x:v>4815.17</x:v>
      </x:c>
      <x:c r="AD1298" s="265" t="n">
        <x:v>4815.17</x:v>
      </x:c>
      <x:c r="AE1298" s="271" t="str"/>
      <x:c r="AF1298" s="274" t="str">
        <x:v>Not validated - no control/holdout</x:v>
      </x:c>
      <x:c r="AG1298" s="277" t="str">
        <x:v>Recovered execution only; assignment date and unclaimed-offer denominator unavailable</x:v>
      </x:c>
    </x:row>
    <x:row r="1299">
      <x:c r="A1299" s="252" t="str">
        <x:v>34939928</x:v>
      </x:c>
      <x:c r="B1299" s="253" t="str">
        <x:v>WS1</x:v>
      </x:c>
      <x:c r="C1299" s="253" t="str">
        <x:v>MB8</x:v>
      </x:c>
      <x:c r="D1299" s="262" t="n">
        <x:v>46216.693194444444</x:v>
      </x:c>
      <x:c r="E1299" s="259" t="n">
        <x:v>46216.166666666664</x:v>
      </x:c>
      <x:c r="F1299" s="253" t="str">
        <x:v>702584</x:v>
      </x:c>
      <x:c r="G1299" s="253" t="str">
        <x:v>Sumathi75</x:v>
      </x:c>
      <x:c r="H1299" s="253" t="str">
        <x:v>Yes</x:v>
      </x:c>
      <x:c r="I1299" s="253" t="str">
        <x:v>Serene</x:v>
      </x:c>
      <x:c r="J1299" s="253" t="str">
        <x:v>Serene</x:v>
      </x:c>
      <x:c r="K1299" s="259" t="n">
        <x:v>46072.166666666664</x:v>
      </x:c>
      <x:c r="L1299" s="268" t="str">
        <x:f>IFERROR(VLOOKUP(I1299,'Handler-Team Map'!$A$7:$C$17,2,FALSE),"")</x:f>
      </x:c>
      <x:c r="M1299" s="268" t="str">
        <x:f>IFERROR(VLOOKUP(I1299,'Handler-Team Map'!$A$7:$C$17,3,FALSE),"")</x:f>
      </x:c>
      <x:c r="N1299" s="274" t="str">
        <x:v>FT_VM_DEP300_GET100_5X</x:v>
      </x:c>
      <x:c r="O1299" s="274" t="str">
        <x:v>VIP BONUS - Deposit 300 Get 100 - 5x TO</x:v>
      </x:c>
      <x:c r="P1299" s="274" t="str">
        <x:v>DepositBonus</x:v>
      </x:c>
      <x:c r="Q1299" s="274" t="str">
        <x:v>Approved</x:v>
      </x:c>
      <x:c r="R1299" s="265" t="n">
        <x:v>100</x:v>
      </x:c>
      <x:c r="S1299" s="253" t="str">
        <x:v>Yes</x:v>
      </x:c>
      <x:c r="T1299" s="265" t="n">
        <x:v>21849</x:v>
      </x:c>
      <x:c r="U1299" s="253" t="str">
        <x:f>IF(AND(S1299="Yes",T1299=0),"Yes","No")</x:f>
        <x:v>No</x:v>
      </x:c>
      <x:c r="V1299" s="253" t="str">
        <x:v>Yes</x:v>
      </x:c>
      <x:c r="W1299" s="253" t="str">
        <x:v>No</x:v>
      </x:c>
      <x:c r="X1299" s="259" t="n">
        <x:v>46216.166666666664</x:v>
      </x:c>
      <x:c r="Y1299" s="265" t="n">
        <x:v>7564</x:v>
      </x:c>
      <x:c r="Z1299" s="265" t="n">
        <x:v>9639</x:v>
      </x:c>
      <x:c r="AA1299" s="253" t="str">
        <x:f>IF(V1299="No","Maturing",IF(AND(U1299="Yes",Y1299&gt;0),"Yes","No"))</x:f>
        <x:v>No</x:v>
      </x:c>
      <x:c r="AB1299" s="253" t="str">
        <x:f>IF(W1299="No","Maturing",IF(AND(U1299="Yes",Z1299&gt;0),"Yes","No"))</x:f>
        <x:v>Maturing</x:v>
      </x:c>
      <x:c r="AC1299" s="265" t="n">
        <x:v>-567.58</x:v>
      </x:c>
      <x:c r="AD1299" s="265" t="n">
        <x:v>363.27</x:v>
      </x:c>
      <x:c r="AE1299" s="271" t="str"/>
      <x:c r="AF1299" s="274" t="str">
        <x:v>Not validated - no control/holdout</x:v>
      </x:c>
      <x:c r="AG1299" s="277" t="str">
        <x:v>Recovered execution only; assignment date and unclaimed-offer denominator unavailable</x:v>
      </x:c>
    </x:row>
    <x:row r="1300">
      <x:c r="A1300" s="252" t="str">
        <x:v>34939989</x:v>
      </x:c>
      <x:c r="B1300" s="253" t="str">
        <x:v>WS1</x:v>
      </x:c>
      <x:c r="C1300" s="253" t="str">
        <x:v>MB8</x:v>
      </x:c>
      <x:c r="D1300" s="262" t="n">
        <x:v>46216.69938657407</x:v>
      </x:c>
      <x:c r="E1300" s="259" t="n">
        <x:v>46216.166666666664</x:v>
      </x:c>
      <x:c r="F1300" s="253" t="str">
        <x:v>238790</x:v>
      </x:c>
      <x:c r="G1300" s="253" t="str">
        <x:v>Maxtech888</x:v>
      </x:c>
      <x:c r="H1300" s="253" t="str">
        <x:v>Yes</x:v>
      </x:c>
      <x:c r="I1300" s="253" t="str">
        <x:v>Tammy</x:v>
      </x:c>
      <x:c r="J1300" s="253" t="str">
        <x:v>Tammy</x:v>
      </x:c>
      <x:c r="K1300" s="259" t="n">
        <x:v>45951.166666666664</x:v>
      </x:c>
      <x:c r="L1300" s="268" t="str">
        <x:f>IFERROR(VLOOKUP(I1300,'Handler-Team Map'!$A$7:$C$17,2,FALSE),"")</x:f>
      </x:c>
      <x:c r="M1300" s="268" t="str">
        <x:f>IFERROR(VLOOKUP(I1300,'Handler-Team Map'!$A$7:$C$17,3,FALSE),"")</x:f>
      </x:c>
      <x:c r="N1300" s="274" t="str">
        <x:v>FT_VM_DEP300_GET100_5X</x:v>
      </x:c>
      <x:c r="O1300" s="274" t="str">
        <x:v>VIP BONUS - Deposit 300 Get 100 - 5x TO</x:v>
      </x:c>
      <x:c r="P1300" s="274" t="str">
        <x:v>DepositBonus</x:v>
      </x:c>
      <x:c r="Q1300" s="274" t="str">
        <x:v>Approved</x:v>
      </x:c>
      <x:c r="R1300" s="265" t="n">
        <x:v>100</x:v>
      </x:c>
      <x:c r="S1300" s="253" t="str">
        <x:v>Yes</x:v>
      </x:c>
      <x:c r="T1300" s="265" t="n">
        <x:v>93290</x:v>
      </x:c>
      <x:c r="U1300" s="253" t="str">
        <x:f>IF(AND(S1300="Yes",T1300=0),"Yes","No")</x:f>
        <x:v>No</x:v>
      </x:c>
      <x:c r="V1300" s="253" t="str">
        <x:v>Yes</x:v>
      </x:c>
      <x:c r="W1300" s="253" t="str">
        <x:v>No</x:v>
      </x:c>
      <x:c r="X1300" s="259" t="n">
        <x:v>46216.166666666664</x:v>
      </x:c>
      <x:c r="Y1300" s="265" t="n">
        <x:v>9220</x:v>
      </x:c>
      <x:c r="Z1300" s="265" t="n">
        <x:v>13370</x:v>
      </x:c>
      <x:c r="AA1300" s="253" t="str">
        <x:f>IF(V1300="No","Maturing",IF(AND(U1300="Yes",Y1300&gt;0),"Yes","No"))</x:f>
        <x:v>No</x:v>
      </x:c>
      <x:c r="AB1300" s="253" t="str">
        <x:f>IF(W1300="No","Maturing",IF(AND(U1300="Yes",Z1300&gt;0),"Yes","No"))</x:f>
        <x:v>Maturing</x:v>
      </x:c>
      <x:c r="AC1300" s="265" t="n">
        <x:v>-4367.53</x:v>
      </x:c>
      <x:c r="AD1300" s="265" t="n">
        <x:v>-10917.5</x:v>
      </x:c>
      <x:c r="AE1300" s="271" t="str"/>
      <x:c r="AF1300" s="274" t="str">
        <x:v>Not validated - no control/holdout</x:v>
      </x:c>
      <x:c r="AG1300" s="277" t="str">
        <x:v>Recovered execution only; assignment date and unclaimed-offer denominator unavailable</x:v>
      </x:c>
    </x:row>
    <x:row r="1301">
      <x:c r="A1301" s="252" t="str">
        <x:v>34940039</x:v>
      </x:c>
      <x:c r="B1301" s="253" t="str">
        <x:v>WS1</x:v>
      </x:c>
      <x:c r="C1301" s="253" t="str">
        <x:v>MB8</x:v>
      </x:c>
      <x:c r="D1301" s="262" t="n">
        <x:v>46216.70181712963</x:v>
      </x:c>
      <x:c r="E1301" s="259" t="n">
        <x:v>46216.166666666664</x:v>
      </x:c>
      <x:c r="F1301" s="253" t="str">
        <x:v>274783</x:v>
      </x:c>
      <x:c r="G1301" s="253" t="str">
        <x:v>Shamrock</x:v>
      </x:c>
      <x:c r="H1301" s="253" t="str">
        <x:v>Yes</x:v>
      </x:c>
      <x:c r="I1301" s="253" t="str">
        <x:v>Claire</x:v>
      </x:c>
      <x:c r="J1301" s="253" t="str">
        <x:v>Claire</x:v>
      </x:c>
      <x:c r="K1301" s="259" t="n">
        <x:v>45659.166666666664</x:v>
      </x:c>
      <x:c r="L1301" s="268" t="str">
        <x:f>IFERROR(VLOOKUP(I1301,'Handler-Team Map'!$A$7:$C$17,2,FALSE),"")</x:f>
      </x:c>
      <x:c r="M1301" s="268" t="str">
        <x:f>IFERROR(VLOOKUP(I1301,'Handler-Team Map'!$A$7:$C$17,3,FALSE),"")</x:f>
      </x:c>
      <x:c r="N1301" s="274" t="str">
        <x:v>FT_VM_DEP300_GET100_5X</x:v>
      </x:c>
      <x:c r="O1301" s="274" t="str">
        <x:v>VIP BONUS - Deposit 300 Get 100 - 5x TO</x:v>
      </x:c>
      <x:c r="P1301" s="274" t="str">
        <x:v>DepositBonus</x:v>
      </x:c>
      <x:c r="Q1301" s="274" t="str">
        <x:v>Approved</x:v>
      </x:c>
      <x:c r="R1301" s="265" t="n">
        <x:v>100</x:v>
      </x:c>
      <x:c r="S1301" s="253" t="str">
        <x:v>Yes</x:v>
      </x:c>
      <x:c r="T1301" s="265" t="n">
        <x:v>65228</x:v>
      </x:c>
      <x:c r="U1301" s="253" t="str">
        <x:f>IF(AND(S1301="Yes",T1301=0),"Yes","No")</x:f>
        <x:v>No</x:v>
      </x:c>
      <x:c r="V1301" s="253" t="str">
        <x:v>Yes</x:v>
      </x:c>
      <x:c r="W1301" s="253" t="str">
        <x:v>No</x:v>
      </x:c>
      <x:c r="X1301" s="259" t="n">
        <x:v>46216.166666666664</x:v>
      </x:c>
      <x:c r="Y1301" s="265" t="n">
        <x:v>4850</x:v>
      </x:c>
      <x:c r="Z1301" s="265" t="n">
        <x:v>10140</x:v>
      </x:c>
      <x:c r="AA1301" s="253" t="str">
        <x:f>IF(V1301="No","Maturing",IF(AND(U1301="Yes",Y1301&gt;0),"Yes","No"))</x:f>
        <x:v>No</x:v>
      </x:c>
      <x:c r="AB1301" s="253" t="str">
        <x:f>IF(W1301="No","Maturing",IF(AND(U1301="Yes",Z1301&gt;0),"Yes","No"))</x:f>
        <x:v>Maturing</x:v>
      </x:c>
      <x:c r="AC1301" s="265" t="n">
        <x:v>4818.48</x:v>
      </x:c>
      <x:c r="AD1301" s="265" t="n">
        <x:v>10139.94</x:v>
      </x:c>
      <x:c r="AE1301" s="271" t="str"/>
      <x:c r="AF1301" s="274" t="str">
        <x:v>Not validated - no control/holdout</x:v>
      </x:c>
      <x:c r="AG1301" s="277" t="str">
        <x:v>Recovered execution only; assignment date and unclaimed-offer denominator unavailable</x:v>
      </x:c>
    </x:row>
    <x:row r="1302">
      <x:c r="A1302" s="252" t="str">
        <x:v>34940066</x:v>
      </x:c>
      <x:c r="B1302" s="253" t="str">
        <x:v>WS1</x:v>
      </x:c>
      <x:c r="C1302" s="253" t="str">
        <x:v>MB8</x:v>
      </x:c>
      <x:c r="D1302" s="262" t="n">
        <x:v>46216.70458333333</x:v>
      </x:c>
      <x:c r="E1302" s="259" t="n">
        <x:v>46216.166666666664</x:v>
      </x:c>
      <x:c r="F1302" s="253" t="str">
        <x:v>49986</x:v>
      </x:c>
      <x:c r="G1302" s="253" t="str">
        <x:v>De1973</x:v>
      </x:c>
      <x:c r="H1302" s="253" t="str">
        <x:v>Yes</x:v>
      </x:c>
      <x:c r="I1302" s="253" t="str">
        <x:v>Elda</x:v>
      </x:c>
      <x:c r="J1302" s="253" t="str">
        <x:v>Elda</x:v>
      </x:c>
      <x:c r="K1302" s="259" t="n">
        <x:v>45659.166666666664</x:v>
      </x:c>
      <x:c r="L1302" s="268" t="str">
        <x:f>IFERROR(VLOOKUP(I1302,'Handler-Team Map'!$A$7:$C$17,2,FALSE),"")</x:f>
      </x:c>
      <x:c r="M1302" s="268" t="str">
        <x:f>IFERROR(VLOOKUP(I1302,'Handler-Team Map'!$A$7:$C$17,3,FALSE),"")</x:f>
      </x:c>
      <x:c r="N1302" s="274" t="str">
        <x:v>FT_VM_DEP800_GET400_2X</x:v>
      </x:c>
      <x:c r="O1302" s="274" t="str">
        <x:v>VIP BONUS - Deposit 800 Get 400 - 2x TO</x:v>
      </x:c>
      <x:c r="P1302" s="274" t="str">
        <x:v>DepositBonus</x:v>
      </x:c>
      <x:c r="Q1302" s="274" t="str">
        <x:v>Approved</x:v>
      </x:c>
      <x:c r="R1302" s="265" t="n">
        <x:v>400</x:v>
      </x:c>
      <x:c r="S1302" s="253" t="str">
        <x:v>Yes</x:v>
      </x:c>
      <x:c r="T1302" s="265" t="n">
        <x:v>395403.88</x:v>
      </x:c>
      <x:c r="U1302" s="253" t="str">
        <x:f>IF(AND(S1302="Yes",T1302=0),"Yes","No")</x:f>
        <x:v>No</x:v>
      </x:c>
      <x:c r="V1302" s="253" t="str">
        <x:v>Yes</x:v>
      </x:c>
      <x:c r="W1302" s="253" t="str">
        <x:v>No</x:v>
      </x:c>
      <x:c r="X1302" s="259" t="n">
        <x:v>46216.166666666664</x:v>
      </x:c>
      <x:c r="Y1302" s="265" t="n">
        <x:v>54689</x:v>
      </x:c>
      <x:c r="Z1302" s="265" t="n">
        <x:v>65432</x:v>
      </x:c>
      <x:c r="AA1302" s="253" t="str">
        <x:f>IF(V1302="No","Maturing",IF(AND(U1302="Yes",Y1302&gt;0),"Yes","No"))</x:f>
        <x:v>No</x:v>
      </x:c>
      <x:c r="AB1302" s="253" t="str">
        <x:f>IF(W1302="No","Maturing",IF(AND(U1302="Yes",Z1302&gt;0),"Yes","No"))</x:f>
        <x:v>Maturing</x:v>
      </x:c>
      <x:c r="AC1302" s="265" t="n">
        <x:v>3586.9</x:v>
      </x:c>
      <x:c r="AD1302" s="265" t="n">
        <x:v>-3053.32</x:v>
      </x:c>
      <x:c r="AE1302" s="271" t="str"/>
      <x:c r="AF1302" s="274" t="str">
        <x:v>Not validated - no control/holdout</x:v>
      </x:c>
      <x:c r="AG1302" s="277" t="str">
        <x:v>Recovered execution only; assignment date and unclaimed-offer denominator unavailable</x:v>
      </x:c>
    </x:row>
    <x:row r="1303">
      <x:c r="A1303" s="252" t="str">
        <x:v>34940705</x:v>
      </x:c>
      <x:c r="B1303" s="253" t="str">
        <x:v>WS1</x:v>
      </x:c>
      <x:c r="C1303" s="253" t="str">
        <x:v>MB8</x:v>
      </x:c>
      <x:c r="D1303" s="262" t="n">
        <x:v>46216.75616898148</x:v>
      </x:c>
      <x:c r="E1303" s="259" t="n">
        <x:v>46216.166666666664</x:v>
      </x:c>
      <x:c r="F1303" s="253" t="str">
        <x:v>302345</x:v>
      </x:c>
      <x:c r="G1303" s="253" t="str">
        <x:v>bujiangfatt</x:v>
      </x:c>
      <x:c r="H1303" s="253" t="str">
        <x:v>Yes</x:v>
      </x:c>
      <x:c r="I1303" s="253" t="str">
        <x:v>Elda</x:v>
      </x:c>
      <x:c r="J1303" s="253" t="str">
        <x:v>Elda</x:v>
      </x:c>
      <x:c r="K1303" s="259" t="n">
        <x:v>45659.166666666664</x:v>
      </x:c>
      <x:c r="L1303" s="268" t="str">
        <x:f>IFERROR(VLOOKUP(I1303,'Handler-Team Map'!$A$7:$C$17,2,FALSE),"")</x:f>
      </x:c>
      <x:c r="M1303" s="268" t="str">
        <x:f>IFERROR(VLOOKUP(I1303,'Handler-Team Map'!$A$7:$C$17,3,FALSE),"")</x:f>
      </x:c>
      <x:c r="N1303" s="274" t="str">
        <x:v>FT_VM_DEP1000_GET500_5X</x:v>
      </x:c>
      <x:c r="O1303" s="274" t="str">
        <x:v>VIP BONUS - Deposit 1000 Get 500 - 5x TO</x:v>
      </x:c>
      <x:c r="P1303" s="274" t="str">
        <x:v>DepositBonus</x:v>
      </x:c>
      <x:c r="Q1303" s="274" t="str">
        <x:v>Approved</x:v>
      </x:c>
      <x:c r="R1303" s="265" t="n">
        <x:v>500</x:v>
      </x:c>
      <x:c r="S1303" s="253" t="str">
        <x:v>Yes</x:v>
      </x:c>
      <x:c r="T1303" s="265" t="n">
        <x:v>24630</x:v>
      </x:c>
      <x:c r="U1303" s="253" t="str">
        <x:f>IF(AND(S1303="Yes",T1303=0),"Yes","No")</x:f>
        <x:v>No</x:v>
      </x:c>
      <x:c r="V1303" s="253" t="str">
        <x:v>Yes</x:v>
      </x:c>
      <x:c r="W1303" s="253" t="str">
        <x:v>No</x:v>
      </x:c>
      <x:c r="X1303" s="259" t="n">
        <x:v>46216.166666666664</x:v>
      </x:c>
      <x:c r="Y1303" s="265" t="n">
        <x:v>2697</x:v>
      </x:c>
      <x:c r="Z1303" s="265" t="n">
        <x:v>3727</x:v>
      </x:c>
      <x:c r="AA1303" s="253" t="str">
        <x:f>IF(V1303="No","Maturing",IF(AND(U1303="Yes",Y1303&gt;0),"Yes","No"))</x:f>
        <x:v>No</x:v>
      </x:c>
      <x:c r="AB1303" s="253" t="str">
        <x:f>IF(W1303="No","Maturing",IF(AND(U1303="Yes",Z1303&gt;0),"Yes","No"))</x:f>
        <x:v>Maturing</x:v>
      </x:c>
      <x:c r="AC1303" s="265" t="n">
        <x:v>2287.39</x:v>
      </x:c>
      <x:c r="AD1303" s="265" t="n">
        <x:v>3629.03</x:v>
      </x:c>
      <x:c r="AE1303" s="271" t="str"/>
      <x:c r="AF1303" s="274" t="str">
        <x:v>Not validated - no control/holdout</x:v>
      </x:c>
      <x:c r="AG1303" s="277" t="str">
        <x:v>Recovered execution only; assignment date and unclaimed-offer denominator unavailable</x:v>
      </x:c>
    </x:row>
    <x:row r="1304">
      <x:c r="A1304" s="252" t="str">
        <x:v>34940957</x:v>
      </x:c>
      <x:c r="B1304" s="253" t="str">
        <x:v>WS1</x:v>
      </x:c>
      <x:c r="C1304" s="253" t="str">
        <x:v>MB8</x:v>
      </x:c>
      <x:c r="D1304" s="262" t="n">
        <x:v>46216.7737037037</x:v>
      </x:c>
      <x:c r="E1304" s="259" t="n">
        <x:v>46216.166666666664</x:v>
      </x:c>
      <x:c r="F1304" s="253" t="str">
        <x:v>38910</x:v>
      </x:c>
      <x:c r="G1304" s="253" t="str">
        <x:v>Snowy2kaki</x:v>
      </x:c>
      <x:c r="H1304" s="253" t="str">
        <x:v>Yes</x:v>
      </x:c>
      <x:c r="I1304" s="253" t="str">
        <x:v>Claire</x:v>
      </x:c>
      <x:c r="J1304" s="253" t="str">
        <x:v>Claire</x:v>
      </x:c>
      <x:c r="K1304" s="259" t="n">
        <x:v>45659.166666666664</x:v>
      </x:c>
      <x:c r="L1304" s="268" t="str">
        <x:f>IFERROR(VLOOKUP(I1304,'Handler-Team Map'!$A$7:$C$17,2,FALSE),"")</x:f>
      </x:c>
      <x:c r="M1304" s="268" t="str">
        <x:f>IFERROR(VLOOKUP(I1304,'Handler-Team Map'!$A$7:$C$17,3,FALSE),"")</x:f>
      </x:c>
      <x:c r="N1304" s="274" t="str">
        <x:v>FT_VM_DEP1000_GET500_5X</x:v>
      </x:c>
      <x:c r="O1304" s="274" t="str">
        <x:v>VIP BONUS - Deposit 1000 Get 500 - 5x TO</x:v>
      </x:c>
      <x:c r="P1304" s="274" t="str">
        <x:v>DepositBonus</x:v>
      </x:c>
      <x:c r="Q1304" s="274" t="str">
        <x:v>Approved</x:v>
      </x:c>
      <x:c r="R1304" s="265" t="n">
        <x:v>500</x:v>
      </x:c>
      <x:c r="S1304" s="253" t="str">
        <x:v>Yes</x:v>
      </x:c>
      <x:c r="T1304" s="265" t="n">
        <x:v>108400</x:v>
      </x:c>
      <x:c r="U1304" s="253" t="str">
        <x:f>IF(AND(S1304="Yes",T1304=0),"Yes","No")</x:f>
        <x:v>No</x:v>
      </x:c>
      <x:c r="V1304" s="253" t="str">
        <x:v>Yes</x:v>
      </x:c>
      <x:c r="W1304" s="253" t="str">
        <x:v>No</x:v>
      </x:c>
      <x:c r="X1304" s="259" t="n">
        <x:v>46216.166666666664</x:v>
      </x:c>
      <x:c r="Y1304" s="265" t="n">
        <x:v>20500</x:v>
      </x:c>
      <x:c r="Z1304" s="265" t="n">
        <x:v>66500</x:v>
      </x:c>
      <x:c r="AA1304" s="253" t="str">
        <x:f>IF(V1304="No","Maturing",IF(AND(U1304="Yes",Y1304&gt;0),"Yes","No"))</x:f>
        <x:v>No</x:v>
      </x:c>
      <x:c r="AB1304" s="253" t="str">
        <x:f>IF(W1304="No","Maturing",IF(AND(U1304="Yes",Z1304&gt;0),"Yes","No"))</x:f>
        <x:v>Maturing</x:v>
      </x:c>
      <x:c r="AC1304" s="265" t="n">
        <x:v>-229452.68</x:v>
      </x:c>
      <x:c r="AD1304" s="265" t="n">
        <x:v>-183437.14</x:v>
      </x:c>
      <x:c r="AE1304" s="271" t="str"/>
      <x:c r="AF1304" s="274" t="str">
        <x:v>Not validated - no control/holdout</x:v>
      </x:c>
      <x:c r="AG1304" s="277" t="str">
        <x:v>Recovered execution only; assignment date and unclaimed-offer denominator unavailable</x:v>
      </x:c>
    </x:row>
    <x:row r="1305">
      <x:c r="A1305" s="252" t="str">
        <x:v>34941170</x:v>
      </x:c>
      <x:c r="B1305" s="253" t="str">
        <x:v>WS1</x:v>
      </x:c>
      <x:c r="C1305" s="253" t="str">
        <x:v>MB8</x:v>
      </x:c>
      <x:c r="D1305" s="262" t="n">
        <x:v>46216.78554398148</x:v>
      </x:c>
      <x:c r="E1305" s="259" t="n">
        <x:v>46216.166666666664</x:v>
      </x:c>
      <x:c r="F1305" s="253" t="str">
        <x:v>1182820</x:v>
      </x:c>
      <x:c r="G1305" s="253" t="str">
        <x:v>enqing0222</x:v>
      </x:c>
      <x:c r="H1305" s="253" t="str">
        <x:v>Yes</x:v>
      </x:c>
      <x:c r="I1305" s="253" t="str"/>
      <x:c r="J1305" s="253" t="str"/>
      <x:c r="K1305" s="259"/>
      <x:c r="L1305" s="268" t="str">
        <x:f>IFERROR(VLOOKUP(I1305,'Handler-Team Map'!$A$7:$C$17,2,FALSE),"")</x:f>
      </x:c>
      <x:c r="M1305" s="268" t="str">
        <x:f>IFERROR(VLOOKUP(I1305,'Handler-Team Map'!$A$7:$C$17,3,FALSE),"")</x:f>
      </x:c>
      <x:c r="N1305" s="274" t="str">
        <x:v>FT_VM_DEP300_GET100_2X</x:v>
      </x:c>
      <x:c r="O1305" s="274" t="str">
        <x:v>VIP BONUS - Deposit 300 Get 100 - 2x TO</x:v>
      </x:c>
      <x:c r="P1305" s="274" t="str">
        <x:v>DepositBonus</x:v>
      </x:c>
      <x:c r="Q1305" s="274" t="str">
        <x:v>Approved</x:v>
      </x:c>
      <x:c r="R1305" s="265" t="n">
        <x:v>100</x:v>
      </x:c>
      <x:c r="S1305" s="253" t="str">
        <x:v>Yes</x:v>
      </x:c>
      <x:c r="T1305" s="265" t="n">
        <x:v>20100</x:v>
      </x:c>
      <x:c r="U1305" s="253" t="str">
        <x:f>IF(AND(S1305="Yes",T1305=0),"Yes","No")</x:f>
        <x:v>No</x:v>
      </x:c>
      <x:c r="V1305" s="253" t="str">
        <x:v>Yes</x:v>
      </x:c>
      <x:c r="W1305" s="253" t="str">
        <x:v>No</x:v>
      </x:c>
      <x:c r="X1305" s="259" t="n">
        <x:v>46216.166666666664</x:v>
      </x:c>
      <x:c r="Y1305" s="265" t="n">
        <x:v>6300</x:v>
      </x:c>
      <x:c r="Z1305" s="265" t="n">
        <x:v>6900</x:v>
      </x:c>
      <x:c r="AA1305" s="253" t="str">
        <x:f>IF(V1305="No","Maturing",IF(AND(U1305="Yes",Y1305&gt;0),"Yes","No"))</x:f>
        <x:v>No</x:v>
      </x:c>
      <x:c r="AB1305" s="253" t="str">
        <x:f>IF(W1305="No","Maturing",IF(AND(U1305="Yes",Z1305&gt;0),"Yes","No"))</x:f>
        <x:v>Maturing</x:v>
      </x:c>
      <x:c r="AC1305" s="265" t="n">
        <x:v>3995.38</x:v>
      </x:c>
      <x:c r="AD1305" s="265" t="n">
        <x:v>4599.84</x:v>
      </x:c>
      <x:c r="AE1305" s="271" t="str"/>
      <x:c r="AF1305" s="274" t="str">
        <x:v>Not validated - no control/holdout</x:v>
      </x:c>
      <x:c r="AG1305" s="277" t="str">
        <x:v>Recovered execution only; assignment date and unclaimed-offer denominator unavailable</x:v>
      </x:c>
    </x:row>
    <x:row r="1306">
      <x:c r="A1306" s="252" t="str">
        <x:v>34942631</x:v>
      </x:c>
      <x:c r="B1306" s="253" t="str">
        <x:v>WS1</x:v>
      </x:c>
      <x:c r="C1306" s="253" t="str">
        <x:v>MB8</x:v>
      </x:c>
      <x:c r="D1306" s="262" t="n">
        <x:v>46216.900509259256</x:v>
      </x:c>
      <x:c r="E1306" s="259" t="n">
        <x:v>46216.166666666664</x:v>
      </x:c>
      <x:c r="F1306" s="253" t="str">
        <x:v>663490</x:v>
      </x:c>
      <x:c r="G1306" s="253" t="str">
        <x:v>Arsenal9968</x:v>
      </x:c>
      <x:c r="H1306" s="253" t="str">
        <x:v>Yes</x:v>
      </x:c>
      <x:c r="I1306" s="253" t="str">
        <x:v>Claire</x:v>
      </x:c>
      <x:c r="J1306" s="253" t="str">
        <x:v>Claire</x:v>
      </x:c>
      <x:c r="K1306" s="259" t="n">
        <x:v>45659.166666666664</x:v>
      </x:c>
      <x:c r="L1306" s="268" t="str">
        <x:f>IFERROR(VLOOKUP(I1306,'Handler-Team Map'!$A$7:$C$17,2,FALSE),"")</x:f>
      </x:c>
      <x:c r="M1306" s="268" t="str">
        <x:f>IFERROR(VLOOKUP(I1306,'Handler-Team Map'!$A$7:$C$17,3,FALSE),"")</x:f>
      </x:c>
      <x:c r="N1306" s="274" t="str">
        <x:v>FT_VM_DEP600_GET200_5X</x:v>
      </x:c>
      <x:c r="O1306" s="274" t="str">
        <x:v>VIP BONUS - Deposit 600 Get 200 - 5x TO</x:v>
      </x:c>
      <x:c r="P1306" s="274" t="str">
        <x:v>DepositBonus</x:v>
      </x:c>
      <x:c r="Q1306" s="274" t="str">
        <x:v>Approved</x:v>
      </x:c>
      <x:c r="R1306" s="265" t="n">
        <x:v>200</x:v>
      </x:c>
      <x:c r="S1306" s="253" t="str">
        <x:v>Yes</x:v>
      </x:c>
      <x:c r="T1306" s="265" t="n">
        <x:v>80814</x:v>
      </x:c>
      <x:c r="U1306" s="253" t="str">
        <x:f>IF(AND(S1306="Yes",T1306=0),"Yes","No")</x:f>
        <x:v>No</x:v>
      </x:c>
      <x:c r="V1306" s="253" t="str">
        <x:v>Yes</x:v>
      </x:c>
      <x:c r="W1306" s="253" t="str">
        <x:v>No</x:v>
      </x:c>
      <x:c r="X1306" s="259" t="n">
        <x:v>46216.166666666664</x:v>
      </x:c>
      <x:c r="Y1306" s="265" t="n">
        <x:v>38220</x:v>
      </x:c>
      <x:c r="Z1306" s="265" t="n">
        <x:v>96220</x:v>
      </x:c>
      <x:c r="AA1306" s="253" t="str">
        <x:f>IF(V1306="No","Maturing",IF(AND(U1306="Yes",Y1306&gt;0),"Yes","No"))</x:f>
        <x:v>No</x:v>
      </x:c>
      <x:c r="AB1306" s="253" t="str">
        <x:f>IF(W1306="No","Maturing",IF(AND(U1306="Yes",Z1306&gt;0),"Yes","No"))</x:f>
        <x:v>Maturing</x:v>
      </x:c>
      <x:c r="AC1306" s="265" t="n">
        <x:v>-60905.59</x:v>
      </x:c>
      <x:c r="AD1306" s="265" t="n">
        <x:v>-134379.84</x:v>
      </x:c>
      <x:c r="AE1306" s="271" t="str"/>
      <x:c r="AF1306" s="274" t="str">
        <x:v>Not validated - no control/holdout</x:v>
      </x:c>
      <x:c r="AG1306" s="277" t="str">
        <x:v>Recovered execution only; assignment date and unclaimed-offer denominator unavailable</x:v>
      </x:c>
    </x:row>
    <x:row r="1307">
      <x:c r="A1307" s="252" t="str">
        <x:v>34942667</x:v>
      </x:c>
      <x:c r="B1307" s="253" t="str">
        <x:v>WS1</x:v>
      </x:c>
      <x:c r="C1307" s="253" t="str">
        <x:v>MB8</x:v>
      </x:c>
      <x:c r="D1307" s="262" t="n">
        <x:v>46216.90326388889</x:v>
      </x:c>
      <x:c r="E1307" s="259" t="n">
        <x:v>46216.166666666664</x:v>
      </x:c>
      <x:c r="F1307" s="253" t="str">
        <x:v>113180</x:v>
      </x:c>
      <x:c r="G1307" s="253" t="str">
        <x:v>Hazel</x:v>
      </x:c>
      <x:c r="H1307" s="253" t="str">
        <x:v>Yes</x:v>
      </x:c>
      <x:c r="I1307" s="253" t="str">
        <x:v>Serene</x:v>
      </x:c>
      <x:c r="J1307" s="253" t="str">
        <x:v>Serene</x:v>
      </x:c>
      <x:c r="K1307" s="259" t="n">
        <x:v>45831.166666666664</x:v>
      </x:c>
      <x:c r="L1307" s="268" t="str">
        <x:f>IFERROR(VLOOKUP(I1307,'Handler-Team Map'!$A$7:$C$17,2,FALSE),"")</x:f>
      </x:c>
      <x:c r="M1307" s="268" t="str">
        <x:f>IFERROR(VLOOKUP(I1307,'Handler-Team Map'!$A$7:$C$17,3,FALSE),"")</x:f>
      </x:c>
      <x:c r="N1307" s="274" t="str">
        <x:v>FT_VM_DEP1000_GET500_5X</x:v>
      </x:c>
      <x:c r="O1307" s="274" t="str">
        <x:v>VIP BONUS - Deposit 1000 Get 500 - 5x TO</x:v>
      </x:c>
      <x:c r="P1307" s="274" t="str">
        <x:v>DepositBonus</x:v>
      </x:c>
      <x:c r="Q1307" s="274" t="str">
        <x:v>Approved</x:v>
      </x:c>
      <x:c r="R1307" s="265" t="n">
        <x:v>500</x:v>
      </x:c>
      <x:c r="S1307" s="253" t="str">
        <x:v>Yes</x:v>
      </x:c>
      <x:c r="T1307" s="265" t="n">
        <x:v>4080</x:v>
      </x:c>
      <x:c r="U1307" s="253" t="str">
        <x:f>IF(AND(S1307="Yes",T1307=0),"Yes","No")</x:f>
        <x:v>No</x:v>
      </x:c>
      <x:c r="V1307" s="253" t="str">
        <x:v>Yes</x:v>
      </x:c>
      <x:c r="W1307" s="253" t="str">
        <x:v>No</x:v>
      </x:c>
      <x:c r="X1307" s="259" t="n">
        <x:v>46216.166666666664</x:v>
      </x:c>
      <x:c r="Y1307" s="265" t="n">
        <x:v>1160</x:v>
      </x:c>
      <x:c r="Z1307" s="265" t="n">
        <x:v>2160</x:v>
      </x:c>
      <x:c r="AA1307" s="253" t="str">
        <x:f>IF(V1307="No","Maturing",IF(AND(U1307="Yes",Y1307&gt;0),"Yes","No"))</x:f>
        <x:v>No</x:v>
      </x:c>
      <x:c r="AB1307" s="253" t="str">
        <x:f>IF(W1307="No","Maturing",IF(AND(U1307="Yes",Z1307&gt;0),"Yes","No"))</x:f>
        <x:v>Maturing</x:v>
      </x:c>
      <x:c r="AC1307" s="265" t="n">
        <x:v>1092.5</x:v>
      </x:c>
      <x:c r="AD1307" s="265" t="n">
        <x:v>984.9</x:v>
      </x:c>
      <x:c r="AE1307" s="271" t="str"/>
      <x:c r="AF1307" s="274" t="str">
        <x:v>Not validated - no control/holdout</x:v>
      </x:c>
      <x:c r="AG1307" s="277" t="str">
        <x:v>Recovered execution only; assignment date and unclaimed-offer denominator unavailable</x:v>
      </x:c>
    </x:row>
    <x:row r="1308">
      <x:c r="A1308" s="252" t="str">
        <x:v>34942685</x:v>
      </x:c>
      <x:c r="B1308" s="253" t="str">
        <x:v>WS1</x:v>
      </x:c>
      <x:c r="C1308" s="253" t="str">
        <x:v>MB8</x:v>
      </x:c>
      <x:c r="D1308" s="262" t="n">
        <x:v>46216.90414351852</x:v>
      </x:c>
      <x:c r="E1308" s="259" t="n">
        <x:v>46216.166666666664</x:v>
      </x:c>
      <x:c r="F1308" s="253" t="str">
        <x:v>841342</x:v>
      </x:c>
      <x:c r="G1308" s="253" t="str">
        <x:v>yoyo02</x:v>
      </x:c>
      <x:c r="H1308" s="253" t="str">
        <x:v>Yes</x:v>
      </x:c>
      <x:c r="I1308" s="253" t="str">
        <x:v>Tammy</x:v>
      </x:c>
      <x:c r="J1308" s="253" t="str">
        <x:v>Tammy</x:v>
      </x:c>
      <x:c r="K1308" s="259" t="n">
        <x:v>45951.166666666664</x:v>
      </x:c>
      <x:c r="L1308" s="268" t="str">
        <x:f>IFERROR(VLOOKUP(I1308,'Handler-Team Map'!$A$7:$C$17,2,FALSE),"")</x:f>
      </x:c>
      <x:c r="M1308" s="268" t="str">
        <x:f>IFERROR(VLOOKUP(I1308,'Handler-Team Map'!$A$7:$C$17,3,FALSE),"")</x:f>
      </x:c>
      <x:c r="N1308" s="274" t="str">
        <x:v>FT_VM_DEP150_GET50_5X</x:v>
      </x:c>
      <x:c r="O1308" s="274" t="str">
        <x:v>VIP BONUS - Deposit 150 Get 50 - 5x TO</x:v>
      </x:c>
      <x:c r="P1308" s="274" t="str">
        <x:v>DepositBonus</x:v>
      </x:c>
      <x:c r="Q1308" s="274" t="str">
        <x:v>Approved</x:v>
      </x:c>
      <x:c r="R1308" s="265" t="n">
        <x:v>50</x:v>
      </x:c>
      <x:c r="S1308" s="253" t="str">
        <x:v>Yes</x:v>
      </x:c>
      <x:c r="T1308" s="265" t="n">
        <x:v>22418</x:v>
      </x:c>
      <x:c r="U1308" s="253" t="str">
        <x:f>IF(AND(S1308="Yes",T1308=0),"Yes","No")</x:f>
        <x:v>No</x:v>
      </x:c>
      <x:c r="V1308" s="253" t="str">
        <x:v>Yes</x:v>
      </x:c>
      <x:c r="W1308" s="253" t="str">
        <x:v>No</x:v>
      </x:c>
      <x:c r="X1308" s="259" t="n">
        <x:v>46216.166666666664</x:v>
      </x:c>
      <x:c r="Y1308" s="265" t="n">
        <x:v>5720</x:v>
      </x:c>
      <x:c r="Z1308" s="265" t="n">
        <x:v>7620</x:v>
      </x:c>
      <x:c r="AA1308" s="253" t="str">
        <x:f>IF(V1308="No","Maturing",IF(AND(U1308="Yes",Y1308&gt;0),"Yes","No"))</x:f>
        <x:v>No</x:v>
      </x:c>
      <x:c r="AB1308" s="253" t="str">
        <x:f>IF(W1308="No","Maturing",IF(AND(U1308="Yes",Z1308&gt;0),"Yes","No"))</x:f>
        <x:v>Maturing</x:v>
      </x:c>
      <x:c r="AC1308" s="265" t="n">
        <x:v>2267.06</x:v>
      </x:c>
      <x:c r="AD1308" s="265" t="n">
        <x:v>4167.05</x:v>
      </x:c>
      <x:c r="AE1308" s="271" t="str"/>
      <x:c r="AF1308" s="274" t="str">
        <x:v>Not validated - no control/holdout</x:v>
      </x:c>
      <x:c r="AG1308" s="277" t="str">
        <x:v>Recovered execution only; assignment date and unclaimed-offer denominator unavailable</x:v>
      </x:c>
    </x:row>
    <x:row r="1309">
      <x:c r="A1309" s="252" t="str">
        <x:v>34942951</x:v>
      </x:c>
      <x:c r="B1309" s="253" t="str">
        <x:v>WS1</x:v>
      </x:c>
      <x:c r="C1309" s="253" t="str">
        <x:v>MB8</x:v>
      </x:c>
      <x:c r="D1309" s="262" t="n">
        <x:v>46216.921851851854</x:v>
      </x:c>
      <x:c r="E1309" s="259" t="n">
        <x:v>46216.166666666664</x:v>
      </x:c>
      <x:c r="F1309" s="253" t="str">
        <x:v>526788</x:v>
      </x:c>
      <x:c r="G1309" s="253" t="str">
        <x:v>Ben888</x:v>
      </x:c>
      <x:c r="H1309" s="253" t="str">
        <x:v>Yes</x:v>
      </x:c>
      <x:c r="I1309" s="253" t="str">
        <x:v>Serene</x:v>
      </x:c>
      <x:c r="J1309" s="253" t="str">
        <x:v>Serene</x:v>
      </x:c>
      <x:c r="K1309" s="259" t="n">
        <x:v>45831.166666666664</x:v>
      </x:c>
      <x:c r="L1309" s="268" t="str">
        <x:f>IFERROR(VLOOKUP(I1309,'Handler-Team Map'!$A$7:$C$17,2,FALSE),"")</x:f>
      </x:c>
      <x:c r="M1309" s="268" t="str">
        <x:f>IFERROR(VLOOKUP(I1309,'Handler-Team Map'!$A$7:$C$17,3,FALSE),"")</x:f>
      </x:c>
      <x:c r="N1309" s="274" t="str">
        <x:v>FT_VM_DEP1000_GET900_1X</x:v>
      </x:c>
      <x:c r="O1309" s="274" t="str">
        <x:v>VIP BONUS - Deposit 1000 Get 900 - 1x TO</x:v>
      </x:c>
      <x:c r="P1309" s="274" t="str">
        <x:v>DepositBonus</x:v>
      </x:c>
      <x:c r="Q1309" s="274" t="str">
        <x:v>Approved</x:v>
      </x:c>
      <x:c r="R1309" s="265" t="n">
        <x:v>900</x:v>
      </x:c>
      <x:c r="S1309" s="253" t="str">
        <x:v>Yes</x:v>
      </x:c>
      <x:c r="T1309" s="265" t="n">
        <x:v>0</x:v>
      </x:c>
      <x:c r="U1309" s="253" t="str">
        <x:f>IF(AND(S1309="Yes",T1309=0),"Yes","No")</x:f>
        <x:v>Yes</x:v>
      </x:c>
      <x:c r="V1309" s="253" t="str">
        <x:v>Yes</x:v>
      </x:c>
      <x:c r="W1309" s="253" t="str">
        <x:v>No</x:v>
      </x:c>
      <x:c r="X1309" s="259" t="n">
        <x:v>46216.166666666664</x:v>
      </x:c>
      <x:c r="Y1309" s="265" t="n">
        <x:v>1000</x:v>
      </x:c>
      <x:c r="Z1309" s="265" t="n">
        <x:v>1000</x:v>
      </x:c>
      <x:c r="AA1309" s="253" t="str">
        <x:f>IF(V1309="No","Maturing",IF(AND(U1309="Yes",Y1309&gt;0),"Yes","No"))</x:f>
        <x:v>Yes</x:v>
      </x:c>
      <x:c r="AB1309" s="253" t="str">
        <x:f>IF(W1309="No","Maturing",IF(AND(U1309="Yes",Z1309&gt;0),"Yes","No"))</x:f>
        <x:v>Maturing</x:v>
      </x:c>
      <x:c r="AC1309" s="265" t="n">
        <x:v>1000.03</x:v>
      </x:c>
      <x:c r="AD1309" s="265" t="n">
        <x:v>1000.27</x:v>
      </x:c>
      <x:c r="AE1309" s="271" t="str"/>
      <x:c r="AF1309" s="274" t="str">
        <x:v>Not validated - no control/holdout</x:v>
      </x:c>
      <x:c r="AG1309" s="277" t="str">
        <x:v>Recovered execution only; assignment date and unclaimed-offer denominator unavailable</x:v>
      </x:c>
    </x:row>
    <x:row r="1310">
      <x:c r="A1310" s="252" t="str">
        <x:v>34943089</x:v>
      </x:c>
      <x:c r="B1310" s="253" t="str">
        <x:v>WS1</x:v>
      </x:c>
      <x:c r="C1310" s="253" t="str">
        <x:v>MB8</x:v>
      </x:c>
      <x:c r="D1310" s="262" t="n">
        <x:v>46216.92938657408</x:v>
      </x:c>
      <x:c r="E1310" s="259" t="n">
        <x:v>46216.166666666664</x:v>
      </x:c>
      <x:c r="F1310" s="253" t="str">
        <x:v>47658</x:v>
      </x:c>
      <x:c r="G1310" s="253" t="str">
        <x:v>Eddy155</x:v>
      </x:c>
      <x:c r="H1310" s="253" t="str">
        <x:v>Yes</x:v>
      </x:c>
      <x:c r="I1310" s="253" t="str">
        <x:v>Sheena</x:v>
      </x:c>
      <x:c r="J1310" s="253" t="str">
        <x:v>Sheena</x:v>
      </x:c>
      <x:c r="K1310" s="259" t="n">
        <x:v>45852.166666666664</x:v>
      </x:c>
      <x:c r="L1310" s="268" t="str">
        <x:f>IFERROR(VLOOKUP(I1310,'Handler-Team Map'!$A$7:$C$17,2,FALSE),"")</x:f>
      </x:c>
      <x:c r="M1310" s="268" t="str">
        <x:f>IFERROR(VLOOKUP(I1310,'Handler-Team Map'!$A$7:$C$17,3,FALSE),"")</x:f>
      </x:c>
      <x:c r="N1310" s="274" t="str">
        <x:v>FT_VM_DEP700_GET300_2X</x:v>
      </x:c>
      <x:c r="O1310" s="274" t="str">
        <x:v>VIP BONUS - Deposit 700 Get 300 - 2x TO</x:v>
      </x:c>
      <x:c r="P1310" s="274" t="str">
        <x:v>DepositBonus</x:v>
      </x:c>
      <x:c r="Q1310" s="274" t="str">
        <x:v>Approved</x:v>
      </x:c>
      <x:c r="R1310" s="265" t="n">
        <x:v>300</x:v>
      </x:c>
      <x:c r="S1310" s="253" t="str">
        <x:v>Yes</x:v>
      </x:c>
      <x:c r="T1310" s="265" t="n">
        <x:v>470</x:v>
      </x:c>
      <x:c r="U1310" s="253" t="str">
        <x:f>IF(AND(S1310="Yes",T1310=0),"Yes","No")</x:f>
        <x:v>No</x:v>
      </x:c>
      <x:c r="V1310" s="253" t="str">
        <x:v>Yes</x:v>
      </x:c>
      <x:c r="W1310" s="253" t="str">
        <x:v>No</x:v>
      </x:c>
      <x:c r="X1310" s="259" t="n">
        <x:v>46216.166666666664</x:v>
      </x:c>
      <x:c r="Y1310" s="265" t="n">
        <x:v>700</x:v>
      </x:c>
      <x:c r="Z1310" s="265" t="n">
        <x:v>700</x:v>
      </x:c>
      <x:c r="AA1310" s="253" t="str">
        <x:f>IF(V1310="No","Maturing",IF(AND(U1310="Yes",Y1310&gt;0),"Yes","No"))</x:f>
        <x:v>No</x:v>
      </x:c>
      <x:c r="AB1310" s="253" t="str">
        <x:f>IF(W1310="No","Maturing",IF(AND(U1310="Yes",Z1310&gt;0),"Yes","No"))</x:f>
        <x:v>Maturing</x:v>
      </x:c>
      <x:c r="AC1310" s="265" t="n">
        <x:v>699.73</x:v>
      </x:c>
      <x:c r="AD1310" s="265" t="n">
        <x:v>699.73</x:v>
      </x:c>
      <x:c r="AE1310" s="271" t="str"/>
      <x:c r="AF1310" s="274" t="str">
        <x:v>Not validated - no control/holdout</x:v>
      </x:c>
      <x:c r="AG1310" s="277" t="str">
        <x:v>Recovered execution only; assignment date and unclaimed-offer denominator unavailable</x:v>
      </x:c>
    </x:row>
    <x:row r="1311">
      <x:c r="A1311" s="252" t="str">
        <x:v>34944758</x:v>
      </x:c>
      <x:c r="B1311" s="253" t="str">
        <x:v>WS1</x:v>
      </x:c>
      <x:c r="C1311" s="253" t="str">
        <x:v>MB8</x:v>
      </x:c>
      <x:c r="D1311" s="262" t="n">
        <x:v>46217.01733796296</x:v>
      </x:c>
      <x:c r="E1311" s="259" t="n">
        <x:v>46217.166666666664</x:v>
      </x:c>
      <x:c r="F1311" s="253" t="str">
        <x:v>685809</x:v>
      </x:c>
      <x:c r="G1311" s="253" t="str">
        <x:v>Naz85</x:v>
      </x:c>
      <x:c r="H1311" s="253" t="str">
        <x:v>Yes</x:v>
      </x:c>
      <x:c r="I1311" s="253" t="str">
        <x:v>Elda</x:v>
      </x:c>
      <x:c r="J1311" s="253" t="str">
        <x:v>Elda</x:v>
      </x:c>
      <x:c r="K1311" s="259" t="n">
        <x:v>45790.166666666664</x:v>
      </x:c>
      <x:c r="L1311" s="268" t="str">
        <x:f>IFERROR(VLOOKUP(I1311,'Handler-Team Map'!$A$7:$C$17,2,FALSE),"")</x:f>
      </x:c>
      <x:c r="M1311" s="268" t="str">
        <x:f>IFERROR(VLOOKUP(I1311,'Handler-Team Map'!$A$7:$C$17,3,FALSE),"")</x:f>
      </x:c>
      <x:c r="N1311" s="274" t="str">
        <x:v>FT_VM_DEP700_GET300_2X</x:v>
      </x:c>
      <x:c r="O1311" s="274" t="str">
        <x:v>VIP BONUS - Deposit 700 Get 300 - 2x TO</x:v>
      </x:c>
      <x:c r="P1311" s="274" t="str">
        <x:v>DepositBonus</x:v>
      </x:c>
      <x:c r="Q1311" s="274" t="str">
        <x:v>Approved</x:v>
      </x:c>
      <x:c r="R1311" s="265" t="n">
        <x:v>300</x:v>
      </x:c>
      <x:c r="S1311" s="253" t="str">
        <x:v>Yes</x:v>
      </x:c>
      <x:c r="T1311" s="265" t="n">
        <x:v>6000</x:v>
      </x:c>
      <x:c r="U1311" s="253" t="str">
        <x:f>IF(AND(S1311="Yes",T1311=0),"Yes","No")</x:f>
        <x:v>No</x:v>
      </x:c>
      <x:c r="V1311" s="253" t="str">
        <x:v>Yes</x:v>
      </x:c>
      <x:c r="W1311" s="253" t="str">
        <x:v>No</x:v>
      </x:c>
      <x:c r="X1311" s="259" t="n">
        <x:v>46217.166666666664</x:v>
      </x:c>
      <x:c r="Y1311" s="265" t="n">
        <x:v>700</x:v>
      </x:c>
      <x:c r="Z1311" s="265" t="n">
        <x:v>700</x:v>
      </x:c>
      <x:c r="AA1311" s="253" t="str">
        <x:f>IF(V1311="No","Maturing",IF(AND(U1311="Yes",Y1311&gt;0),"Yes","No"))</x:f>
        <x:v>No</x:v>
      </x:c>
      <x:c r="AB1311" s="253" t="str">
        <x:f>IF(W1311="No","Maturing",IF(AND(U1311="Yes",Z1311&gt;0),"Yes","No"))</x:f>
        <x:v>Maturing</x:v>
      </x:c>
      <x:c r="AC1311" s="265" t="n">
        <x:v>-1303.1</x:v>
      </x:c>
      <x:c r="AD1311" s="265" t="n">
        <x:v>-1303.1</x:v>
      </x:c>
      <x:c r="AE1311" s="271" t="str"/>
      <x:c r="AF1311" s="274" t="str">
        <x:v>Not validated - no control/holdout</x:v>
      </x:c>
      <x:c r="AG1311" s="277" t="str">
        <x:v>Recovered execution only; assignment date and unclaimed-offer denominator unavailable</x:v>
      </x:c>
    </x:row>
    <x:row r="1312">
      <x:c r="A1312" s="252" t="str">
        <x:v>34947434</x:v>
      </x:c>
      <x:c r="B1312" s="253" t="str">
        <x:v>WS1</x:v>
      </x:c>
      <x:c r="C1312" s="253" t="str">
        <x:v>MB8</x:v>
      </x:c>
      <x:c r="D1312" s="262" t="n">
        <x:v>46217.33789351852</x:v>
      </x:c>
      <x:c r="E1312" s="259" t="n">
        <x:v>46217.166666666664</x:v>
      </x:c>
      <x:c r="F1312" s="253" t="str">
        <x:v>971383</x:v>
      </x:c>
      <x:c r="G1312" s="253" t="str">
        <x:v>Chan1985</x:v>
      </x:c>
      <x:c r="H1312" s="253" t="str">
        <x:v>Yes</x:v>
      </x:c>
      <x:c r="I1312" s="253" t="str"/>
      <x:c r="J1312" s="253" t="str"/>
      <x:c r="K1312" s="259"/>
      <x:c r="L1312" s="268" t="str">
        <x:f>IFERROR(VLOOKUP(I1312,'Handler-Team Map'!$A$7:$C$17,2,FALSE),"")</x:f>
      </x:c>
      <x:c r="M1312" s="268" t="str">
        <x:f>IFERROR(VLOOKUP(I1312,'Handler-Team Map'!$A$7:$C$17,3,FALSE),"")</x:f>
      </x:c>
      <x:c r="N1312" s="274" t="str">
        <x:v>FT_VM_DEP600_GET200_5X</x:v>
      </x:c>
      <x:c r="O1312" s="274" t="str">
        <x:v>VIP BONUS - Deposit 600 Get 200 - 5x TO</x:v>
      </x:c>
      <x:c r="P1312" s="274" t="str">
        <x:v>DepositBonus</x:v>
      </x:c>
      <x:c r="Q1312" s="274" t="str">
        <x:v>Approved</x:v>
      </x:c>
      <x:c r="R1312" s="265" t="n">
        <x:v>200</x:v>
      </x:c>
      <x:c r="S1312" s="253" t="str">
        <x:v>Yes</x:v>
      </x:c>
      <x:c r="T1312" s="265" t="n">
        <x:v>628</x:v>
      </x:c>
      <x:c r="U1312" s="253" t="str">
        <x:f>IF(AND(S1312="Yes",T1312=0),"Yes","No")</x:f>
        <x:v>No</x:v>
      </x:c>
      <x:c r="V1312" s="253" t="str">
        <x:v>Yes</x:v>
      </x:c>
      <x:c r="W1312" s="253" t="str">
        <x:v>No</x:v>
      </x:c>
      <x:c r="X1312" s="259" t="n">
        <x:v>46217.166666666664</x:v>
      </x:c>
      <x:c r="Y1312" s="265" t="n">
        <x:v>600</x:v>
      </x:c>
      <x:c r="Z1312" s="265" t="n">
        <x:v>600</x:v>
      </x:c>
      <x:c r="AA1312" s="253" t="str">
        <x:f>IF(V1312="No","Maturing",IF(AND(U1312="Yes",Y1312&gt;0),"Yes","No"))</x:f>
        <x:v>No</x:v>
      </x:c>
      <x:c r="AB1312" s="253" t="str">
        <x:f>IF(W1312="No","Maturing",IF(AND(U1312="Yes",Z1312&gt;0),"Yes","No"))</x:f>
        <x:v>Maturing</x:v>
      </x:c>
      <x:c r="AC1312" s="265" t="n">
        <x:v>600.46</x:v>
      </x:c>
      <x:c r="AD1312" s="265" t="n">
        <x:v>600.46</x:v>
      </x:c>
      <x:c r="AE1312" s="271" t="str"/>
      <x:c r="AF1312" s="274" t="str">
        <x:v>Not validated - no control/holdout</x:v>
      </x:c>
      <x:c r="AG1312" s="277" t="str">
        <x:v>Recovered execution only; assignment date and unclaimed-offer denominator unavailable</x:v>
      </x:c>
    </x:row>
    <x:row r="1313">
      <x:c r="A1313" s="252" t="str">
        <x:v>34947648</x:v>
      </x:c>
      <x:c r="B1313" s="253" t="str">
        <x:v>WS1</x:v>
      </x:c>
      <x:c r="C1313" s="253" t="str">
        <x:v>MB8</x:v>
      </x:c>
      <x:c r="D1313" s="262" t="n">
        <x:v>46217.371886574074</x:v>
      </x:c>
      <x:c r="E1313" s="259" t="n">
        <x:v>46217.166666666664</x:v>
      </x:c>
      <x:c r="F1313" s="253" t="str">
        <x:v>268246</x:v>
      </x:c>
      <x:c r="G1313" s="253" t="str">
        <x:v>Win124</x:v>
      </x:c>
      <x:c r="H1313" s="253" t="str">
        <x:v>Yes</x:v>
      </x:c>
      <x:c r="I1313" s="253" t="str">
        <x:v>Claire</x:v>
      </x:c>
      <x:c r="J1313" s="253" t="str">
        <x:v>Claire</x:v>
      </x:c>
      <x:c r="K1313" s="259" t="n">
        <x:v>45659.166666666664</x:v>
      </x:c>
      <x:c r="L1313" s="268" t="str">
        <x:f>IFERROR(VLOOKUP(I1313,'Handler-Team Map'!$A$7:$C$17,2,FALSE),"")</x:f>
      </x:c>
      <x:c r="M1313" s="268" t="str">
        <x:f>IFERROR(VLOOKUP(I1313,'Handler-Team Map'!$A$7:$C$17,3,FALSE),"")</x:f>
      </x:c>
      <x:c r="N1313" s="274" t="str">
        <x:v>FT_VM_DEP1000_GET1000_2X</x:v>
      </x:c>
      <x:c r="O1313" s="274" t="str">
        <x:v>VIP BONUS - Deposit 1000 Get 1000 - 2x TO</x:v>
      </x:c>
      <x:c r="P1313" s="274" t="str">
        <x:v>DepositBonus</x:v>
      </x:c>
      <x:c r="Q1313" s="274" t="str">
        <x:v>Approved</x:v>
      </x:c>
      <x:c r="R1313" s="265" t="n">
        <x:v>1000</x:v>
      </x:c>
      <x:c r="S1313" s="253" t="str">
        <x:v>Yes</x:v>
      </x:c>
      <x:c r="T1313" s="265" t="n">
        <x:v>1161400</x:v>
      </x:c>
      <x:c r="U1313" s="253" t="str">
        <x:f>IF(AND(S1313="Yes",T1313=0),"Yes","No")</x:f>
        <x:v>No</x:v>
      </x:c>
      <x:c r="V1313" s="253" t="str">
        <x:v>Yes</x:v>
      </x:c>
      <x:c r="W1313" s="253" t="str">
        <x:v>No</x:v>
      </x:c>
      <x:c r="X1313" s="259" t="n">
        <x:v>46217.166666666664</x:v>
      </x:c>
      <x:c r="Y1313" s="265" t="n">
        <x:v>120800</x:v>
      </x:c>
      <x:c r="Z1313" s="265" t="n">
        <x:v>270810</x:v>
      </x:c>
      <x:c r="AA1313" s="253" t="str">
        <x:f>IF(V1313="No","Maturing",IF(AND(U1313="Yes",Y1313&gt;0),"Yes","No"))</x:f>
        <x:v>No</x:v>
      </x:c>
      <x:c r="AB1313" s="253" t="str">
        <x:f>IF(W1313="No","Maturing",IF(AND(U1313="Yes",Z1313&gt;0),"Yes","No"))</x:f>
        <x:v>Maturing</x:v>
      </x:c>
      <x:c r="AC1313" s="265" t="n">
        <x:v>-36220.06</x:v>
      </x:c>
      <x:c r="AD1313" s="265" t="n">
        <x:v>45473.83</x:v>
      </x:c>
      <x:c r="AE1313" s="271" t="str"/>
      <x:c r="AF1313" s="274" t="str">
        <x:v>Not validated - no control/holdout</x:v>
      </x:c>
      <x:c r="AG1313" s="277" t="str">
        <x:v>Recovered execution only; assignment date and unclaimed-offer denominator unavailable</x:v>
      </x:c>
    </x:row>
    <x:row r="1314">
      <x:c r="A1314" s="252" t="str">
        <x:v>34949171</x:v>
      </x:c>
      <x:c r="B1314" s="253" t="str">
        <x:v>WS1</x:v>
      </x:c>
      <x:c r="C1314" s="253" t="str">
        <x:v>MB8</x:v>
      </x:c>
      <x:c r="D1314" s="262" t="n">
        <x:v>46217.559745370374</x:v>
      </x:c>
      <x:c r="E1314" s="259" t="n">
        <x:v>46217.166666666664</x:v>
      </x:c>
      <x:c r="F1314" s="253" t="str">
        <x:v>426904</x:v>
      </x:c>
      <x:c r="G1314" s="253" t="str">
        <x:v>Cutmango</x:v>
      </x:c>
      <x:c r="H1314" s="253" t="str">
        <x:v>Yes</x:v>
      </x:c>
      <x:c r="I1314" s="253" t="str">
        <x:v>Claire</x:v>
      </x:c>
      <x:c r="J1314" s="253" t="str">
        <x:v>Claire</x:v>
      </x:c>
      <x:c r="K1314" s="259" t="n">
        <x:v>46090.166666666664</x:v>
      </x:c>
      <x:c r="L1314" s="268" t="str">
        <x:f>IFERROR(VLOOKUP(I1314,'Handler-Team Map'!$A$7:$C$17,2,FALSE),"")</x:f>
      </x:c>
      <x:c r="M1314" s="268" t="str">
        <x:f>IFERROR(VLOOKUP(I1314,'Handler-Team Map'!$A$7:$C$17,3,FALSE),"")</x:f>
      </x:c>
      <x:c r="N1314" s="274" t="str">
        <x:v>FT_VM_REL100PCT_X1</x:v>
      </x:c>
      <x:c r="O1314" s="274" t="str">
        <x:v>100% Reload Bonus - VIP Offer</x:v>
      </x:c>
      <x:c r="P1314" s="274" t="str">
        <x:v>DepositBonus</x:v>
      </x:c>
      <x:c r="Q1314" s="274" t="str">
        <x:v>Approved</x:v>
      </x:c>
      <x:c r="R1314" s="265" t="n">
        <x:v>500</x:v>
      </x:c>
      <x:c r="S1314" s="253" t="str">
        <x:v>Yes</x:v>
      </x:c>
      <x:c r="T1314" s="265" t="n">
        <x:v>0</x:v>
      </x:c>
      <x:c r="U1314" s="253" t="str">
        <x:f>IF(AND(S1314="Yes",T1314=0),"Yes","No")</x:f>
        <x:v>Yes</x:v>
      </x:c>
      <x:c r="V1314" s="253" t="str">
        <x:v>Yes</x:v>
      </x:c>
      <x:c r="W1314" s="253" t="str">
        <x:v>No</x:v>
      </x:c>
      <x:c r="X1314" s="259" t="n">
        <x:v>46217.166666666664</x:v>
      </x:c>
      <x:c r="Y1314" s="265" t="n">
        <x:v>500</x:v>
      </x:c>
      <x:c r="Z1314" s="265" t="n">
        <x:v>500</x:v>
      </x:c>
      <x:c r="AA1314" s="253" t="str">
        <x:f>IF(V1314="No","Maturing",IF(AND(U1314="Yes",Y1314&gt;0),"Yes","No"))</x:f>
        <x:v>Yes</x:v>
      </x:c>
      <x:c r="AB1314" s="253" t="str">
        <x:f>IF(W1314="No","Maturing",IF(AND(U1314="Yes",Z1314&gt;0),"Yes","No"))</x:f>
        <x:v>Maturing</x:v>
      </x:c>
      <x:c r="AC1314" s="265" t="n">
        <x:v>500.03</x:v>
      </x:c>
      <x:c r="AD1314" s="265" t="n">
        <x:v>499.94</x:v>
      </x:c>
      <x:c r="AE1314" s="271" t="str"/>
      <x:c r="AF1314" s="274" t="str">
        <x:v>Not validated - no control/holdout</x:v>
      </x:c>
      <x:c r="AG1314" s="277" t="str">
        <x:v>Recovered execution only; assignment date and unclaimed-offer denominator unavailable</x:v>
      </x:c>
    </x:row>
    <x:row r="1315">
      <x:c r="A1315" s="252" t="str">
        <x:v>34949360</x:v>
      </x:c>
      <x:c r="B1315" s="253" t="str">
        <x:v>WS1</x:v>
      </x:c>
      <x:c r="C1315" s="253" t="str">
        <x:v>MB8</x:v>
      </x:c>
      <x:c r="D1315" s="262" t="n">
        <x:v>46217.57732638889</x:v>
      </x:c>
      <x:c r="E1315" s="259" t="n">
        <x:v>46217.166666666664</x:v>
      </x:c>
      <x:c r="F1315" s="253" t="str">
        <x:v>163316</x:v>
      </x:c>
      <x:c r="G1315" s="253" t="str">
        <x:v>huathuat</x:v>
      </x:c>
      <x:c r="H1315" s="253" t="str">
        <x:v>Yes</x:v>
      </x:c>
      <x:c r="I1315" s="253" t="str">
        <x:v>Elda</x:v>
      </x:c>
      <x:c r="J1315" s="253" t="str">
        <x:v>Elda</x:v>
      </x:c>
      <x:c r="K1315" s="259" t="n">
        <x:v>46090.166666666664</x:v>
      </x:c>
      <x:c r="L1315" s="268" t="str">
        <x:f>IFERROR(VLOOKUP(I1315,'Handler-Team Map'!$A$7:$C$17,2,FALSE),"")</x:f>
      </x:c>
      <x:c r="M1315" s="268" t="str">
        <x:f>IFERROR(VLOOKUP(I1315,'Handler-Team Map'!$A$7:$C$17,3,FALSE),"")</x:f>
      </x:c>
      <x:c r="N1315" s="274" t="str">
        <x:v>FT_VM_DEP700_GET300_2X</x:v>
      </x:c>
      <x:c r="O1315" s="274" t="str">
        <x:v>VIP BONUS - Deposit 700 Get 300 - 2x TO</x:v>
      </x:c>
      <x:c r="P1315" s="274" t="str">
        <x:v>DepositBonus</x:v>
      </x:c>
      <x:c r="Q1315" s="274" t="str">
        <x:v>Approved</x:v>
      </x:c>
      <x:c r="R1315" s="265" t="n">
        <x:v>300</x:v>
      </x:c>
      <x:c r="S1315" s="253" t="str">
        <x:v>Yes</x:v>
      </x:c>
      <x:c r="T1315" s="265" t="n">
        <x:v>9200</x:v>
      </x:c>
      <x:c r="U1315" s="253" t="str">
        <x:f>IF(AND(S1315="Yes",T1315=0),"Yes","No")</x:f>
        <x:v>No</x:v>
      </x:c>
      <x:c r="V1315" s="253" t="str">
        <x:v>Yes</x:v>
      </x:c>
      <x:c r="W1315" s="253" t="str">
        <x:v>No</x:v>
      </x:c>
      <x:c r="X1315" s="259" t="n">
        <x:v>46217.166666666664</x:v>
      </x:c>
      <x:c r="Y1315" s="265" t="n">
        <x:v>12700</x:v>
      </x:c>
      <x:c r="Z1315" s="265" t="n">
        <x:v>12700</x:v>
      </x:c>
      <x:c r="AA1315" s="253" t="str">
        <x:f>IF(V1315="No","Maturing",IF(AND(U1315="Yes",Y1315&gt;0),"Yes","No"))</x:f>
        <x:v>No</x:v>
      </x:c>
      <x:c r="AB1315" s="253" t="str">
        <x:f>IF(W1315="No","Maturing",IF(AND(U1315="Yes",Z1315&gt;0),"Yes","No"))</x:f>
        <x:v>Maturing</x:v>
      </x:c>
      <x:c r="AC1315" s="265" t="n">
        <x:v>-3517</x:v>
      </x:c>
      <x:c r="AD1315" s="265" t="n">
        <x:v>-9517</x:v>
      </x:c>
      <x:c r="AE1315" s="271" t="str"/>
      <x:c r="AF1315" s="274" t="str">
        <x:v>Not validated - no control/holdout</x:v>
      </x:c>
      <x:c r="AG1315" s="277" t="str">
        <x:v>Recovered execution only; assignment date and unclaimed-offer denominator unavailable</x:v>
      </x:c>
    </x:row>
    <x:row r="1316">
      <x:c r="A1316" s="252" t="str">
        <x:v>34950847</x:v>
      </x:c>
      <x:c r="B1316" s="253" t="str">
        <x:v>WS1</x:v>
      </x:c>
      <x:c r="C1316" s="253" t="str">
        <x:v>MB8</x:v>
      </x:c>
      <x:c r="D1316" s="262" t="n">
        <x:v>46217.704351851855</x:v>
      </x:c>
      <x:c r="E1316" s="259" t="n">
        <x:v>46217.166666666664</x:v>
      </x:c>
      <x:c r="F1316" s="253" t="str">
        <x:v>189694</x:v>
      </x:c>
      <x:c r="G1316" s="253" t="str">
        <x:v>wilson123</x:v>
      </x:c>
      <x:c r="H1316" s="253" t="str">
        <x:v>Yes</x:v>
      </x:c>
      <x:c r="I1316" s="253" t="str"/>
      <x:c r="J1316" s="253" t="str"/>
      <x:c r="K1316" s="259"/>
      <x:c r="L1316" s="268" t="str">
        <x:f>IFERROR(VLOOKUP(I1316,'Handler-Team Map'!$A$7:$C$17,2,FALSE),"")</x:f>
      </x:c>
      <x:c r="M1316" s="268" t="str">
        <x:f>IFERROR(VLOOKUP(I1316,'Handler-Team Map'!$A$7:$C$17,3,FALSE),"")</x:f>
      </x:c>
      <x:c r="N1316" s="274" t="str">
        <x:v>FT_VM_DEP800_GET400_2X</x:v>
      </x:c>
      <x:c r="O1316" s="274" t="str">
        <x:v>VIP BONUS - Deposit 800 Get 400 - 2x TO</x:v>
      </x:c>
      <x:c r="P1316" s="274" t="str">
        <x:v>DepositBonus</x:v>
      </x:c>
      <x:c r="Q1316" s="274" t="str">
        <x:v>Approved</x:v>
      </x:c>
      <x:c r="R1316" s="265" t="n">
        <x:v>400</x:v>
      </x:c>
      <x:c r="S1316" s="253" t="str">
        <x:v>Yes</x:v>
      </x:c>
      <x:c r="T1316" s="265" t="n">
        <x:v>0</x:v>
      </x:c>
      <x:c r="U1316" s="253" t="str">
        <x:f>IF(AND(S1316="Yes",T1316=0),"Yes","No")</x:f>
        <x:v>Yes</x:v>
      </x:c>
      <x:c r="V1316" s="253" t="str">
        <x:v>Yes</x:v>
      </x:c>
      <x:c r="W1316" s="253" t="str">
        <x:v>No</x:v>
      </x:c>
      <x:c r="X1316" s="259" t="n">
        <x:v>46217.166666666664</x:v>
      </x:c>
      <x:c r="Y1316" s="265" t="n">
        <x:v>3936.59</x:v>
      </x:c>
      <x:c r="Z1316" s="265" t="n">
        <x:v>3936.59</x:v>
      </x:c>
      <x:c r="AA1316" s="253" t="str">
        <x:f>IF(V1316="No","Maturing",IF(AND(U1316="Yes",Y1316&gt;0),"Yes","No"))</x:f>
        <x:v>Yes</x:v>
      </x:c>
      <x:c r="AB1316" s="253" t="str">
        <x:f>IF(W1316="No","Maturing",IF(AND(U1316="Yes",Z1316&gt;0),"Yes","No"))</x:f>
        <x:v>Maturing</x:v>
      </x:c>
      <x:c r="AC1316" s="265" t="n">
        <x:v>-27.13</x:v>
      </x:c>
      <x:c r="AD1316" s="265" t="n">
        <x:v>-28</x:v>
      </x:c>
      <x:c r="AE1316" s="271" t="str"/>
      <x:c r="AF1316" s="274" t="str">
        <x:v>Not validated - no control/holdout</x:v>
      </x:c>
      <x:c r="AG1316" s="277" t="str">
        <x:v>Recovered execution only; assignment date and unclaimed-offer denominator unavailable</x:v>
      </x:c>
    </x:row>
    <x:row r="1317">
      <x:c r="A1317" s="252" t="str">
        <x:v>34951806</x:v>
      </x:c>
      <x:c r="B1317" s="253" t="str">
        <x:v>WS1</x:v>
      </x:c>
      <x:c r="C1317" s="253" t="str">
        <x:v>MB8</x:v>
      </x:c>
      <x:c r="D1317" s="262" t="n">
        <x:v>46217.77853009259</x:v>
      </x:c>
      <x:c r="E1317" s="259" t="n">
        <x:v>46217.166666666664</x:v>
      </x:c>
      <x:c r="F1317" s="253" t="str">
        <x:v>434707</x:v>
      </x:c>
      <x:c r="G1317" s="253" t="str">
        <x:v>Bee8295</x:v>
      </x:c>
      <x:c r="H1317" s="253" t="str">
        <x:v>Yes</x:v>
      </x:c>
      <x:c r="I1317" s="253" t="str"/>
      <x:c r="J1317" s="253" t="str"/>
      <x:c r="K1317" s="259"/>
      <x:c r="L1317" s="268" t="str">
        <x:f>IFERROR(VLOOKUP(I1317,'Handler-Team Map'!$A$7:$C$17,2,FALSE),"")</x:f>
      </x:c>
      <x:c r="M1317" s="268" t="str">
        <x:f>IFERROR(VLOOKUP(I1317,'Handler-Team Map'!$A$7:$C$17,3,FALSE),"")</x:f>
      </x:c>
      <x:c r="N1317" s="274" t="str">
        <x:v>FT_VM_DEP1000_GET700_1X</x:v>
      </x:c>
      <x:c r="O1317" s="274" t="str">
        <x:v>VIP BONUS - Deposit 1000 Get 700 - 1x TO</x:v>
      </x:c>
      <x:c r="P1317" s="274" t="str">
        <x:v>DepositBonus</x:v>
      </x:c>
      <x:c r="Q1317" s="274" t="str">
        <x:v>Approved</x:v>
      </x:c>
      <x:c r="R1317" s="265" t="n">
        <x:v>700</x:v>
      </x:c>
      <x:c r="S1317" s="253" t="str">
        <x:v>Yes</x:v>
      </x:c>
      <x:c r="T1317" s="265" t="n">
        <x:v>2000</x:v>
      </x:c>
      <x:c r="U1317" s="253" t="str">
        <x:f>IF(AND(S1317="Yes",T1317=0),"Yes","No")</x:f>
        <x:v>No</x:v>
      </x:c>
      <x:c r="V1317" s="253" t="str">
        <x:v>Yes</x:v>
      </x:c>
      <x:c r="W1317" s="253" t="str">
        <x:v>No</x:v>
      </x:c>
      <x:c r="X1317" s="259" t="n">
        <x:v>46217.166666666664</x:v>
      </x:c>
      <x:c r="Y1317" s="265" t="n">
        <x:v>1000</x:v>
      </x:c>
      <x:c r="Z1317" s="265" t="n">
        <x:v>1000</x:v>
      </x:c>
      <x:c r="AA1317" s="253" t="str">
        <x:f>IF(V1317="No","Maturing",IF(AND(U1317="Yes",Y1317&gt;0),"Yes","No"))</x:f>
        <x:v>No</x:v>
      </x:c>
      <x:c r="AB1317" s="253" t="str">
        <x:f>IF(W1317="No","Maturing",IF(AND(U1317="Yes",Z1317&gt;0),"Yes","No"))</x:f>
        <x:v>Maturing</x:v>
      </x:c>
      <x:c r="AC1317" s="265" t="n">
        <x:v>-647.21</x:v>
      </x:c>
      <x:c r="AD1317" s="265" t="n">
        <x:v>-647.21</x:v>
      </x:c>
      <x:c r="AE1317" s="271" t="str"/>
      <x:c r="AF1317" s="274" t="str">
        <x:v>Not validated - no control/holdout</x:v>
      </x:c>
      <x:c r="AG1317" s="277" t="str">
        <x:v>Recovered execution only; assignment date and unclaimed-offer denominator unavailable</x:v>
      </x:c>
    </x:row>
    <x:row r="1318">
      <x:c r="A1318" s="252" t="str">
        <x:v>34952197</x:v>
      </x:c>
      <x:c r="B1318" s="253" t="str">
        <x:v>WS1</x:v>
      </x:c>
      <x:c r="C1318" s="253" t="str">
        <x:v>MB8</x:v>
      </x:c>
      <x:c r="D1318" s="262" t="n">
        <x:v>46217.805601851855</x:v>
      </x:c>
      <x:c r="E1318" s="259" t="n">
        <x:v>46217.166666666664</x:v>
      </x:c>
      <x:c r="F1318" s="253" t="str">
        <x:v>552656</x:v>
      </x:c>
      <x:c r="G1318" s="253" t="str">
        <x:v>Kfnissan</x:v>
      </x:c>
      <x:c r="H1318" s="253" t="str">
        <x:v>Yes</x:v>
      </x:c>
      <x:c r="I1318" s="253" t="str">
        <x:v>Mikki</x:v>
      </x:c>
      <x:c r="J1318" s="253" t="str">
        <x:v>Mikki</x:v>
      </x:c>
      <x:c r="K1318" s="259" t="n">
        <x:v>45993.166666666664</x:v>
      </x:c>
      <x:c r="L1318" s="268" t="str">
        <x:f>IFERROR(VLOOKUP(I1318,'Handler-Team Map'!$A$7:$C$17,2,FALSE),"")</x:f>
      </x:c>
      <x:c r="M1318" s="268" t="str">
        <x:f>IFERROR(VLOOKUP(I1318,'Handler-Team Map'!$A$7:$C$17,3,FALSE),"")</x:f>
      </x:c>
      <x:c r="N1318" s="274" t="str">
        <x:v>FT_VM_DEP1000_GET500_2X</x:v>
      </x:c>
      <x:c r="O1318" s="274" t="str">
        <x:v>VIP BONUS - Deposit 1000 Get 500 - 2x TO</x:v>
      </x:c>
      <x:c r="P1318" s="274" t="str">
        <x:v>DepositBonus</x:v>
      </x:c>
      <x:c r="Q1318" s="274" t="str">
        <x:v>Approved</x:v>
      </x:c>
      <x:c r="R1318" s="265" t="n">
        <x:v>500</x:v>
      </x:c>
      <x:c r="S1318" s="253" t="str">
        <x:v>Yes</x:v>
      </x:c>
      <x:c r="T1318" s="265" t="n">
        <x:v>3630</x:v>
      </x:c>
      <x:c r="U1318" s="253" t="str">
        <x:f>IF(AND(S1318="Yes",T1318=0),"Yes","No")</x:f>
        <x:v>No</x:v>
      </x:c>
      <x:c r="V1318" s="253" t="str">
        <x:v>Yes</x:v>
      </x:c>
      <x:c r="W1318" s="253" t="str">
        <x:v>No</x:v>
      </x:c>
      <x:c r="X1318" s="259" t="n">
        <x:v>46217.166666666664</x:v>
      </x:c>
      <x:c r="Y1318" s="265" t="n">
        <x:v>2840</x:v>
      </x:c>
      <x:c r="Z1318" s="265" t="n">
        <x:v>3840</x:v>
      </x:c>
      <x:c r="AA1318" s="253" t="str">
        <x:f>IF(V1318="No","Maturing",IF(AND(U1318="Yes",Y1318&gt;0),"Yes","No"))</x:f>
        <x:v>No</x:v>
      </x:c>
      <x:c r="AB1318" s="253" t="str">
        <x:f>IF(W1318="No","Maturing",IF(AND(U1318="Yes",Z1318&gt;0),"Yes","No"))</x:f>
        <x:v>Maturing</x:v>
      </x:c>
      <x:c r="AC1318" s="265" t="n">
        <x:v>-660.6</x:v>
      </x:c>
      <x:c r="AD1318" s="265" t="n">
        <x:v>321.4</x:v>
      </x:c>
      <x:c r="AE1318" s="271" t="str"/>
      <x:c r="AF1318" s="274" t="str">
        <x:v>Not validated - no control/holdout</x:v>
      </x:c>
      <x:c r="AG1318" s="277" t="str">
        <x:v>Recovered execution only; assignment date and unclaimed-offer denominator unavailable</x:v>
      </x:c>
    </x:row>
    <x:row r="1319">
      <x:c r="A1319" s="252" t="str">
        <x:v>34952319</x:v>
      </x:c>
      <x:c r="B1319" s="253" t="str">
        <x:v>WS1</x:v>
      </x:c>
      <x:c r="C1319" s="253" t="str">
        <x:v>MB8</x:v>
      </x:c>
      <x:c r="D1319" s="262" t="n">
        <x:v>46217.813784722224</x:v>
      </x:c>
      <x:c r="E1319" s="259" t="n">
        <x:v>46217.166666666664</x:v>
      </x:c>
      <x:c r="F1319" s="253" t="str">
        <x:v>1153667</x:v>
      </x:c>
      <x:c r="G1319" s="253" t="str">
        <x:v>fushigiguy</x:v>
      </x:c>
      <x:c r="H1319" s="253" t="str">
        <x:v>Yes</x:v>
      </x:c>
      <x:c r="I1319" s="253" t="str">
        <x:v>Elda</x:v>
      </x:c>
      <x:c r="J1319" s="253" t="str">
        <x:v>Elda</x:v>
      </x:c>
      <x:c r="K1319" s="259" t="n">
        <x:v>45659.166666666664</x:v>
      </x:c>
      <x:c r="L1319" s="268" t="str">
        <x:f>IFERROR(VLOOKUP(I1319,'Handler-Team Map'!$A$7:$C$17,2,FALSE),"")</x:f>
      </x:c>
      <x:c r="M1319" s="268" t="str">
        <x:f>IFERROR(VLOOKUP(I1319,'Handler-Team Map'!$A$7:$C$17,3,FALSE),"")</x:f>
      </x:c>
      <x:c r="N1319" s="274" t="str">
        <x:v>FT_VM_DEP1000_GET500_5X</x:v>
      </x:c>
      <x:c r="O1319" s="274" t="str">
        <x:v>VIP BONUS - Deposit 1000 Get 500 - 5x TO</x:v>
      </x:c>
      <x:c r="P1319" s="274" t="str">
        <x:v>DepositBonus</x:v>
      </x:c>
      <x:c r="Q1319" s="274" t="str">
        <x:v>Approved</x:v>
      </x:c>
      <x:c r="R1319" s="265" t="n">
        <x:v>500</x:v>
      </x:c>
      <x:c r="S1319" s="253" t="str">
        <x:v>Yes</x:v>
      </x:c>
      <x:c r="T1319" s="265" t="n">
        <x:v>9550</x:v>
      </x:c>
      <x:c r="U1319" s="253" t="str">
        <x:f>IF(AND(S1319="Yes",T1319=0),"Yes","No")</x:f>
        <x:v>No</x:v>
      </x:c>
      <x:c r="V1319" s="253" t="str">
        <x:v>Yes</x:v>
      </x:c>
      <x:c r="W1319" s="253" t="str">
        <x:v>No</x:v>
      </x:c>
      <x:c r="X1319" s="259" t="n">
        <x:v>46217.166666666664</x:v>
      </x:c>
      <x:c r="Y1319" s="265" t="n">
        <x:v>2850</x:v>
      </x:c>
      <x:c r="Z1319" s="265" t="n">
        <x:v>2850</x:v>
      </x:c>
      <x:c r="AA1319" s="253" t="str">
        <x:f>IF(V1319="No","Maturing",IF(AND(U1319="Yes",Y1319&gt;0),"Yes","No"))</x:f>
        <x:v>No</x:v>
      </x:c>
      <x:c r="AB1319" s="253" t="str">
        <x:f>IF(W1319="No","Maturing",IF(AND(U1319="Yes",Z1319&gt;0),"Yes","No"))</x:f>
        <x:v>Maturing</x:v>
      </x:c>
      <x:c r="AC1319" s="265" t="n">
        <x:v>2811.4</x:v>
      </x:c>
      <x:c r="AD1319" s="265" t="n">
        <x:v>2853.9</x:v>
      </x:c>
      <x:c r="AE1319" s="271" t="str"/>
      <x:c r="AF1319" s="274" t="str">
        <x:v>Not validated - no control/holdout</x:v>
      </x:c>
      <x:c r="AG1319" s="277" t="str">
        <x:v>Recovered execution only; assignment date and unclaimed-offer denominator unavailable</x:v>
      </x:c>
    </x:row>
    <x:row r="1320">
      <x:c r="A1320" s="252" t="str">
        <x:v>34952859</x:v>
      </x:c>
      <x:c r="B1320" s="253" t="str">
        <x:v>WS1</x:v>
      </x:c>
      <x:c r="C1320" s="253" t="str">
        <x:v>MB8</x:v>
      </x:c>
      <x:c r="D1320" s="262" t="n">
        <x:v>46217.850277777776</x:v>
      </x:c>
      <x:c r="E1320" s="259" t="n">
        <x:v>46217.166666666664</x:v>
      </x:c>
      <x:c r="F1320" s="253" t="str">
        <x:v>539</x:v>
      </x:c>
      <x:c r="G1320" s="253" t="str">
        <x:v>sslssl</x:v>
      </x:c>
      <x:c r="H1320" s="253" t="str">
        <x:v>Yes</x:v>
      </x:c>
      <x:c r="I1320" s="253" t="str">
        <x:v>Elda</x:v>
      </x:c>
      <x:c r="J1320" s="253" t="str">
        <x:v>Elda</x:v>
      </x:c>
      <x:c r="K1320" s="259" t="n">
        <x:v>45659.166666666664</x:v>
      </x:c>
      <x:c r="L1320" s="268" t="str">
        <x:f>IFERROR(VLOOKUP(I1320,'Handler-Team Map'!$A$7:$C$17,2,FALSE),"")</x:f>
      </x:c>
      <x:c r="M1320" s="268" t="str">
        <x:f>IFERROR(VLOOKUP(I1320,'Handler-Team Map'!$A$7:$C$17,3,FALSE),"")</x:f>
      </x:c>
      <x:c r="N1320" s="274" t="str">
        <x:v>FT_VM_DEP600_GET200_5X</x:v>
      </x:c>
      <x:c r="O1320" s="274" t="str">
        <x:v>VIP BONUS - Deposit 600 Get 200 - 5x TO</x:v>
      </x:c>
      <x:c r="P1320" s="274" t="str">
        <x:v>DepositBonus</x:v>
      </x:c>
      <x:c r="Q1320" s="274" t="str">
        <x:v>Approved</x:v>
      </x:c>
      <x:c r="R1320" s="265" t="n">
        <x:v>200</x:v>
      </x:c>
      <x:c r="S1320" s="253" t="str">
        <x:v>Yes</x:v>
      </x:c>
      <x:c r="T1320" s="265" t="n">
        <x:v>370523</x:v>
      </x:c>
      <x:c r="U1320" s="253" t="str">
        <x:f>IF(AND(S1320="Yes",T1320=0),"Yes","No")</x:f>
        <x:v>No</x:v>
      </x:c>
      <x:c r="V1320" s="253" t="str">
        <x:v>Yes</x:v>
      </x:c>
      <x:c r="W1320" s="253" t="str">
        <x:v>No</x:v>
      </x:c>
      <x:c r="X1320" s="259" t="n">
        <x:v>46217.166666666664</x:v>
      </x:c>
      <x:c r="Y1320" s="265" t="n">
        <x:v>12926</x:v>
      </x:c>
      <x:c r="Z1320" s="265" t="n">
        <x:v>13026</x:v>
      </x:c>
      <x:c r="AA1320" s="253" t="str">
        <x:f>IF(V1320="No","Maturing",IF(AND(U1320="Yes",Y1320&gt;0),"Yes","No"))</x:f>
        <x:v>No</x:v>
      </x:c>
      <x:c r="AB1320" s="253" t="str">
        <x:f>IF(W1320="No","Maturing",IF(AND(U1320="Yes",Z1320&gt;0),"Yes","No"))</x:f>
        <x:v>Maturing</x:v>
      </x:c>
      <x:c r="AC1320" s="265" t="n">
        <x:v>12925.45</x:v>
      </x:c>
      <x:c r="AD1320" s="265" t="n">
        <x:v>13024.22</x:v>
      </x:c>
      <x:c r="AE1320" s="271" t="str"/>
      <x:c r="AF1320" s="274" t="str">
        <x:v>Not validated - no control/holdout</x:v>
      </x:c>
      <x:c r="AG1320" s="277" t="str">
        <x:v>Recovered execution only; assignment date and unclaimed-offer denominator unavailable</x:v>
      </x:c>
    </x:row>
    <x:row r="1321">
      <x:c r="A1321" s="252" t="str">
        <x:v>34953096</x:v>
      </x:c>
      <x:c r="B1321" s="253" t="str">
        <x:v>WS1</x:v>
      </x:c>
      <x:c r="C1321" s="253" t="str">
        <x:v>MB8</x:v>
      </x:c>
      <x:c r="D1321" s="262" t="n">
        <x:v>46217.86659722222</x:v>
      </x:c>
      <x:c r="E1321" s="259" t="n">
        <x:v>46217.166666666664</x:v>
      </x:c>
      <x:c r="F1321" s="253" t="str">
        <x:v>111833</x:v>
      </x:c>
      <x:c r="G1321" s="253" t="str">
        <x:v>ESR1980</x:v>
      </x:c>
      <x:c r="H1321" s="253" t="str">
        <x:v>Yes</x:v>
      </x:c>
      <x:c r="I1321" s="253" t="str">
        <x:v>Sheena</x:v>
      </x:c>
      <x:c r="J1321" s="253" t="str">
        <x:v>Sheena</x:v>
      </x:c>
      <x:c r="K1321" s="259" t="n">
        <x:v>46090.166666666664</x:v>
      </x:c>
      <x:c r="L1321" s="268" t="str">
        <x:f>IFERROR(VLOOKUP(I1321,'Handler-Team Map'!$A$7:$C$17,2,FALSE),"")</x:f>
      </x:c>
      <x:c r="M1321" s="268" t="str">
        <x:f>IFERROR(VLOOKUP(I1321,'Handler-Team Map'!$A$7:$C$17,3,FALSE),"")</x:f>
      </x:c>
      <x:c r="N1321" s="274" t="str">
        <x:v>FT_VM_DEP1000_GET500_5X</x:v>
      </x:c>
      <x:c r="O1321" s="274" t="str">
        <x:v>VIP BONUS - Deposit 1000 Get 500 - 5x TO</x:v>
      </x:c>
      <x:c r="P1321" s="274" t="str">
        <x:v>DepositBonus</x:v>
      </x:c>
      <x:c r="Q1321" s="274" t="str">
        <x:v>Approved</x:v>
      </x:c>
      <x:c r="R1321" s="265" t="n">
        <x:v>500</x:v>
      </x:c>
      <x:c r="S1321" s="253" t="str">
        <x:v>Yes</x:v>
      </x:c>
      <x:c r="T1321" s="265" t="n">
        <x:v>35700</x:v>
      </x:c>
      <x:c r="U1321" s="253" t="str">
        <x:f>IF(AND(S1321="Yes",T1321=0),"Yes","No")</x:f>
        <x:v>No</x:v>
      </x:c>
      <x:c r="V1321" s="253" t="str">
        <x:v>Yes</x:v>
      </x:c>
      <x:c r="W1321" s="253" t="str">
        <x:v>No</x:v>
      </x:c>
      <x:c r="X1321" s="259" t="n">
        <x:v>46217.166666666664</x:v>
      </x:c>
      <x:c r="Y1321" s="265" t="n">
        <x:v>8500</x:v>
      </x:c>
      <x:c r="Z1321" s="265" t="n">
        <x:v>8500</x:v>
      </x:c>
      <x:c r="AA1321" s="253" t="str">
        <x:f>IF(V1321="No","Maturing",IF(AND(U1321="Yes",Y1321&gt;0),"Yes","No"))</x:f>
        <x:v>No</x:v>
      </x:c>
      <x:c r="AB1321" s="253" t="str">
        <x:f>IF(W1321="No","Maturing",IF(AND(U1321="Yes",Z1321&gt;0),"Yes","No"))</x:f>
        <x:v>Maturing</x:v>
      </x:c>
      <x:c r="AC1321" s="265" t="n">
        <x:v>2386.81</x:v>
      </x:c>
      <x:c r="AD1321" s="265" t="n">
        <x:v>2665.88</x:v>
      </x:c>
      <x:c r="AE1321" s="271" t="str"/>
      <x:c r="AF1321" s="274" t="str">
        <x:v>Not validated - no control/holdout</x:v>
      </x:c>
      <x:c r="AG1321" s="277" t="str">
        <x:v>Recovered execution only; assignment date and unclaimed-offer denominator unavailable</x:v>
      </x:c>
    </x:row>
    <x:row r="1322">
      <x:c r="A1322" s="252" t="str">
        <x:v>34953681</x:v>
      </x:c>
      <x:c r="B1322" s="253" t="str">
        <x:v>WS1</x:v>
      </x:c>
      <x:c r="C1322" s="253" t="str">
        <x:v>MB8</x:v>
      </x:c>
      <x:c r="D1322" s="262" t="n">
        <x:v>46217.901458333334</x:v>
      </x:c>
      <x:c r="E1322" s="259" t="n">
        <x:v>46217.166666666664</x:v>
      </x:c>
      <x:c r="F1322" s="253" t="str">
        <x:v>609181</x:v>
      </x:c>
      <x:c r="G1322" s="253" t="str">
        <x:v>Tamyusiong</x:v>
      </x:c>
      <x:c r="H1322" s="253" t="str">
        <x:v>Yes</x:v>
      </x:c>
      <x:c r="I1322" s="253" t="str">
        <x:v>Christy</x:v>
      </x:c>
      <x:c r="J1322" s="253" t="str">
        <x:v>Christy</x:v>
      </x:c>
      <x:c r="K1322" s="259" t="n">
        <x:v>45859.166666666664</x:v>
      </x:c>
      <x:c r="L1322" s="268" t="str">
        <x:f>IFERROR(VLOOKUP(I1322,'Handler-Team Map'!$A$7:$C$17,2,FALSE),"")</x:f>
      </x:c>
      <x:c r="M1322" s="268" t="str">
        <x:f>IFERROR(VLOOKUP(I1322,'Handler-Team Map'!$A$7:$C$17,3,FALSE),"")</x:f>
      </x:c>
      <x:c r="N1322" s="274" t="str">
        <x:v>FT_VM_DEP600_GET200_5X</x:v>
      </x:c>
      <x:c r="O1322" s="274" t="str">
        <x:v>VIP BONUS - Deposit 600 Get 200 - 5x TO</x:v>
      </x:c>
      <x:c r="P1322" s="274" t="str">
        <x:v>DepositBonus</x:v>
      </x:c>
      <x:c r="Q1322" s="274" t="str">
        <x:v>Approved</x:v>
      </x:c>
      <x:c r="R1322" s="265" t="n">
        <x:v>200</x:v>
      </x:c>
      <x:c r="S1322" s="253" t="str">
        <x:v>Yes</x:v>
      </x:c>
      <x:c r="T1322" s="265" t="n">
        <x:v>7100</x:v>
      </x:c>
      <x:c r="U1322" s="253" t="str">
        <x:f>IF(AND(S1322="Yes",T1322=0),"Yes","No")</x:f>
        <x:v>No</x:v>
      </x:c>
      <x:c r="V1322" s="253" t="str">
        <x:v>Yes</x:v>
      </x:c>
      <x:c r="W1322" s="253" t="str">
        <x:v>No</x:v>
      </x:c>
      <x:c r="X1322" s="259" t="n">
        <x:v>46217.166666666664</x:v>
      </x:c>
      <x:c r="Y1322" s="265" t="n">
        <x:v>2100</x:v>
      </x:c>
      <x:c r="Z1322" s="265" t="n">
        <x:v>2100</x:v>
      </x:c>
      <x:c r="AA1322" s="253" t="str">
        <x:f>IF(V1322="No","Maturing",IF(AND(U1322="Yes",Y1322&gt;0),"Yes","No"))</x:f>
        <x:v>No</x:v>
      </x:c>
      <x:c r="AB1322" s="253" t="str">
        <x:f>IF(W1322="No","Maturing",IF(AND(U1322="Yes",Z1322&gt;0),"Yes","No"))</x:f>
        <x:v>Maturing</x:v>
      </x:c>
      <x:c r="AC1322" s="265" t="n">
        <x:v>1299.79</x:v>
      </x:c>
      <x:c r="AD1322" s="265" t="n">
        <x:v>1299.79</x:v>
      </x:c>
      <x:c r="AE1322" s="271" t="str"/>
      <x:c r="AF1322" s="274" t="str">
        <x:v>Not validated - no control/holdout</x:v>
      </x:c>
      <x:c r="AG1322" s="277" t="str">
        <x:v>Recovered execution only; assignment date and unclaimed-offer denominator unavailable</x:v>
      </x:c>
    </x:row>
    <x:row r="1323">
      <x:c r="A1323" s="252" t="str">
        <x:v>34954444</x:v>
      </x:c>
      <x:c r="B1323" s="253" t="str">
        <x:v>WS1</x:v>
      </x:c>
      <x:c r="C1323" s="253" t="str">
        <x:v>MB8</x:v>
      </x:c>
      <x:c r="D1323" s="262" t="n">
        <x:v>46217.94615740741</x:v>
      </x:c>
      <x:c r="E1323" s="259" t="n">
        <x:v>46217.166666666664</x:v>
      </x:c>
      <x:c r="F1323" s="253" t="str">
        <x:v>773588</x:v>
      </x:c>
      <x:c r="G1323" s="253" t="str">
        <x:v>sengxinzhuang</x:v>
      </x:c>
      <x:c r="H1323" s="253" t="str">
        <x:v>Yes</x:v>
      </x:c>
      <x:c r="I1323" s="253" t="str">
        <x:v>zhen</x:v>
      </x:c>
      <x:c r="J1323" s="253" t="str">
        <x:v>zhen</x:v>
      </x:c>
      <x:c r="K1323" s="259" t="n">
        <x:v>45922.166666666664</x:v>
      </x:c>
      <x:c r="L1323" s="268" t="str">
        <x:f>IFERROR(VLOOKUP(I1323,'Handler-Team Map'!$A$7:$C$17,2,FALSE),"")</x:f>
      </x:c>
      <x:c r="M1323" s="268" t="str">
        <x:f>IFERROR(VLOOKUP(I1323,'Handler-Team Map'!$A$7:$C$17,3,FALSE),"")</x:f>
      </x:c>
      <x:c r="N1323" s="274" t="str">
        <x:v>FT_VM_REL100PCT_X1</x:v>
      </x:c>
      <x:c r="O1323" s="274" t="str">
        <x:v>100% Reload Bonus - VIP Offer</x:v>
      </x:c>
      <x:c r="P1323" s="274" t="str">
        <x:v>DepositBonus</x:v>
      </x:c>
      <x:c r="Q1323" s="274" t="str">
        <x:v>Approved</x:v>
      </x:c>
      <x:c r="R1323" s="265" t="n">
        <x:v>1000</x:v>
      </x:c>
      <x:c r="S1323" s="253" t="str">
        <x:v>Yes</x:v>
      </x:c>
      <x:c r="T1323" s="265" t="n">
        <x:v>0</x:v>
      </x:c>
      <x:c r="U1323" s="253" t="str">
        <x:f>IF(AND(S1323="Yes",T1323=0),"Yes","No")</x:f>
        <x:v>Yes</x:v>
      </x:c>
      <x:c r="V1323" s="253" t="str">
        <x:v>Yes</x:v>
      </x:c>
      <x:c r="W1323" s="253" t="str">
        <x:v>No</x:v>
      </x:c>
      <x:c r="X1323" s="259" t="n">
        <x:v>46217.166666666664</x:v>
      </x:c>
      <x:c r="Y1323" s="265" t="n">
        <x:v>5800</x:v>
      </x:c>
      <x:c r="Z1323" s="265" t="n">
        <x:v>7300</x:v>
      </x:c>
      <x:c r="AA1323" s="253" t="str">
        <x:f>IF(V1323="No","Maturing",IF(AND(U1323="Yes",Y1323&gt;0),"Yes","No"))</x:f>
        <x:v>Yes</x:v>
      </x:c>
      <x:c r="AB1323" s="253" t="str">
        <x:f>IF(W1323="No","Maturing",IF(AND(U1323="Yes",Z1323&gt;0),"Yes","No"))</x:f>
        <x:v>Maturing</x:v>
      </x:c>
      <x:c r="AC1323" s="265" t="n">
        <x:v>-4937.31</x:v>
      </x:c>
      <x:c r="AD1323" s="265" t="n">
        <x:v>-3444.64</x:v>
      </x:c>
      <x:c r="AE1323" s="271" t="str"/>
      <x:c r="AF1323" s="274" t="str">
        <x:v>Not validated - no control/holdout</x:v>
      </x:c>
      <x:c r="AG1323" s="277" t="str">
        <x:v>Recovered execution only; assignment date and unclaimed-offer denominator unavailable</x:v>
      </x:c>
    </x:row>
    <x:row r="1324">
      <x:c r="A1324" s="252" t="str">
        <x:v>34957539</x:v>
      </x:c>
      <x:c r="B1324" s="253" t="str">
        <x:v>WS1</x:v>
      </x:c>
      <x:c r="C1324" s="253" t="str">
        <x:v>MB8</x:v>
      </x:c>
      <x:c r="D1324" s="262" t="n">
        <x:v>46218.12762731482</x:v>
      </x:c>
      <x:c r="E1324" s="259" t="n">
        <x:v>46218.166666666664</x:v>
      </x:c>
      <x:c r="F1324" s="253" t="str">
        <x:v>564867</x:v>
      </x:c>
      <x:c r="G1324" s="253" t="str">
        <x:v>Nageen</x:v>
      </x:c>
      <x:c r="H1324" s="253" t="str">
        <x:v>Yes</x:v>
      </x:c>
      <x:c r="I1324" s="253" t="str">
        <x:v>Claire</x:v>
      </x:c>
      <x:c r="J1324" s="253" t="str">
        <x:v>Claire</x:v>
      </x:c>
      <x:c r="K1324" s="259" t="n">
        <x:v>45659.166666666664</x:v>
      </x:c>
      <x:c r="L1324" s="268" t="str">
        <x:f>IFERROR(VLOOKUP(I1324,'Handler-Team Map'!$A$7:$C$17,2,FALSE),"")</x:f>
      </x:c>
      <x:c r="M1324" s="268" t="str">
        <x:f>IFERROR(VLOOKUP(I1324,'Handler-Team Map'!$A$7:$C$17,3,FALSE),"")</x:f>
      </x:c>
      <x:c r="N1324" s="274" t="str">
        <x:v>FT_VM_DEP1000_GET500_5X</x:v>
      </x:c>
      <x:c r="O1324" s="274" t="str">
        <x:v>VIP BONUS - Deposit 1000 Get 500 - 5x TO</x:v>
      </x:c>
      <x:c r="P1324" s="274" t="str">
        <x:v>DepositBonus</x:v>
      </x:c>
      <x:c r="Q1324" s="274" t="str">
        <x:v>Approved</x:v>
      </x:c>
      <x:c r="R1324" s="265" t="n">
        <x:v>500</x:v>
      </x:c>
      <x:c r="S1324" s="253" t="str">
        <x:v>Yes</x:v>
      </x:c>
      <x:c r="T1324" s="265" t="n">
        <x:v>95396.35</x:v>
      </x:c>
      <x:c r="U1324" s="253" t="str">
        <x:f>IF(AND(S1324="Yes",T1324=0),"Yes","No")</x:f>
        <x:v>No</x:v>
      </x:c>
      <x:c r="V1324" s="253" t="str">
        <x:v>Yes</x:v>
      </x:c>
      <x:c r="W1324" s="253" t="str">
        <x:v>No</x:v>
      </x:c>
      <x:c r="X1324" s="259" t="n">
        <x:v>46218.166666666664</x:v>
      </x:c>
      <x:c r="Y1324" s="265" t="n">
        <x:v>10180</x:v>
      </x:c>
      <x:c r="Z1324" s="265" t="n">
        <x:v>10180</x:v>
      </x:c>
      <x:c r="AA1324" s="253" t="str">
        <x:f>IF(V1324="No","Maturing",IF(AND(U1324="Yes",Y1324&gt;0),"Yes","No"))</x:f>
        <x:v>No</x:v>
      </x:c>
      <x:c r="AB1324" s="253" t="str">
        <x:f>IF(W1324="No","Maturing",IF(AND(U1324="Yes",Z1324&gt;0),"Yes","No"))</x:f>
        <x:v>Maturing</x:v>
      </x:c>
      <x:c r="AC1324" s="265" t="n">
        <x:v>-27802.9</x:v>
      </x:c>
      <x:c r="AD1324" s="265" t="n">
        <x:v>-27802.92</x:v>
      </x:c>
      <x:c r="AE1324" s="271" t="str"/>
      <x:c r="AF1324" s="274" t="str">
        <x:v>Not validated - no control/holdout</x:v>
      </x:c>
      <x:c r="AG1324" s="277" t="str">
        <x:v>Recovered execution only; assignment date and unclaimed-offer denominator unavailable</x:v>
      </x:c>
    </x:row>
    <x:row r="1325">
      <x:c r="A1325" s="252" t="str">
        <x:v>34959116</x:v>
      </x:c>
      <x:c r="B1325" s="253" t="str">
        <x:v>WS1</x:v>
      </x:c>
      <x:c r="C1325" s="253" t="str">
        <x:v>MB8</x:v>
      </x:c>
      <x:c r="D1325" s="262" t="n">
        <x:v>46218.37153935185</x:v>
      </x:c>
      <x:c r="E1325" s="259" t="n">
        <x:v>46218.166666666664</x:v>
      </x:c>
      <x:c r="F1325" s="253" t="str">
        <x:v>189694</x:v>
      </x:c>
      <x:c r="G1325" s="253" t="str">
        <x:v>wilson123</x:v>
      </x:c>
      <x:c r="H1325" s="253" t="str">
        <x:v>Yes</x:v>
      </x:c>
      <x:c r="I1325" s="253" t="str"/>
      <x:c r="J1325" s="253" t="str"/>
      <x:c r="K1325" s="259"/>
      <x:c r="L1325" s="268" t="str">
        <x:f>IFERROR(VLOOKUP(I1325,'Handler-Team Map'!$A$7:$C$17,2,FALSE),"")</x:f>
      </x:c>
      <x:c r="M1325" s="268" t="str">
        <x:f>IFERROR(VLOOKUP(I1325,'Handler-Team Map'!$A$7:$C$17,3,FALSE),"")</x:f>
      </x:c>
      <x:c r="N1325" s="274" t="str">
        <x:v>FT_VM_DEP1000_GET500_1X</x:v>
      </x:c>
      <x:c r="O1325" s="274" t="str">
        <x:v>VIP BONUS - Deposit 1000 Get 500 - 1x TO</x:v>
      </x:c>
      <x:c r="P1325" s="274" t="str">
        <x:v>DepositBonus</x:v>
      </x:c>
      <x:c r="Q1325" s="274" t="str">
        <x:v>Approved</x:v>
      </x:c>
      <x:c r="R1325" s="265" t="n">
        <x:v>500</x:v>
      </x:c>
      <x:c r="S1325" s="253" t="str">
        <x:v>Yes</x:v>
      </x:c>
      <x:c r="T1325" s="265" t="n">
        <x:v>800</x:v>
      </x:c>
      <x:c r="U1325" s="253" t="str">
        <x:f>IF(AND(S1325="Yes",T1325=0),"Yes","No")</x:f>
        <x:v>No</x:v>
      </x:c>
      <x:c r="V1325" s="253" t="str">
        <x:v>Yes</x:v>
      </x:c>
      <x:c r="W1325" s="253" t="str">
        <x:v>No</x:v>
      </x:c>
      <x:c r="X1325" s="259" t="n">
        <x:v>46218.166666666664</x:v>
      </x:c>
      <x:c r="Y1325" s="265" t="n">
        <x:v>3136.59</x:v>
      </x:c>
      <x:c r="Z1325" s="265" t="n">
        <x:v>3136.59</x:v>
      </x:c>
      <x:c r="AA1325" s="253" t="str">
        <x:f>IF(V1325="No","Maturing",IF(AND(U1325="Yes",Y1325&gt;0),"Yes","No"))</x:f>
        <x:v>No</x:v>
      </x:c>
      <x:c r="AB1325" s="253" t="str">
        <x:f>IF(W1325="No","Maturing",IF(AND(U1325="Yes",Z1325&gt;0),"Yes","No"))</x:f>
        <x:v>Maturing</x:v>
      </x:c>
      <x:c r="AC1325" s="265" t="n">
        <x:v>1504.14</x:v>
      </x:c>
      <x:c r="AD1325" s="265" t="n">
        <x:v>1504.14</x:v>
      </x:c>
      <x:c r="AE1325" s="271" t="str"/>
      <x:c r="AF1325" s="274" t="str">
        <x:v>Not validated - no control/holdout</x:v>
      </x:c>
      <x:c r="AG1325" s="277" t="str">
        <x:v>Recovered execution only; assignment date and unclaimed-offer denominator unavailable</x:v>
      </x:c>
    </x:row>
    <x:row r="1326">
      <x:c r="A1326" s="252" t="str">
        <x:v>34960854</x:v>
      </x:c>
      <x:c r="B1326" s="253" t="str">
        <x:v>WS1</x:v>
      </x:c>
      <x:c r="C1326" s="253" t="str">
        <x:v>MB8</x:v>
      </x:c>
      <x:c r="D1326" s="262" t="n">
        <x:v>46218.568703703706</x:v>
      </x:c>
      <x:c r="E1326" s="259" t="n">
        <x:v>46218.166666666664</x:v>
      </x:c>
      <x:c r="F1326" s="253" t="str">
        <x:v>937936</x:v>
      </x:c>
      <x:c r="G1326" s="253" t="str">
        <x:v>Aliceyap</x:v>
      </x:c>
      <x:c r="H1326" s="253" t="str">
        <x:v>Yes</x:v>
      </x:c>
      <x:c r="I1326" s="253" t="str">
        <x:v>Serene</x:v>
      </x:c>
      <x:c r="J1326" s="253" t="str">
        <x:v>Serene</x:v>
      </x:c>
      <x:c r="K1326" s="259" t="n">
        <x:v>46077.166666666664</x:v>
      </x:c>
      <x:c r="L1326" s="268" t="str">
        <x:f>IFERROR(VLOOKUP(I1326,'Handler-Team Map'!$A$7:$C$17,2,FALSE),"")</x:f>
      </x:c>
      <x:c r="M1326" s="268" t="str">
        <x:f>IFERROR(VLOOKUP(I1326,'Handler-Team Map'!$A$7:$C$17,3,FALSE),"")</x:f>
      </x:c>
      <x:c r="N1326" s="274" t="str">
        <x:v>FT_VM_DEP800_GET400_2X</x:v>
      </x:c>
      <x:c r="O1326" s="274" t="str">
        <x:v>VIP BONUS - Deposit 800 Get 400 - 2x TO</x:v>
      </x:c>
      <x:c r="P1326" s="274" t="str">
        <x:v>DepositBonus</x:v>
      </x:c>
      <x:c r="Q1326" s="274" t="str">
        <x:v>Approved</x:v>
      </x:c>
      <x:c r="R1326" s="265" t="n">
        <x:v>400</x:v>
      </x:c>
      <x:c r="S1326" s="253" t="str">
        <x:v>Yes</x:v>
      </x:c>
      <x:c r="T1326" s="265" t="n">
        <x:v>1000</x:v>
      </x:c>
      <x:c r="U1326" s="253" t="str">
        <x:f>IF(AND(S1326="Yes",T1326=0),"Yes","No")</x:f>
        <x:v>No</x:v>
      </x:c>
      <x:c r="V1326" s="253" t="str">
        <x:v>Yes</x:v>
      </x:c>
      <x:c r="W1326" s="253" t="str">
        <x:v>No</x:v>
      </x:c>
      <x:c r="X1326" s="259" t="n">
        <x:v>46218.166666666664</x:v>
      </x:c>
      <x:c r="Y1326" s="265" t="n">
        <x:v>800</x:v>
      </x:c>
      <x:c r="Z1326" s="265" t="n">
        <x:v>800</x:v>
      </x:c>
      <x:c r="AA1326" s="253" t="str">
        <x:f>IF(V1326="No","Maturing",IF(AND(U1326="Yes",Y1326&gt;0),"Yes","No"))</x:f>
        <x:v>No</x:v>
      </x:c>
      <x:c r="AB1326" s="253" t="str">
        <x:f>IF(W1326="No","Maturing",IF(AND(U1326="Yes",Z1326&gt;0),"Yes","No"))</x:f>
        <x:v>Maturing</x:v>
      </x:c>
      <x:c r="AC1326" s="265" t="n">
        <x:v>192.64</x:v>
      </x:c>
      <x:c r="AD1326" s="265" t="n">
        <x:v>192.64</x:v>
      </x:c>
      <x:c r="AE1326" s="271" t="str"/>
      <x:c r="AF1326" s="274" t="str">
        <x:v>Not validated - no control/holdout</x:v>
      </x:c>
      <x:c r="AG1326" s="277" t="str">
        <x:v>Recovered execution only; assignment date and unclaimed-offer denominator unavailable</x:v>
      </x:c>
    </x:row>
    <x:row r="1327">
      <x:c r="A1327" s="252" t="str">
        <x:v>34960962</x:v>
      </x:c>
      <x:c r="B1327" s="253" t="str">
        <x:v>WS1</x:v>
      </x:c>
      <x:c r="C1327" s="253" t="str">
        <x:v>MB8</x:v>
      </x:c>
      <x:c r="D1327" s="262" t="n">
        <x:v>46218.572650462964</x:v>
      </x:c>
      <x:c r="E1327" s="259" t="n">
        <x:v>46218.166666666664</x:v>
      </x:c>
      <x:c r="F1327" s="253" t="str">
        <x:v>834759</x:v>
      </x:c>
      <x:c r="G1327" s="253" t="str">
        <x:v>chenyeow</x:v>
      </x:c>
      <x:c r="H1327" s="253" t="str">
        <x:v>Yes</x:v>
      </x:c>
      <x:c r="I1327" s="253" t="str">
        <x:v>zhen</x:v>
      </x:c>
      <x:c r="J1327" s="253" t="str">
        <x:v>zhen</x:v>
      </x:c>
      <x:c r="K1327" s="259" t="n">
        <x:v>45922.166666666664</x:v>
      </x:c>
      <x:c r="L1327" s="268" t="str">
        <x:f>IFERROR(VLOOKUP(I1327,'Handler-Team Map'!$A$7:$C$17,2,FALSE),"")</x:f>
      </x:c>
      <x:c r="M1327" s="268" t="str">
        <x:f>IFERROR(VLOOKUP(I1327,'Handler-Team Map'!$A$7:$C$17,3,FALSE),"")</x:f>
      </x:c>
      <x:c r="N1327" s="274" t="str">
        <x:v>FT_VM_DEP1000_GET500_5X</x:v>
      </x:c>
      <x:c r="O1327" s="274" t="str">
        <x:v>VIP BONUS - Deposit 1000 Get 500 - 5x TO</x:v>
      </x:c>
      <x:c r="P1327" s="274" t="str">
        <x:v>DepositBonus</x:v>
      </x:c>
      <x:c r="Q1327" s="274" t="str">
        <x:v>Approved</x:v>
      </x:c>
      <x:c r="R1327" s="265" t="n">
        <x:v>500</x:v>
      </x:c>
      <x:c r="S1327" s="253" t="str">
        <x:v>Yes</x:v>
      </x:c>
      <x:c r="T1327" s="265" t="n">
        <x:v>33200</x:v>
      </x:c>
      <x:c r="U1327" s="253" t="str">
        <x:f>IF(AND(S1327="Yes",T1327=0),"Yes","No")</x:f>
        <x:v>No</x:v>
      </x:c>
      <x:c r="V1327" s="253" t="str">
        <x:v>Yes</x:v>
      </x:c>
      <x:c r="W1327" s="253" t="str">
        <x:v>No</x:v>
      </x:c>
      <x:c r="X1327" s="259" t="n">
        <x:v>46218.166666666664</x:v>
      </x:c>
      <x:c r="Y1327" s="265" t="n">
        <x:v>3650</x:v>
      </x:c>
      <x:c r="Z1327" s="265" t="n">
        <x:v>3650</x:v>
      </x:c>
      <x:c r="AA1327" s="253" t="str">
        <x:f>IF(V1327="No","Maturing",IF(AND(U1327="Yes",Y1327&gt;0),"Yes","No"))</x:f>
        <x:v>No</x:v>
      </x:c>
      <x:c r="AB1327" s="253" t="str">
        <x:f>IF(W1327="No","Maturing",IF(AND(U1327="Yes",Z1327&gt;0),"Yes","No"))</x:f>
        <x:v>Maturing</x:v>
      </x:c>
      <x:c r="AC1327" s="265" t="n">
        <x:v>3249.05</x:v>
      </x:c>
      <x:c r="AD1327" s="265" t="n">
        <x:v>3250.55</x:v>
      </x:c>
      <x:c r="AE1327" s="271" t="str"/>
      <x:c r="AF1327" s="274" t="str">
        <x:v>Not validated - no control/holdout</x:v>
      </x:c>
      <x:c r="AG1327" s="277" t="str">
        <x:v>Recovered execution only; assignment date and unclaimed-offer denominator unavailable</x:v>
      </x:c>
    </x:row>
    <x:row r="1328">
      <x:c r="A1328" s="252" t="str">
        <x:v>34961063</x:v>
      </x:c>
      <x:c r="B1328" s="253" t="str">
        <x:v>WS1</x:v>
      </x:c>
      <x:c r="C1328" s="253" t="str">
        <x:v>MB8</x:v>
      </x:c>
      <x:c r="D1328" s="262" t="n">
        <x:v>46218.58118055556</x:v>
      </x:c>
      <x:c r="E1328" s="259" t="n">
        <x:v>46218.166666666664</x:v>
      </x:c>
      <x:c r="F1328" s="253" t="str">
        <x:v>303206</x:v>
      </x:c>
      <x:c r="G1328" s="253" t="str">
        <x:v>SEKIRO021</x:v>
      </x:c>
      <x:c r="H1328" s="253" t="str">
        <x:v>Yes</x:v>
      </x:c>
      <x:c r="I1328" s="253" t="str">
        <x:v>zhen</x:v>
      </x:c>
      <x:c r="J1328" s="253" t="str">
        <x:v>zhen</x:v>
      </x:c>
      <x:c r="K1328" s="259" t="n">
        <x:v>45831.166666666664</x:v>
      </x:c>
      <x:c r="L1328" s="268" t="str">
        <x:f>IFERROR(VLOOKUP(I1328,'Handler-Team Map'!$A$7:$C$17,2,FALSE),"")</x:f>
      </x:c>
      <x:c r="M1328" s="268" t="str">
        <x:f>IFERROR(VLOOKUP(I1328,'Handler-Team Map'!$A$7:$C$17,3,FALSE),"")</x:f>
      </x:c>
      <x:c r="N1328" s="274" t="str">
        <x:v>FT_VM_DEP1000_GET500_5X</x:v>
      </x:c>
      <x:c r="O1328" s="274" t="str">
        <x:v>VIP BONUS - Deposit 1000 Get 500 - 5x TO</x:v>
      </x:c>
      <x:c r="P1328" s="274" t="str">
        <x:v>DepositBonus</x:v>
      </x:c>
      <x:c r="Q1328" s="274" t="str">
        <x:v>Approved</x:v>
      </x:c>
      <x:c r="R1328" s="265" t="n">
        <x:v>500</x:v>
      </x:c>
      <x:c r="S1328" s="253" t="str">
        <x:v>Yes</x:v>
      </x:c>
      <x:c r="T1328" s="265" t="n">
        <x:v>1000</x:v>
      </x:c>
      <x:c r="U1328" s="253" t="str">
        <x:f>IF(AND(S1328="Yes",T1328=0),"Yes","No")</x:f>
        <x:v>No</x:v>
      </x:c>
      <x:c r="V1328" s="253" t="str">
        <x:v>Yes</x:v>
      </x:c>
      <x:c r="W1328" s="253" t="str">
        <x:v>No</x:v>
      </x:c>
      <x:c r="X1328" s="259" t="n">
        <x:v>46218.166666666664</x:v>
      </x:c>
      <x:c r="Y1328" s="265" t="n">
        <x:v>1000</x:v>
      </x:c>
      <x:c r="Z1328" s="265" t="n">
        <x:v>1000</x:v>
      </x:c>
      <x:c r="AA1328" s="253" t="str">
        <x:f>IF(V1328="No","Maturing",IF(AND(U1328="Yes",Y1328&gt;0),"Yes","No"))</x:f>
        <x:v>No</x:v>
      </x:c>
      <x:c r="AB1328" s="253" t="str">
        <x:f>IF(W1328="No","Maturing",IF(AND(U1328="Yes",Z1328&gt;0),"Yes","No"))</x:f>
        <x:v>Maturing</x:v>
      </x:c>
      <x:c r="AC1328" s="265" t="n">
        <x:v>1000</x:v>
      </x:c>
      <x:c r="AD1328" s="265" t="n">
        <x:v>1000</x:v>
      </x:c>
      <x:c r="AE1328" s="271" t="str"/>
      <x:c r="AF1328" s="274" t="str">
        <x:v>Not validated - no control/holdout</x:v>
      </x:c>
      <x:c r="AG1328" s="277" t="str">
        <x:v>Recovered execution only; assignment date and unclaimed-offer denominator unavailable</x:v>
      </x:c>
    </x:row>
    <x:row r="1329">
      <x:c r="A1329" s="252" t="str">
        <x:v>5982480</x:v>
      </x:c>
      <x:c r="B1329" s="253" t="str">
        <x:v>WS1</x:v>
      </x:c>
      <x:c r="C1329" s="253" t="str">
        <x:v>MB8</x:v>
      </x:c>
      <x:c r="D1329" s="262" t="n">
        <x:v>46218.623125</x:v>
      </x:c>
      <x:c r="E1329" s="259" t="n">
        <x:v>46218.166666666664</x:v>
      </x:c>
      <x:c r="F1329" s="253" t="str">
        <x:v>484687</x:v>
      </x:c>
      <x:c r="G1329" s="253" t="str">
        <x:v>Misai0193763737</x:v>
      </x:c>
      <x:c r="H1329" s="253" t="str">
        <x:v>Yes</x:v>
      </x:c>
      <x:c r="I1329" s="253" t="str">
        <x:v>Claire</x:v>
      </x:c>
      <x:c r="J1329" s="253" t="str">
        <x:v>Claire</x:v>
      </x:c>
      <x:c r="K1329" s="259" t="n">
        <x:v>45659.166666666664</x:v>
      </x:c>
      <x:c r="L1329" s="268" t="str">
        <x:f>IFERROR(VLOOKUP(I1329,'Handler-Team Map'!$A$7:$C$17,2,FALSE),"")</x:f>
      </x:c>
      <x:c r="M1329" s="268" t="str">
        <x:f>IFERROR(VLOOKUP(I1329,'Handler-Team Map'!$A$7:$C$17,3,FALSE),"")</x:f>
      </x:c>
      <x:c r="N1329" s="274" t="str">
        <x:v>FT_VMFC_VARIABLE_3X</x:v>
      </x:c>
      <x:c r="O1329" s="274" t="str">
        <x:v>VIP SPECIAL FREE CREDIT - 3x TO</x:v>
      </x:c>
      <x:c r="P1329" s="274" t="str">
        <x:v>FreeCredit</x:v>
      </x:c>
      <x:c r="Q1329" s="274" t="str">
        <x:v>Redeemed</x:v>
      </x:c>
      <x:c r="R1329" s="265" t="n">
        <x:v>2588</x:v>
      </x:c>
      <x:c r="S1329" s="253" t="str">
        <x:v>Yes</x:v>
      </x:c>
      <x:c r="T1329" s="265" t="n">
        <x:v>0</x:v>
      </x:c>
      <x:c r="U1329" s="253" t="str">
        <x:f>IF(AND(S1329="Yes",T1329=0),"Yes","No")</x:f>
        <x:v>Yes</x:v>
      </x:c>
      <x:c r="V1329" s="253" t="str">
        <x:v>Yes</x:v>
      </x:c>
      <x:c r="W1329" s="253" t="str">
        <x:v>No</x:v>
      </x:c>
      <x:c r="X1329" s="259"/>
      <x:c r="Y1329" s="265" t="n">
        <x:v>0</x:v>
      </x:c>
      <x:c r="Z1329" s="265" t="n">
        <x:v>0</x:v>
      </x:c>
      <x:c r="AA1329" s="253" t="str">
        <x:f>IF(V1329="No","Maturing",IF(AND(U1329="Yes",Y1329&gt;0),"Yes","No"))</x:f>
        <x:v>No</x:v>
      </x:c>
      <x:c r="AB1329" s="253" t="str">
        <x:f>IF(W1329="No","Maturing",IF(AND(U1329="Yes",Z1329&gt;0),"Yes","No"))</x:f>
        <x:v>Maturing</x:v>
      </x:c>
      <x:c r="AC1329" s="265" t="n">
        <x:v>0.02</x:v>
      </x:c>
      <x:c r="AD1329" s="265" t="n">
        <x:v>0.02</x:v>
      </x:c>
      <x:c r="AE1329" s="271" t="str"/>
      <x:c r="AF1329" s="274" t="str">
        <x:v>Not validated - no control/holdout</x:v>
      </x:c>
      <x:c r="AG1329" s="277" t="str">
        <x:v>Recovered execution only; assignment date and unclaimed-offer denominator unavailable</x:v>
      </x:c>
    </x:row>
    <x:row r="1330">
      <x:c r="A1330" s="252" t="str">
        <x:v>5982482</x:v>
      </x:c>
      <x:c r="B1330" s="253" t="str">
        <x:v>WS1</x:v>
      </x:c>
      <x:c r="C1330" s="253" t="str">
        <x:v>MB8</x:v>
      </x:c>
      <x:c r="D1330" s="262" t="n">
        <x:v>46218.62582175926</x:v>
      </x:c>
      <x:c r="E1330" s="259" t="n">
        <x:v>46218.166666666664</x:v>
      </x:c>
      <x:c r="F1330" s="253" t="str">
        <x:v>648954</x:v>
      </x:c>
      <x:c r="G1330" s="253" t="str">
        <x:v>Jesh16</x:v>
      </x:c>
      <x:c r="H1330" s="253" t="str">
        <x:v>Yes</x:v>
      </x:c>
      <x:c r="I1330" s="253" t="str">
        <x:v>Claire</x:v>
      </x:c>
      <x:c r="J1330" s="253" t="str">
        <x:v>Claire</x:v>
      </x:c>
      <x:c r="K1330" s="259" t="n">
        <x:v>45659.166666666664</x:v>
      </x:c>
      <x:c r="L1330" s="268" t="str">
        <x:f>IFERROR(VLOOKUP(I1330,'Handler-Team Map'!$A$7:$C$17,2,FALSE),"")</x:f>
      </x:c>
      <x:c r="M1330" s="268" t="str">
        <x:f>IFERROR(VLOOKUP(I1330,'Handler-Team Map'!$A$7:$C$17,3,FALSE),"")</x:f>
      </x:c>
      <x:c r="N1330" s="274" t="str">
        <x:v>FT_VMFC_VARIABLE_3X</x:v>
      </x:c>
      <x:c r="O1330" s="274" t="str">
        <x:v>VIP SPECIAL FREE CREDIT - 3x TO</x:v>
      </x:c>
      <x:c r="P1330" s="274" t="str">
        <x:v>FreeCredit</x:v>
      </x:c>
      <x:c r="Q1330" s="274" t="str">
        <x:v>Redeemed</x:v>
      </x:c>
      <x:c r="R1330" s="265" t="n">
        <x:v>2588</x:v>
      </x:c>
      <x:c r="S1330" s="253" t="str">
        <x:v>Yes</x:v>
      </x:c>
      <x:c r="T1330" s="265" t="n">
        <x:v>0</x:v>
      </x:c>
      <x:c r="U1330" s="253" t="str">
        <x:f>IF(AND(S1330="Yes",T1330=0),"Yes","No")</x:f>
        <x:v>Yes</x:v>
      </x:c>
      <x:c r="V1330" s="253" t="str">
        <x:v>Yes</x:v>
      </x:c>
      <x:c r="W1330" s="253" t="str">
        <x:v>No</x:v>
      </x:c>
      <x:c r="X1330" s="259"/>
      <x:c r="Y1330" s="265" t="n">
        <x:v>0</x:v>
      </x:c>
      <x:c r="Z1330" s="265" t="n">
        <x:v>0</x:v>
      </x:c>
      <x:c r="AA1330" s="253" t="str">
        <x:f>IF(V1330="No","Maturing",IF(AND(U1330="Yes",Y1330&gt;0),"Yes","No"))</x:f>
        <x:v>No</x:v>
      </x:c>
      <x:c r="AB1330" s="253" t="str">
        <x:f>IF(W1330="No","Maturing",IF(AND(U1330="Yes",Z1330&gt;0),"Yes","No"))</x:f>
        <x:v>Maturing</x:v>
      </x:c>
      <x:c r="AC1330" s="265" t="n">
        <x:v>-205.84</x:v>
      </x:c>
      <x:c r="AD1330" s="265" t="n">
        <x:v>-205.84</x:v>
      </x:c>
      <x:c r="AE1330" s="271" t="str"/>
      <x:c r="AF1330" s="274" t="str">
        <x:v>Not validated - no control/holdout</x:v>
      </x:c>
      <x:c r="AG1330" s="277" t="str">
        <x:v>Recovered execution only; assignment date and unclaimed-offer denominator unavailable</x:v>
      </x:c>
    </x:row>
    <x:row r="1331">
      <x:c r="A1331" s="252" t="str">
        <x:v>34962386</x:v>
      </x:c>
      <x:c r="B1331" s="253" t="str">
        <x:v>WS1</x:v>
      </x:c>
      <x:c r="C1331" s="253" t="str">
        <x:v>MB8</x:v>
      </x:c>
      <x:c r="D1331" s="262" t="n">
        <x:v>46218.68556712963</x:v>
      </x:c>
      <x:c r="E1331" s="259" t="n">
        <x:v>46218.166666666664</x:v>
      </x:c>
      <x:c r="F1331" s="253" t="str">
        <x:v>601544</x:v>
      </x:c>
      <x:c r="G1331" s="253" t="str">
        <x:v>norshasha156</x:v>
      </x:c>
      <x:c r="H1331" s="253" t="str">
        <x:v>Yes</x:v>
      </x:c>
      <x:c r="I1331" s="253" t="str"/>
      <x:c r="J1331" s="253" t="str"/>
      <x:c r="K1331" s="259"/>
      <x:c r="L1331" s="268" t="str">
        <x:f>IFERROR(VLOOKUP(I1331,'Handler-Team Map'!$A$7:$C$17,2,FALSE),"")</x:f>
      </x:c>
      <x:c r="M1331" s="268" t="str">
        <x:f>IFERROR(VLOOKUP(I1331,'Handler-Team Map'!$A$7:$C$17,3,FALSE),"")</x:f>
      </x:c>
      <x:c r="N1331" s="274" t="str">
        <x:v>FT_VM_DEP1000_GET500_5X</x:v>
      </x:c>
      <x:c r="O1331" s="274" t="str">
        <x:v>VIP BONUS - Deposit 1000 Get 500 - 5x TO</x:v>
      </x:c>
      <x:c r="P1331" s="274" t="str">
        <x:v>DepositBonus</x:v>
      </x:c>
      <x:c r="Q1331" s="274" t="str">
        <x:v>Approved</x:v>
      </x:c>
      <x:c r="R1331" s="265" t="n">
        <x:v>500</x:v>
      </x:c>
      <x:c r="S1331" s="253" t="str">
        <x:v>Yes</x:v>
      </x:c>
      <x:c r="T1331" s="265" t="n">
        <x:v>700</x:v>
      </x:c>
      <x:c r="U1331" s="253" t="str">
        <x:f>IF(AND(S1331="Yes",T1331=0),"Yes","No")</x:f>
        <x:v>No</x:v>
      </x:c>
      <x:c r="V1331" s="253" t="str">
        <x:v>Yes</x:v>
      </x:c>
      <x:c r="W1331" s="253" t="str">
        <x:v>No</x:v>
      </x:c>
      <x:c r="X1331" s="259" t="n">
        <x:v>46218.166666666664</x:v>
      </x:c>
      <x:c r="Y1331" s="265" t="n">
        <x:v>1000</x:v>
      </x:c>
      <x:c r="Z1331" s="265" t="n">
        <x:v>1000</x:v>
      </x:c>
      <x:c r="AA1331" s="253" t="str">
        <x:f>IF(V1331="No","Maturing",IF(AND(U1331="Yes",Y1331&gt;0),"Yes","No"))</x:f>
        <x:v>No</x:v>
      </x:c>
      <x:c r="AB1331" s="253" t="str">
        <x:f>IF(W1331="No","Maturing",IF(AND(U1331="Yes",Z1331&gt;0),"Yes","No"))</x:f>
        <x:v>Maturing</x:v>
      </x:c>
      <x:c r="AC1331" s="265" t="n">
        <x:v>999.97</x:v>
      </x:c>
      <x:c r="AD1331" s="265" t="n">
        <x:v>999.97</x:v>
      </x:c>
      <x:c r="AE1331" s="271" t="str"/>
      <x:c r="AF1331" s="274" t="str">
        <x:v>Not validated - no control/holdout</x:v>
      </x:c>
      <x:c r="AG1331" s="277" t="str">
        <x:v>Recovered execution only; assignment date and unclaimed-offer denominator unavailable</x:v>
      </x:c>
    </x:row>
    <x:row r="1332">
      <x:c r="A1332" s="252" t="str">
        <x:v>34962700</x:v>
      </x:c>
      <x:c r="B1332" s="253" t="str">
        <x:v>WS1</x:v>
      </x:c>
      <x:c r="C1332" s="253" t="str">
        <x:v>MB8</x:v>
      </x:c>
      <x:c r="D1332" s="262" t="n">
        <x:v>46218.70429398148</x:v>
      </x:c>
      <x:c r="E1332" s="259" t="n">
        <x:v>46218.166666666664</x:v>
      </x:c>
      <x:c r="F1332" s="253" t="str">
        <x:v>433845</x:v>
      </x:c>
      <x:c r="G1332" s="253" t="str">
        <x:v>aderson124</x:v>
      </x:c>
      <x:c r="H1332" s="253" t="str">
        <x:v>Yes</x:v>
      </x:c>
      <x:c r="I1332" s="253" t="str">
        <x:v>Sheena</x:v>
      </x:c>
      <x:c r="J1332" s="253" t="str">
        <x:v>Sheena</x:v>
      </x:c>
      <x:c r="K1332" s="259" t="n">
        <x:v>45852.166666666664</x:v>
      </x:c>
      <x:c r="L1332" s="268" t="str">
        <x:f>IFERROR(VLOOKUP(I1332,'Handler-Team Map'!$A$7:$C$17,2,FALSE),"")</x:f>
      </x:c>
      <x:c r="M1332" s="268" t="str">
        <x:f>IFERROR(VLOOKUP(I1332,'Handler-Team Map'!$A$7:$C$17,3,FALSE),"")</x:f>
      </x:c>
      <x:c r="N1332" s="274" t="str">
        <x:v>FT_VM_DEP1000_GET500_5X</x:v>
      </x:c>
      <x:c r="O1332" s="274" t="str">
        <x:v>VIP BONUS - Deposit 1000 Get 500 - 5x TO</x:v>
      </x:c>
      <x:c r="P1332" s="274" t="str">
        <x:v>DepositBonus</x:v>
      </x:c>
      <x:c r="Q1332" s="274" t="str">
        <x:v>Approved</x:v>
      </x:c>
      <x:c r="R1332" s="265" t="n">
        <x:v>500</x:v>
      </x:c>
      <x:c r="S1332" s="253" t="str">
        <x:v>Yes</x:v>
      </x:c>
      <x:c r="T1332" s="265" t="n">
        <x:v>47537</x:v>
      </x:c>
      <x:c r="U1332" s="253" t="str">
        <x:f>IF(AND(S1332="Yes",T1332=0),"Yes","No")</x:f>
        <x:v>No</x:v>
      </x:c>
      <x:c r="V1332" s="253" t="str">
        <x:v>Yes</x:v>
      </x:c>
      <x:c r="W1332" s="253" t="str">
        <x:v>No</x:v>
      </x:c>
      <x:c r="X1332" s="259" t="n">
        <x:v>46218.166666666664</x:v>
      </x:c>
      <x:c r="Y1332" s="265" t="n">
        <x:v>4000</x:v>
      </x:c>
      <x:c r="Z1332" s="265" t="n">
        <x:v>4000</x:v>
      </x:c>
      <x:c r="AA1332" s="253" t="str">
        <x:f>IF(V1332="No","Maturing",IF(AND(U1332="Yes",Y1332&gt;0),"Yes","No"))</x:f>
        <x:v>No</x:v>
      </x:c>
      <x:c r="AB1332" s="253" t="str">
        <x:f>IF(W1332="No","Maturing",IF(AND(U1332="Yes",Z1332&gt;0),"Yes","No"))</x:f>
        <x:v>Maturing</x:v>
      </x:c>
      <x:c r="AC1332" s="265" t="n">
        <x:v>-3039.82</x:v>
      </x:c>
      <x:c r="AD1332" s="265" t="n">
        <x:v>-3039.82</x:v>
      </x:c>
      <x:c r="AE1332" s="271" t="str"/>
      <x:c r="AF1332" s="274" t="str">
        <x:v>Not validated - no control/holdout</x:v>
      </x:c>
      <x:c r="AG1332" s="277" t="str">
        <x:v>Recovered execution only; assignment date and unclaimed-offer denominator unavailable</x:v>
      </x:c>
    </x:row>
    <x:row r="1333">
      <x:c r="A1333" s="252" t="str">
        <x:v>5982757</x:v>
      </x:c>
      <x:c r="B1333" s="253" t="str">
        <x:v>WS1</x:v>
      </x:c>
      <x:c r="C1333" s="253" t="str">
        <x:v>MB8</x:v>
      </x:c>
      <x:c r="D1333" s="262" t="n">
        <x:v>46218.72545138889</x:v>
      </x:c>
      <x:c r="E1333" s="259" t="n">
        <x:v>46218.166666666664</x:v>
      </x:c>
      <x:c r="F1333" s="253" t="str">
        <x:v>401119</x:v>
      </x:c>
      <x:c r="G1333" s="253" t="str">
        <x:v>tzeking</x:v>
      </x:c>
      <x:c r="H1333" s="253" t="str">
        <x:v>Yes</x:v>
      </x:c>
      <x:c r="I1333" s="253" t="str"/>
      <x:c r="J1333" s="253" t="str"/>
      <x:c r="K1333" s="259"/>
      <x:c r="L1333" s="268" t="str">
        <x:f>IFERROR(VLOOKUP(I1333,'Handler-Team Map'!$A$7:$C$17,2,FALSE),"")</x:f>
      </x:c>
      <x:c r="M1333" s="268" t="str">
        <x:f>IFERROR(VLOOKUP(I1333,'Handler-Team Map'!$A$7:$C$17,3,FALSE),"")</x:f>
      </x:c>
      <x:c r="N1333" s="274" t="str">
        <x:v>FT_VMFC_VARIABLE_3X</x:v>
      </x:c>
      <x:c r="O1333" s="274" t="str">
        <x:v>VIP SPECIAL FREE CREDIT - 3x TO</x:v>
      </x:c>
      <x:c r="P1333" s="274" t="str">
        <x:v>FreeCredit</x:v>
      </x:c>
      <x:c r="Q1333" s="274" t="str">
        <x:v>Redeemed</x:v>
      </x:c>
      <x:c r="R1333" s="265" t="n">
        <x:v>1588</x:v>
      </x:c>
      <x:c r="S1333" s="253" t="str">
        <x:v>Yes</x:v>
      </x:c>
      <x:c r="T1333" s="265" t="n">
        <x:v>0</x:v>
      </x:c>
      <x:c r="U1333" s="253" t="str">
        <x:f>IF(AND(S1333="Yes",T1333=0),"Yes","No")</x:f>
        <x:v>Yes</x:v>
      </x:c>
      <x:c r="V1333" s="253" t="str">
        <x:v>Yes</x:v>
      </x:c>
      <x:c r="W1333" s="253" t="str">
        <x:v>No</x:v>
      </x:c>
      <x:c r="X1333" s="259" t="n">
        <x:v>46219.166666666664</x:v>
      </x:c>
      <x:c r="Y1333" s="265" t="n">
        <x:v>3800</x:v>
      </x:c>
      <x:c r="Z1333" s="265" t="n">
        <x:v>3800</x:v>
      </x:c>
      <x:c r="AA1333" s="253" t="str">
        <x:f>IF(V1333="No","Maturing",IF(AND(U1333="Yes",Y1333&gt;0),"Yes","No"))</x:f>
        <x:v>Yes</x:v>
      </x:c>
      <x:c r="AB1333" s="253" t="str">
        <x:f>IF(W1333="No","Maturing",IF(AND(U1333="Yes",Z1333&gt;0),"Yes","No"))</x:f>
        <x:v>Maturing</x:v>
      </x:c>
      <x:c r="AC1333" s="265" t="n">
        <x:v>-3764.98</x:v>
      </x:c>
      <x:c r="AD1333" s="265" t="n">
        <x:v>-3765.18</x:v>
      </x:c>
      <x:c r="AE1333" s="271" t="str"/>
      <x:c r="AF1333" s="274" t="str">
        <x:v>Not validated - no control/holdout</x:v>
      </x:c>
      <x:c r="AG1333" s="277" t="str">
        <x:v>Recovered execution only; assignment date and unclaimed-offer denominator unavailable</x:v>
      </x:c>
    </x:row>
    <x:row r="1334">
      <x:c r="A1334" s="252" t="str">
        <x:v>5982775</x:v>
      </x:c>
      <x:c r="B1334" s="253" t="str">
        <x:v>WS1</x:v>
      </x:c>
      <x:c r="C1334" s="253" t="str">
        <x:v>MB8</x:v>
      </x:c>
      <x:c r="D1334" s="262" t="n">
        <x:v>46218.726747685185</x:v>
      </x:c>
      <x:c r="E1334" s="259" t="n">
        <x:v>46218.166666666664</x:v>
      </x:c>
      <x:c r="F1334" s="253" t="str">
        <x:v>827012</x:v>
      </x:c>
      <x:c r="G1334" s="253" t="str">
        <x:v>a062184</x:v>
      </x:c>
      <x:c r="H1334" s="253" t="str">
        <x:v>Yes</x:v>
      </x:c>
      <x:c r="I1334" s="253" t="str">
        <x:v>Tammy</x:v>
      </x:c>
      <x:c r="J1334" s="253" t="str">
        <x:v>Tammy</x:v>
      </x:c>
      <x:c r="K1334" s="259" t="n">
        <x:v>45951.166666666664</x:v>
      </x:c>
      <x:c r="L1334" s="268" t="str">
        <x:f>IFERROR(VLOOKUP(I1334,'Handler-Team Map'!$A$7:$C$17,2,FALSE),"")</x:f>
      </x:c>
      <x:c r="M1334" s="268" t="str">
        <x:f>IFERROR(VLOOKUP(I1334,'Handler-Team Map'!$A$7:$C$17,3,FALSE),"")</x:f>
      </x:c>
      <x:c r="N1334" s="274" t="str">
        <x:v>FT_VMFC_VARIABLE_3X</x:v>
      </x:c>
      <x:c r="O1334" s="274" t="str">
        <x:v>VIP SPECIAL FREE CREDIT - 3x TO</x:v>
      </x:c>
      <x:c r="P1334" s="274" t="str">
        <x:v>FreeCredit</x:v>
      </x:c>
      <x:c r="Q1334" s="274" t="str">
        <x:v>Redeemed</x:v>
      </x:c>
      <x:c r="R1334" s="265" t="n">
        <x:v>1588</x:v>
      </x:c>
      <x:c r="S1334" s="253" t="str">
        <x:v>Yes</x:v>
      </x:c>
      <x:c r="T1334" s="265" t="n">
        <x:v>0</x:v>
      </x:c>
      <x:c r="U1334" s="253" t="str">
        <x:f>IF(AND(S1334="Yes",T1334=0),"Yes","No")</x:f>
        <x:v>Yes</x:v>
      </x:c>
      <x:c r="V1334" s="253" t="str">
        <x:v>Yes</x:v>
      </x:c>
      <x:c r="W1334" s="253" t="str">
        <x:v>No</x:v>
      </x:c>
      <x:c r="X1334" s="259"/>
      <x:c r="Y1334" s="265" t="n">
        <x:v>0</x:v>
      </x:c>
      <x:c r="Z1334" s="265" t="n">
        <x:v>0</x:v>
      </x:c>
      <x:c r="AA1334" s="253" t="str">
        <x:f>IF(V1334="No","Maturing",IF(AND(U1334="Yes",Y1334&gt;0),"Yes","No"))</x:f>
        <x:v>No</x:v>
      </x:c>
      <x:c r="AB1334" s="253" t="str">
        <x:f>IF(W1334="No","Maturing",IF(AND(U1334="Yes",Z1334&gt;0),"Yes","No"))</x:f>
        <x:v>Maturing</x:v>
      </x:c>
      <x:c r="AC1334" s="265" t="n">
        <x:v>-18.13</x:v>
      </x:c>
      <x:c r="AD1334" s="265" t="n">
        <x:v>-18.13</x:v>
      </x:c>
      <x:c r="AE1334" s="271" t="str"/>
      <x:c r="AF1334" s="274" t="str">
        <x:v>Not validated - no control/holdout</x:v>
      </x:c>
      <x:c r="AG1334" s="277" t="str">
        <x:v>Recovered execution only; assignment date and unclaimed-offer denominator unavailable</x:v>
      </x:c>
    </x:row>
    <x:row r="1335">
      <x:c r="A1335" s="252" t="str">
        <x:v>5982786</x:v>
      </x:c>
      <x:c r="B1335" s="253" t="str">
        <x:v>WS1</x:v>
      </x:c>
      <x:c r="C1335" s="253" t="str">
        <x:v>MB8</x:v>
      </x:c>
      <x:c r="D1335" s="262" t="n">
        <x:v>46218.736666666664</x:v>
      </x:c>
      <x:c r="E1335" s="259" t="n">
        <x:v>46218.166666666664</x:v>
      </x:c>
      <x:c r="F1335" s="253" t="str">
        <x:v>396566</x:v>
      </x:c>
      <x:c r="G1335" s="253" t="str">
        <x:v>Kulwant86</x:v>
      </x:c>
      <x:c r="H1335" s="253" t="str">
        <x:v>Yes</x:v>
      </x:c>
      <x:c r="I1335" s="253" t="str"/>
      <x:c r="J1335" s="253" t="str"/>
      <x:c r="K1335" s="259"/>
      <x:c r="L1335" s="268" t="str">
        <x:f>IFERROR(VLOOKUP(I1335,'Handler-Team Map'!$A$7:$C$17,2,FALSE),"")</x:f>
      </x:c>
      <x:c r="M1335" s="268" t="str">
        <x:f>IFERROR(VLOOKUP(I1335,'Handler-Team Map'!$A$7:$C$17,3,FALSE),"")</x:f>
      </x:c>
      <x:c r="N1335" s="274" t="str">
        <x:v>FT_VMFC_VARIABLE_3X</x:v>
      </x:c>
      <x:c r="O1335" s="274" t="str">
        <x:v>VIP SPECIAL FREE CREDIT - 3x TO</x:v>
      </x:c>
      <x:c r="P1335" s="274" t="str">
        <x:v>FreeCredit</x:v>
      </x:c>
      <x:c r="Q1335" s="274" t="str">
        <x:v>Redeemed</x:v>
      </x:c>
      <x:c r="R1335" s="265" t="n">
        <x:v>2588</x:v>
      </x:c>
      <x:c r="S1335" s="253" t="str">
        <x:v>Yes</x:v>
      </x:c>
      <x:c r="T1335" s="265" t="n">
        <x:v>0</x:v>
      </x:c>
      <x:c r="U1335" s="253" t="str">
        <x:f>IF(AND(S1335="Yes",T1335=0),"Yes","No")</x:f>
        <x:v>Yes</x:v>
      </x:c>
      <x:c r="V1335" s="253" t="str">
        <x:v>Yes</x:v>
      </x:c>
      <x:c r="W1335" s="253" t="str">
        <x:v>No</x:v>
      </x:c>
      <x:c r="X1335" s="259"/>
      <x:c r="Y1335" s="265" t="n">
        <x:v>0</x:v>
      </x:c>
      <x:c r="Z1335" s="265" t="n">
        <x:v>0</x:v>
      </x:c>
      <x:c r="AA1335" s="253" t="str">
        <x:f>IF(V1335="No","Maturing",IF(AND(U1335="Yes",Y1335&gt;0),"Yes","No"))</x:f>
        <x:v>No</x:v>
      </x:c>
      <x:c r="AB1335" s="253" t="str">
        <x:f>IF(W1335="No","Maturing",IF(AND(U1335="Yes",Z1335&gt;0),"Yes","No"))</x:f>
        <x:v>Maturing</x:v>
      </x:c>
      <x:c r="AC1335" s="265" t="n">
        <x:v>-2.32</x:v>
      </x:c>
      <x:c r="AD1335" s="265" t="n">
        <x:v>0.18</x:v>
      </x:c>
      <x:c r="AE1335" s="271" t="str"/>
      <x:c r="AF1335" s="274" t="str">
        <x:v>Not validated - no control/holdout</x:v>
      </x:c>
      <x:c r="AG1335" s="277" t="str">
        <x:v>Recovered execution only; assignment date and unclaimed-offer denominator unavailable</x:v>
      </x:c>
    </x:row>
    <x:row r="1336">
      <x:c r="A1336" s="252" t="str">
        <x:v>34963817</x:v>
      </x:c>
      <x:c r="B1336" s="253" t="str">
        <x:v>WS1</x:v>
      </x:c>
      <x:c r="C1336" s="253" t="str">
        <x:v>MB8</x:v>
      </x:c>
      <x:c r="D1336" s="262" t="n">
        <x:v>46218.779270833336</x:v>
      </x:c>
      <x:c r="E1336" s="259" t="n">
        <x:v>46218.166666666664</x:v>
      </x:c>
      <x:c r="F1336" s="253" t="str">
        <x:v>587646</x:v>
      </x:c>
      <x:c r="G1336" s="253" t="str">
        <x:v>arilrich</x:v>
      </x:c>
      <x:c r="H1336" s="253" t="str">
        <x:v>Yes</x:v>
      </x:c>
      <x:c r="I1336" s="253" t="str">
        <x:v>Christy</x:v>
      </x:c>
      <x:c r="J1336" s="253" t="str">
        <x:v>Christy</x:v>
      </x:c>
      <x:c r="K1336" s="259" t="n">
        <x:v>45831.166666666664</x:v>
      </x:c>
      <x:c r="L1336" s="268" t="str">
        <x:f>IFERROR(VLOOKUP(I1336,'Handler-Team Map'!$A$7:$C$17,2,FALSE),"")</x:f>
      </x:c>
      <x:c r="M1336" s="268" t="str">
        <x:f>IFERROR(VLOOKUP(I1336,'Handler-Team Map'!$A$7:$C$17,3,FALSE),"")</x:f>
      </x:c>
      <x:c r="N1336" s="274" t="str">
        <x:v>FT_VM_DEP1000_GET500_5X</x:v>
      </x:c>
      <x:c r="O1336" s="274" t="str">
        <x:v>VIP BONUS - Deposit 1000 Get 500 - 5x TO</x:v>
      </x:c>
      <x:c r="P1336" s="274" t="str">
        <x:v>DepositBonus</x:v>
      </x:c>
      <x:c r="Q1336" s="274" t="str">
        <x:v>Approved</x:v>
      </x:c>
      <x:c r="R1336" s="265" t="n">
        <x:v>500</x:v>
      </x:c>
      <x:c r="S1336" s="253" t="str">
        <x:v>Yes</x:v>
      </x:c>
      <x:c r="T1336" s="265" t="n">
        <x:v>4651</x:v>
      </x:c>
      <x:c r="U1336" s="253" t="str">
        <x:f>IF(AND(S1336="Yes",T1336=0),"Yes","No")</x:f>
        <x:v>No</x:v>
      </x:c>
      <x:c r="V1336" s="253" t="str">
        <x:v>Yes</x:v>
      </x:c>
      <x:c r="W1336" s="253" t="str">
        <x:v>No</x:v>
      </x:c>
      <x:c r="X1336" s="259" t="n">
        <x:v>46218.166666666664</x:v>
      </x:c>
      <x:c r="Y1336" s="265" t="n">
        <x:v>3560</x:v>
      </x:c>
      <x:c r="Z1336" s="265" t="n">
        <x:v>4560</x:v>
      </x:c>
      <x:c r="AA1336" s="253" t="str">
        <x:f>IF(V1336="No","Maturing",IF(AND(U1336="Yes",Y1336&gt;0),"Yes","No"))</x:f>
        <x:v>No</x:v>
      </x:c>
      <x:c r="AB1336" s="253" t="str">
        <x:f>IF(W1336="No","Maturing",IF(AND(U1336="Yes",Z1336&gt;0),"Yes","No"))</x:f>
        <x:v>Maturing</x:v>
      </x:c>
      <x:c r="AC1336" s="265" t="n">
        <x:v>1219.32</x:v>
      </x:c>
      <x:c r="AD1336" s="265" t="n">
        <x:v>2219.91</x:v>
      </x:c>
      <x:c r="AE1336" s="271" t="str"/>
      <x:c r="AF1336" s="274" t="str">
        <x:v>Not validated - no control/holdout</x:v>
      </x:c>
      <x:c r="AG1336" s="277" t="str">
        <x:v>Recovered execution only; assignment date and unclaimed-offer denominator unavailable</x:v>
      </x:c>
    </x:row>
    <x:row r="1337">
      <x:c r="A1337" s="252" t="str">
        <x:v>5993682</x:v>
      </x:c>
      <x:c r="B1337" s="253" t="str">
        <x:v>WS1</x:v>
      </x:c>
      <x:c r="C1337" s="253" t="str">
        <x:v>MB8</x:v>
      </x:c>
      <x:c r="D1337" s="262" t="n">
        <x:v>46218.78417824074</x:v>
      </x:c>
      <x:c r="E1337" s="259" t="n">
        <x:v>46218.166666666664</x:v>
      </x:c>
      <x:c r="F1337" s="253" t="str">
        <x:v>99822</x:v>
      </x:c>
      <x:c r="G1337" s="253" t="str">
        <x:v>Tapa7584</x:v>
      </x:c>
      <x:c r="H1337" s="253" t="str">
        <x:v>Yes</x:v>
      </x:c>
      <x:c r="I1337" s="253" t="str">
        <x:v>Claire</x:v>
      </x:c>
      <x:c r="J1337" s="253" t="str">
        <x:v>Claire</x:v>
      </x:c>
      <x:c r="K1337" s="259" t="n">
        <x:v>46090.166666666664</x:v>
      </x:c>
      <x:c r="L1337" s="268" t="str">
        <x:f>IFERROR(VLOOKUP(I1337,'Handler-Team Map'!$A$7:$C$17,2,FALSE),"")</x:f>
      </x:c>
      <x:c r="M1337" s="268" t="str">
        <x:f>IFERROR(VLOOKUP(I1337,'Handler-Team Map'!$A$7:$C$17,3,FALSE),"")</x:f>
      </x:c>
      <x:c r="N1337" s="274" t="str">
        <x:v>FT_VMFC_VARIABLE_3X</x:v>
      </x:c>
      <x:c r="O1337" s="274" t="str">
        <x:v>VIP SPECIAL FREE CREDIT - 3x TO</x:v>
      </x:c>
      <x:c r="P1337" s="274" t="str">
        <x:v>FreeCredit</x:v>
      </x:c>
      <x:c r="Q1337" s="274" t="str">
        <x:v>Redeemed</x:v>
      </x:c>
      <x:c r="R1337" s="265" t="n">
        <x:v>1288</x:v>
      </x:c>
      <x:c r="S1337" s="253" t="str">
        <x:v>Yes</x:v>
      </x:c>
      <x:c r="T1337" s="265" t="n">
        <x:v>0</x:v>
      </x:c>
      <x:c r="U1337" s="253" t="str">
        <x:f>IF(AND(S1337="Yes",T1337=0),"Yes","No")</x:f>
        <x:v>Yes</x:v>
      </x:c>
      <x:c r="V1337" s="253" t="str">
        <x:v>Yes</x:v>
      </x:c>
      <x:c r="W1337" s="253" t="str">
        <x:v>No</x:v>
      </x:c>
      <x:c r="X1337" s="259" t="n">
        <x:v>46220.166666666664</x:v>
      </x:c>
      <x:c r="Y1337" s="265" t="n">
        <x:v>40</x:v>
      </x:c>
      <x:c r="Z1337" s="265" t="n">
        <x:v>40</x:v>
      </x:c>
      <x:c r="AA1337" s="253" t="str">
        <x:f>IF(V1337="No","Maturing",IF(AND(U1337="Yes",Y1337&gt;0),"Yes","No"))</x:f>
        <x:v>Yes</x:v>
      </x:c>
      <x:c r="AB1337" s="253" t="str">
        <x:f>IF(W1337="No","Maturing",IF(AND(U1337="Yes",Z1337&gt;0),"Yes","No"))</x:f>
        <x:v>Maturing</x:v>
      </x:c>
      <x:c r="AC1337" s="265" t="n">
        <x:v>40.1</x:v>
      </x:c>
      <x:c r="AD1337" s="265" t="n">
        <x:v>40.07</x:v>
      </x:c>
      <x:c r="AE1337" s="271" t="str"/>
      <x:c r="AF1337" s="274" t="str">
        <x:v>Not validated - no control/holdout</x:v>
      </x:c>
      <x:c r="AG1337" s="277" t="str">
        <x:v>Recovered execution only; assignment date and unclaimed-offer denominator unavailable</x:v>
      </x:c>
    </x:row>
    <x:row r="1338">
      <x:c r="A1338" s="252" t="str">
        <x:v>34964234</x:v>
      </x:c>
      <x:c r="B1338" s="253" t="str">
        <x:v>WS1</x:v>
      </x:c>
      <x:c r="C1338" s="253" t="str">
        <x:v>MB8</x:v>
      </x:c>
      <x:c r="D1338" s="262" t="n">
        <x:v>46218.80783564815</x:v>
      </x:c>
      <x:c r="E1338" s="259" t="n">
        <x:v>46218.166666666664</x:v>
      </x:c>
      <x:c r="F1338" s="253" t="str">
        <x:v>815535</x:v>
      </x:c>
      <x:c r="G1338" s="253" t="str">
        <x:v>rusydan86</x:v>
      </x:c>
      <x:c r="H1338" s="253" t="str">
        <x:v>Yes</x:v>
      </x:c>
      <x:c r="I1338" s="253" t="str"/>
      <x:c r="J1338" s="253" t="str"/>
      <x:c r="K1338" s="259"/>
      <x:c r="L1338" s="268" t="str">
        <x:f>IFERROR(VLOOKUP(I1338,'Handler-Team Map'!$A$7:$C$17,2,FALSE),"")</x:f>
      </x:c>
      <x:c r="M1338" s="268" t="str">
        <x:f>IFERROR(VLOOKUP(I1338,'Handler-Team Map'!$A$7:$C$17,3,FALSE),"")</x:f>
      </x:c>
      <x:c r="N1338" s="274" t="str">
        <x:v>FT_VM_DEP1000_GET700_2X</x:v>
      </x:c>
      <x:c r="O1338" s="274" t="str">
        <x:v>VIP BONUS - Deposit 1000 Get 700 - 2x TO</x:v>
      </x:c>
      <x:c r="P1338" s="274" t="str">
        <x:v>DepositBonus</x:v>
      </x:c>
      <x:c r="Q1338" s="274" t="str">
        <x:v>Approved</x:v>
      </x:c>
      <x:c r="R1338" s="265" t="n">
        <x:v>700</x:v>
      </x:c>
      <x:c r="S1338" s="253" t="str">
        <x:v>Yes</x:v>
      </x:c>
      <x:c r="T1338" s="265" t="n">
        <x:v>8000</x:v>
      </x:c>
      <x:c r="U1338" s="253" t="str">
        <x:f>IF(AND(S1338="Yes",T1338=0),"Yes","No")</x:f>
        <x:v>No</x:v>
      </x:c>
      <x:c r="V1338" s="253" t="str">
        <x:v>Yes</x:v>
      </x:c>
      <x:c r="W1338" s="253" t="str">
        <x:v>No</x:v>
      </x:c>
      <x:c r="X1338" s="259" t="n">
        <x:v>46218.166666666664</x:v>
      </x:c>
      <x:c r="Y1338" s="265" t="n">
        <x:v>7500</x:v>
      </x:c>
      <x:c r="Z1338" s="265" t="n">
        <x:v>7500</x:v>
      </x:c>
      <x:c r="AA1338" s="253" t="str">
        <x:f>IF(V1338="No","Maturing",IF(AND(U1338="Yes",Y1338&gt;0),"Yes","No"))</x:f>
        <x:v>No</x:v>
      </x:c>
      <x:c r="AB1338" s="253" t="str">
        <x:f>IF(W1338="No","Maturing",IF(AND(U1338="Yes",Z1338&gt;0),"Yes","No"))</x:f>
        <x:v>Maturing</x:v>
      </x:c>
      <x:c r="AC1338" s="265" t="n">
        <x:v>5267.39</x:v>
      </x:c>
      <x:c r="AD1338" s="265" t="n">
        <x:v>5257.26</x:v>
      </x:c>
      <x:c r="AE1338" s="271" t="str"/>
      <x:c r="AF1338" s="274" t="str">
        <x:v>Not validated - no control/holdout</x:v>
      </x:c>
      <x:c r="AG1338" s="277" t="str">
        <x:v>Recovered execution only; assignment date and unclaimed-offer denominator unavailable</x:v>
      </x:c>
    </x:row>
    <x:row r="1339">
      <x:c r="A1339" s="252" t="str">
        <x:v>34964314</x:v>
      </x:c>
      <x:c r="B1339" s="253" t="str">
        <x:v>WS1</x:v>
      </x:c>
      <x:c r="C1339" s="253" t="str">
        <x:v>MB8</x:v>
      </x:c>
      <x:c r="D1339" s="262" t="n">
        <x:v>46218.81244212963</x:v>
      </x:c>
      <x:c r="E1339" s="259" t="n">
        <x:v>46218.166666666664</x:v>
      </x:c>
      <x:c r="F1339" s="253" t="str">
        <x:v>1049844</x:v>
      </x:c>
      <x:c r="G1339" s="253" t="str">
        <x:v>ericlee5237</x:v>
      </x:c>
      <x:c r="H1339" s="253" t="str">
        <x:v>Yes</x:v>
      </x:c>
      <x:c r="I1339" s="253" t="str">
        <x:v>Serene</x:v>
      </x:c>
      <x:c r="J1339" s="253" t="str">
        <x:v>Serene</x:v>
      </x:c>
      <x:c r="K1339" s="259" t="n">
        <x:v>46077.166666666664</x:v>
      </x:c>
      <x:c r="L1339" s="268" t="str">
        <x:f>IFERROR(VLOOKUP(I1339,'Handler-Team Map'!$A$7:$C$17,2,FALSE),"")</x:f>
      </x:c>
      <x:c r="M1339" s="268" t="str">
        <x:f>IFERROR(VLOOKUP(I1339,'Handler-Team Map'!$A$7:$C$17,3,FALSE),"")</x:f>
      </x:c>
      <x:c r="N1339" s="274" t="str">
        <x:v>FT_VM_REL100PCT_X1</x:v>
      </x:c>
      <x:c r="O1339" s="274" t="str">
        <x:v>100% Reload Bonus - VIP Offer</x:v>
      </x:c>
      <x:c r="P1339" s="274" t="str">
        <x:v>DepositBonus</x:v>
      </x:c>
      <x:c r="Q1339" s="274" t="str">
        <x:v>Approved</x:v>
      </x:c>
      <x:c r="R1339" s="265" t="n">
        <x:v>1000</x:v>
      </x:c>
      <x:c r="S1339" s="253" t="str">
        <x:v>Yes</x:v>
      </x:c>
      <x:c r="T1339" s="265" t="n">
        <x:v>0</x:v>
      </x:c>
      <x:c r="U1339" s="253" t="str">
        <x:f>IF(AND(S1339="Yes",T1339=0),"Yes","No")</x:f>
        <x:v>Yes</x:v>
      </x:c>
      <x:c r="V1339" s="253" t="str">
        <x:v>Yes</x:v>
      </x:c>
      <x:c r="W1339" s="253" t="str">
        <x:v>No</x:v>
      </x:c>
      <x:c r="X1339" s="259" t="n">
        <x:v>46218.166666666664</x:v>
      </x:c>
      <x:c r="Y1339" s="265" t="n">
        <x:v>12200</x:v>
      </x:c>
      <x:c r="Z1339" s="265" t="n">
        <x:v>14200</x:v>
      </x:c>
      <x:c r="AA1339" s="253" t="str">
        <x:f>IF(V1339="No","Maturing",IF(AND(U1339="Yes",Y1339&gt;0),"Yes","No"))</x:f>
        <x:v>Yes</x:v>
      </x:c>
      <x:c r="AB1339" s="253" t="str">
        <x:f>IF(W1339="No","Maturing",IF(AND(U1339="Yes",Z1339&gt;0),"Yes","No"))</x:f>
        <x:v>Maturing</x:v>
      </x:c>
      <x:c r="AC1339" s="265" t="n">
        <x:v>3384.16</x:v>
      </x:c>
      <x:c r="AD1339" s="265" t="n">
        <x:v>5680.16</x:v>
      </x:c>
      <x:c r="AE1339" s="271" t="str"/>
      <x:c r="AF1339" s="274" t="str">
        <x:v>Not validated - no control/holdout</x:v>
      </x:c>
      <x:c r="AG1339" s="277" t="str">
        <x:v>Recovered execution only; assignment date and unclaimed-offer denominator unavailable</x:v>
      </x:c>
    </x:row>
    <x:row r="1340">
      <x:c r="A1340" s="252" t="str">
        <x:v>6002649</x:v>
      </x:c>
      <x:c r="B1340" s="253" t="str">
        <x:v>WS1</x:v>
      </x:c>
      <x:c r="C1340" s="253" t="str">
        <x:v>MB8</x:v>
      </x:c>
      <x:c r="D1340" s="262" t="n">
        <x:v>46218.812743055554</x:v>
      </x:c>
      <x:c r="E1340" s="259" t="n">
        <x:v>46218.166666666664</x:v>
      </x:c>
      <x:c r="F1340" s="253" t="str">
        <x:v>478019</x:v>
      </x:c>
      <x:c r="G1340" s="253" t="str">
        <x:v>Latino65</x:v>
      </x:c>
      <x:c r="H1340" s="253" t="str">
        <x:v>Yes</x:v>
      </x:c>
      <x:c r="I1340" s="253" t="str">
        <x:v>Claire</x:v>
      </x:c>
      <x:c r="J1340" s="253" t="str">
        <x:v>Claire</x:v>
      </x:c>
      <x:c r="K1340" s="259" t="n">
        <x:v>45790.166666666664</x:v>
      </x:c>
      <x:c r="L1340" s="268" t="str">
        <x:f>IFERROR(VLOOKUP(I1340,'Handler-Team Map'!$A$7:$C$17,2,FALSE),"")</x:f>
      </x:c>
      <x:c r="M1340" s="268" t="str">
        <x:f>IFERROR(VLOOKUP(I1340,'Handler-Team Map'!$A$7:$C$17,3,FALSE),"")</x:f>
      </x:c>
      <x:c r="N1340" s="274" t="str">
        <x:v>FT_VMFC_VARIABLE_3X</x:v>
      </x:c>
      <x:c r="O1340" s="274" t="str">
        <x:v>VIP SPECIAL FREE CREDIT - 3x TO</x:v>
      </x:c>
      <x:c r="P1340" s="274" t="str">
        <x:v>FreeCredit</x:v>
      </x:c>
      <x:c r="Q1340" s="274" t="str">
        <x:v>Redeemed</x:v>
      </x:c>
      <x:c r="R1340" s="265" t="n">
        <x:v>1288</x:v>
      </x:c>
      <x:c r="S1340" s="253" t="str">
        <x:v>Yes</x:v>
      </x:c>
      <x:c r="T1340" s="265" t="n">
        <x:v>0</x:v>
      </x:c>
      <x:c r="U1340" s="253" t="str">
        <x:f>IF(AND(S1340="Yes",T1340=0),"Yes","No")</x:f>
        <x:v>Yes</x:v>
      </x:c>
      <x:c r="V1340" s="253" t="str">
        <x:v>Yes</x:v>
      </x:c>
      <x:c r="W1340" s="253" t="str">
        <x:v>No</x:v>
      </x:c>
      <x:c r="X1340" s="259" t="n">
        <x:v>46221.166666666664</x:v>
      </x:c>
      <x:c r="Y1340" s="265" t="n">
        <x:v>3250</x:v>
      </x:c>
      <x:c r="Z1340" s="265" t="n">
        <x:v>3250</x:v>
      </x:c>
      <x:c r="AA1340" s="253" t="str">
        <x:f>IF(V1340="No","Maturing",IF(AND(U1340="Yes",Y1340&gt;0),"Yes","No"))</x:f>
        <x:v>Yes</x:v>
      </x:c>
      <x:c r="AB1340" s="253" t="str">
        <x:f>IF(W1340="No","Maturing",IF(AND(U1340="Yes",Z1340&gt;0),"Yes","No"))</x:f>
        <x:v>Maturing</x:v>
      </x:c>
      <x:c r="AC1340" s="265" t="n">
        <x:v>-849.55</x:v>
      </x:c>
      <x:c r="AD1340" s="265" t="n">
        <x:v>-849.87</x:v>
      </x:c>
      <x:c r="AE1340" s="271" t="str"/>
      <x:c r="AF1340" s="274" t="str">
        <x:v>Not validated - no control/holdout</x:v>
      </x:c>
      <x:c r="AG1340" s="277" t="str">
        <x:v>Recovered execution only; assignment date and unclaimed-offer denominator unavailable</x:v>
      </x:c>
    </x:row>
    <x:row r="1341">
      <x:c r="A1341" s="252" t="str">
        <x:v>34964380</x:v>
      </x:c>
      <x:c r="B1341" s="253" t="str">
        <x:v>WS1</x:v>
      </x:c>
      <x:c r="C1341" s="253" t="str">
        <x:v>MB8</x:v>
      </x:c>
      <x:c r="D1341" s="262" t="n">
        <x:v>46218.81725694444</x:v>
      </x:c>
      <x:c r="E1341" s="259" t="n">
        <x:v>46218.166666666664</x:v>
      </x:c>
      <x:c r="F1341" s="253" t="str">
        <x:v>300292</x:v>
      </x:c>
      <x:c r="G1341" s="253" t="str">
        <x:v>Samlim</x:v>
      </x:c>
      <x:c r="H1341" s="253" t="str">
        <x:v>Yes</x:v>
      </x:c>
      <x:c r="I1341" s="253" t="str">
        <x:v>zhen</x:v>
      </x:c>
      <x:c r="J1341" s="253" t="str">
        <x:v>zhen</x:v>
      </x:c>
      <x:c r="K1341" s="259" t="n">
        <x:v>45985.166666666664</x:v>
      </x:c>
      <x:c r="L1341" s="268" t="str">
        <x:f>IFERROR(VLOOKUP(I1341,'Handler-Team Map'!$A$7:$C$17,2,FALSE),"")</x:f>
      </x:c>
      <x:c r="M1341" s="268" t="str">
        <x:f>IFERROR(VLOOKUP(I1341,'Handler-Team Map'!$A$7:$C$17,3,FALSE),"")</x:f>
      </x:c>
      <x:c r="N1341" s="274" t="str">
        <x:v>FT_VM_DEP300_GET100_5X</x:v>
      </x:c>
      <x:c r="O1341" s="274" t="str">
        <x:v>VIP BONUS - Deposit 300 Get 100 - 5x TO</x:v>
      </x:c>
      <x:c r="P1341" s="274" t="str">
        <x:v>DepositBonus</x:v>
      </x:c>
      <x:c r="Q1341" s="274" t="str">
        <x:v>Approved</x:v>
      </x:c>
      <x:c r="R1341" s="265" t="n">
        <x:v>100</x:v>
      </x:c>
      <x:c r="S1341" s="253" t="str">
        <x:v>Yes</x:v>
      </x:c>
      <x:c r="T1341" s="265" t="n">
        <x:v>164980</x:v>
      </x:c>
      <x:c r="U1341" s="253" t="str">
        <x:f>IF(AND(S1341="Yes",T1341=0),"Yes","No")</x:f>
        <x:v>No</x:v>
      </x:c>
      <x:c r="V1341" s="253" t="str">
        <x:v>Yes</x:v>
      </x:c>
      <x:c r="W1341" s="253" t="str">
        <x:v>No</x:v>
      </x:c>
      <x:c r="X1341" s="259" t="n">
        <x:v>46218.166666666664</x:v>
      </x:c>
      <x:c r="Y1341" s="265" t="n">
        <x:v>1900</x:v>
      </x:c>
      <x:c r="Z1341" s="265" t="n">
        <x:v>1900</x:v>
      </x:c>
      <x:c r="AA1341" s="253" t="str">
        <x:f>IF(V1341="No","Maturing",IF(AND(U1341="Yes",Y1341&gt;0),"Yes","No"))</x:f>
        <x:v>No</x:v>
      </x:c>
      <x:c r="AB1341" s="253" t="str">
        <x:f>IF(W1341="No","Maturing",IF(AND(U1341="Yes",Z1341&gt;0),"Yes","No"))</x:f>
        <x:v>Maturing</x:v>
      </x:c>
      <x:c r="AC1341" s="265" t="n">
        <x:v>1900.19</x:v>
      </x:c>
      <x:c r="AD1341" s="265" t="n">
        <x:v>1900.19</x:v>
      </x:c>
      <x:c r="AE1341" s="271" t="str"/>
      <x:c r="AF1341" s="274" t="str">
        <x:v>Not validated - no control/holdout</x:v>
      </x:c>
      <x:c r="AG1341" s="277" t="str">
        <x:v>Recovered execution only; assignment date and unclaimed-offer denominator unavailable</x:v>
      </x:c>
    </x:row>
    <x:row r="1342">
      <x:c r="A1342" s="252" t="str">
        <x:v>5991701</x:v>
      </x:c>
      <x:c r="B1342" s="253" t="str">
        <x:v>WS1</x:v>
      </x:c>
      <x:c r="C1342" s="253" t="str">
        <x:v>MB8</x:v>
      </x:c>
      <x:c r="D1342" s="262" t="n">
        <x:v>46218.81826388889</x:v>
      </x:c>
      <x:c r="E1342" s="259" t="n">
        <x:v>46218.166666666664</x:v>
      </x:c>
      <x:c r="F1342" s="253" t="str">
        <x:v>533975</x:v>
      </x:c>
      <x:c r="G1342" s="253" t="str">
        <x:v>Eina4308</x:v>
      </x:c>
      <x:c r="H1342" s="253" t="str">
        <x:v>Yes</x:v>
      </x:c>
      <x:c r="I1342" s="253" t="str">
        <x:v>Claire</x:v>
      </x:c>
      <x:c r="J1342" s="253" t="str">
        <x:v>Claire</x:v>
      </x:c>
      <x:c r="K1342" s="259" t="n">
        <x:v>45790.166666666664</x:v>
      </x:c>
      <x:c r="L1342" s="268" t="str">
        <x:f>IFERROR(VLOOKUP(I1342,'Handler-Team Map'!$A$7:$C$17,2,FALSE),"")</x:f>
      </x:c>
      <x:c r="M1342" s="268" t="str">
        <x:f>IFERROR(VLOOKUP(I1342,'Handler-Team Map'!$A$7:$C$17,3,FALSE),"")</x:f>
      </x:c>
      <x:c r="N1342" s="274" t="str">
        <x:v>FT_VMFC_VARIABLE_3X</x:v>
      </x:c>
      <x:c r="O1342" s="274" t="str">
        <x:v>VIP SPECIAL FREE CREDIT - 3x TO</x:v>
      </x:c>
      <x:c r="P1342" s="274" t="str">
        <x:v>FreeCredit</x:v>
      </x:c>
      <x:c r="Q1342" s="274" t="str">
        <x:v>Redeemed</x:v>
      </x:c>
      <x:c r="R1342" s="265" t="n">
        <x:v>1288</x:v>
      </x:c>
      <x:c r="S1342" s="253" t="str">
        <x:v>Yes</x:v>
      </x:c>
      <x:c r="T1342" s="265" t="n">
        <x:v>0</x:v>
      </x:c>
      <x:c r="U1342" s="253" t="str">
        <x:f>IF(AND(S1342="Yes",T1342=0),"Yes","No")</x:f>
        <x:v>Yes</x:v>
      </x:c>
      <x:c r="V1342" s="253" t="str">
        <x:v>Yes</x:v>
      </x:c>
      <x:c r="W1342" s="253" t="str">
        <x:v>No</x:v>
      </x:c>
      <x:c r="X1342" s="259" t="n">
        <x:v>46219.166666666664</x:v>
      </x:c>
      <x:c r="Y1342" s="265" t="n">
        <x:v>150</x:v>
      </x:c>
      <x:c r="Z1342" s="265" t="n">
        <x:v>150</x:v>
      </x:c>
      <x:c r="AA1342" s="253" t="str">
        <x:f>IF(V1342="No","Maturing",IF(AND(U1342="Yes",Y1342&gt;0),"Yes","No"))</x:f>
        <x:v>Yes</x:v>
      </x:c>
      <x:c r="AB1342" s="253" t="str">
        <x:f>IF(W1342="No","Maturing",IF(AND(U1342="Yes",Z1342&gt;0),"Yes","No"))</x:f>
        <x:v>Maturing</x:v>
      </x:c>
      <x:c r="AC1342" s="265" t="n">
        <x:v>-1211.21</x:v>
      </x:c>
      <x:c r="AD1342" s="265" t="n">
        <x:v>-1211.26</x:v>
      </x:c>
      <x:c r="AE1342" s="271" t="str"/>
      <x:c r="AF1342" s="274" t="str">
        <x:v>Not validated - no control/holdout</x:v>
      </x:c>
      <x:c r="AG1342" s="277" t="str">
        <x:v>Recovered execution only; assignment date and unclaimed-offer denominator unavailable</x:v>
      </x:c>
    </x:row>
    <x:row r="1343">
      <x:c r="A1343" s="252" t="str">
        <x:v>34964959</x:v>
      </x:c>
      <x:c r="B1343" s="253" t="str">
        <x:v>WS1</x:v>
      </x:c>
      <x:c r="C1343" s="253" t="str">
        <x:v>MB8</x:v>
      </x:c>
      <x:c r="D1343" s="262" t="n">
        <x:v>46218.852847222224</x:v>
      </x:c>
      <x:c r="E1343" s="259" t="n">
        <x:v>46218.166666666664</x:v>
      </x:c>
      <x:c r="F1343" s="253" t="str">
        <x:v>306733</x:v>
      </x:c>
      <x:c r="G1343" s="253" t="str">
        <x:v>HC5140</x:v>
      </x:c>
      <x:c r="H1343" s="253" t="str">
        <x:v>Yes</x:v>
      </x:c>
      <x:c r="I1343" s="253" t="str">
        <x:v>Claire</x:v>
      </x:c>
      <x:c r="J1343" s="253" t="str">
        <x:v>Claire</x:v>
      </x:c>
      <x:c r="K1343" s="259" t="n">
        <x:v>45659.166666666664</x:v>
      </x:c>
      <x:c r="L1343" s="268" t="str">
        <x:f>IFERROR(VLOOKUP(I1343,'Handler-Team Map'!$A$7:$C$17,2,FALSE),"")</x:f>
      </x:c>
      <x:c r="M1343" s="268" t="str">
        <x:f>IFERROR(VLOOKUP(I1343,'Handler-Team Map'!$A$7:$C$17,3,FALSE),"")</x:f>
      </x:c>
      <x:c r="N1343" s="274" t="str">
        <x:v>FT_VM_DEP1000_GET500_5X</x:v>
      </x:c>
      <x:c r="O1343" s="274" t="str">
        <x:v>VIP BONUS - Deposit 1000 Get 500 - 5x TO</x:v>
      </x:c>
      <x:c r="P1343" s="274" t="str">
        <x:v>DepositBonus</x:v>
      </x:c>
      <x:c r="Q1343" s="274" t="str">
        <x:v>Approved</x:v>
      </x:c>
      <x:c r="R1343" s="265" t="n">
        <x:v>500</x:v>
      </x:c>
      <x:c r="S1343" s="253" t="str">
        <x:v>Yes</x:v>
      </x:c>
      <x:c r="T1343" s="265" t="n">
        <x:v>73434</x:v>
      </x:c>
      <x:c r="U1343" s="253" t="str">
        <x:f>IF(AND(S1343="Yes",T1343=0),"Yes","No")</x:f>
        <x:v>No</x:v>
      </x:c>
      <x:c r="V1343" s="253" t="str">
        <x:v>Yes</x:v>
      </x:c>
      <x:c r="W1343" s="253" t="str">
        <x:v>No</x:v>
      </x:c>
      <x:c r="X1343" s="259" t="n">
        <x:v>46218.166666666664</x:v>
      </x:c>
      <x:c r="Y1343" s="265" t="n">
        <x:v>15330</x:v>
      </x:c>
      <x:c r="Z1343" s="265" t="n">
        <x:v>18230</x:v>
      </x:c>
      <x:c r="AA1343" s="253" t="str">
        <x:f>IF(V1343="No","Maturing",IF(AND(U1343="Yes",Y1343&gt;0),"Yes","No"))</x:f>
        <x:v>No</x:v>
      </x:c>
      <x:c r="AB1343" s="253" t="str">
        <x:f>IF(W1343="No","Maturing",IF(AND(U1343="Yes",Z1343&gt;0),"Yes","No"))</x:f>
        <x:v>Maturing</x:v>
      </x:c>
      <x:c r="AC1343" s="265" t="n">
        <x:v>-667.96</x:v>
      </x:c>
      <x:c r="AD1343" s="265" t="n">
        <x:v>-1890.92</x:v>
      </x:c>
      <x:c r="AE1343" s="271" t="str"/>
      <x:c r="AF1343" s="274" t="str">
        <x:v>Not validated - no control/holdout</x:v>
      </x:c>
      <x:c r="AG1343" s="277" t="str">
        <x:v>Recovered execution only; assignment date and unclaimed-offer denominator unavailable</x:v>
      </x:c>
    </x:row>
    <x:row r="1344">
      <x:c r="A1344" s="252" t="str">
        <x:v>34965271</x:v>
      </x:c>
      <x:c r="B1344" s="253" t="str">
        <x:v>WS1</x:v>
      </x:c>
      <x:c r="C1344" s="253" t="str">
        <x:v>MB8</x:v>
      </x:c>
      <x:c r="D1344" s="262" t="n">
        <x:v>46218.871724537035</x:v>
      </x:c>
      <x:c r="E1344" s="259" t="n">
        <x:v>46218.166666666664</x:v>
      </x:c>
      <x:c r="F1344" s="253" t="str">
        <x:v>185699</x:v>
      </x:c>
      <x:c r="G1344" s="253" t="str">
        <x:v>Andy089</x:v>
      </x:c>
      <x:c r="H1344" s="253" t="str">
        <x:v>Yes</x:v>
      </x:c>
      <x:c r="I1344" s="253" t="str">
        <x:v>zhen</x:v>
      </x:c>
      <x:c r="J1344" s="253" t="str">
        <x:v>zhen</x:v>
      </x:c>
      <x:c r="K1344" s="259" t="n">
        <x:v>46090.166666666664</x:v>
      </x:c>
      <x:c r="L1344" s="268" t="str">
        <x:f>IFERROR(VLOOKUP(I1344,'Handler-Team Map'!$A$7:$C$17,2,FALSE),"")</x:f>
      </x:c>
      <x:c r="M1344" s="268" t="str">
        <x:f>IFERROR(VLOOKUP(I1344,'Handler-Team Map'!$A$7:$C$17,3,FALSE),"")</x:f>
      </x:c>
      <x:c r="N1344" s="274" t="str">
        <x:v>FT_VM_REL100PCT_X1</x:v>
      </x:c>
      <x:c r="O1344" s="274" t="str">
        <x:v>100% Reload Bonus - VIP Offer</x:v>
      </x:c>
      <x:c r="P1344" s="274" t="str">
        <x:v>DepositBonus</x:v>
      </x:c>
      <x:c r="Q1344" s="274" t="str">
        <x:v>Approved</x:v>
      </x:c>
      <x:c r="R1344" s="265" t="n">
        <x:v>1000</x:v>
      </x:c>
      <x:c r="S1344" s="253" t="str">
        <x:v>Yes</x:v>
      </x:c>
      <x:c r="T1344" s="265" t="n">
        <x:v>0</x:v>
      </x:c>
      <x:c r="U1344" s="253" t="str">
        <x:f>IF(AND(S1344="Yes",T1344=0),"Yes","No")</x:f>
        <x:v>Yes</x:v>
      </x:c>
      <x:c r="V1344" s="253" t="str">
        <x:v>Yes</x:v>
      </x:c>
      <x:c r="W1344" s="253" t="str">
        <x:v>No</x:v>
      </x:c>
      <x:c r="X1344" s="259" t="n">
        <x:v>46218.166666666664</x:v>
      </x:c>
      <x:c r="Y1344" s="265" t="n">
        <x:v>1000</x:v>
      </x:c>
      <x:c r="Z1344" s="265" t="n">
        <x:v>1000</x:v>
      </x:c>
      <x:c r="AA1344" s="253" t="str">
        <x:f>IF(V1344="No","Maturing",IF(AND(U1344="Yes",Y1344&gt;0),"Yes","No"))</x:f>
        <x:v>Yes</x:v>
      </x:c>
      <x:c r="AB1344" s="253" t="str">
        <x:f>IF(W1344="No","Maturing",IF(AND(U1344="Yes",Z1344&gt;0),"Yes","No"))</x:f>
        <x:v>Maturing</x:v>
      </x:c>
      <x:c r="AC1344" s="265" t="n">
        <x:v>-1297.6</x:v>
      </x:c>
      <x:c r="AD1344" s="265" t="n">
        <x:v>-1296.42</x:v>
      </x:c>
      <x:c r="AE1344" s="271" t="str"/>
      <x:c r="AF1344" s="274" t="str">
        <x:v>Not validated - no control/holdout</x:v>
      </x:c>
      <x:c r="AG1344" s="277" t="str">
        <x:v>Recovered execution only; assignment date and unclaimed-offer denominator unavailable</x:v>
      </x:c>
    </x:row>
    <x:row r="1345">
      <x:c r="A1345" s="252" t="str">
        <x:v>34965712</x:v>
      </x:c>
      <x:c r="B1345" s="253" t="str">
        <x:v>WS1</x:v>
      </x:c>
      <x:c r="C1345" s="253" t="str">
        <x:v>MB8</x:v>
      </x:c>
      <x:c r="D1345" s="262" t="n">
        <x:v>46218.89693287037</x:v>
      </x:c>
      <x:c r="E1345" s="259" t="n">
        <x:v>46218.166666666664</x:v>
      </x:c>
      <x:c r="F1345" s="253" t="str">
        <x:v>548421</x:v>
      </x:c>
      <x:c r="G1345" s="253" t="str">
        <x:v>RibutPetir</x:v>
      </x:c>
      <x:c r="H1345" s="253" t="str">
        <x:v>Yes</x:v>
      </x:c>
      <x:c r="I1345" s="253" t="str"/>
      <x:c r="J1345" s="253" t="str"/>
      <x:c r="K1345" s="259"/>
      <x:c r="L1345" s="268" t="str">
        <x:f>IFERROR(VLOOKUP(I1345,'Handler-Team Map'!$A$7:$C$17,2,FALSE),"")</x:f>
      </x:c>
      <x:c r="M1345" s="268" t="str">
        <x:f>IFERROR(VLOOKUP(I1345,'Handler-Team Map'!$A$7:$C$17,3,FALSE),"")</x:f>
      </x:c>
      <x:c r="N1345" s="274" t="str">
        <x:v>FT_VM_DEP600_GET200_5X</x:v>
      </x:c>
      <x:c r="O1345" s="274" t="str">
        <x:v>VIP BONUS - Deposit 600 Get 200 - 5x TO</x:v>
      </x:c>
      <x:c r="P1345" s="274" t="str">
        <x:v>DepositBonus</x:v>
      </x:c>
      <x:c r="Q1345" s="274" t="str">
        <x:v>Approved</x:v>
      </x:c>
      <x:c r="R1345" s="265" t="n">
        <x:v>200</x:v>
      </x:c>
      <x:c r="S1345" s="253" t="str">
        <x:v>Yes</x:v>
      </x:c>
      <x:c r="T1345" s="265" t="n">
        <x:v>3390</x:v>
      </x:c>
      <x:c r="U1345" s="253" t="str">
        <x:f>IF(AND(S1345="Yes",T1345=0),"Yes","No")</x:f>
        <x:v>No</x:v>
      </x:c>
      <x:c r="V1345" s="253" t="str">
        <x:v>Yes</x:v>
      </x:c>
      <x:c r="W1345" s="253" t="str">
        <x:v>No</x:v>
      </x:c>
      <x:c r="X1345" s="259" t="n">
        <x:v>46218.166666666664</x:v>
      </x:c>
      <x:c r="Y1345" s="265" t="n">
        <x:v>600</x:v>
      </x:c>
      <x:c r="Z1345" s="265" t="n">
        <x:v>600</x:v>
      </x:c>
      <x:c r="AA1345" s="253" t="str">
        <x:f>IF(V1345="No","Maturing",IF(AND(U1345="Yes",Y1345&gt;0),"Yes","No"))</x:f>
        <x:v>No</x:v>
      </x:c>
      <x:c r="AB1345" s="253" t="str">
        <x:f>IF(W1345="No","Maturing",IF(AND(U1345="Yes",Z1345&gt;0),"Yes","No"))</x:f>
        <x:v>Maturing</x:v>
      </x:c>
      <x:c r="AC1345" s="265" t="n">
        <x:v>599.63</x:v>
      </x:c>
      <x:c r="AD1345" s="265" t="n">
        <x:v>599.63</x:v>
      </x:c>
      <x:c r="AE1345" s="271" t="str"/>
      <x:c r="AF1345" s="274" t="str">
        <x:v>Not validated - no control/holdout</x:v>
      </x:c>
      <x:c r="AG1345" s="277" t="str">
        <x:v>Recovered execution only; assignment date and unclaimed-offer denominator unavailable</x:v>
      </x:c>
    </x:row>
    <x:row r="1346">
      <x:c r="A1346" s="252" t="str">
        <x:v>34966505</x:v>
      </x:c>
      <x:c r="B1346" s="253" t="str">
        <x:v>WS1</x:v>
      </x:c>
      <x:c r="C1346" s="253" t="str">
        <x:v>MB8</x:v>
      </x:c>
      <x:c r="D1346" s="262" t="n">
        <x:v>46218.94243055556</x:v>
      </x:c>
      <x:c r="E1346" s="259" t="n">
        <x:v>46218.166666666664</x:v>
      </x:c>
      <x:c r="F1346" s="253" t="str">
        <x:v>791892</x:v>
      </x:c>
      <x:c r="G1346" s="253" t="str">
        <x:v>asyrafazhar16</x:v>
      </x:c>
      <x:c r="H1346" s="253" t="str">
        <x:v>Yes</x:v>
      </x:c>
      <x:c r="I1346" s="253" t="str">
        <x:v>Mikki</x:v>
      </x:c>
      <x:c r="J1346" s="253" t="str">
        <x:v>Mikki</x:v>
      </x:c>
      <x:c r="K1346" s="259" t="n">
        <x:v>45993.166666666664</x:v>
      </x:c>
      <x:c r="L1346" s="268" t="str">
        <x:f>IFERROR(VLOOKUP(I1346,'Handler-Team Map'!$A$7:$C$17,2,FALSE),"")</x:f>
      </x:c>
      <x:c r="M1346" s="268" t="str">
        <x:f>IFERROR(VLOOKUP(I1346,'Handler-Team Map'!$A$7:$C$17,3,FALSE),"")</x:f>
      </x:c>
      <x:c r="N1346" s="274" t="str">
        <x:v>FT_VM_DEP1000_GET500_1X</x:v>
      </x:c>
      <x:c r="O1346" s="274" t="str">
        <x:v>VIP BONUS - Deposit 1000 Get 500 - 1x TO</x:v>
      </x:c>
      <x:c r="P1346" s="274" t="str">
        <x:v>DepositBonus</x:v>
      </x:c>
      <x:c r="Q1346" s="274" t="str">
        <x:v>Approved</x:v>
      </x:c>
      <x:c r="R1346" s="265" t="n">
        <x:v>500</x:v>
      </x:c>
      <x:c r="S1346" s="253" t="str">
        <x:v>Yes</x:v>
      </x:c>
      <x:c r="T1346" s="265" t="n">
        <x:v>0</x:v>
      </x:c>
      <x:c r="U1346" s="253" t="str">
        <x:f>IF(AND(S1346="Yes",T1346=0),"Yes","No")</x:f>
        <x:v>Yes</x:v>
      </x:c>
      <x:c r="V1346" s="253" t="str">
        <x:v>Yes</x:v>
      </x:c>
      <x:c r="W1346" s="253" t="str">
        <x:v>No</x:v>
      </x:c>
      <x:c r="X1346" s="259" t="n">
        <x:v>46218.166666666664</x:v>
      </x:c>
      <x:c r="Y1346" s="265" t="n">
        <x:v>1000</x:v>
      </x:c>
      <x:c r="Z1346" s="265" t="n">
        <x:v>1000</x:v>
      </x:c>
      <x:c r="AA1346" s="253" t="str">
        <x:f>IF(V1346="No","Maturing",IF(AND(U1346="Yes",Y1346&gt;0),"Yes","No"))</x:f>
        <x:v>Yes</x:v>
      </x:c>
      <x:c r="AB1346" s="253" t="str">
        <x:f>IF(W1346="No","Maturing",IF(AND(U1346="Yes",Z1346&gt;0),"Yes","No"))</x:f>
        <x:v>Maturing</x:v>
      </x:c>
      <x:c r="AC1346" s="265" t="n">
        <x:v>-2141.45</x:v>
      </x:c>
      <x:c r="AD1346" s="265" t="n">
        <x:v>-2141.45</x:v>
      </x:c>
      <x:c r="AE1346" s="271" t="str"/>
      <x:c r="AF1346" s="274" t="str">
        <x:v>Not validated - no control/holdout</x:v>
      </x:c>
      <x:c r="AG1346" s="277" t="str">
        <x:v>Recovered execution only; assignment date and unclaimed-offer denominator unavailable</x:v>
      </x:c>
    </x:row>
    <x:row r="1347">
      <x:c r="A1347" s="252" t="str">
        <x:v>34967440</x:v>
      </x:c>
      <x:c r="B1347" s="253" t="str">
        <x:v>WS1</x:v>
      </x:c>
      <x:c r="C1347" s="253" t="str">
        <x:v>MB8</x:v>
      </x:c>
      <x:c r="D1347" s="262" t="n">
        <x:v>46218.99030092593</x:v>
      </x:c>
      <x:c r="E1347" s="259" t="n">
        <x:v>46218.166666666664</x:v>
      </x:c>
      <x:c r="F1347" s="253" t="str">
        <x:v>1044016</x:v>
      </x:c>
      <x:c r="G1347" s="253" t="str">
        <x:v>crapssam</x:v>
      </x:c>
      <x:c r="H1347" s="253" t="str">
        <x:v>Yes</x:v>
      </x:c>
      <x:c r="I1347" s="253" t="str">
        <x:v>Christy</x:v>
      </x:c>
      <x:c r="J1347" s="253" t="str">
        <x:v>Christy</x:v>
      </x:c>
      <x:c r="K1347" s="259" t="n">
        <x:v>45831.166666666664</x:v>
      </x:c>
      <x:c r="L1347" s="268" t="str">
        <x:f>IFERROR(VLOOKUP(I1347,'Handler-Team Map'!$A$7:$C$17,2,FALSE),"")</x:f>
      </x:c>
      <x:c r="M1347" s="268" t="str">
        <x:f>IFERROR(VLOOKUP(I1347,'Handler-Team Map'!$A$7:$C$17,3,FALSE),"")</x:f>
      </x:c>
      <x:c r="N1347" s="274" t="str">
        <x:v>FT_VM_DEP1000_GET500_5X</x:v>
      </x:c>
      <x:c r="O1347" s="274" t="str">
        <x:v>VIP BONUS - Deposit 1000 Get 500 - 5x TO</x:v>
      </x:c>
      <x:c r="P1347" s="274" t="str">
        <x:v>DepositBonus</x:v>
      </x:c>
      <x:c r="Q1347" s="274" t="str">
        <x:v>Approved</x:v>
      </x:c>
      <x:c r="R1347" s="265" t="n">
        <x:v>500</x:v>
      </x:c>
      <x:c r="S1347" s="253" t="str">
        <x:v>Yes</x:v>
      </x:c>
      <x:c r="T1347" s="265" t="n">
        <x:v>4400</x:v>
      </x:c>
      <x:c r="U1347" s="253" t="str">
        <x:f>IF(AND(S1347="Yes",T1347=0),"Yes","No")</x:f>
        <x:v>No</x:v>
      </x:c>
      <x:c r="V1347" s="253" t="str">
        <x:v>Yes</x:v>
      </x:c>
      <x:c r="W1347" s="253" t="str">
        <x:v>No</x:v>
      </x:c>
      <x:c r="X1347" s="259" t="n">
        <x:v>46218.166666666664</x:v>
      </x:c>
      <x:c r="Y1347" s="265" t="n">
        <x:v>1000</x:v>
      </x:c>
      <x:c r="Z1347" s="265" t="n">
        <x:v>1000</x:v>
      </x:c>
      <x:c r="AA1347" s="253" t="str">
        <x:f>IF(V1347="No","Maturing",IF(AND(U1347="Yes",Y1347&gt;0),"Yes","No"))</x:f>
        <x:v>No</x:v>
      </x:c>
      <x:c r="AB1347" s="253" t="str">
        <x:f>IF(W1347="No","Maturing",IF(AND(U1347="Yes",Z1347&gt;0),"Yes","No"))</x:f>
        <x:v>Maturing</x:v>
      </x:c>
      <x:c r="AC1347" s="265" t="n">
        <x:v>895.5</x:v>
      </x:c>
      <x:c r="AD1347" s="265" t="n">
        <x:v>895.5</x:v>
      </x:c>
      <x:c r="AE1347" s="271" t="str"/>
      <x:c r="AF1347" s="274" t="str">
        <x:v>Not validated - no control/holdout</x:v>
      </x:c>
      <x:c r="AG1347" s="277" t="str">
        <x:v>Recovered execution only; assignment date and unclaimed-offer denominator unavailable</x:v>
      </x:c>
    </x:row>
    <x:row r="1348">
      <x:c r="A1348" s="252" t="str">
        <x:v>34967772</x:v>
      </x:c>
      <x:c r="B1348" s="253" t="str">
        <x:v>WS1</x:v>
      </x:c>
      <x:c r="C1348" s="253" t="str">
        <x:v>MB8</x:v>
      </x:c>
      <x:c r="D1348" s="262" t="n">
        <x:v>46219.0077662037</x:v>
      </x:c>
      <x:c r="E1348" s="259" t="n">
        <x:v>46219.166666666664</x:v>
      </x:c>
      <x:c r="F1348" s="253" t="str">
        <x:v>977657</x:v>
      </x:c>
      <x:c r="G1348" s="253" t="str">
        <x:v>CSS8897</x:v>
      </x:c>
      <x:c r="H1348" s="253" t="str">
        <x:v>Yes</x:v>
      </x:c>
      <x:c r="I1348" s="253" t="str">
        <x:v>zhen</x:v>
      </x:c>
      <x:c r="J1348" s="253" t="str">
        <x:v>zhen</x:v>
      </x:c>
      <x:c r="K1348" s="259" t="n">
        <x:v>45922.166666666664</x:v>
      </x:c>
      <x:c r="L1348" s="268" t="str">
        <x:f>IFERROR(VLOOKUP(I1348,'Handler-Team Map'!$A$7:$C$17,2,FALSE),"")</x:f>
      </x:c>
      <x:c r="M1348" s="268" t="str">
        <x:f>IFERROR(VLOOKUP(I1348,'Handler-Team Map'!$A$7:$C$17,3,FALSE),"")</x:f>
      </x:c>
      <x:c r="N1348" s="274" t="str">
        <x:v>FT_VM_DEP1000_GET800_1X</x:v>
      </x:c>
      <x:c r="O1348" s="274" t="str">
        <x:v>VIP BONUS - Deposit 1000 Get 800 - 1x TO</x:v>
      </x:c>
      <x:c r="P1348" s="274" t="str">
        <x:v>DepositBonus</x:v>
      </x:c>
      <x:c r="Q1348" s="274" t="str">
        <x:v>Approved</x:v>
      </x:c>
      <x:c r="R1348" s="265" t="n">
        <x:v>800</x:v>
      </x:c>
      <x:c r="S1348" s="253" t="str">
        <x:v>Yes</x:v>
      </x:c>
      <x:c r="T1348" s="265" t="n">
        <x:v>1000</x:v>
      </x:c>
      <x:c r="U1348" s="253" t="str">
        <x:f>IF(AND(S1348="Yes",T1348=0),"Yes","No")</x:f>
        <x:v>No</x:v>
      </x:c>
      <x:c r="V1348" s="253" t="str">
        <x:v>Yes</x:v>
      </x:c>
      <x:c r="W1348" s="253" t="str">
        <x:v>No</x:v>
      </x:c>
      <x:c r="X1348" s="259" t="n">
        <x:v>46219.166666666664</x:v>
      </x:c>
      <x:c r="Y1348" s="265" t="n">
        <x:v>3300</x:v>
      </x:c>
      <x:c r="Z1348" s="265" t="n">
        <x:v>3300</x:v>
      </x:c>
      <x:c r="AA1348" s="253" t="str">
        <x:f>IF(V1348="No","Maturing",IF(AND(U1348="Yes",Y1348&gt;0),"Yes","No"))</x:f>
        <x:v>No</x:v>
      </x:c>
      <x:c r="AB1348" s="253" t="str">
        <x:f>IF(W1348="No","Maturing",IF(AND(U1348="Yes",Z1348&gt;0),"Yes","No"))</x:f>
        <x:v>Maturing</x:v>
      </x:c>
      <x:c r="AC1348" s="265" t="n">
        <x:v>-181.26</x:v>
      </x:c>
      <x:c r="AD1348" s="265" t="n">
        <x:v>-181.26</x:v>
      </x:c>
      <x:c r="AE1348" s="271" t="str"/>
      <x:c r="AF1348" s="274" t="str">
        <x:v>Not validated - no control/holdout</x:v>
      </x:c>
      <x:c r="AG1348" s="277" t="str">
        <x:v>Recovered execution only; assignment date and unclaimed-offer denominator unavailable</x:v>
      </x:c>
    </x:row>
    <x:row r="1349">
      <x:c r="A1349" s="252" t="str">
        <x:v>34967905</x:v>
      </x:c>
      <x:c r="B1349" s="253" t="str">
        <x:v>WS1</x:v>
      </x:c>
      <x:c r="C1349" s="253" t="str">
        <x:v>MB8</x:v>
      </x:c>
      <x:c r="D1349" s="262" t="n">
        <x:v>46219.01284722222</x:v>
      </x:c>
      <x:c r="E1349" s="259" t="n">
        <x:v>46219.166666666664</x:v>
      </x:c>
      <x:c r="F1349" s="253" t="str">
        <x:v>310009</x:v>
      </x:c>
      <x:c r="G1349" s="253" t="str">
        <x:v>Cikopat87</x:v>
      </x:c>
      <x:c r="H1349" s="253" t="str">
        <x:v>Yes</x:v>
      </x:c>
      <x:c r="I1349" s="253" t="str">
        <x:v>Elda</x:v>
      </x:c>
      <x:c r="J1349" s="253" t="str">
        <x:v>Elda</x:v>
      </x:c>
      <x:c r="K1349" s="259" t="n">
        <x:v>45659.166666666664</x:v>
      </x:c>
      <x:c r="L1349" s="268" t="str">
        <x:f>IFERROR(VLOOKUP(I1349,'Handler-Team Map'!$A$7:$C$17,2,FALSE),"")</x:f>
      </x:c>
      <x:c r="M1349" s="268" t="str">
        <x:f>IFERROR(VLOOKUP(I1349,'Handler-Team Map'!$A$7:$C$17,3,FALSE),"")</x:f>
      </x:c>
      <x:c r="N1349" s="274" t="str">
        <x:v>FT_VM_DEP1000_GET800_2X</x:v>
      </x:c>
      <x:c r="O1349" s="274" t="str">
        <x:v>VIP BONUS - Deposit 1000 Get 800 - 2x TO</x:v>
      </x:c>
      <x:c r="P1349" s="274" t="str">
        <x:v>DepositBonus</x:v>
      </x:c>
      <x:c r="Q1349" s="274" t="str">
        <x:v>Approved</x:v>
      </x:c>
      <x:c r="R1349" s="265" t="n">
        <x:v>800</x:v>
      </x:c>
      <x:c r="S1349" s="253" t="str">
        <x:v>Yes</x:v>
      </x:c>
      <x:c r="T1349" s="265" t="n">
        <x:v>3750</x:v>
      </x:c>
      <x:c r="U1349" s="253" t="str">
        <x:f>IF(AND(S1349="Yes",T1349=0),"Yes","No")</x:f>
        <x:v>No</x:v>
      </x:c>
      <x:c r="V1349" s="253" t="str">
        <x:v>Yes</x:v>
      </x:c>
      <x:c r="W1349" s="253" t="str">
        <x:v>No</x:v>
      </x:c>
      <x:c r="X1349" s="259" t="n">
        <x:v>46219.166666666664</x:v>
      </x:c>
      <x:c r="Y1349" s="265" t="n">
        <x:v>2000</x:v>
      </x:c>
      <x:c r="Z1349" s="265" t="n">
        <x:v>2000</x:v>
      </x:c>
      <x:c r="AA1349" s="253" t="str">
        <x:f>IF(V1349="No","Maturing",IF(AND(U1349="Yes",Y1349&gt;0),"Yes","No"))</x:f>
        <x:v>No</x:v>
      </x:c>
      <x:c r="AB1349" s="253" t="str">
        <x:f>IF(W1349="No","Maturing",IF(AND(U1349="Yes",Z1349&gt;0),"Yes","No"))</x:f>
        <x:v>Maturing</x:v>
      </x:c>
      <x:c r="AC1349" s="265" t="n">
        <x:v>2000.1</x:v>
      </x:c>
      <x:c r="AD1349" s="265" t="n">
        <x:v>2000.1</x:v>
      </x:c>
      <x:c r="AE1349" s="271" t="str"/>
      <x:c r="AF1349" s="274" t="str">
        <x:v>Not validated - no control/holdout</x:v>
      </x:c>
      <x:c r="AG1349" s="277" t="str">
        <x:v>Recovered execution only; assignment date and unclaimed-offer denominator unavailable</x:v>
      </x:c>
    </x:row>
    <x:row r="1350">
      <x:c r="A1350" s="252" t="str">
        <x:v>34968131</x:v>
      </x:c>
      <x:c r="B1350" s="253" t="str">
        <x:v>WS1</x:v>
      </x:c>
      <x:c r="C1350" s="253" t="str">
        <x:v>MB8</x:v>
      </x:c>
      <x:c r="D1350" s="262" t="n">
        <x:v>46219.02505787037</x:v>
      </x:c>
      <x:c r="E1350" s="259" t="n">
        <x:v>46219.166666666664</x:v>
      </x:c>
      <x:c r="F1350" s="253" t="str">
        <x:v>660486</x:v>
      </x:c>
      <x:c r="G1350" s="253" t="str">
        <x:v>jrao83</x:v>
      </x:c>
      <x:c r="H1350" s="253" t="str">
        <x:v>Yes</x:v>
      </x:c>
      <x:c r="I1350" s="253" t="str">
        <x:v>Kam</x:v>
      </x:c>
      <x:c r="J1350" s="253" t="str">
        <x:v>Kam</x:v>
      </x:c>
      <x:c r="K1350" s="259" t="n">
        <x:v>45951.166666666664</x:v>
      </x:c>
      <x:c r="L1350" s="268" t="str">
        <x:f>IFERROR(VLOOKUP(I1350,'Handler-Team Map'!$A$7:$C$17,2,FALSE),"")</x:f>
      </x:c>
      <x:c r="M1350" s="268" t="str">
        <x:f>IFERROR(VLOOKUP(I1350,'Handler-Team Map'!$A$7:$C$17,3,FALSE),"")</x:f>
      </x:c>
      <x:c r="N1350" s="274" t="str">
        <x:v>FT_VM_DEP1000_GET900_1X</x:v>
      </x:c>
      <x:c r="O1350" s="274" t="str">
        <x:v>VIP BONUS - Deposit 1000 Get 900 - 1x TO</x:v>
      </x:c>
      <x:c r="P1350" s="274" t="str">
        <x:v>DepositBonus</x:v>
      </x:c>
      <x:c r="Q1350" s="274" t="str">
        <x:v>Approved</x:v>
      </x:c>
      <x:c r="R1350" s="265" t="n">
        <x:v>900</x:v>
      </x:c>
      <x:c r="S1350" s="253" t="str">
        <x:v>Yes</x:v>
      </x:c>
      <x:c r="T1350" s="265" t="n">
        <x:v>8500</x:v>
      </x:c>
      <x:c r="U1350" s="253" t="str">
        <x:f>IF(AND(S1350="Yes",T1350=0),"Yes","No")</x:f>
        <x:v>No</x:v>
      </x:c>
      <x:c r="V1350" s="253" t="str">
        <x:v>Yes</x:v>
      </x:c>
      <x:c r="W1350" s="253" t="str">
        <x:v>No</x:v>
      </x:c>
      <x:c r="X1350" s="259" t="n">
        <x:v>46219.166666666664</x:v>
      </x:c>
      <x:c r="Y1350" s="265" t="n">
        <x:v>1000</x:v>
      </x:c>
      <x:c r="Z1350" s="265" t="n">
        <x:v>1000</x:v>
      </x:c>
      <x:c r="AA1350" s="253" t="str">
        <x:f>IF(V1350="No","Maturing",IF(AND(U1350="Yes",Y1350&gt;0),"Yes","No"))</x:f>
        <x:v>No</x:v>
      </x:c>
      <x:c r="AB1350" s="253" t="str">
        <x:f>IF(W1350="No","Maturing",IF(AND(U1350="Yes",Z1350&gt;0),"Yes","No"))</x:f>
        <x:v>Maturing</x:v>
      </x:c>
      <x:c r="AC1350" s="265" t="n">
        <x:v>968.8</x:v>
      </x:c>
      <x:c r="AD1350" s="265" t="n">
        <x:v>968.8</x:v>
      </x:c>
      <x:c r="AE1350" s="271" t="str"/>
      <x:c r="AF1350" s="274" t="str">
        <x:v>Not validated - no control/holdout</x:v>
      </x:c>
      <x:c r="AG1350" s="277" t="str">
        <x:v>Recovered execution only; assignment date and unclaimed-offer denominator unavailable</x:v>
      </x:c>
    </x:row>
    <x:row r="1351">
      <x:c r="A1351" s="252" t="str">
        <x:v>34969191</x:v>
      </x:c>
      <x:c r="B1351" s="253" t="str">
        <x:v>WS1</x:v>
      </x:c>
      <x:c r="C1351" s="253" t="str">
        <x:v>MB8</x:v>
      </x:c>
      <x:c r="D1351" s="262" t="n">
        <x:v>46219.090208333335</x:v>
      </x:c>
      <x:c r="E1351" s="259" t="n">
        <x:v>46219.166666666664</x:v>
      </x:c>
      <x:c r="F1351" s="253" t="str">
        <x:v>788711</x:v>
      </x:c>
      <x:c r="G1351" s="253" t="str">
        <x:v>ientao945</x:v>
      </x:c>
      <x:c r="H1351" s="253" t="str">
        <x:v>Yes</x:v>
      </x:c>
      <x:c r="I1351" s="253" t="str">
        <x:v>zhen</x:v>
      </x:c>
      <x:c r="J1351" s="253" t="str">
        <x:v>zhen</x:v>
      </x:c>
      <x:c r="K1351" s="259" t="n">
        <x:v>45880.166666666664</x:v>
      </x:c>
      <x:c r="L1351" s="268" t="str">
        <x:f>IFERROR(VLOOKUP(I1351,'Handler-Team Map'!$A$7:$C$17,2,FALSE),"")</x:f>
      </x:c>
      <x:c r="M1351" s="268" t="str">
        <x:f>IFERROR(VLOOKUP(I1351,'Handler-Team Map'!$A$7:$C$17,3,FALSE),"")</x:f>
      </x:c>
      <x:c r="N1351" s="274" t="str">
        <x:v>FT_VM_DEP800_GET400_2X</x:v>
      </x:c>
      <x:c r="O1351" s="274" t="str">
        <x:v>VIP BONUS - Deposit 800 Get 400 - 2x TO</x:v>
      </x:c>
      <x:c r="P1351" s="274" t="str">
        <x:v>DepositBonus</x:v>
      </x:c>
      <x:c r="Q1351" s="274" t="str">
        <x:v>Approved</x:v>
      </x:c>
      <x:c r="R1351" s="265" t="n">
        <x:v>400</x:v>
      </x:c>
      <x:c r="S1351" s="253" t="str">
        <x:v>Yes</x:v>
      </x:c>
      <x:c r="T1351" s="265" t="n">
        <x:v>3895</x:v>
      </x:c>
      <x:c r="U1351" s="253" t="str">
        <x:f>IF(AND(S1351="Yes",T1351=0),"Yes","No")</x:f>
        <x:v>No</x:v>
      </x:c>
      <x:c r="V1351" s="253" t="str">
        <x:v>Yes</x:v>
      </x:c>
      <x:c r="W1351" s="253" t="str">
        <x:v>No</x:v>
      </x:c>
      <x:c r="X1351" s="259" t="n">
        <x:v>46219.166666666664</x:v>
      </x:c>
      <x:c r="Y1351" s="265" t="n">
        <x:v>2601</x:v>
      </x:c>
      <x:c r="Z1351" s="265" t="n">
        <x:v>2601</x:v>
      </x:c>
      <x:c r="AA1351" s="253" t="str">
        <x:f>IF(V1351="No","Maturing",IF(AND(U1351="Yes",Y1351&gt;0),"Yes","No"))</x:f>
        <x:v>No</x:v>
      </x:c>
      <x:c r="AB1351" s="253" t="str">
        <x:f>IF(W1351="No","Maturing",IF(AND(U1351="Yes",Z1351&gt;0),"Yes","No"))</x:f>
        <x:v>Maturing</x:v>
      </x:c>
      <x:c r="AC1351" s="265" t="n">
        <x:v>-1832.03</x:v>
      </x:c>
      <x:c r="AD1351" s="265" t="n">
        <x:v>-1832.03</x:v>
      </x:c>
      <x:c r="AE1351" s="271" t="str"/>
      <x:c r="AF1351" s="274" t="str">
        <x:v>Not validated - no control/holdout</x:v>
      </x:c>
      <x:c r="AG1351" s="277" t="str">
        <x:v>Recovered execution only; assignment date and unclaimed-offer denominator unavailable</x:v>
      </x:c>
    </x:row>
    <x:row r="1352">
      <x:c r="A1352" s="252" t="str">
        <x:v>34969292</x:v>
      </x:c>
      <x:c r="B1352" s="253" t="str">
        <x:v>WS1</x:v>
      </x:c>
      <x:c r="C1352" s="253" t="str">
        <x:v>MB8</x:v>
      </x:c>
      <x:c r="D1352" s="262" t="n">
        <x:v>46219.0987962963</x:v>
      </x:c>
      <x:c r="E1352" s="259" t="n">
        <x:v>46219.166666666664</x:v>
      </x:c>
      <x:c r="F1352" s="253" t="str">
        <x:v>214339</x:v>
      </x:c>
      <x:c r="G1352" s="253" t="str">
        <x:v>HVa6168</x:v>
      </x:c>
      <x:c r="H1352" s="253" t="str">
        <x:v>Yes</x:v>
      </x:c>
      <x:c r="I1352" s="253" t="str"/>
      <x:c r="J1352" s="253" t="str"/>
      <x:c r="K1352" s="259"/>
      <x:c r="L1352" s="268" t="str">
        <x:f>IFERROR(VLOOKUP(I1352,'Handler-Team Map'!$A$7:$C$17,2,FALSE),"")</x:f>
      </x:c>
      <x:c r="M1352" s="268" t="str">
        <x:f>IFERROR(VLOOKUP(I1352,'Handler-Team Map'!$A$7:$C$17,3,FALSE),"")</x:f>
      </x:c>
      <x:c r="N1352" s="274" t="str">
        <x:v>FT_VM_REL100PCT_X1</x:v>
      </x:c>
      <x:c r="O1352" s="274" t="str">
        <x:v>100% Reload Bonus - VIP Offer</x:v>
      </x:c>
      <x:c r="P1352" s="274" t="str">
        <x:v>DepositBonus</x:v>
      </x:c>
      <x:c r="Q1352" s="274" t="str">
        <x:v>Approved</x:v>
      </x:c>
      <x:c r="R1352" s="265" t="n">
        <x:v>1000</x:v>
      </x:c>
      <x:c r="S1352" s="253" t="str">
        <x:v>Yes</x:v>
      </x:c>
      <x:c r="T1352" s="265" t="n">
        <x:v>2000</x:v>
      </x:c>
      <x:c r="U1352" s="253" t="str">
        <x:f>IF(AND(S1352="Yes",T1352=0),"Yes","No")</x:f>
        <x:v>No</x:v>
      </x:c>
      <x:c r="V1352" s="253" t="str">
        <x:v>Yes</x:v>
      </x:c>
      <x:c r="W1352" s="253" t="str">
        <x:v>No</x:v>
      </x:c>
      <x:c r="X1352" s="259" t="n">
        <x:v>46219.166666666664</x:v>
      </x:c>
      <x:c r="Y1352" s="265" t="n">
        <x:v>28600</x:v>
      </x:c>
      <x:c r="Z1352" s="265" t="n">
        <x:v>28600</x:v>
      </x:c>
      <x:c r="AA1352" s="253" t="str">
        <x:f>IF(V1352="No","Maturing",IF(AND(U1352="Yes",Y1352&gt;0),"Yes","No"))</x:f>
        <x:v>No</x:v>
      </x:c>
      <x:c r="AB1352" s="253" t="str">
        <x:f>IF(W1352="No","Maturing",IF(AND(U1352="Yes",Z1352&gt;0),"Yes","No"))</x:f>
        <x:v>Maturing</x:v>
      </x:c>
      <x:c r="AC1352" s="265" t="n">
        <x:v>3171.91</x:v>
      </x:c>
      <x:c r="AD1352" s="265" t="n">
        <x:v>3171.91</x:v>
      </x:c>
      <x:c r="AE1352" s="271" t="str"/>
      <x:c r="AF1352" s="274" t="str">
        <x:v>Not validated - no control/holdout</x:v>
      </x:c>
      <x:c r="AG1352" s="277" t="str">
        <x:v>Recovered execution only; assignment date and unclaimed-offer denominator unavailable</x:v>
      </x:c>
    </x:row>
    <x:row r="1353">
      <x:c r="A1353" s="252" t="str">
        <x:v>34969301</x:v>
      </x:c>
      <x:c r="B1353" s="253" t="str">
        <x:v>WS1</x:v>
      </x:c>
      <x:c r="C1353" s="253" t="str">
        <x:v>MB8</x:v>
      </x:c>
      <x:c r="D1353" s="262" t="n">
        <x:v>46219.099444444444</x:v>
      </x:c>
      <x:c r="E1353" s="259" t="n">
        <x:v>46219.166666666664</x:v>
      </x:c>
      <x:c r="F1353" s="253" t="str">
        <x:v>195813</x:v>
      </x:c>
      <x:c r="G1353" s="253" t="str">
        <x:v>Veq5774</x:v>
      </x:c>
      <x:c r="H1353" s="253" t="str">
        <x:v>Yes</x:v>
      </x:c>
      <x:c r="I1353" s="253" t="str">
        <x:v>Elda</x:v>
      </x:c>
      <x:c r="J1353" s="253" t="str">
        <x:v>Elda</x:v>
      </x:c>
      <x:c r="K1353" s="259" t="n">
        <x:v>45659.166666666664</x:v>
      </x:c>
      <x:c r="L1353" s="268" t="str">
        <x:f>IFERROR(VLOOKUP(I1353,'Handler-Team Map'!$A$7:$C$17,2,FALSE),"")</x:f>
      </x:c>
      <x:c r="M1353" s="268" t="str">
        <x:f>IFERROR(VLOOKUP(I1353,'Handler-Team Map'!$A$7:$C$17,3,FALSE),"")</x:f>
      </x:c>
      <x:c r="N1353" s="274" t="str">
        <x:v>FT_VM_DEP1000_GET1000_1X</x:v>
      </x:c>
      <x:c r="O1353" s="274" t="str">
        <x:v>VIP BONUS - Deposit 1000 Get 1000 - 1x TO</x:v>
      </x:c>
      <x:c r="P1353" s="274" t="str">
        <x:v>DepositBonus</x:v>
      </x:c>
      <x:c r="Q1353" s="274" t="str">
        <x:v>Approved</x:v>
      </x:c>
      <x:c r="R1353" s="265" t="n">
        <x:v>1000</x:v>
      </x:c>
      <x:c r="S1353" s="253" t="str">
        <x:v>Yes</x:v>
      </x:c>
      <x:c r="T1353" s="265" t="n">
        <x:v>201878</x:v>
      </x:c>
      <x:c r="U1353" s="253" t="str">
        <x:f>IF(AND(S1353="Yes",T1353=0),"Yes","No")</x:f>
        <x:v>No</x:v>
      </x:c>
      <x:c r="V1353" s="253" t="str">
        <x:v>Yes</x:v>
      </x:c>
      <x:c r="W1353" s="253" t="str">
        <x:v>No</x:v>
      </x:c>
      <x:c r="X1353" s="259" t="n">
        <x:v>46219.166666666664</x:v>
      </x:c>
      <x:c r="Y1353" s="265" t="n">
        <x:v>62396</x:v>
      </x:c>
      <x:c r="Z1353" s="265" t="n">
        <x:v>72242</x:v>
      </x:c>
      <x:c r="AA1353" s="253" t="str">
        <x:f>IF(V1353="No","Maturing",IF(AND(U1353="Yes",Y1353&gt;0),"Yes","No"))</x:f>
        <x:v>No</x:v>
      </x:c>
      <x:c r="AB1353" s="253" t="str">
        <x:f>IF(W1353="No","Maturing",IF(AND(U1353="Yes",Z1353&gt;0),"Yes","No"))</x:f>
        <x:v>Maturing</x:v>
      </x:c>
      <x:c r="AC1353" s="265" t="n">
        <x:v>-24768.96</x:v>
      </x:c>
      <x:c r="AD1353" s="265" t="n">
        <x:v>-8029.56</x:v>
      </x:c>
      <x:c r="AE1353" s="271" t="str"/>
      <x:c r="AF1353" s="274" t="str">
        <x:v>Not validated - no control/holdout</x:v>
      </x:c>
      <x:c r="AG1353" s="277" t="str">
        <x:v>Recovered execution only; assignment date and unclaimed-offer denominator unavailable</x:v>
      </x:c>
    </x:row>
    <x:row r="1354">
      <x:c r="A1354" s="252" t="str">
        <x:v>6006488</x:v>
      </x:c>
      <x:c r="B1354" s="253" t="str">
        <x:v>WS1</x:v>
      </x:c>
      <x:c r="C1354" s="253" t="str">
        <x:v>MB8</x:v>
      </x:c>
      <x:c r="D1354" s="262" t="n">
        <x:v>46219.55372685185</x:v>
      </x:c>
      <x:c r="E1354" s="259" t="n">
        <x:v>46219.166666666664</x:v>
      </x:c>
      <x:c r="F1354" s="253" t="str">
        <x:v>44567</x:v>
      </x:c>
      <x:c r="G1354" s="253" t="str">
        <x:v>AHCAI91</x:v>
      </x:c>
      <x:c r="H1354" s="253" t="str">
        <x:v>Yes</x:v>
      </x:c>
      <x:c r="I1354" s="253" t="str">
        <x:v>Kam</x:v>
      </x:c>
      <x:c r="J1354" s="253" t="str">
        <x:v>Kam</x:v>
      </x:c>
      <x:c r="K1354" s="259" t="n">
        <x:v>45951.166666666664</x:v>
      </x:c>
      <x:c r="L1354" s="268" t="str">
        <x:f>IFERROR(VLOOKUP(I1354,'Handler-Team Map'!$A$7:$C$17,2,FALSE),"")</x:f>
      </x:c>
      <x:c r="M1354" s="268" t="str">
        <x:f>IFERROR(VLOOKUP(I1354,'Handler-Team Map'!$A$7:$C$17,3,FALSE),"")</x:f>
      </x:c>
      <x:c r="N1354" s="274" t="str">
        <x:v>FT_VMFC_VARIABLE_3X</x:v>
      </x:c>
      <x:c r="O1354" s="274" t="str">
        <x:v>VIP SPECIAL FREE CREDIT - 3x TO</x:v>
      </x:c>
      <x:c r="P1354" s="274" t="str">
        <x:v>FreeCredit</x:v>
      </x:c>
      <x:c r="Q1354" s="274" t="str">
        <x:v>Redeemed</x:v>
      </x:c>
      <x:c r="R1354" s="265" t="n">
        <x:v>888</x:v>
      </x:c>
      <x:c r="S1354" s="253" t="str">
        <x:v>Yes</x:v>
      </x:c>
      <x:c r="T1354" s="265" t="n">
        <x:v>0</x:v>
      </x:c>
      <x:c r="U1354" s="253" t="str">
        <x:f>IF(AND(S1354="Yes",T1354=0),"Yes","No")</x:f>
        <x:v>Yes</x:v>
      </x:c>
      <x:c r="V1354" s="253" t="str">
        <x:v>Yes</x:v>
      </x:c>
      <x:c r="W1354" s="253" t="str">
        <x:v>No</x:v>
      </x:c>
      <x:c r="X1354" s="259" t="n">
        <x:v>46219.166666666664</x:v>
      </x:c>
      <x:c r="Y1354" s="265" t="n">
        <x:v>1168</x:v>
      </x:c>
      <x:c r="Z1354" s="265" t="n">
        <x:v>1168</x:v>
      </x:c>
      <x:c r="AA1354" s="253" t="str">
        <x:f>IF(V1354="No","Maturing",IF(AND(U1354="Yes",Y1354&gt;0),"Yes","No"))</x:f>
        <x:v>Yes</x:v>
      </x:c>
      <x:c r="AB1354" s="253" t="str">
        <x:f>IF(W1354="No","Maturing",IF(AND(U1354="Yes",Z1354&gt;0),"Yes","No"))</x:f>
        <x:v>Maturing</x:v>
      </x:c>
      <x:c r="AC1354" s="265" t="n">
        <x:v>-1631.95</x:v>
      </x:c>
      <x:c r="AD1354" s="265" t="n">
        <x:v>-1631.95</x:v>
      </x:c>
      <x:c r="AE1354" s="271" t="str"/>
      <x:c r="AF1354" s="274" t="str">
        <x:v>Not validated - no control/holdout</x:v>
      </x:c>
      <x:c r="AG1354" s="277" t="str">
        <x:v>Recovered execution only; assignment date and unclaimed-offer denominator unavailable</x:v>
      </x:c>
    </x:row>
    <x:row r="1355">
      <x:c r="A1355" s="252" t="str">
        <x:v>6006618</x:v>
      </x:c>
      <x:c r="B1355" s="253" t="str">
        <x:v>WS1</x:v>
      </x:c>
      <x:c r="C1355" s="253" t="str">
        <x:v>MB8</x:v>
      </x:c>
      <x:c r="D1355" s="262" t="n">
        <x:v>46219.598391203705</x:v>
      </x:c>
      <x:c r="E1355" s="259" t="n">
        <x:v>46219.166666666664</x:v>
      </x:c>
      <x:c r="F1355" s="253" t="str">
        <x:v>624944</x:v>
      </x:c>
      <x:c r="G1355" s="253" t="str">
        <x:v>sl4751</x:v>
      </x:c>
      <x:c r="H1355" s="253" t="str">
        <x:v>Yes</x:v>
      </x:c>
      <x:c r="I1355" s="253" t="str">
        <x:v>Elda</x:v>
      </x:c>
      <x:c r="J1355" s="253" t="str">
        <x:v>Elda</x:v>
      </x:c>
      <x:c r="K1355" s="259" t="n">
        <x:v>45659.166666666664</x:v>
      </x:c>
      <x:c r="L1355" s="268" t="str">
        <x:f>IFERROR(VLOOKUP(I1355,'Handler-Team Map'!$A$7:$C$17,2,FALSE),"")</x:f>
      </x:c>
      <x:c r="M1355" s="268" t="str">
        <x:f>IFERROR(VLOOKUP(I1355,'Handler-Team Map'!$A$7:$C$17,3,FALSE),"")</x:f>
      </x:c>
      <x:c r="N1355" s="274" t="str">
        <x:v>FT_VMFC_VARIABLE_3X</x:v>
      </x:c>
      <x:c r="O1355" s="274" t="str">
        <x:v>VIP SPECIAL FREE CREDIT - 3x TO</x:v>
      </x:c>
      <x:c r="P1355" s="274" t="str">
        <x:v>FreeCredit</x:v>
      </x:c>
      <x:c r="Q1355" s="274" t="str">
        <x:v>Redeemed</x:v>
      </x:c>
      <x:c r="R1355" s="265" t="n">
        <x:v>2588</x:v>
      </x:c>
      <x:c r="S1355" s="253" t="str">
        <x:v>Yes</x:v>
      </x:c>
      <x:c r="T1355" s="265" t="n">
        <x:v>0</x:v>
      </x:c>
      <x:c r="U1355" s="253" t="str">
        <x:f>IF(AND(S1355="Yes",T1355=0),"Yes","No")</x:f>
        <x:v>Yes</x:v>
      </x:c>
      <x:c r="V1355" s="253" t="str">
        <x:v>Yes</x:v>
      </x:c>
      <x:c r="W1355" s="253" t="str">
        <x:v>No</x:v>
      </x:c>
      <x:c r="X1355" s="259"/>
      <x:c r="Y1355" s="265" t="n">
        <x:v>0</x:v>
      </x:c>
      <x:c r="Z1355" s="265" t="n">
        <x:v>0</x:v>
      </x:c>
      <x:c r="AA1355" s="253" t="str">
        <x:f>IF(V1355="No","Maturing",IF(AND(U1355="Yes",Y1355&gt;0),"Yes","No"))</x:f>
        <x:v>No</x:v>
      </x:c>
      <x:c r="AB1355" s="253" t="str">
        <x:f>IF(W1355="No","Maturing",IF(AND(U1355="Yes",Z1355&gt;0),"Yes","No"))</x:f>
        <x:v>Maturing</x:v>
      </x:c>
      <x:c r="AC1355" s="265" t="n">
        <x:v>0.68</x:v>
      </x:c>
      <x:c r="AD1355" s="265" t="n">
        <x:v>0.68</x:v>
      </x:c>
      <x:c r="AE1355" s="271" t="str"/>
      <x:c r="AF1355" s="274" t="str">
        <x:v>Not validated - no control/holdout</x:v>
      </x:c>
      <x:c r="AG1355" s="277" t="str">
        <x:v>Recovered execution only; assignment date and unclaimed-offer denominator unavailable</x:v>
      </x:c>
    </x:row>
    <x:row r="1356">
      <x:c r="A1356" s="252" t="str">
        <x:v>6006772</x:v>
      </x:c>
      <x:c r="B1356" s="253" t="str">
        <x:v>WS1</x:v>
      </x:c>
      <x:c r="C1356" s="253" t="str">
        <x:v>MB8</x:v>
      </x:c>
      <x:c r="D1356" s="262" t="n">
        <x:v>46219.662199074075</x:v>
      </x:c>
      <x:c r="E1356" s="259" t="n">
        <x:v>46219.166666666664</x:v>
      </x:c>
      <x:c r="F1356" s="253" t="str">
        <x:v>442492</x:v>
      </x:c>
      <x:c r="G1356" s="253" t="str">
        <x:v>Matterap</x:v>
      </x:c>
      <x:c r="H1356" s="253" t="str">
        <x:v>Yes</x:v>
      </x:c>
      <x:c r="I1356" s="253" t="str">
        <x:v>Mikki</x:v>
      </x:c>
      <x:c r="J1356" s="253" t="str">
        <x:v>Mikki</x:v>
      </x:c>
      <x:c r="K1356" s="259" t="n">
        <x:v>46077.166666666664</x:v>
      </x:c>
      <x:c r="L1356" s="268" t="str">
        <x:f>IFERROR(VLOOKUP(I1356,'Handler-Team Map'!$A$7:$C$17,2,FALSE),"")</x:f>
      </x:c>
      <x:c r="M1356" s="268" t="str">
        <x:f>IFERROR(VLOOKUP(I1356,'Handler-Team Map'!$A$7:$C$17,3,FALSE),"")</x:f>
      </x:c>
      <x:c r="N1356" s="274" t="str">
        <x:v>FT_VMFC_VARIABLE_3X</x:v>
      </x:c>
      <x:c r="O1356" s="274" t="str">
        <x:v>VIP SPECIAL FREE CREDIT - 3x TO</x:v>
      </x:c>
      <x:c r="P1356" s="274" t="str">
        <x:v>FreeCredit</x:v>
      </x:c>
      <x:c r="Q1356" s="274" t="str">
        <x:v>Redeemed</x:v>
      </x:c>
      <x:c r="R1356" s="265" t="n">
        <x:v>588</x:v>
      </x:c>
      <x:c r="S1356" s="253" t="str">
        <x:v>Yes</x:v>
      </x:c>
      <x:c r="T1356" s="265" t="n">
        <x:v>0</x:v>
      </x:c>
      <x:c r="U1356" s="253" t="str">
        <x:f>IF(AND(S1356="Yes",T1356=0),"Yes","No")</x:f>
        <x:v>Yes</x:v>
      </x:c>
      <x:c r="V1356" s="253" t="str">
        <x:v>Yes</x:v>
      </x:c>
      <x:c r="W1356" s="253" t="str">
        <x:v>No</x:v>
      </x:c>
      <x:c r="X1356" s="259"/>
      <x:c r="Y1356" s="265" t="n">
        <x:v>0</x:v>
      </x:c>
      <x:c r="Z1356" s="265" t="n">
        <x:v>0</x:v>
      </x:c>
      <x:c r="AA1356" s="253" t="str">
        <x:f>IF(V1356="No","Maturing",IF(AND(U1356="Yes",Y1356&gt;0),"Yes","No"))</x:f>
        <x:v>No</x:v>
      </x:c>
      <x:c r="AB1356" s="253" t="str">
        <x:f>IF(W1356="No","Maturing",IF(AND(U1356="Yes",Z1356&gt;0),"Yes","No"))</x:f>
        <x:v>Maturing</x:v>
      </x:c>
      <x:c r="AC1356" s="265" t="n">
        <x:v>-0.03</x:v>
      </x:c>
      <x:c r="AD1356" s="265" t="n">
        <x:v>-0.03</x:v>
      </x:c>
      <x:c r="AE1356" s="271" t="str"/>
      <x:c r="AF1356" s="274" t="str">
        <x:v>Not validated - no control/holdout</x:v>
      </x:c>
      <x:c r="AG1356" s="277" t="str">
        <x:v>Recovered execution only; assignment date and unclaimed-offer denominator unavailable</x:v>
      </x:c>
    </x:row>
    <x:row r="1357">
      <x:c r="A1357" s="252" t="str">
        <x:v>6006702</x:v>
      </x:c>
      <x:c r="B1357" s="253" t="str">
        <x:v>WS1</x:v>
      </x:c>
      <x:c r="C1357" s="253" t="str">
        <x:v>MB8</x:v>
      </x:c>
      <x:c r="D1357" s="262" t="n">
        <x:v>46219.67145833333</x:v>
      </x:c>
      <x:c r="E1357" s="259" t="n">
        <x:v>46219.166666666664</x:v>
      </x:c>
      <x:c r="F1357" s="253" t="str">
        <x:v>212001</x:v>
      </x:c>
      <x:c r="G1357" s="253" t="str">
        <x:v>Sasa89</x:v>
      </x:c>
      <x:c r="H1357" s="253" t="str">
        <x:v>Yes</x:v>
      </x:c>
      <x:c r="I1357" s="253" t="str">
        <x:v>Jiahui</x:v>
      </x:c>
      <x:c r="J1357" s="253" t="str">
        <x:v>Jiahui</x:v>
      </x:c>
      <x:c r="K1357" s="259" t="n">
        <x:v>45831.166666666664</x:v>
      </x:c>
      <x:c r="L1357" s="268" t="str">
        <x:f>IFERROR(VLOOKUP(I1357,'Handler-Team Map'!$A$7:$C$17,2,FALSE),"")</x:f>
      </x:c>
      <x:c r="M1357" s="268" t="str">
        <x:f>IFERROR(VLOOKUP(I1357,'Handler-Team Map'!$A$7:$C$17,3,FALSE),"")</x:f>
      </x:c>
      <x:c r="N1357" s="274" t="str">
        <x:v>FT_VMFC_VARIABLE_3X</x:v>
      </x:c>
      <x:c r="O1357" s="274" t="str">
        <x:v>VIP SPECIAL FREE CREDIT - 3x TO</x:v>
      </x:c>
      <x:c r="P1357" s="274" t="str">
        <x:v>FreeCredit</x:v>
      </x:c>
      <x:c r="Q1357" s="274" t="str">
        <x:v>Redeemed</x:v>
      </x:c>
      <x:c r="R1357" s="265" t="n">
        <x:v>888</x:v>
      </x:c>
      <x:c r="S1357" s="253" t="str">
        <x:v>Yes</x:v>
      </x:c>
      <x:c r="T1357" s="265" t="n">
        <x:v>0</x:v>
      </x:c>
      <x:c r="U1357" s="253" t="str">
        <x:f>IF(AND(S1357="Yes",T1357=0),"Yes","No")</x:f>
        <x:v>Yes</x:v>
      </x:c>
      <x:c r="V1357" s="253" t="str">
        <x:v>Yes</x:v>
      </x:c>
      <x:c r="W1357" s="253" t="str">
        <x:v>No</x:v>
      </x:c>
      <x:c r="X1357" s="259"/>
      <x:c r="Y1357" s="265" t="n">
        <x:v>0</x:v>
      </x:c>
      <x:c r="Z1357" s="265" t="n">
        <x:v>0</x:v>
      </x:c>
      <x:c r="AA1357" s="253" t="str">
        <x:f>IF(V1357="No","Maturing",IF(AND(U1357="Yes",Y1357&gt;0),"Yes","No"))</x:f>
        <x:v>No</x:v>
      </x:c>
      <x:c r="AB1357" s="253" t="str">
        <x:f>IF(W1357="No","Maturing",IF(AND(U1357="Yes",Z1357&gt;0),"Yes","No"))</x:f>
        <x:v>Maturing</x:v>
      </x:c>
      <x:c r="AC1357" s="265" t="n">
        <x:v>0.2</x:v>
      </x:c>
      <x:c r="AD1357" s="265" t="n">
        <x:v>0.2</x:v>
      </x:c>
      <x:c r="AE1357" s="271" t="str"/>
      <x:c r="AF1357" s="274" t="str">
        <x:v>Not validated - no control/holdout</x:v>
      </x:c>
      <x:c r="AG1357" s="277" t="str">
        <x:v>Recovered execution only; assignment date and unclaimed-offer denominator unavailable</x:v>
      </x:c>
    </x:row>
    <x:row r="1358">
      <x:c r="A1358" s="252" t="str">
        <x:v>6006771</x:v>
      </x:c>
      <x:c r="B1358" s="253" t="str">
        <x:v>WS1</x:v>
      </x:c>
      <x:c r="C1358" s="253" t="str">
        <x:v>MB8</x:v>
      </x:c>
      <x:c r="D1358" s="262" t="n">
        <x:v>46219.694548611114</x:v>
      </x:c>
      <x:c r="E1358" s="259" t="n">
        <x:v>46219.166666666664</x:v>
      </x:c>
      <x:c r="F1358" s="253" t="str">
        <x:v>236530</x:v>
      </x:c>
      <x:c r="G1358" s="253" t="str">
        <x:v>faridz4948</x:v>
      </x:c>
      <x:c r="H1358" s="253" t="str">
        <x:v>Yes</x:v>
      </x:c>
      <x:c r="I1358" s="253" t="str">
        <x:v>Christy</x:v>
      </x:c>
      <x:c r="J1358" s="253" t="str">
        <x:v>Christy</x:v>
      </x:c>
      <x:c r="K1358" s="259" t="n">
        <x:v>45831.166666666664</x:v>
      </x:c>
      <x:c r="L1358" s="268" t="str">
        <x:f>IFERROR(VLOOKUP(I1358,'Handler-Team Map'!$A$7:$C$17,2,FALSE),"")</x:f>
      </x:c>
      <x:c r="M1358" s="268" t="str">
        <x:f>IFERROR(VLOOKUP(I1358,'Handler-Team Map'!$A$7:$C$17,3,FALSE),"")</x:f>
      </x:c>
      <x:c r="N1358" s="274" t="str">
        <x:v>FT_VMFC_VARIABLE_3X</x:v>
      </x:c>
      <x:c r="O1358" s="274" t="str">
        <x:v>VIP SPECIAL FREE CREDIT - 3x TO</x:v>
      </x:c>
      <x:c r="P1358" s="274" t="str">
        <x:v>FreeCredit</x:v>
      </x:c>
      <x:c r="Q1358" s="274" t="str">
        <x:v>Redeemed</x:v>
      </x:c>
      <x:c r="R1358" s="265" t="n">
        <x:v>1288</x:v>
      </x:c>
      <x:c r="S1358" s="253" t="str">
        <x:v>Yes</x:v>
      </x:c>
      <x:c r="T1358" s="265" t="n">
        <x:v>0</x:v>
      </x:c>
      <x:c r="U1358" s="253" t="str">
        <x:f>IF(AND(S1358="Yes",T1358=0),"Yes","No")</x:f>
        <x:v>Yes</x:v>
      </x:c>
      <x:c r="V1358" s="253" t="str">
        <x:v>Yes</x:v>
      </x:c>
      <x:c r="W1358" s="253" t="str">
        <x:v>No</x:v>
      </x:c>
      <x:c r="X1358" s="259"/>
      <x:c r="Y1358" s="265" t="n">
        <x:v>0</x:v>
      </x:c>
      <x:c r="Z1358" s="265" t="n">
        <x:v>0</x:v>
      </x:c>
      <x:c r="AA1358" s="253" t="str">
        <x:f>IF(V1358="No","Maturing",IF(AND(U1358="Yes",Y1358&gt;0),"Yes","No"))</x:f>
        <x:v>No</x:v>
      </x:c>
      <x:c r="AB1358" s="253" t="str">
        <x:f>IF(W1358="No","Maturing",IF(AND(U1358="Yes",Z1358&gt;0),"Yes","No"))</x:f>
        <x:v>Maturing</x:v>
      </x:c>
      <x:c r="AC1358" s="265" t="n">
        <x:v>-1927.55</x:v>
      </x:c>
      <x:c r="AD1358" s="265" t="n">
        <x:v>-1927.55</x:v>
      </x:c>
      <x:c r="AE1358" s="271" t="str"/>
      <x:c r="AF1358" s="274" t="str">
        <x:v>Not validated - no control/holdout</x:v>
      </x:c>
      <x:c r="AG1358" s="277" t="str">
        <x:v>Recovered execution only; assignment date and unclaimed-offer denominator unavailable</x:v>
      </x:c>
    </x:row>
    <x:row r="1359">
      <x:c r="A1359" s="252" t="str">
        <x:v>34974510</x:v>
      </x:c>
      <x:c r="B1359" s="253" t="str">
        <x:v>WS1</x:v>
      </x:c>
      <x:c r="C1359" s="253" t="str">
        <x:v>MB8</x:v>
      </x:c>
      <x:c r="D1359" s="262" t="n">
        <x:v>46219.706782407404</x:v>
      </x:c>
      <x:c r="E1359" s="259" t="n">
        <x:v>46219.166666666664</x:v>
      </x:c>
      <x:c r="F1359" s="253" t="str">
        <x:v>654855</x:v>
      </x:c>
      <x:c r="G1359" s="253" t="str">
        <x:v>uuidsa741</x:v>
      </x:c>
      <x:c r="H1359" s="253" t="str">
        <x:v>Yes</x:v>
      </x:c>
      <x:c r="I1359" s="253" t="str"/>
      <x:c r="J1359" s="253" t="str"/>
      <x:c r="K1359" s="259"/>
      <x:c r="L1359" s="268" t="str">
        <x:f>IFERROR(VLOOKUP(I1359,'Handler-Team Map'!$A$7:$C$17,2,FALSE),"")</x:f>
      </x:c>
      <x:c r="M1359" s="268" t="str">
        <x:f>IFERROR(VLOOKUP(I1359,'Handler-Team Map'!$A$7:$C$17,3,FALSE),"")</x:f>
      </x:c>
      <x:c r="N1359" s="274" t="str">
        <x:v>FT_VM_DEP700_GET300_2X</x:v>
      </x:c>
      <x:c r="O1359" s="274" t="str">
        <x:v>VIP BONUS - Deposit 700 Get 300 - 2x TO</x:v>
      </x:c>
      <x:c r="P1359" s="274" t="str">
        <x:v>DepositBonus</x:v>
      </x:c>
      <x:c r="Q1359" s="274" t="str">
        <x:v>Approved</x:v>
      </x:c>
      <x:c r="R1359" s="265" t="n">
        <x:v>300</x:v>
      </x:c>
      <x:c r="S1359" s="253" t="str">
        <x:v>Yes</x:v>
      </x:c>
      <x:c r="T1359" s="265" t="n">
        <x:v>700</x:v>
      </x:c>
      <x:c r="U1359" s="253" t="str">
        <x:f>IF(AND(S1359="Yes",T1359=0),"Yes","No")</x:f>
        <x:v>No</x:v>
      </x:c>
      <x:c r="V1359" s="253" t="str">
        <x:v>Yes</x:v>
      </x:c>
      <x:c r="W1359" s="253" t="str">
        <x:v>No</x:v>
      </x:c>
      <x:c r="X1359" s="259" t="n">
        <x:v>46219.166666666664</x:v>
      </x:c>
      <x:c r="Y1359" s="265" t="n">
        <x:v>700</x:v>
      </x:c>
      <x:c r="Z1359" s="265" t="n">
        <x:v>700</x:v>
      </x:c>
      <x:c r="AA1359" s="253" t="str">
        <x:f>IF(V1359="No","Maturing",IF(AND(U1359="Yes",Y1359&gt;0),"Yes","No"))</x:f>
        <x:v>No</x:v>
      </x:c>
      <x:c r="AB1359" s="253" t="str">
        <x:f>IF(W1359="No","Maturing",IF(AND(U1359="Yes",Z1359&gt;0),"Yes","No"))</x:f>
        <x:v>Maturing</x:v>
      </x:c>
      <x:c r="AC1359" s="265" t="n">
        <x:v>-55.02</x:v>
      </x:c>
      <x:c r="AD1359" s="265" t="n">
        <x:v>-449.02</x:v>
      </x:c>
      <x:c r="AE1359" s="271" t="str"/>
      <x:c r="AF1359" s="274" t="str">
        <x:v>Not validated - no control/holdout</x:v>
      </x:c>
      <x:c r="AG1359" s="277" t="str">
        <x:v>Recovered execution only; assignment date and unclaimed-offer denominator unavailable</x:v>
      </x:c>
    </x:row>
    <x:row r="1360">
      <x:c r="A1360" s="252" t="str">
        <x:v>6007088</x:v>
      </x:c>
      <x:c r="B1360" s="253" t="str">
        <x:v>WS1</x:v>
      </x:c>
      <x:c r="C1360" s="253" t="str">
        <x:v>MB8</x:v>
      </x:c>
      <x:c r="D1360" s="262" t="n">
        <x:v>46219.76515046296</x:v>
      </x:c>
      <x:c r="E1360" s="259" t="n">
        <x:v>46219.166666666664</x:v>
      </x:c>
      <x:c r="F1360" s="253" t="str">
        <x:v>327021</x:v>
      </x:c>
      <x:c r="G1360" s="253" t="str">
        <x:v>Rasanga</x:v>
      </x:c>
      <x:c r="H1360" s="253" t="str">
        <x:v>Yes</x:v>
      </x:c>
      <x:c r="I1360" s="253" t="str">
        <x:v>Christy</x:v>
      </x:c>
      <x:c r="J1360" s="253" t="str">
        <x:v>Christy</x:v>
      </x:c>
      <x:c r="K1360" s="259" t="n">
        <x:v>45831.166666666664</x:v>
      </x:c>
      <x:c r="L1360" s="268" t="str">
        <x:f>IFERROR(VLOOKUP(I1360,'Handler-Team Map'!$A$7:$C$17,2,FALSE),"")</x:f>
      </x:c>
      <x:c r="M1360" s="268" t="str">
        <x:f>IFERROR(VLOOKUP(I1360,'Handler-Team Map'!$A$7:$C$17,3,FALSE),"")</x:f>
      </x:c>
      <x:c r="N1360" s="274" t="str">
        <x:v>FT_VMFC_VARIABLE_3X</x:v>
      </x:c>
      <x:c r="O1360" s="274" t="str">
        <x:v>VIP SPECIAL FREE CREDIT - 3x TO</x:v>
      </x:c>
      <x:c r="P1360" s="274" t="str">
        <x:v>FreeCredit</x:v>
      </x:c>
      <x:c r="Q1360" s="274" t="str">
        <x:v>Redeemed</x:v>
      </x:c>
      <x:c r="R1360" s="265" t="n">
        <x:v>888</x:v>
      </x:c>
      <x:c r="S1360" s="253" t="str">
        <x:v>Yes</x:v>
      </x:c>
      <x:c r="T1360" s="265" t="n">
        <x:v>0</x:v>
      </x:c>
      <x:c r="U1360" s="253" t="str">
        <x:f>IF(AND(S1360="Yes",T1360=0),"Yes","No")</x:f>
        <x:v>Yes</x:v>
      </x:c>
      <x:c r="V1360" s="253" t="str">
        <x:v>Yes</x:v>
      </x:c>
      <x:c r="W1360" s="253" t="str">
        <x:v>No</x:v>
      </x:c>
      <x:c r="X1360" s="259"/>
      <x:c r="Y1360" s="265" t="n">
        <x:v>0</x:v>
      </x:c>
      <x:c r="Z1360" s="265" t="n">
        <x:v>0</x:v>
      </x:c>
      <x:c r="AA1360" s="253" t="str">
        <x:f>IF(V1360="No","Maturing",IF(AND(U1360="Yes",Y1360&gt;0),"Yes","No"))</x:f>
        <x:v>No</x:v>
      </x:c>
      <x:c r="AB1360" s="253" t="str">
        <x:f>IF(W1360="No","Maturing",IF(AND(U1360="Yes",Z1360&gt;0),"Yes","No"))</x:f>
        <x:v>Maturing</x:v>
      </x:c>
      <x:c r="AC1360" s="265" t="n">
        <x:v>-813.51</x:v>
      </x:c>
      <x:c r="AD1360" s="265" t="n">
        <x:v>-659.51</x:v>
      </x:c>
      <x:c r="AE1360" s="271" t="str"/>
      <x:c r="AF1360" s="274" t="str">
        <x:v>Not validated - no control/holdout</x:v>
      </x:c>
      <x:c r="AG1360" s="277" t="str">
        <x:v>Recovered execution only; assignment date and unclaimed-offer denominator unavailable</x:v>
      </x:c>
    </x:row>
    <x:row r="1361">
      <x:c r="A1361" s="252" t="str">
        <x:v>6007060</x:v>
      </x:c>
      <x:c r="B1361" s="253" t="str">
        <x:v>WS1</x:v>
      </x:c>
      <x:c r="C1361" s="253" t="str">
        <x:v>MB8</x:v>
      </x:c>
      <x:c r="D1361" s="262" t="n">
        <x:v>46219.76662037037</x:v>
      </x:c>
      <x:c r="E1361" s="259" t="n">
        <x:v>46219.166666666664</x:v>
      </x:c>
      <x:c r="F1361" s="253" t="str">
        <x:v>698181</x:v>
      </x:c>
      <x:c r="G1361" s="253" t="str">
        <x:v>Abgjago91</x:v>
      </x:c>
      <x:c r="H1361" s="253" t="str">
        <x:v>Yes</x:v>
      </x:c>
      <x:c r="I1361" s="253" t="str">
        <x:v>Elda</x:v>
      </x:c>
      <x:c r="J1361" s="253" t="str">
        <x:v>Elda</x:v>
      </x:c>
      <x:c r="K1361" s="259" t="n">
        <x:v>45659.166666666664</x:v>
      </x:c>
      <x:c r="L1361" s="268" t="str">
        <x:f>IFERROR(VLOOKUP(I1361,'Handler-Team Map'!$A$7:$C$17,2,FALSE),"")</x:f>
      </x:c>
      <x:c r="M1361" s="268" t="str">
        <x:f>IFERROR(VLOOKUP(I1361,'Handler-Team Map'!$A$7:$C$17,3,FALSE),"")</x:f>
      </x:c>
      <x:c r="N1361" s="274" t="str">
        <x:v>FT_VMFC_VARIABLE_3X</x:v>
      </x:c>
      <x:c r="O1361" s="274" t="str">
        <x:v>VIP SPECIAL FREE CREDIT - 3x TO</x:v>
      </x:c>
      <x:c r="P1361" s="274" t="str">
        <x:v>FreeCredit</x:v>
      </x:c>
      <x:c r="Q1361" s="274" t="str">
        <x:v>Redeemed</x:v>
      </x:c>
      <x:c r="R1361" s="265" t="n">
        <x:v>1588</x:v>
      </x:c>
      <x:c r="S1361" s="253" t="str">
        <x:v>Yes</x:v>
      </x:c>
      <x:c r="T1361" s="265" t="n">
        <x:v>0</x:v>
      </x:c>
      <x:c r="U1361" s="253" t="str">
        <x:f>IF(AND(S1361="Yes",T1361=0),"Yes","No")</x:f>
        <x:v>Yes</x:v>
      </x:c>
      <x:c r="V1361" s="253" t="str">
        <x:v>Yes</x:v>
      </x:c>
      <x:c r="W1361" s="253" t="str">
        <x:v>No</x:v>
      </x:c>
      <x:c r="X1361" s="259"/>
      <x:c r="Y1361" s="265" t="n">
        <x:v>0</x:v>
      </x:c>
      <x:c r="Z1361" s="265" t="n">
        <x:v>0</x:v>
      </x:c>
      <x:c r="AA1361" s="253" t="str">
        <x:f>IF(V1361="No","Maturing",IF(AND(U1361="Yes",Y1361&gt;0),"Yes","No"))</x:f>
        <x:v>No</x:v>
      </x:c>
      <x:c r="AB1361" s="253" t="str">
        <x:f>IF(W1361="No","Maturing",IF(AND(U1361="Yes",Z1361&gt;0),"Yes","No"))</x:f>
        <x:v>Maturing</x:v>
      </x:c>
      <x:c r="AC1361" s="265" t="n">
        <x:v>0.39</x:v>
      </x:c>
      <x:c r="AD1361" s="265" t="n">
        <x:v>0.39</x:v>
      </x:c>
      <x:c r="AE1361" s="271" t="str"/>
      <x:c r="AF1361" s="274" t="str">
        <x:v>Not validated - no control/holdout</x:v>
      </x:c>
      <x:c r="AG1361" s="277" t="str">
        <x:v>Recovered execution only; assignment date and unclaimed-offer denominator unavailable</x:v>
      </x:c>
    </x:row>
    <x:row r="1362">
      <x:c r="A1362" s="252" t="str">
        <x:v>34975656</x:v>
      </x:c>
      <x:c r="B1362" s="253" t="str">
        <x:v>WS1</x:v>
      </x:c>
      <x:c r="C1362" s="253" t="str">
        <x:v>MB8</x:v>
      </x:c>
      <x:c r="D1362" s="262" t="n">
        <x:v>46219.796898148146</x:v>
      </x:c>
      <x:c r="E1362" s="259" t="n">
        <x:v>46219.166666666664</x:v>
      </x:c>
      <x:c r="F1362" s="253" t="str">
        <x:v>531365</x:v>
      </x:c>
      <x:c r="G1362" s="253" t="str">
        <x:v>suba1010</x:v>
      </x:c>
      <x:c r="H1362" s="253" t="str">
        <x:v>Yes</x:v>
      </x:c>
      <x:c r="I1362" s="253" t="str">
        <x:v>Claire</x:v>
      </x:c>
      <x:c r="J1362" s="253" t="str">
        <x:v>Claire</x:v>
      </x:c>
      <x:c r="K1362" s="259" t="n">
        <x:v>45659.166666666664</x:v>
      </x:c>
      <x:c r="L1362" s="268" t="str">
        <x:f>IFERROR(VLOOKUP(I1362,'Handler-Team Map'!$A$7:$C$17,2,FALSE),"")</x:f>
      </x:c>
      <x:c r="M1362" s="268" t="str">
        <x:f>IFERROR(VLOOKUP(I1362,'Handler-Team Map'!$A$7:$C$17,3,FALSE),"")</x:f>
      </x:c>
      <x:c r="N1362" s="274" t="str">
        <x:v>FT_VM_DEP1000_GET500_5X</x:v>
      </x:c>
      <x:c r="O1362" s="274" t="str">
        <x:v>VIP BONUS - Deposit 1000 Get 500 - 5x TO</x:v>
      </x:c>
      <x:c r="P1362" s="274" t="str">
        <x:v>DepositBonus</x:v>
      </x:c>
      <x:c r="Q1362" s="274" t="str">
        <x:v>Approved</x:v>
      </x:c>
      <x:c r="R1362" s="265" t="n">
        <x:v>500</x:v>
      </x:c>
      <x:c r="S1362" s="253" t="str">
        <x:v>Yes</x:v>
      </x:c>
      <x:c r="T1362" s="265" t="n">
        <x:v>5500</x:v>
      </x:c>
      <x:c r="U1362" s="253" t="str">
        <x:f>IF(AND(S1362="Yes",T1362=0),"Yes","No")</x:f>
        <x:v>No</x:v>
      </x:c>
      <x:c r="V1362" s="253" t="str">
        <x:v>Yes</x:v>
      </x:c>
      <x:c r="W1362" s="253" t="str">
        <x:v>No</x:v>
      </x:c>
      <x:c r="X1362" s="259" t="n">
        <x:v>46219.166666666664</x:v>
      </x:c>
      <x:c r="Y1362" s="265" t="n">
        <x:v>1000</x:v>
      </x:c>
      <x:c r="Z1362" s="265" t="n">
        <x:v>1000</x:v>
      </x:c>
      <x:c r="AA1362" s="253" t="str">
        <x:f>IF(V1362="No","Maturing",IF(AND(U1362="Yes",Y1362&gt;0),"Yes","No"))</x:f>
        <x:v>No</x:v>
      </x:c>
      <x:c r="AB1362" s="253" t="str">
        <x:f>IF(W1362="No","Maturing",IF(AND(U1362="Yes",Z1362&gt;0),"Yes","No"))</x:f>
        <x:v>Maturing</x:v>
      </x:c>
      <x:c r="AC1362" s="265" t="n">
        <x:v>998.5</x:v>
      </x:c>
      <x:c r="AD1362" s="265" t="n">
        <x:v>998.5</x:v>
      </x:c>
      <x:c r="AE1362" s="271" t="str"/>
      <x:c r="AF1362" s="274" t="str">
        <x:v>Not validated - no control/holdout</x:v>
      </x:c>
      <x:c r="AG1362" s="277" t="str">
        <x:v>Recovered execution only; assignment date and unclaimed-offer denominator unavailable</x:v>
      </x:c>
    </x:row>
    <x:row r="1363">
      <x:c r="A1363" s="252" t="str">
        <x:v>6006605</x:v>
      </x:c>
      <x:c r="B1363" s="253" t="str">
        <x:v>WS1</x:v>
      </x:c>
      <x:c r="C1363" s="253" t="str">
        <x:v>MB8</x:v>
      </x:c>
      <x:c r="D1363" s="262" t="n">
        <x:v>46219.80258101852</x:v>
      </x:c>
      <x:c r="E1363" s="259" t="n">
        <x:v>46219.166666666664</x:v>
      </x:c>
      <x:c r="F1363" s="253" t="str">
        <x:v>1031687</x:v>
      </x:c>
      <x:c r="G1363" s="253" t="str">
        <x:v>rambutanlol7756</x:v>
      </x:c>
      <x:c r="H1363" s="253" t="str">
        <x:v>Yes</x:v>
      </x:c>
      <x:c r="I1363" s="253" t="str">
        <x:v>Mikki</x:v>
      </x:c>
      <x:c r="J1363" s="253" t="str">
        <x:v>Mikki</x:v>
      </x:c>
      <x:c r="K1363" s="259" t="n">
        <x:v>45993.166666666664</x:v>
      </x:c>
      <x:c r="L1363" s="268" t="str">
        <x:f>IFERROR(VLOOKUP(I1363,'Handler-Team Map'!$A$7:$C$17,2,FALSE),"")</x:f>
      </x:c>
      <x:c r="M1363" s="268" t="str">
        <x:f>IFERROR(VLOOKUP(I1363,'Handler-Team Map'!$A$7:$C$17,3,FALSE),"")</x:f>
      </x:c>
      <x:c r="N1363" s="274" t="str">
        <x:v>FT_VMFC_VARIABLE_3X</x:v>
      </x:c>
      <x:c r="O1363" s="274" t="str">
        <x:v>VIP SPECIAL FREE CREDIT - 3x TO</x:v>
      </x:c>
      <x:c r="P1363" s="274" t="str">
        <x:v>FreeCredit</x:v>
      </x:c>
      <x:c r="Q1363" s="274" t="str">
        <x:v>Redeemed</x:v>
      </x:c>
      <x:c r="R1363" s="265" t="n">
        <x:v>2588</x:v>
      </x:c>
      <x:c r="S1363" s="253" t="str">
        <x:v>Yes</x:v>
      </x:c>
      <x:c r="T1363" s="265" t="n">
        <x:v>0</x:v>
      </x:c>
      <x:c r="U1363" s="253" t="str">
        <x:f>IF(AND(S1363="Yes",T1363=0),"Yes","No")</x:f>
        <x:v>Yes</x:v>
      </x:c>
      <x:c r="V1363" s="253" t="str">
        <x:v>Yes</x:v>
      </x:c>
      <x:c r="W1363" s="253" t="str">
        <x:v>No</x:v>
      </x:c>
      <x:c r="X1363" s="259"/>
      <x:c r="Y1363" s="265" t="n">
        <x:v>0</x:v>
      </x:c>
      <x:c r="Z1363" s="265" t="n">
        <x:v>0</x:v>
      </x:c>
      <x:c r="AA1363" s="253" t="str">
        <x:f>IF(V1363="No","Maturing",IF(AND(U1363="Yes",Y1363&gt;0),"Yes","No"))</x:f>
        <x:v>No</x:v>
      </x:c>
      <x:c r="AB1363" s="253" t="str">
        <x:f>IF(W1363="No","Maturing",IF(AND(U1363="Yes",Z1363&gt;0),"Yes","No"))</x:f>
        <x:v>Maturing</x:v>
      </x:c>
      <x:c r="AC1363" s="265" t="n">
        <x:v>-2588</x:v>
      </x:c>
      <x:c r="AD1363" s="265" t="n">
        <x:v>-2588</x:v>
      </x:c>
      <x:c r="AE1363" s="271" t="str"/>
      <x:c r="AF1363" s="274" t="str">
        <x:v>Not validated - no control/holdout</x:v>
      </x:c>
      <x:c r="AG1363" s="277" t="str">
        <x:v>Recovered execution only; assignment date and unclaimed-offer denominator unavailable</x:v>
      </x:c>
    </x:row>
    <x:row r="1364">
      <x:c r="A1364" s="252" t="str">
        <x:v>34975778</x:v>
      </x:c>
      <x:c r="B1364" s="253" t="str">
        <x:v>WS1</x:v>
      </x:c>
      <x:c r="C1364" s="253" t="str">
        <x:v>MB8</x:v>
      </x:c>
      <x:c r="D1364" s="262" t="n">
        <x:v>46219.8046875</x:v>
      </x:c>
      <x:c r="E1364" s="259" t="n">
        <x:v>46219.166666666664</x:v>
      </x:c>
      <x:c r="F1364" s="253" t="str">
        <x:v>1916</x:v>
      </x:c>
      <x:c r="G1364" s="253" t="str">
        <x:v>sekchek0211</x:v>
      </x:c>
      <x:c r="H1364" s="253" t="str">
        <x:v>Yes</x:v>
      </x:c>
      <x:c r="I1364" s="253" t="str">
        <x:v>Claire</x:v>
      </x:c>
      <x:c r="J1364" s="253" t="str">
        <x:v>Claire</x:v>
      </x:c>
      <x:c r="K1364" s="259" t="n">
        <x:v>45659.166666666664</x:v>
      </x:c>
      <x:c r="L1364" s="268" t="str">
        <x:f>IFERROR(VLOOKUP(I1364,'Handler-Team Map'!$A$7:$C$17,2,FALSE),"")</x:f>
      </x:c>
      <x:c r="M1364" s="268" t="str">
        <x:f>IFERROR(VLOOKUP(I1364,'Handler-Team Map'!$A$7:$C$17,3,FALSE),"")</x:f>
      </x:c>
      <x:c r="N1364" s="274" t="str">
        <x:v>FT_VM_REL100PCT_X1</x:v>
      </x:c>
      <x:c r="O1364" s="274" t="str">
        <x:v>100% Reload Bonus - VIP Offer</x:v>
      </x:c>
      <x:c r="P1364" s="274" t="str">
        <x:v>DepositBonus</x:v>
      </x:c>
      <x:c r="Q1364" s="274" t="str">
        <x:v>Approved</x:v>
      </x:c>
      <x:c r="R1364" s="265" t="n">
        <x:v>350</x:v>
      </x:c>
      <x:c r="S1364" s="253" t="str">
        <x:v>Yes</x:v>
      </x:c>
      <x:c r="T1364" s="265" t="n">
        <x:v>0</x:v>
      </x:c>
      <x:c r="U1364" s="253" t="str">
        <x:f>IF(AND(S1364="Yes",T1364=0),"Yes","No")</x:f>
        <x:v>Yes</x:v>
      </x:c>
      <x:c r="V1364" s="253" t="str">
        <x:v>Yes</x:v>
      </x:c>
      <x:c r="W1364" s="253" t="str">
        <x:v>No</x:v>
      </x:c>
      <x:c r="X1364" s="259" t="n">
        <x:v>46219.166666666664</x:v>
      </x:c>
      <x:c r="Y1364" s="265" t="n">
        <x:v>350</x:v>
      </x:c>
      <x:c r="Z1364" s="265" t="n">
        <x:v>350</x:v>
      </x:c>
      <x:c r="AA1364" s="253" t="str">
        <x:f>IF(V1364="No","Maturing",IF(AND(U1364="Yes",Y1364&gt;0),"Yes","No"))</x:f>
        <x:v>Yes</x:v>
      </x:c>
      <x:c r="AB1364" s="253" t="str">
        <x:f>IF(W1364="No","Maturing",IF(AND(U1364="Yes",Z1364&gt;0),"Yes","No"))</x:f>
        <x:v>Maturing</x:v>
      </x:c>
      <x:c r="AC1364" s="265" t="n">
        <x:v>150.17</x:v>
      </x:c>
      <x:c r="AD1364" s="265" t="n">
        <x:v>150.17</x:v>
      </x:c>
      <x:c r="AE1364" s="271" t="str"/>
      <x:c r="AF1364" s="274" t="str">
        <x:v>Not validated - no control/holdout</x:v>
      </x:c>
      <x:c r="AG1364" s="277" t="str">
        <x:v>Recovered execution only; assignment date and unclaimed-offer denominator unavailable</x:v>
      </x:c>
    </x:row>
    <x:row r="1365">
      <x:c r="A1365" s="252" t="str">
        <x:v>34976068</x:v>
      </x:c>
      <x:c r="B1365" s="253" t="str">
        <x:v>WS1</x:v>
      </x:c>
      <x:c r="C1365" s="253" t="str">
        <x:v>MB8</x:v>
      </x:c>
      <x:c r="D1365" s="262" t="n">
        <x:v>46219.82855324074</x:v>
      </x:c>
      <x:c r="E1365" s="259" t="n">
        <x:v>46219.166666666664</x:v>
      </x:c>
      <x:c r="F1365" s="253" t="str">
        <x:v>956073</x:v>
      </x:c>
      <x:c r="G1365" s="253" t="str">
        <x:v>lkchen</x:v>
      </x:c>
      <x:c r="H1365" s="253" t="str">
        <x:v>Yes</x:v>
      </x:c>
      <x:c r="I1365" s="253" t="str"/>
      <x:c r="J1365" s="253" t="str"/>
      <x:c r="K1365" s="259"/>
      <x:c r="L1365" s="268" t="str">
        <x:f>IFERROR(VLOOKUP(I1365,'Handler-Team Map'!$A$7:$C$17,2,FALSE),"")</x:f>
      </x:c>
      <x:c r="M1365" s="268" t="str">
        <x:f>IFERROR(VLOOKUP(I1365,'Handler-Team Map'!$A$7:$C$17,3,FALSE),"")</x:f>
      </x:c>
      <x:c r="N1365" s="274" t="str">
        <x:v>FT_VM_DEP700_GET300_2X</x:v>
      </x:c>
      <x:c r="O1365" s="274" t="str">
        <x:v>VIP BONUS - Deposit 700 Get 300 - 2x TO</x:v>
      </x:c>
      <x:c r="P1365" s="274" t="str">
        <x:v>DepositBonus</x:v>
      </x:c>
      <x:c r="Q1365" s="274" t="str">
        <x:v>Approved</x:v>
      </x:c>
      <x:c r="R1365" s="265" t="n">
        <x:v>300</x:v>
      </x:c>
      <x:c r="S1365" s="253" t="str">
        <x:v>Yes</x:v>
      </x:c>
      <x:c r="T1365" s="265" t="n">
        <x:v>1300</x:v>
      </x:c>
      <x:c r="U1365" s="253" t="str">
        <x:f>IF(AND(S1365="Yes",T1365=0),"Yes","No")</x:f>
        <x:v>No</x:v>
      </x:c>
      <x:c r="V1365" s="253" t="str">
        <x:v>Yes</x:v>
      </x:c>
      <x:c r="W1365" s="253" t="str">
        <x:v>No</x:v>
      </x:c>
      <x:c r="X1365" s="259" t="n">
        <x:v>46219.166666666664</x:v>
      </x:c>
      <x:c r="Y1365" s="265" t="n">
        <x:v>1500</x:v>
      </x:c>
      <x:c r="Z1365" s="265" t="n">
        <x:v>1500</x:v>
      </x:c>
      <x:c r="AA1365" s="253" t="str">
        <x:f>IF(V1365="No","Maturing",IF(AND(U1365="Yes",Y1365&gt;0),"Yes","No"))</x:f>
        <x:v>No</x:v>
      </x:c>
      <x:c r="AB1365" s="253" t="str">
        <x:f>IF(W1365="No","Maturing",IF(AND(U1365="Yes",Z1365&gt;0),"Yes","No"))</x:f>
        <x:v>Maturing</x:v>
      </x:c>
      <x:c r="AC1365" s="265" t="n">
        <x:v>1111.08</x:v>
      </x:c>
      <x:c r="AD1365" s="265" t="n">
        <x:v>1111.08</x:v>
      </x:c>
      <x:c r="AE1365" s="271" t="str"/>
      <x:c r="AF1365" s="274" t="str">
        <x:v>Not validated - no control/holdout</x:v>
      </x:c>
      <x:c r="AG1365" s="277" t="str">
        <x:v>Recovered execution only; assignment date and unclaimed-offer denominator unavailable</x:v>
      </x:c>
    </x:row>
    <x:row r="1366">
      <x:c r="A1366" s="252" t="str">
        <x:v>34976197</x:v>
      </x:c>
      <x:c r="B1366" s="253" t="str">
        <x:v>WS1</x:v>
      </x:c>
      <x:c r="C1366" s="253" t="str">
        <x:v>MB8</x:v>
      </x:c>
      <x:c r="D1366" s="262" t="n">
        <x:v>46219.83894675926</x:v>
      </x:c>
      <x:c r="E1366" s="259" t="n">
        <x:v>46219.166666666664</x:v>
      </x:c>
      <x:c r="F1366" s="253" t="str">
        <x:v>897055</x:v>
      </x:c>
      <x:c r="G1366" s="253" t="str">
        <x:v>Rahmanaden95</x:v>
      </x:c>
      <x:c r="H1366" s="253" t="str">
        <x:v>Yes</x:v>
      </x:c>
      <x:c r="I1366" s="253" t="str"/>
      <x:c r="J1366" s="253" t="str"/>
      <x:c r="K1366" s="259"/>
      <x:c r="L1366" s="268" t="str">
        <x:f>IFERROR(VLOOKUP(I1366,'Handler-Team Map'!$A$7:$C$17,2,FALSE),"")</x:f>
      </x:c>
      <x:c r="M1366" s="268" t="str">
        <x:f>IFERROR(VLOOKUP(I1366,'Handler-Team Map'!$A$7:$C$17,3,FALSE),"")</x:f>
      </x:c>
      <x:c r="N1366" s="274" t="str">
        <x:v>FT_VM_DEP1000_GET500_5X</x:v>
      </x:c>
      <x:c r="O1366" s="274" t="str">
        <x:v>VIP BONUS - Deposit 1000 Get 500 - 5x TO</x:v>
      </x:c>
      <x:c r="P1366" s="274" t="str">
        <x:v>DepositBonus</x:v>
      </x:c>
      <x:c r="Q1366" s="274" t="str">
        <x:v>Approved</x:v>
      </x:c>
      <x:c r="R1366" s="265" t="n">
        <x:v>500</x:v>
      </x:c>
      <x:c r="S1366" s="253" t="str">
        <x:v>Yes</x:v>
      </x:c>
      <x:c r="T1366" s="265" t="n">
        <x:v>1000</x:v>
      </x:c>
      <x:c r="U1366" s="253" t="str">
        <x:f>IF(AND(S1366="Yes",T1366=0),"Yes","No")</x:f>
        <x:v>No</x:v>
      </x:c>
      <x:c r="V1366" s="253" t="str">
        <x:v>Yes</x:v>
      </x:c>
      <x:c r="W1366" s="253" t="str">
        <x:v>No</x:v>
      </x:c>
      <x:c r="X1366" s="259" t="n">
        <x:v>46219.166666666664</x:v>
      </x:c>
      <x:c r="Y1366" s="265" t="n">
        <x:v>1000</x:v>
      </x:c>
      <x:c r="Z1366" s="265" t="n">
        <x:v>1000</x:v>
      </x:c>
      <x:c r="AA1366" s="253" t="str">
        <x:f>IF(V1366="No","Maturing",IF(AND(U1366="Yes",Y1366&gt;0),"Yes","No"))</x:f>
        <x:v>No</x:v>
      </x:c>
      <x:c r="AB1366" s="253" t="str">
        <x:f>IF(W1366="No","Maturing",IF(AND(U1366="Yes",Z1366&gt;0),"Yes","No"))</x:f>
        <x:v>Maturing</x:v>
      </x:c>
      <x:c r="AC1366" s="265" t="n">
        <x:v>-1995.14</x:v>
      </x:c>
      <x:c r="AD1366" s="265" t="n">
        <x:v>-1995.14</x:v>
      </x:c>
      <x:c r="AE1366" s="271" t="str"/>
      <x:c r="AF1366" s="274" t="str">
        <x:v>Not validated - no control/holdout</x:v>
      </x:c>
      <x:c r="AG1366" s="277" t="str">
        <x:v>Recovered execution only; assignment date and unclaimed-offer denominator unavailable</x:v>
      </x:c>
    </x:row>
    <x:row r="1367">
      <x:c r="A1367" s="252" t="str">
        <x:v>34976783</x:v>
      </x:c>
      <x:c r="B1367" s="253" t="str">
        <x:v>WS1</x:v>
      </x:c>
      <x:c r="C1367" s="253" t="str">
        <x:v>MB8</x:v>
      </x:c>
      <x:c r="D1367" s="262" t="n">
        <x:v>46219.88465277778</x:v>
      </x:c>
      <x:c r="E1367" s="259" t="n">
        <x:v>46219.166666666664</x:v>
      </x:c>
      <x:c r="F1367" s="253" t="str">
        <x:v>427496</x:v>
      </x:c>
      <x:c r="G1367" s="253" t="str">
        <x:v>Damodar0111</x:v>
      </x:c>
      <x:c r="H1367" s="253" t="str">
        <x:v>Yes</x:v>
      </x:c>
      <x:c r="I1367" s="253" t="str"/>
      <x:c r="J1367" s="253" t="str"/>
      <x:c r="K1367" s="259"/>
      <x:c r="L1367" s="268" t="str">
        <x:f>IFERROR(VLOOKUP(I1367,'Handler-Team Map'!$A$7:$C$17,2,FALSE),"")</x:f>
      </x:c>
      <x:c r="M1367" s="268" t="str">
        <x:f>IFERROR(VLOOKUP(I1367,'Handler-Team Map'!$A$7:$C$17,3,FALSE),"")</x:f>
      </x:c>
      <x:c r="N1367" s="274" t="str">
        <x:v>FT_VM_REL100PCT_X1</x:v>
      </x:c>
      <x:c r="O1367" s="274" t="str">
        <x:v>100% Reload Bonus - VIP Offer</x:v>
      </x:c>
      <x:c r="P1367" s="274" t="str">
        <x:v>DepositBonus</x:v>
      </x:c>
      <x:c r="Q1367" s="274" t="str">
        <x:v>Approved</x:v>
      </x:c>
      <x:c r="R1367" s="265" t="n">
        <x:v>300</x:v>
      </x:c>
      <x:c r="S1367" s="253" t="str">
        <x:v>Yes</x:v>
      </x:c>
      <x:c r="T1367" s="265" t="n">
        <x:v>50</x:v>
      </x:c>
      <x:c r="U1367" s="253" t="str">
        <x:f>IF(AND(S1367="Yes",T1367=0),"Yes","No")</x:f>
        <x:v>No</x:v>
      </x:c>
      <x:c r="V1367" s="253" t="str">
        <x:v>Yes</x:v>
      </x:c>
      <x:c r="W1367" s="253" t="str">
        <x:v>No</x:v>
      </x:c>
      <x:c r="X1367" s="259" t="n">
        <x:v>46219.166666666664</x:v>
      </x:c>
      <x:c r="Y1367" s="265" t="n">
        <x:v>500</x:v>
      </x:c>
      <x:c r="Z1367" s="265" t="n">
        <x:v>500</x:v>
      </x:c>
      <x:c r="AA1367" s="253" t="str">
        <x:f>IF(V1367="No","Maturing",IF(AND(U1367="Yes",Y1367&gt;0),"Yes","No"))</x:f>
        <x:v>No</x:v>
      </x:c>
      <x:c r="AB1367" s="253" t="str">
        <x:f>IF(W1367="No","Maturing",IF(AND(U1367="Yes",Z1367&gt;0),"Yes","No"))</x:f>
        <x:v>Maturing</x:v>
      </x:c>
      <x:c r="AC1367" s="265" t="n">
        <x:v>0.34</x:v>
      </x:c>
      <x:c r="AD1367" s="265" t="n">
        <x:v>0.34</x:v>
      </x:c>
      <x:c r="AE1367" s="271" t="str"/>
      <x:c r="AF1367" s="274" t="str">
        <x:v>Not validated - no control/holdout</x:v>
      </x:c>
      <x:c r="AG1367" s="277" t="str">
        <x:v>Recovered execution only; assignment date and unclaimed-offer denominator unavailable</x:v>
      </x:c>
    </x:row>
    <x:row r="1368">
      <x:c r="A1368" s="252" t="str">
        <x:v>6007389</x:v>
      </x:c>
      <x:c r="B1368" s="253" t="str">
        <x:v>WS1</x:v>
      </x:c>
      <x:c r="C1368" s="253" t="str">
        <x:v>MB8</x:v>
      </x:c>
      <x:c r="D1368" s="262" t="n">
        <x:v>46219.88793981481</x:v>
      </x:c>
      <x:c r="E1368" s="259" t="n">
        <x:v>46219.166666666664</x:v>
      </x:c>
      <x:c r="F1368" s="253" t="str">
        <x:v>281424</x:v>
      </x:c>
      <x:c r="G1368" s="253" t="str">
        <x:v>Shafiqq</x:v>
      </x:c>
      <x:c r="H1368" s="253" t="str">
        <x:v>Yes</x:v>
      </x:c>
      <x:c r="I1368" s="253" t="str">
        <x:v>Kam</x:v>
      </x:c>
      <x:c r="J1368" s="253" t="str">
        <x:v>Kam</x:v>
      </x:c>
      <x:c r="K1368" s="259" t="n">
        <x:v>45951.166666666664</x:v>
      </x:c>
      <x:c r="L1368" s="268" t="str">
        <x:f>IFERROR(VLOOKUP(I1368,'Handler-Team Map'!$A$7:$C$17,2,FALSE),"")</x:f>
      </x:c>
      <x:c r="M1368" s="268" t="str">
        <x:f>IFERROR(VLOOKUP(I1368,'Handler-Team Map'!$A$7:$C$17,3,FALSE),"")</x:f>
      </x:c>
      <x:c r="N1368" s="274" t="str">
        <x:v>FT_VMFC_VARIABLE_3X</x:v>
      </x:c>
      <x:c r="O1368" s="274" t="str">
        <x:v>VIP SPECIAL FREE CREDIT - 3x TO</x:v>
      </x:c>
      <x:c r="P1368" s="274" t="str">
        <x:v>FreeCredit</x:v>
      </x:c>
      <x:c r="Q1368" s="274" t="str">
        <x:v>Redeemed</x:v>
      </x:c>
      <x:c r="R1368" s="265" t="n">
        <x:v>588</x:v>
      </x:c>
      <x:c r="S1368" s="253" t="str">
        <x:v>Yes</x:v>
      </x:c>
      <x:c r="T1368" s="265" t="n">
        <x:v>0</x:v>
      </x:c>
      <x:c r="U1368" s="253" t="str">
        <x:f>IF(AND(S1368="Yes",T1368=0),"Yes","No")</x:f>
        <x:v>Yes</x:v>
      </x:c>
      <x:c r="V1368" s="253" t="str">
        <x:v>Yes</x:v>
      </x:c>
      <x:c r="W1368" s="253" t="str">
        <x:v>No</x:v>
      </x:c>
      <x:c r="X1368" s="259"/>
      <x:c r="Y1368" s="265" t="n">
        <x:v>0</x:v>
      </x:c>
      <x:c r="Z1368" s="265" t="n">
        <x:v>0</x:v>
      </x:c>
      <x:c r="AA1368" s="253" t="str">
        <x:f>IF(V1368="No","Maturing",IF(AND(U1368="Yes",Y1368&gt;0),"Yes","No"))</x:f>
        <x:v>No</x:v>
      </x:c>
      <x:c r="AB1368" s="253" t="str">
        <x:f>IF(W1368="No","Maturing",IF(AND(U1368="Yes",Z1368&gt;0),"Yes","No"))</x:f>
        <x:v>Maturing</x:v>
      </x:c>
      <x:c r="AC1368" s="265" t="n">
        <x:v>-1774.64</x:v>
      </x:c>
      <x:c r="AD1368" s="265" t="n">
        <x:v>-1774.64</x:v>
      </x:c>
      <x:c r="AE1368" s="271" t="str"/>
      <x:c r="AF1368" s="274" t="str">
        <x:v>Not validated - no control/holdout</x:v>
      </x:c>
      <x:c r="AG1368" s="277" t="str">
        <x:v>Recovered execution only; assignment date and unclaimed-offer denominator unavailable</x:v>
      </x:c>
    </x:row>
    <x:row r="1369">
      <x:c r="A1369" s="252" t="str">
        <x:v>34977884</x:v>
      </x:c>
      <x:c r="B1369" s="253" t="str">
        <x:v>WS1</x:v>
      </x:c>
      <x:c r="C1369" s="253" t="str">
        <x:v>MB8</x:v>
      </x:c>
      <x:c r="D1369" s="262" t="n">
        <x:v>46219.955358796295</x:v>
      </x:c>
      <x:c r="E1369" s="259" t="n">
        <x:v>46219.166666666664</x:v>
      </x:c>
      <x:c r="F1369" s="253" t="str">
        <x:v>1110473</x:v>
      </x:c>
      <x:c r="G1369" s="253" t="str">
        <x:v>AlexTingSieSing</x:v>
      </x:c>
      <x:c r="H1369" s="253" t="str">
        <x:v>Yes</x:v>
      </x:c>
      <x:c r="I1369" s="253" t="str">
        <x:v>zhen</x:v>
      </x:c>
      <x:c r="J1369" s="253" t="str">
        <x:v>zhen</x:v>
      </x:c>
      <x:c r="K1369" s="259" t="n">
        <x:v>45922.166666666664</x:v>
      </x:c>
      <x:c r="L1369" s="268" t="str">
        <x:f>IFERROR(VLOOKUP(I1369,'Handler-Team Map'!$A$7:$C$17,2,FALSE),"")</x:f>
      </x:c>
      <x:c r="M1369" s="268" t="str">
        <x:f>IFERROR(VLOOKUP(I1369,'Handler-Team Map'!$A$7:$C$17,3,FALSE),"")</x:f>
      </x:c>
      <x:c r="N1369" s="274" t="str">
        <x:v>FT_VM_DEP1000_GET800_2X</x:v>
      </x:c>
      <x:c r="O1369" s="274" t="str">
        <x:v>VIP BONUS - Deposit 1000 Get 800 - 2x TO</x:v>
      </x:c>
      <x:c r="P1369" s="274" t="str">
        <x:v>DepositBonus</x:v>
      </x:c>
      <x:c r="Q1369" s="274" t="str">
        <x:v>Approved</x:v>
      </x:c>
      <x:c r="R1369" s="265" t="n">
        <x:v>800</x:v>
      </x:c>
      <x:c r="S1369" s="253" t="str">
        <x:v>Yes</x:v>
      </x:c>
      <x:c r="T1369" s="265" t="n">
        <x:v>2000</x:v>
      </x:c>
      <x:c r="U1369" s="253" t="str">
        <x:f>IF(AND(S1369="Yes",T1369=0),"Yes","No")</x:f>
        <x:v>No</x:v>
      </x:c>
      <x:c r="V1369" s="253" t="str">
        <x:v>Yes</x:v>
      </x:c>
      <x:c r="W1369" s="253" t="str">
        <x:v>No</x:v>
      </x:c>
      <x:c r="X1369" s="259" t="n">
        <x:v>46219.166666666664</x:v>
      </x:c>
      <x:c r="Y1369" s="265" t="n">
        <x:v>8543.2</x:v>
      </x:c>
      <x:c r="Z1369" s="265" t="n">
        <x:v>8543.2</x:v>
      </x:c>
      <x:c r="AA1369" s="253" t="str">
        <x:f>IF(V1369="No","Maturing",IF(AND(U1369="Yes",Y1369&gt;0),"Yes","No"))</x:f>
        <x:v>No</x:v>
      </x:c>
      <x:c r="AB1369" s="253" t="str">
        <x:f>IF(W1369="No","Maturing",IF(AND(U1369="Yes",Z1369&gt;0),"Yes","No"))</x:f>
        <x:v>Maturing</x:v>
      </x:c>
      <x:c r="AC1369" s="265" t="n">
        <x:v>2729.29</x:v>
      </x:c>
      <x:c r="AD1369" s="265" t="n">
        <x:v>1614.29</x:v>
      </x:c>
      <x:c r="AE1369" s="271" t="str"/>
      <x:c r="AF1369" s="274" t="str">
        <x:v>Not validated - no control/holdout</x:v>
      </x:c>
      <x:c r="AG1369" s="277" t="str">
        <x:v>Recovered execution only; assignment date and unclaimed-offer denominator unavailable</x:v>
      </x:c>
    </x:row>
    <x:row r="1370">
      <x:c r="A1370" s="252" t="str">
        <x:v>34977949</x:v>
      </x:c>
      <x:c r="B1370" s="253" t="str">
        <x:v>WS1</x:v>
      </x:c>
      <x:c r="C1370" s="253" t="str">
        <x:v>MB8</x:v>
      </x:c>
      <x:c r="D1370" s="262" t="n">
        <x:v>46219.95832175926</x:v>
      </x:c>
      <x:c r="E1370" s="259" t="n">
        <x:v>46219.166666666664</x:v>
      </x:c>
      <x:c r="F1370" s="253" t="str">
        <x:v>777311</x:v>
      </x:c>
      <x:c r="G1370" s="253" t="str">
        <x:v>mighty99</x:v>
      </x:c>
      <x:c r="H1370" s="253" t="str">
        <x:v>Yes</x:v>
      </x:c>
      <x:c r="I1370" s="253" t="str">
        <x:v>zhen</x:v>
      </x:c>
      <x:c r="J1370" s="253" t="str">
        <x:v>zhen</x:v>
      </x:c>
      <x:c r="K1370" s="259" t="n">
        <x:v>45922.166666666664</x:v>
      </x:c>
      <x:c r="L1370" s="268" t="str">
        <x:f>IFERROR(VLOOKUP(I1370,'Handler-Team Map'!$A$7:$C$17,2,FALSE),"")</x:f>
      </x:c>
      <x:c r="M1370" s="268" t="str">
        <x:f>IFERROR(VLOOKUP(I1370,'Handler-Team Map'!$A$7:$C$17,3,FALSE),"")</x:f>
      </x:c>
      <x:c r="N1370" s="274" t="str">
        <x:v>FT_VM_DEP1000_GET500_2X</x:v>
      </x:c>
      <x:c r="O1370" s="274" t="str">
        <x:v>VIP BONUS - Deposit 1000 Get 500 - 2x TO</x:v>
      </x:c>
      <x:c r="P1370" s="274" t="str">
        <x:v>DepositBonus</x:v>
      </x:c>
      <x:c r="Q1370" s="274" t="str">
        <x:v>Approved</x:v>
      </x:c>
      <x:c r="R1370" s="265" t="n">
        <x:v>500</x:v>
      </x:c>
      <x:c r="S1370" s="253" t="str">
        <x:v>Yes</x:v>
      </x:c>
      <x:c r="T1370" s="265" t="n">
        <x:v>2200</x:v>
      </x:c>
      <x:c r="U1370" s="253" t="str">
        <x:f>IF(AND(S1370="Yes",T1370=0),"Yes","No")</x:f>
        <x:v>No</x:v>
      </x:c>
      <x:c r="V1370" s="253" t="str">
        <x:v>Yes</x:v>
      </x:c>
      <x:c r="W1370" s="253" t="str">
        <x:v>No</x:v>
      </x:c>
      <x:c r="X1370" s="259" t="n">
        <x:v>46219.166666666664</x:v>
      </x:c>
      <x:c r="Y1370" s="265" t="n">
        <x:v>1000</x:v>
      </x:c>
      <x:c r="Z1370" s="265" t="n">
        <x:v>1000</x:v>
      </x:c>
      <x:c r="AA1370" s="253" t="str">
        <x:f>IF(V1370="No","Maturing",IF(AND(U1370="Yes",Y1370&gt;0),"Yes","No"))</x:f>
        <x:v>No</x:v>
      </x:c>
      <x:c r="AB1370" s="253" t="str">
        <x:f>IF(W1370="No","Maturing",IF(AND(U1370="Yes",Z1370&gt;0),"Yes","No"))</x:f>
        <x:v>Maturing</x:v>
      </x:c>
      <x:c r="AC1370" s="265" t="n">
        <x:v>1025.04</x:v>
      </x:c>
      <x:c r="AD1370" s="265" t="n">
        <x:v>1025.04</x:v>
      </x:c>
      <x:c r="AE1370" s="271" t="str"/>
      <x:c r="AF1370" s="274" t="str">
        <x:v>Not validated - no control/holdout</x:v>
      </x:c>
      <x:c r="AG1370" s="277" t="str">
        <x:v>Recovered execution only; assignment date and unclaimed-offer denominator unavailable</x:v>
      </x:c>
    </x:row>
    <x:row r="1371">
      <x:c r="A1371" s="252" t="str">
        <x:v>34978456</x:v>
      </x:c>
      <x:c r="B1371" s="253" t="str">
        <x:v>WS1</x:v>
      </x:c>
      <x:c r="C1371" s="253" t="str">
        <x:v>MB8</x:v>
      </x:c>
      <x:c r="D1371" s="262" t="n">
        <x:v>46219.988275462965</x:v>
      </x:c>
      <x:c r="E1371" s="259" t="n">
        <x:v>46219.166666666664</x:v>
      </x:c>
      <x:c r="F1371" s="253" t="str">
        <x:v>366220</x:v>
      </x:c>
      <x:c r="G1371" s="253" t="str">
        <x:v>Bluebird84</x:v>
      </x:c>
      <x:c r="H1371" s="253" t="str">
        <x:v>Yes</x:v>
      </x:c>
      <x:c r="I1371" s="253" t="str">
        <x:v>Tammy</x:v>
      </x:c>
      <x:c r="J1371" s="253" t="str">
        <x:v>Tammy</x:v>
      </x:c>
      <x:c r="K1371" s="259" t="n">
        <x:v>45951.166666666664</x:v>
      </x:c>
      <x:c r="L1371" s="268" t="str">
        <x:f>IFERROR(VLOOKUP(I1371,'Handler-Team Map'!$A$7:$C$17,2,FALSE),"")</x:f>
      </x:c>
      <x:c r="M1371" s="268" t="str">
        <x:f>IFERROR(VLOOKUP(I1371,'Handler-Team Map'!$A$7:$C$17,3,FALSE),"")</x:f>
      </x:c>
      <x:c r="N1371" s="274" t="str">
        <x:v>FT_VM_DEP600_GET200_5X</x:v>
      </x:c>
      <x:c r="O1371" s="274" t="str">
        <x:v>VIP BONUS - Deposit 600 Get 200 - 5x TO</x:v>
      </x:c>
      <x:c r="P1371" s="274" t="str">
        <x:v>DepositBonus</x:v>
      </x:c>
      <x:c r="Q1371" s="274" t="str">
        <x:v>Approved</x:v>
      </x:c>
      <x:c r="R1371" s="265" t="n">
        <x:v>200</x:v>
      </x:c>
      <x:c r="S1371" s="253" t="str">
        <x:v>Yes</x:v>
      </x:c>
      <x:c r="T1371" s="265" t="n">
        <x:v>26780</x:v>
      </x:c>
      <x:c r="U1371" s="253" t="str">
        <x:f>IF(AND(S1371="Yes",T1371=0),"Yes","No")</x:f>
        <x:v>No</x:v>
      </x:c>
      <x:c r="V1371" s="253" t="str">
        <x:v>Yes</x:v>
      </x:c>
      <x:c r="W1371" s="253" t="str">
        <x:v>No</x:v>
      </x:c>
      <x:c r="X1371" s="259" t="n">
        <x:v>46219.166666666664</x:v>
      </x:c>
      <x:c r="Y1371" s="265" t="n">
        <x:v>79882</x:v>
      </x:c>
      <x:c r="Z1371" s="265" t="n">
        <x:v>80082</x:v>
      </x:c>
      <x:c r="AA1371" s="253" t="str">
        <x:f>IF(V1371="No","Maturing",IF(AND(U1371="Yes",Y1371&gt;0),"Yes","No"))</x:f>
        <x:v>No</x:v>
      </x:c>
      <x:c r="AB1371" s="253" t="str">
        <x:f>IF(W1371="No","Maturing",IF(AND(U1371="Yes",Z1371&gt;0),"Yes","No"))</x:f>
        <x:v>Maturing</x:v>
      </x:c>
      <x:c r="AC1371" s="265" t="n">
        <x:v>-24261.42</x:v>
      </x:c>
      <x:c r="AD1371" s="265" t="n">
        <x:v>-24052.36</x:v>
      </x:c>
      <x:c r="AE1371" s="271" t="str"/>
      <x:c r="AF1371" s="274" t="str">
        <x:v>Not validated - no control/holdout</x:v>
      </x:c>
      <x:c r="AG1371" s="277" t="str">
        <x:v>Recovered execution only; assignment date and unclaimed-offer denominator unavailable</x:v>
      </x:c>
    </x:row>
    <x:row r="1372">
      <x:c r="A1372" s="252" t="str">
        <x:v>34979304</x:v>
      </x:c>
      <x:c r="B1372" s="253" t="str">
        <x:v>WS1</x:v>
      </x:c>
      <x:c r="C1372" s="253" t="str">
        <x:v>MB8</x:v>
      </x:c>
      <x:c r="D1372" s="262" t="n">
        <x:v>46220.03554398148</x:v>
      </x:c>
      <x:c r="E1372" s="259" t="n">
        <x:v>46220.166666666664</x:v>
      </x:c>
      <x:c r="F1372" s="253" t="str">
        <x:v>123371</x:v>
      </x:c>
      <x:c r="G1372" s="253" t="str">
        <x:v>Darren920618</x:v>
      </x:c>
      <x:c r="H1372" s="253" t="str">
        <x:v>Yes</x:v>
      </x:c>
      <x:c r="I1372" s="253" t="str"/>
      <x:c r="J1372" s="253" t="str"/>
      <x:c r="K1372" s="259"/>
      <x:c r="L1372" s="268" t="str">
        <x:f>IFERROR(VLOOKUP(I1372,'Handler-Team Map'!$A$7:$C$17,2,FALSE),"")</x:f>
      </x:c>
      <x:c r="M1372" s="268" t="str">
        <x:f>IFERROR(VLOOKUP(I1372,'Handler-Team Map'!$A$7:$C$17,3,FALSE),"")</x:f>
      </x:c>
      <x:c r="N1372" s="274" t="str">
        <x:v>FT_VM_DEP800_GET400_1X</x:v>
      </x:c>
      <x:c r="O1372" s="274" t="str">
        <x:v>VIP BONUS - Deposit 800 Get 400 - 1x TO</x:v>
      </x:c>
      <x:c r="P1372" s="274" t="str">
        <x:v>DepositBonus</x:v>
      </x:c>
      <x:c r="Q1372" s="274" t="str">
        <x:v>Approved</x:v>
      </x:c>
      <x:c r="R1372" s="265" t="n">
        <x:v>400</x:v>
      </x:c>
      <x:c r="S1372" s="253" t="str">
        <x:v>Yes</x:v>
      </x:c>
      <x:c r="T1372" s="265" t="n">
        <x:v>0</x:v>
      </x:c>
      <x:c r="U1372" s="253" t="str">
        <x:f>IF(AND(S1372="Yes",T1372=0),"Yes","No")</x:f>
        <x:v>Yes</x:v>
      </x:c>
      <x:c r="V1372" s="253" t="str">
        <x:v>No</x:v>
      </x:c>
      <x:c r="W1372" s="253" t="str">
        <x:v>No</x:v>
      </x:c>
      <x:c r="X1372" s="259" t="n">
        <x:v>46220.166666666664</x:v>
      </x:c>
      <x:c r="Y1372" s="265" t="n">
        <x:v>800</x:v>
      </x:c>
      <x:c r="Z1372" s="265" t="n">
        <x:v>800</x:v>
      </x:c>
      <x:c r="AA1372" s="253" t="str">
        <x:f>IF(V1372="No","Maturing",IF(AND(U1372="Yes",Y1372&gt;0),"Yes","No"))</x:f>
        <x:v>Maturing</x:v>
      </x:c>
      <x:c r="AB1372" s="253" t="str">
        <x:f>IF(W1372="No","Maturing",IF(AND(U1372="Yes",Z1372&gt;0),"Yes","No"))</x:f>
        <x:v>Maturing</x:v>
      </x:c>
      <x:c r="AC1372" s="265" t="n">
        <x:v>799.95</x:v>
      </x:c>
      <x:c r="AD1372" s="265" t="n">
        <x:v>799.95</x:v>
      </x:c>
      <x:c r="AE1372" s="271" t="str"/>
      <x:c r="AF1372" s="274" t="str">
        <x:v>Not validated - no control/holdout</x:v>
      </x:c>
      <x:c r="AG1372" s="277" t="str">
        <x:v>Recovered execution only; assignment date and unclaimed-offer denominator unavailable</x:v>
      </x:c>
    </x:row>
    <x:row r="1373">
      <x:c r="A1373" s="252" t="str">
        <x:v>34981334</x:v>
      </x:c>
      <x:c r="B1373" s="253" t="str">
        <x:v>WS1</x:v>
      </x:c>
      <x:c r="C1373" s="253" t="str">
        <x:v>MB8</x:v>
      </x:c>
      <x:c r="D1373" s="262" t="n">
        <x:v>46220.26383101852</x:v>
      </x:c>
      <x:c r="E1373" s="259" t="n">
        <x:v>46220.166666666664</x:v>
      </x:c>
      <x:c r="F1373" s="253" t="str">
        <x:v>990296</x:v>
      </x:c>
      <x:c r="G1373" s="253" t="str">
        <x:v>asadlangah317</x:v>
      </x:c>
      <x:c r="H1373" s="253" t="str">
        <x:v>Yes</x:v>
      </x:c>
      <x:c r="I1373" s="253" t="str">
        <x:v>Serene</x:v>
      </x:c>
      <x:c r="J1373" s="253" t="str">
        <x:v>Serene</x:v>
      </x:c>
      <x:c r="K1373" s="259" t="n">
        <x:v>46077.166666666664</x:v>
      </x:c>
      <x:c r="L1373" s="268" t="str">
        <x:f>IFERROR(VLOOKUP(I1373,'Handler-Team Map'!$A$7:$C$17,2,FALSE),"")</x:f>
      </x:c>
      <x:c r="M1373" s="268" t="str">
        <x:f>IFERROR(VLOOKUP(I1373,'Handler-Team Map'!$A$7:$C$17,3,FALSE),"")</x:f>
      </x:c>
      <x:c r="N1373" s="274" t="str">
        <x:v>FT_VM_REL100PCT_X1</x:v>
      </x:c>
      <x:c r="O1373" s="274" t="str">
        <x:v>100% Reload Bonus - VIP Offer</x:v>
      </x:c>
      <x:c r="P1373" s="274" t="str">
        <x:v>DepositBonus</x:v>
      </x:c>
      <x:c r="Q1373" s="274" t="str">
        <x:v>Approved</x:v>
      </x:c>
      <x:c r="R1373" s="265" t="n">
        <x:v>300</x:v>
      </x:c>
      <x:c r="S1373" s="253" t="str">
        <x:v>Yes</x:v>
      </x:c>
      <x:c r="T1373" s="265" t="n">
        <x:v>0</x:v>
      </x:c>
      <x:c r="U1373" s="253" t="str">
        <x:f>IF(AND(S1373="Yes",T1373=0),"Yes","No")</x:f>
        <x:v>Yes</x:v>
      </x:c>
      <x:c r="V1373" s="253" t="str">
        <x:v>No</x:v>
      </x:c>
      <x:c r="W1373" s="253" t="str">
        <x:v>No</x:v>
      </x:c>
      <x:c r="X1373" s="259" t="n">
        <x:v>46220.166666666664</x:v>
      </x:c>
      <x:c r="Y1373" s="265" t="n">
        <x:v>300</x:v>
      </x:c>
      <x:c r="Z1373" s="265" t="n">
        <x:v>300</x:v>
      </x:c>
      <x:c r="AA1373" s="253" t="str">
        <x:f>IF(V1373="No","Maturing",IF(AND(U1373="Yes",Y1373&gt;0),"Yes","No"))</x:f>
        <x:v>Maturing</x:v>
      </x:c>
      <x:c r="AB1373" s="253" t="str">
        <x:f>IF(W1373="No","Maturing",IF(AND(U1373="Yes",Z1373&gt;0),"Yes","No"))</x:f>
        <x:v>Maturing</x:v>
      </x:c>
      <x:c r="AC1373" s="265" t="n">
        <x:v>-348.64</x:v>
      </x:c>
      <x:c r="AD1373" s="265" t="n">
        <x:v>-348.64</x:v>
      </x:c>
      <x:c r="AE1373" s="271" t="str"/>
      <x:c r="AF1373" s="274" t="str">
        <x:v>Not validated - no control/holdout</x:v>
      </x:c>
      <x:c r="AG1373" s="277" t="str">
        <x:v>Recovered execution only; assignment date and unclaimed-offer denominator unavailable</x:v>
      </x:c>
    </x:row>
    <x:row r="1374">
      <x:c r="A1374" s="252" t="str">
        <x:v>34982176</x:v>
      </x:c>
      <x:c r="B1374" s="253" t="str">
        <x:v>WS1</x:v>
      </x:c>
      <x:c r="C1374" s="253" t="str">
        <x:v>MB8</x:v>
      </x:c>
      <x:c r="D1374" s="262" t="n">
        <x:v>46220.41517361111</x:v>
      </x:c>
      <x:c r="E1374" s="259" t="n">
        <x:v>46220.166666666664</x:v>
      </x:c>
      <x:c r="F1374" s="253" t="str">
        <x:v>587328</x:v>
      </x:c>
      <x:c r="G1374" s="253" t="str">
        <x:v>momiji123</x:v>
      </x:c>
      <x:c r="H1374" s="253" t="str">
        <x:v>Yes</x:v>
      </x:c>
      <x:c r="I1374" s="253" t="str">
        <x:v>zhen</x:v>
      </x:c>
      <x:c r="J1374" s="253" t="str">
        <x:v>zhen</x:v>
      </x:c>
      <x:c r="K1374" s="259" t="n">
        <x:v>45922.166666666664</x:v>
      </x:c>
      <x:c r="L1374" s="268" t="str">
        <x:f>IFERROR(VLOOKUP(I1374,'Handler-Team Map'!$A$7:$C$17,2,FALSE),"")</x:f>
      </x:c>
      <x:c r="M1374" s="268" t="str">
        <x:f>IFERROR(VLOOKUP(I1374,'Handler-Team Map'!$A$7:$C$17,3,FALSE),"")</x:f>
      </x:c>
      <x:c r="N1374" s="274" t="str">
        <x:v>FT_VM_DEP1000_GET500_5X</x:v>
      </x:c>
      <x:c r="O1374" s="274" t="str">
        <x:v>VIP BONUS - Deposit 1000 Get 500 - 5x TO</x:v>
      </x:c>
      <x:c r="P1374" s="274" t="str">
        <x:v>DepositBonus</x:v>
      </x:c>
      <x:c r="Q1374" s="274" t="str">
        <x:v>Approved</x:v>
      </x:c>
      <x:c r="R1374" s="265" t="n">
        <x:v>500</x:v>
      </x:c>
      <x:c r="S1374" s="253" t="str">
        <x:v>Yes</x:v>
      </x:c>
      <x:c r="T1374" s="265" t="n">
        <x:v>2000</x:v>
      </x:c>
      <x:c r="U1374" s="253" t="str">
        <x:f>IF(AND(S1374="Yes",T1374=0),"Yes","No")</x:f>
        <x:v>No</x:v>
      </x:c>
      <x:c r="V1374" s="253" t="str">
        <x:v>No</x:v>
      </x:c>
      <x:c r="W1374" s="253" t="str">
        <x:v>No</x:v>
      </x:c>
      <x:c r="X1374" s="259" t="n">
        <x:v>46220.166666666664</x:v>
      </x:c>
      <x:c r="Y1374" s="265" t="n">
        <x:v>1000</x:v>
      </x:c>
      <x:c r="Z1374" s="265" t="n">
        <x:v>1000</x:v>
      </x:c>
      <x:c r="AA1374" s="253" t="str">
        <x:f>IF(V1374="No","Maturing",IF(AND(U1374="Yes",Y1374&gt;0),"Yes","No"))</x:f>
        <x:v>Maturing</x:v>
      </x:c>
      <x:c r="AB1374" s="253" t="str">
        <x:f>IF(W1374="No","Maturing",IF(AND(U1374="Yes",Z1374&gt;0),"Yes","No"))</x:f>
        <x:v>Maturing</x:v>
      </x:c>
      <x:c r="AC1374" s="265" t="n">
        <x:v>999.03</x:v>
      </x:c>
      <x:c r="AD1374" s="265" t="n">
        <x:v>999.03</x:v>
      </x:c>
      <x:c r="AE1374" s="271" t="str"/>
      <x:c r="AF1374" s="274" t="str">
        <x:v>Not validated - no control/holdout</x:v>
      </x:c>
      <x:c r="AG1374" s="277" t="str">
        <x:v>Recovered execution only; assignment date and unclaimed-offer denominator unavailable</x:v>
      </x:c>
    </x:row>
    <x:row r="1375">
      <x:c r="A1375" s="252" t="str">
        <x:v>34982569</x:v>
      </x:c>
      <x:c r="B1375" s="253" t="str">
        <x:v>WS1</x:v>
      </x:c>
      <x:c r="C1375" s="253" t="str">
        <x:v>MB8</x:v>
      </x:c>
      <x:c r="D1375" s="262" t="n">
        <x:v>46220.47116898148</x:v>
      </x:c>
      <x:c r="E1375" s="259" t="n">
        <x:v>46220.166666666664</x:v>
      </x:c>
      <x:c r="F1375" s="253" t="str">
        <x:v>756676</x:v>
      </x:c>
      <x:c r="G1375" s="253" t="str">
        <x:v>Bellaldewan</x:v>
      </x:c>
      <x:c r="H1375" s="253" t="str">
        <x:v>Yes</x:v>
      </x:c>
      <x:c r="I1375" s="253" t="str">
        <x:v>Sheena</x:v>
      </x:c>
      <x:c r="J1375" s="253" t="str">
        <x:v>Sheena</x:v>
      </x:c>
      <x:c r="K1375" s="259" t="n">
        <x:v>45852.166666666664</x:v>
      </x:c>
      <x:c r="L1375" s="268" t="str">
        <x:f>IFERROR(VLOOKUP(I1375,'Handler-Team Map'!$A$7:$C$17,2,FALSE),"")</x:f>
      </x:c>
      <x:c r="M1375" s="268" t="str">
        <x:f>IFERROR(VLOOKUP(I1375,'Handler-Team Map'!$A$7:$C$17,3,FALSE),"")</x:f>
      </x:c>
      <x:c r="N1375" s="274" t="str">
        <x:v>FT_VM_REL100PCT_X1</x:v>
      </x:c>
      <x:c r="O1375" s="274" t="str">
        <x:v>100% Reload Bonus - VIP Offer</x:v>
      </x:c>
      <x:c r="P1375" s="274" t="str">
        <x:v>DepositBonus</x:v>
      </x:c>
      <x:c r="Q1375" s="274" t="str">
        <x:v>Approved</x:v>
      </x:c>
      <x:c r="R1375" s="265" t="n">
        <x:v>300</x:v>
      </x:c>
      <x:c r="S1375" s="253" t="str">
        <x:v>Yes</x:v>
      </x:c>
      <x:c r="T1375" s="265" t="n">
        <x:v>0</x:v>
      </x:c>
      <x:c r="U1375" s="253" t="str">
        <x:f>IF(AND(S1375="Yes",T1375=0),"Yes","No")</x:f>
        <x:v>Yes</x:v>
      </x:c>
      <x:c r="V1375" s="253" t="str">
        <x:v>No</x:v>
      </x:c>
      <x:c r="W1375" s="253" t="str">
        <x:v>No</x:v>
      </x:c>
      <x:c r="X1375" s="259" t="n">
        <x:v>46220.166666666664</x:v>
      </x:c>
      <x:c r="Y1375" s="265" t="n">
        <x:v>300</x:v>
      </x:c>
      <x:c r="Z1375" s="265" t="n">
        <x:v>300</x:v>
      </x:c>
      <x:c r="AA1375" s="253" t="str">
        <x:f>IF(V1375="No","Maturing",IF(AND(U1375="Yes",Y1375&gt;0),"Yes","No"))</x:f>
        <x:v>Maturing</x:v>
      </x:c>
      <x:c r="AB1375" s="253" t="str">
        <x:f>IF(W1375="No","Maturing",IF(AND(U1375="Yes",Z1375&gt;0),"Yes","No"))</x:f>
        <x:v>Maturing</x:v>
      </x:c>
      <x:c r="AC1375" s="265" t="n">
        <x:v>205</x:v>
      </x:c>
      <x:c r="AD1375" s="265" t="n">
        <x:v>205</x:v>
      </x:c>
      <x:c r="AE1375" s="271" t="str"/>
      <x:c r="AF1375" s="274" t="str">
        <x:v>Not validated - no control/holdout</x:v>
      </x:c>
      <x:c r="AG1375" s="277" t="str">
        <x:v>Recovered execution only; assignment date and unclaimed-offer denominator unavailable</x:v>
      </x:c>
    </x:row>
    <x:row r="1376">
      <x:c r="A1376" s="252" t="str">
        <x:v>6010513</x:v>
      </x:c>
      <x:c r="B1376" s="253" t="str">
        <x:v>WS1</x:v>
      </x:c>
      <x:c r="C1376" s="253" t="str">
        <x:v>MB8</x:v>
      </x:c>
      <x:c r="D1376" s="262" t="n">
        <x:v>46220.54078703704</x:v>
      </x:c>
      <x:c r="E1376" s="259" t="n">
        <x:v>46220.166666666664</x:v>
      </x:c>
      <x:c r="F1376" s="253" t="str">
        <x:v>394539</x:v>
      </x:c>
      <x:c r="G1376" s="253" t="str">
        <x:v>Austin3734</x:v>
      </x:c>
      <x:c r="H1376" s="253" t="str">
        <x:v>Yes</x:v>
      </x:c>
      <x:c r="I1376" s="253" t="str">
        <x:v>Claire</x:v>
      </x:c>
      <x:c r="J1376" s="253" t="str">
        <x:v>Claire</x:v>
      </x:c>
      <x:c r="K1376" s="259" t="n">
        <x:v>45790.166666666664</x:v>
      </x:c>
      <x:c r="L1376" s="268" t="str">
        <x:f>IFERROR(VLOOKUP(I1376,'Handler-Team Map'!$A$7:$C$17,2,FALSE),"")</x:f>
      </x:c>
      <x:c r="M1376" s="268" t="str">
        <x:f>IFERROR(VLOOKUP(I1376,'Handler-Team Map'!$A$7:$C$17,3,FALSE),"")</x:f>
      </x:c>
      <x:c r="N1376" s="274" t="str">
        <x:v>FT_VMFC_VARIABLE_3X</x:v>
      </x:c>
      <x:c r="O1376" s="274" t="str">
        <x:v>VIP SPECIAL FREE CREDIT - 3x TO</x:v>
      </x:c>
      <x:c r="P1376" s="274" t="str">
        <x:v>FreeCredit</x:v>
      </x:c>
      <x:c r="Q1376" s="274" t="str">
        <x:v>Redeemed</x:v>
      </x:c>
      <x:c r="R1376" s="265" t="n">
        <x:v>588</x:v>
      </x:c>
      <x:c r="S1376" s="253" t="str">
        <x:v>Yes</x:v>
      </x:c>
      <x:c r="T1376" s="265" t="n">
        <x:v>0</x:v>
      </x:c>
      <x:c r="U1376" s="253" t="str">
        <x:f>IF(AND(S1376="Yes",T1376=0),"Yes","No")</x:f>
        <x:v>Yes</x:v>
      </x:c>
      <x:c r="V1376" s="253" t="str">
        <x:v>No</x:v>
      </x:c>
      <x:c r="W1376" s="253" t="str">
        <x:v>No</x:v>
      </x:c>
      <x:c r="X1376" s="259"/>
      <x:c r="Y1376" s="265" t="n">
        <x:v>0</x:v>
      </x:c>
      <x:c r="Z1376" s="265" t="n">
        <x:v>0</x:v>
      </x:c>
      <x:c r="AA1376" s="253" t="str">
        <x:f>IF(V1376="No","Maturing",IF(AND(U1376="Yes",Y1376&gt;0),"Yes","No"))</x:f>
        <x:v>Maturing</x:v>
      </x:c>
      <x:c r="AB1376" s="253" t="str">
        <x:f>IF(W1376="No","Maturing",IF(AND(U1376="Yes",Z1376&gt;0),"Yes","No"))</x:f>
        <x:v>Maturing</x:v>
      </x:c>
      <x:c r="AC1376" s="265" t="n">
        <x:v>-316.92</x:v>
      </x:c>
      <x:c r="AD1376" s="265" t="n">
        <x:v>-316.92</x:v>
      </x:c>
      <x:c r="AE1376" s="271" t="str"/>
      <x:c r="AF1376" s="274" t="str">
        <x:v>Not validated - no control/holdout</x:v>
      </x:c>
      <x:c r="AG1376" s="277" t="str">
        <x:v>Recovered execution only; assignment date and unclaimed-offer denominator unavailable</x:v>
      </x:c>
    </x:row>
    <x:row r="1377">
      <x:c r="A1377" s="252" t="str">
        <x:v>34983621</x:v>
      </x:c>
      <x:c r="B1377" s="253" t="str">
        <x:v>WS1</x:v>
      </x:c>
      <x:c r="C1377" s="253" t="str">
        <x:v>MB8</x:v>
      </x:c>
      <x:c r="D1377" s="262" t="n">
        <x:v>46220.586331018516</x:v>
      </x:c>
      <x:c r="E1377" s="259" t="n">
        <x:v>46220.166666666664</x:v>
      </x:c>
      <x:c r="F1377" s="253" t="str">
        <x:v>534007</x:v>
      </x:c>
      <x:c r="G1377" s="253" t="str">
        <x:v>sahilyar15</x:v>
      </x:c>
      <x:c r="H1377" s="253" t="str">
        <x:v>Yes</x:v>
      </x:c>
      <x:c r="I1377" s="253" t="str">
        <x:v>Tammy</x:v>
      </x:c>
      <x:c r="J1377" s="253" t="str">
        <x:v>Tammy</x:v>
      </x:c>
      <x:c r="K1377" s="259" t="n">
        <x:v>45951.166666666664</x:v>
      </x:c>
      <x:c r="L1377" s="268" t="str">
        <x:f>IFERROR(VLOOKUP(I1377,'Handler-Team Map'!$A$7:$C$17,2,FALSE),"")</x:f>
      </x:c>
      <x:c r="M1377" s="268" t="str">
        <x:f>IFERROR(VLOOKUP(I1377,'Handler-Team Map'!$A$7:$C$17,3,FALSE),"")</x:f>
      </x:c>
      <x:c r="N1377" s="274" t="str">
        <x:v>FT_VM_DEP1000_GET500_5X</x:v>
      </x:c>
      <x:c r="O1377" s="274" t="str">
        <x:v>VIP BONUS - Deposit 1000 Get 500 - 5x TO</x:v>
      </x:c>
      <x:c r="P1377" s="274" t="str">
        <x:v>DepositBonus</x:v>
      </x:c>
      <x:c r="Q1377" s="274" t="str">
        <x:v>Approved</x:v>
      </x:c>
      <x:c r="R1377" s="265" t="n">
        <x:v>500</x:v>
      </x:c>
      <x:c r="S1377" s="253" t="str">
        <x:v>Yes</x:v>
      </x:c>
      <x:c r="T1377" s="265" t="n">
        <x:v>6900</x:v>
      </x:c>
      <x:c r="U1377" s="253" t="str">
        <x:f>IF(AND(S1377="Yes",T1377=0),"Yes","No")</x:f>
        <x:v>No</x:v>
      </x:c>
      <x:c r="V1377" s="253" t="str">
        <x:v>No</x:v>
      </x:c>
      <x:c r="W1377" s="253" t="str">
        <x:v>No</x:v>
      </x:c>
      <x:c r="X1377" s="259" t="n">
        <x:v>46220.166666666664</x:v>
      </x:c>
      <x:c r="Y1377" s="265" t="n">
        <x:v>12900</x:v>
      </x:c>
      <x:c r="Z1377" s="265" t="n">
        <x:v>12900</x:v>
      </x:c>
      <x:c r="AA1377" s="253" t="str">
        <x:f>IF(V1377="No","Maturing",IF(AND(U1377="Yes",Y1377&gt;0),"Yes","No"))</x:f>
        <x:v>Maturing</x:v>
      </x:c>
      <x:c r="AB1377" s="253" t="str">
        <x:f>IF(W1377="No","Maturing",IF(AND(U1377="Yes",Z1377&gt;0),"Yes","No"))</x:f>
        <x:v>Maturing</x:v>
      </x:c>
      <x:c r="AC1377" s="265" t="n">
        <x:v>-899.78</x:v>
      </x:c>
      <x:c r="AD1377" s="265" t="n">
        <x:v>-899.78</x:v>
      </x:c>
      <x:c r="AE1377" s="271" t="str"/>
      <x:c r="AF1377" s="274" t="str">
        <x:v>Not validated - no control/holdout</x:v>
      </x:c>
      <x:c r="AG1377" s="277" t="str">
        <x:v>Recovered execution only; assignment date and unclaimed-offer denominator unavailable</x:v>
      </x:c>
    </x:row>
    <x:row r="1378">
      <x:c r="A1378" s="252" t="str">
        <x:v>34983786</x:v>
      </x:c>
      <x:c r="B1378" s="253" t="str">
        <x:v>WS1</x:v>
      </x:c>
      <x:c r="C1378" s="253" t="str">
        <x:v>MB8</x:v>
      </x:c>
      <x:c r="D1378" s="262" t="n">
        <x:v>46220.60267361111</x:v>
      </x:c>
      <x:c r="E1378" s="259" t="n">
        <x:v>46220.166666666664</x:v>
      </x:c>
      <x:c r="F1378" s="253" t="str">
        <x:v>314935</x:v>
      </x:c>
      <x:c r="G1378" s="253" t="str">
        <x:v>Oxp6392</x:v>
      </x:c>
      <x:c r="H1378" s="253" t="str">
        <x:v>Yes</x:v>
      </x:c>
      <x:c r="I1378" s="253" t="str">
        <x:v>Sheena</x:v>
      </x:c>
      <x:c r="J1378" s="253" t="str">
        <x:v>Sheena</x:v>
      </x:c>
      <x:c r="K1378" s="259" t="n">
        <x:v>45852.166666666664</x:v>
      </x:c>
      <x:c r="L1378" s="268" t="str">
        <x:f>IFERROR(VLOOKUP(I1378,'Handler-Team Map'!$A$7:$C$17,2,FALSE),"")</x:f>
      </x:c>
      <x:c r="M1378" s="268" t="str">
        <x:f>IFERROR(VLOOKUP(I1378,'Handler-Team Map'!$A$7:$C$17,3,FALSE),"")</x:f>
      </x:c>
      <x:c r="N1378" s="274" t="str">
        <x:v>FT_VM_DEP300_GET100_5X</x:v>
      </x:c>
      <x:c r="O1378" s="274" t="str">
        <x:v>VIP BONUS - Deposit 300 Get 100 - 5x TO</x:v>
      </x:c>
      <x:c r="P1378" s="274" t="str">
        <x:v>DepositBonus</x:v>
      </x:c>
      <x:c r="Q1378" s="274" t="str">
        <x:v>Approved</x:v>
      </x:c>
      <x:c r="R1378" s="265" t="n">
        <x:v>100</x:v>
      </x:c>
      <x:c r="S1378" s="253" t="str">
        <x:v>Yes</x:v>
      </x:c>
      <x:c r="T1378" s="265" t="n">
        <x:v>2060</x:v>
      </x:c>
      <x:c r="U1378" s="253" t="str">
        <x:f>IF(AND(S1378="Yes",T1378=0),"Yes","No")</x:f>
        <x:v>No</x:v>
      </x:c>
      <x:c r="V1378" s="253" t="str">
        <x:v>No</x:v>
      </x:c>
      <x:c r="W1378" s="253" t="str">
        <x:v>No</x:v>
      </x:c>
      <x:c r="X1378" s="259" t="n">
        <x:v>46220.166666666664</x:v>
      </x:c>
      <x:c r="Y1378" s="265" t="n">
        <x:v>300</x:v>
      </x:c>
      <x:c r="Z1378" s="265" t="n">
        <x:v>300</x:v>
      </x:c>
      <x:c r="AA1378" s="253" t="str">
        <x:f>IF(V1378="No","Maturing",IF(AND(U1378="Yes",Y1378&gt;0),"Yes","No"))</x:f>
        <x:v>Maturing</x:v>
      </x:c>
      <x:c r="AB1378" s="253" t="str">
        <x:f>IF(W1378="No","Maturing",IF(AND(U1378="Yes",Z1378&gt;0),"Yes","No"))</x:f>
        <x:v>Maturing</x:v>
      </x:c>
      <x:c r="AC1378" s="265" t="n">
        <x:v>-198.55</x:v>
      </x:c>
      <x:c r="AD1378" s="265" t="n">
        <x:v>-198.55</x:v>
      </x:c>
      <x:c r="AE1378" s="271" t="str"/>
      <x:c r="AF1378" s="274" t="str">
        <x:v>Not validated - no control/holdout</x:v>
      </x:c>
      <x:c r="AG1378" s="277" t="str">
        <x:v>Recovered execution only; assignment date and unclaimed-offer denominator unavailable</x:v>
      </x:c>
    </x:row>
    <x:row r="1379">
      <x:c r="A1379" s="252" t="str">
        <x:v>6010775</x:v>
      </x:c>
      <x:c r="B1379" s="253" t="str">
        <x:v>WS1</x:v>
      </x:c>
      <x:c r="C1379" s="253" t="str">
        <x:v>MB8</x:v>
      </x:c>
      <x:c r="D1379" s="262" t="n">
        <x:v>46220.784537037034</x:v>
      </x:c>
      <x:c r="E1379" s="259" t="n">
        <x:v>46220.166666666664</x:v>
      </x:c>
      <x:c r="F1379" s="253" t="str">
        <x:v>633209</x:v>
      </x:c>
      <x:c r="G1379" s="253" t="str">
        <x:v>paedtaiko</x:v>
      </x:c>
      <x:c r="H1379" s="253" t="str">
        <x:v>Yes</x:v>
      </x:c>
      <x:c r="I1379" s="253" t="str">
        <x:v>zhen</x:v>
      </x:c>
      <x:c r="J1379" s="253" t="str">
        <x:v>zhen</x:v>
      </x:c>
      <x:c r="K1379" s="259" t="n">
        <x:v>46090.166666666664</x:v>
      </x:c>
      <x:c r="L1379" s="268" t="str">
        <x:f>IFERROR(VLOOKUP(I1379,'Handler-Team Map'!$A$7:$C$17,2,FALSE),"")</x:f>
      </x:c>
      <x:c r="M1379" s="268" t="str">
        <x:f>IFERROR(VLOOKUP(I1379,'Handler-Team Map'!$A$7:$C$17,3,FALSE),"")</x:f>
      </x:c>
      <x:c r="N1379" s="274" t="str">
        <x:v>FT_VMFC_VARIABLE_3X</x:v>
      </x:c>
      <x:c r="O1379" s="274" t="str">
        <x:v>VIP SPECIAL FREE CREDIT - 3x TO</x:v>
      </x:c>
      <x:c r="P1379" s="274" t="str">
        <x:v>FreeCredit</x:v>
      </x:c>
      <x:c r="Q1379" s="274" t="str">
        <x:v>Redeemed</x:v>
      </x:c>
      <x:c r="R1379" s="265" t="n">
        <x:v>588</x:v>
      </x:c>
      <x:c r="S1379" s="253" t="str">
        <x:v>Yes</x:v>
      </x:c>
      <x:c r="T1379" s="265" t="n">
        <x:v>0</x:v>
      </x:c>
      <x:c r="U1379" s="253" t="str">
        <x:f>IF(AND(S1379="Yes",T1379=0),"Yes","No")</x:f>
        <x:v>Yes</x:v>
      </x:c>
      <x:c r="V1379" s="253" t="str">
        <x:v>No</x:v>
      </x:c>
      <x:c r="W1379" s="253" t="str">
        <x:v>No</x:v>
      </x:c>
      <x:c r="X1379" s="259"/>
      <x:c r="Y1379" s="265" t="n">
        <x:v>0</x:v>
      </x:c>
      <x:c r="Z1379" s="265" t="n">
        <x:v>0</x:v>
      </x:c>
      <x:c r="AA1379" s="253" t="str">
        <x:f>IF(V1379="No","Maturing",IF(AND(U1379="Yes",Y1379&gt;0),"Yes","No"))</x:f>
        <x:v>Maturing</x:v>
      </x:c>
      <x:c r="AB1379" s="253" t="str">
        <x:f>IF(W1379="No","Maturing",IF(AND(U1379="Yes",Z1379&gt;0),"Yes","No"))</x:f>
        <x:v>Maturing</x:v>
      </x:c>
      <x:c r="AC1379" s="265" t="n">
        <x:v>-41.45</x:v>
      </x:c>
      <x:c r="AD1379" s="265" t="n">
        <x:v>-41.45</x:v>
      </x:c>
      <x:c r="AE1379" s="271" t="str"/>
      <x:c r="AF1379" s="274" t="str">
        <x:v>Not validated - no control/holdout</x:v>
      </x:c>
      <x:c r="AG1379" s="277" t="str">
        <x:v>Recovered execution only; assignment date and unclaimed-offer denominator unavailable</x:v>
      </x:c>
    </x:row>
    <x:row r="1380">
      <x:c r="A1380" s="252" t="str">
        <x:v>34986387</x:v>
      </x:c>
      <x:c r="B1380" s="253" t="str">
        <x:v>WS1</x:v>
      </x:c>
      <x:c r="C1380" s="253" t="str">
        <x:v>MB8</x:v>
      </x:c>
      <x:c r="D1380" s="262" t="n">
        <x:v>46220.80533564815</x:v>
      </x:c>
      <x:c r="E1380" s="259" t="n">
        <x:v>46220.166666666664</x:v>
      </x:c>
      <x:c r="F1380" s="253" t="str">
        <x:v>900452</x:v>
      </x:c>
      <x:c r="G1380" s="253" t="str">
        <x:v>att6363</x:v>
      </x:c>
      <x:c r="H1380" s="253" t="str">
        <x:v>Yes</x:v>
      </x:c>
      <x:c r="I1380" s="253" t="str"/>
      <x:c r="J1380" s="253" t="str"/>
      <x:c r="K1380" s="259"/>
      <x:c r="L1380" s="268" t="str">
        <x:f>IFERROR(VLOOKUP(I1380,'Handler-Team Map'!$A$7:$C$17,2,FALSE),"")</x:f>
      </x:c>
      <x:c r="M1380" s="268" t="str">
        <x:f>IFERROR(VLOOKUP(I1380,'Handler-Team Map'!$A$7:$C$17,3,FALSE),"")</x:f>
      </x:c>
      <x:c r="N1380" s="274" t="str">
        <x:v>FT_VM_DEP600_GET200_5X</x:v>
      </x:c>
      <x:c r="O1380" s="274" t="str">
        <x:v>VIP BONUS - Deposit 600 Get 200 - 5x TO</x:v>
      </x:c>
      <x:c r="P1380" s="274" t="str">
        <x:v>DepositBonus</x:v>
      </x:c>
      <x:c r="Q1380" s="274" t="str">
        <x:v>Approved</x:v>
      </x:c>
      <x:c r="R1380" s="265" t="n">
        <x:v>200</x:v>
      </x:c>
      <x:c r="S1380" s="253" t="str">
        <x:v>Yes</x:v>
      </x:c>
      <x:c r="T1380" s="265" t="n">
        <x:v>1200</x:v>
      </x:c>
      <x:c r="U1380" s="253" t="str">
        <x:f>IF(AND(S1380="Yes",T1380=0),"Yes","No")</x:f>
        <x:v>No</x:v>
      </x:c>
      <x:c r="V1380" s="253" t="str">
        <x:v>No</x:v>
      </x:c>
      <x:c r="W1380" s="253" t="str">
        <x:v>No</x:v>
      </x:c>
      <x:c r="X1380" s="259" t="n">
        <x:v>46220.166666666664</x:v>
      </x:c>
      <x:c r="Y1380" s="265" t="n">
        <x:v>600</x:v>
      </x:c>
      <x:c r="Z1380" s="265" t="n">
        <x:v>600</x:v>
      </x:c>
      <x:c r="AA1380" s="253" t="str">
        <x:f>IF(V1380="No","Maturing",IF(AND(U1380="Yes",Y1380&gt;0),"Yes","No"))</x:f>
        <x:v>Maturing</x:v>
      </x:c>
      <x:c r="AB1380" s="253" t="str">
        <x:f>IF(W1380="No","Maturing",IF(AND(U1380="Yes",Z1380&gt;0),"Yes","No"))</x:f>
        <x:v>Maturing</x:v>
      </x:c>
      <x:c r="AC1380" s="265" t="n">
        <x:v>600.55</x:v>
      </x:c>
      <x:c r="AD1380" s="265" t="n">
        <x:v>600.55</x:v>
      </x:c>
      <x:c r="AE1380" s="271" t="str"/>
      <x:c r="AF1380" s="274" t="str">
        <x:v>Not validated - no control/holdout</x:v>
      </x:c>
      <x:c r="AG1380" s="277" t="str">
        <x:v>Recovered execution only; assignment date and unclaimed-offer denominator unavailable</x:v>
      </x:c>
    </x:row>
    <x:row r="1381">
      <x:c r="A1381" s="252" t="str">
        <x:v>34986470</x:v>
      </x:c>
      <x:c r="B1381" s="253" t="str">
        <x:v>WS1</x:v>
      </x:c>
      <x:c r="C1381" s="253" t="str">
        <x:v>MB8</x:v>
      </x:c>
      <x:c r="D1381" s="262" t="n">
        <x:v>46220.81193287037</x:v>
      </x:c>
      <x:c r="E1381" s="259" t="n">
        <x:v>46220.166666666664</x:v>
      </x:c>
      <x:c r="F1381" s="253" t="str">
        <x:v>380888</x:v>
      </x:c>
      <x:c r="G1381" s="253" t="str">
        <x:v>andy9790</x:v>
      </x:c>
      <x:c r="H1381" s="253" t="str">
        <x:v>Yes</x:v>
      </x:c>
      <x:c r="I1381" s="253" t="str">
        <x:v>Serene</x:v>
      </x:c>
      <x:c r="J1381" s="253" t="str">
        <x:v>Serene</x:v>
      </x:c>
      <x:c r="K1381" s="259" t="n">
        <x:v>45859.166666666664</x:v>
      </x:c>
      <x:c r="L1381" s="268" t="str">
        <x:f>IFERROR(VLOOKUP(I1381,'Handler-Team Map'!$A$7:$C$17,2,FALSE),"")</x:f>
      </x:c>
      <x:c r="M1381" s="268" t="str">
        <x:f>IFERROR(VLOOKUP(I1381,'Handler-Team Map'!$A$7:$C$17,3,FALSE),"")</x:f>
      </x:c>
      <x:c r="N1381" s="274" t="str">
        <x:v>FT_VM_DEP600_GET200_5X</x:v>
      </x:c>
      <x:c r="O1381" s="274" t="str">
        <x:v>VIP BONUS - Deposit 600 Get 200 - 5x TO</x:v>
      </x:c>
      <x:c r="P1381" s="274" t="str">
        <x:v>DepositBonus</x:v>
      </x:c>
      <x:c r="Q1381" s="274" t="str">
        <x:v>Approved</x:v>
      </x:c>
      <x:c r="R1381" s="265" t="n">
        <x:v>200</x:v>
      </x:c>
      <x:c r="S1381" s="253" t="str">
        <x:v>Yes</x:v>
      </x:c>
      <x:c r="T1381" s="265" t="n">
        <x:v>2000</x:v>
      </x:c>
      <x:c r="U1381" s="253" t="str">
        <x:f>IF(AND(S1381="Yes",T1381=0),"Yes","No")</x:f>
        <x:v>No</x:v>
      </x:c>
      <x:c r="V1381" s="253" t="str">
        <x:v>No</x:v>
      </x:c>
      <x:c r="W1381" s="253" t="str">
        <x:v>No</x:v>
      </x:c>
      <x:c r="X1381" s="259" t="n">
        <x:v>46220.166666666664</x:v>
      </x:c>
      <x:c r="Y1381" s="265" t="n">
        <x:v>3100</x:v>
      </x:c>
      <x:c r="Z1381" s="265" t="n">
        <x:v>3100</x:v>
      </x:c>
      <x:c r="AA1381" s="253" t="str">
        <x:f>IF(V1381="No","Maturing",IF(AND(U1381="Yes",Y1381&gt;0),"Yes","No"))</x:f>
        <x:v>Maturing</x:v>
      </x:c>
      <x:c r="AB1381" s="253" t="str">
        <x:f>IF(W1381="No","Maturing",IF(AND(U1381="Yes",Z1381&gt;0),"Yes","No"))</x:f>
        <x:v>Maturing</x:v>
      </x:c>
      <x:c r="AC1381" s="265" t="n">
        <x:v>3099</x:v>
      </x:c>
      <x:c r="AD1381" s="265" t="n">
        <x:v>3099</x:v>
      </x:c>
      <x:c r="AE1381" s="271" t="str"/>
      <x:c r="AF1381" s="274" t="str">
        <x:v>Not validated - no control/holdout</x:v>
      </x:c>
      <x:c r="AG1381" s="277" t="str">
        <x:v>Recovered execution only; assignment date and unclaimed-offer denominator unavailable</x:v>
      </x:c>
    </x:row>
    <x:row r="1382">
      <x:c r="A1382" s="252" t="str">
        <x:v>34990173</x:v>
      </x:c>
      <x:c r="B1382" s="253" t="str">
        <x:v>WS1</x:v>
      </x:c>
      <x:c r="C1382" s="253" t="str">
        <x:v>MB8</x:v>
      </x:c>
      <x:c r="D1382" s="262" t="n">
        <x:v>46221.04446759259</x:v>
      </x:c>
      <x:c r="E1382" s="259" t="n">
        <x:v>46221.166666666664</x:v>
      </x:c>
      <x:c r="F1382" s="253" t="str">
        <x:v>747278</x:v>
      </x:c>
      <x:c r="G1382" s="253" t="str">
        <x:v>mdnoyon6203</x:v>
      </x:c>
      <x:c r="H1382" s="253" t="str">
        <x:v>Yes</x:v>
      </x:c>
      <x:c r="I1382" s="253" t="str">
        <x:v>Christy</x:v>
      </x:c>
      <x:c r="J1382" s="253" t="str">
        <x:v>Christy</x:v>
      </x:c>
      <x:c r="K1382" s="259" t="n">
        <x:v>46090.166666666664</x:v>
      </x:c>
      <x:c r="L1382" s="268" t="str">
        <x:f>IFERROR(VLOOKUP(I1382,'Handler-Team Map'!$A$7:$C$17,2,FALSE),"")</x:f>
      </x:c>
      <x:c r="M1382" s="268" t="str">
        <x:f>IFERROR(VLOOKUP(I1382,'Handler-Team Map'!$A$7:$C$17,3,FALSE),"")</x:f>
      </x:c>
      <x:c r="N1382" s="274" t="str">
        <x:v>FT_VM_DEP1000_GET500_1X</x:v>
      </x:c>
      <x:c r="O1382" s="274" t="str">
        <x:v>VIP BONUS - Deposit 1000 Get 500 - 1x TO</x:v>
      </x:c>
      <x:c r="P1382" s="274" t="str">
        <x:v>DepositBonus</x:v>
      </x:c>
      <x:c r="Q1382" s="274" t="str">
        <x:v>Approved</x:v>
      </x:c>
      <x:c r="R1382" s="265" t="n">
        <x:v>500</x:v>
      </x:c>
      <x:c r="S1382" s="253" t="str">
        <x:v>Yes</x:v>
      </x:c>
      <x:c r="T1382" s="265" t="n">
        <x:v>0</x:v>
      </x:c>
      <x:c r="U1382" s="253" t="str">
        <x:f>IF(AND(S1382="Yes",T1382=0),"Yes","No")</x:f>
        <x:v>Yes</x:v>
      </x:c>
      <x:c r="V1382" s="253" t="str">
        <x:v>No</x:v>
      </x:c>
      <x:c r="W1382" s="253" t="str">
        <x:v>No</x:v>
      </x:c>
      <x:c r="X1382" s="259" t="n">
        <x:v>46221.166666666664</x:v>
      </x:c>
      <x:c r="Y1382" s="265" t="n">
        <x:v>1000</x:v>
      </x:c>
      <x:c r="Z1382" s="265" t="n">
        <x:v>1000</x:v>
      </x:c>
      <x:c r="AA1382" s="253" t="str">
        <x:f>IF(V1382="No","Maturing",IF(AND(U1382="Yes",Y1382&gt;0),"Yes","No"))</x:f>
        <x:v>Maturing</x:v>
      </x:c>
      <x:c r="AB1382" s="253" t="str">
        <x:f>IF(W1382="No","Maturing",IF(AND(U1382="Yes",Z1382&gt;0),"Yes","No"))</x:f>
        <x:v>Maturing</x:v>
      </x:c>
      <x:c r="AC1382" s="265" t="n">
        <x:v>1000.47</x:v>
      </x:c>
      <x:c r="AD1382" s="265" t="n">
        <x:v>1000.47</x:v>
      </x:c>
      <x:c r="AE1382" s="271" t="str"/>
      <x:c r="AF1382" s="274" t="str">
        <x:v>Not validated - no control/holdout</x:v>
      </x:c>
      <x:c r="AG1382" s="277" t="str">
        <x:v>Recovered execution only; assignment date and unclaimed-offer denominator unavailable</x:v>
      </x:c>
    </x:row>
    <x:row r="1383">
      <x:c r="A1383" s="252" t="str">
        <x:v>34994803</x:v>
      </x:c>
      <x:c r="B1383" s="253" t="str">
        <x:v>WS1</x:v>
      </x:c>
      <x:c r="C1383" s="253" t="str">
        <x:v>MB8</x:v>
      </x:c>
      <x:c r="D1383" s="262" t="n">
        <x:v>46221.58746527778</x:v>
      </x:c>
      <x:c r="E1383" s="259" t="n">
        <x:v>46221.166666666664</x:v>
      </x:c>
      <x:c r="F1383" s="253" t="str">
        <x:v>674076</x:v>
      </x:c>
      <x:c r="G1383" s="253" t="str">
        <x:v>doris1223</x:v>
      </x:c>
      <x:c r="H1383" s="253" t="str">
        <x:v>Yes</x:v>
      </x:c>
      <x:c r="I1383" s="253" t="str">
        <x:v>zhen</x:v>
      </x:c>
      <x:c r="J1383" s="253" t="str">
        <x:v>zhen</x:v>
      </x:c>
      <x:c r="K1383" s="259" t="n">
        <x:v>46090.166666666664</x:v>
      </x:c>
      <x:c r="L1383" s="268" t="str">
        <x:f>IFERROR(VLOOKUP(I1383,'Handler-Team Map'!$A$7:$C$17,2,FALSE),"")</x:f>
      </x:c>
      <x:c r="M1383" s="268" t="str">
        <x:f>IFERROR(VLOOKUP(I1383,'Handler-Team Map'!$A$7:$C$17,3,FALSE),"")</x:f>
      </x:c>
      <x:c r="N1383" s="274" t="str">
        <x:v>FT_VM_DEP1000_GET500_5X</x:v>
      </x:c>
      <x:c r="O1383" s="274" t="str">
        <x:v>VIP BONUS - Deposit 1000 Get 500 - 5x TO</x:v>
      </x:c>
      <x:c r="P1383" s="274" t="str">
        <x:v>DepositBonus</x:v>
      </x:c>
      <x:c r="Q1383" s="274" t="str">
        <x:v>Approved</x:v>
      </x:c>
      <x:c r="R1383" s="265" t="n">
        <x:v>500</x:v>
      </x:c>
      <x:c r="S1383" s="253" t="str">
        <x:v>Yes</x:v>
      </x:c>
      <x:c r="T1383" s="265" t="n">
        <x:v>80138</x:v>
      </x:c>
      <x:c r="U1383" s="253" t="str">
        <x:f>IF(AND(S1383="Yes",T1383=0),"Yes","No")</x:f>
        <x:v>No</x:v>
      </x:c>
      <x:c r="V1383" s="253" t="str">
        <x:v>No</x:v>
      </x:c>
      <x:c r="W1383" s="253" t="str">
        <x:v>No</x:v>
      </x:c>
      <x:c r="X1383" s="259" t="n">
        <x:v>46221.166666666664</x:v>
      </x:c>
      <x:c r="Y1383" s="265" t="n">
        <x:v>8540</x:v>
      </x:c>
      <x:c r="Z1383" s="265" t="n">
        <x:v>8540</x:v>
      </x:c>
      <x:c r="AA1383" s="253" t="str">
        <x:f>IF(V1383="No","Maturing",IF(AND(U1383="Yes",Y1383&gt;0),"Yes","No"))</x:f>
        <x:v>Maturing</x:v>
      </x:c>
      <x:c r="AB1383" s="253" t="str">
        <x:f>IF(W1383="No","Maturing",IF(AND(U1383="Yes",Z1383&gt;0),"Yes","No"))</x:f>
        <x:v>Maturing</x:v>
      </x:c>
      <x:c r="AC1383" s="265" t="n">
        <x:v>-3420.43</x:v>
      </x:c>
      <x:c r="AD1383" s="265" t="n">
        <x:v>-3420.43</x:v>
      </x:c>
      <x:c r="AE1383" s="271" t="str"/>
      <x:c r="AF1383" s="274" t="str">
        <x:v>Not validated - no control/holdout</x:v>
      </x:c>
      <x:c r="AG1383" s="277" t="str">
        <x:v>Recovered execution only; assignment date and unclaimed-offer denominator unavailable</x:v>
      </x:c>
    </x:row>
    <x:row r="1384">
      <x:c r="A1384" s="252" t="str">
        <x:v>34996564</x:v>
      </x:c>
      <x:c r="B1384" s="253" t="str">
        <x:v>WS1</x:v>
      </x:c>
      <x:c r="C1384" s="253" t="str">
        <x:v>MB8</x:v>
      </x:c>
      <x:c r="D1384" s="262" t="n">
        <x:v>46221.72415509259</x:v>
      </x:c>
      <x:c r="E1384" s="259" t="n">
        <x:v>46221.166666666664</x:v>
      </x:c>
      <x:c r="F1384" s="253" t="str">
        <x:v>1135684</x:v>
      </x:c>
      <x:c r="G1384" s="253" t="str">
        <x:v>vins88</x:v>
      </x:c>
      <x:c r="H1384" s="253" t="str">
        <x:v>Yes</x:v>
      </x:c>
      <x:c r="I1384" s="253" t="str"/>
      <x:c r="J1384" s="253" t="str"/>
      <x:c r="K1384" s="259"/>
      <x:c r="L1384" s="268" t="str">
        <x:f>IFERROR(VLOOKUP(I1384,'Handler-Team Map'!$A$7:$C$17,2,FALSE),"")</x:f>
      </x:c>
      <x:c r="M1384" s="268" t="str">
        <x:f>IFERROR(VLOOKUP(I1384,'Handler-Team Map'!$A$7:$C$17,3,FALSE),"")</x:f>
      </x:c>
      <x:c r="N1384" s="274" t="str">
        <x:v>FT_VM_DEP600_GET200_5X</x:v>
      </x:c>
      <x:c r="O1384" s="274" t="str">
        <x:v>VIP BONUS - Deposit 600 Get 200 - 5x TO</x:v>
      </x:c>
      <x:c r="P1384" s="274" t="str">
        <x:v>DepositBonus</x:v>
      </x:c>
      <x:c r="Q1384" s="274" t="str">
        <x:v>Approved</x:v>
      </x:c>
      <x:c r="R1384" s="265" t="n">
        <x:v>200</x:v>
      </x:c>
      <x:c r="S1384" s="253" t="str">
        <x:v>Yes</x:v>
      </x:c>
      <x:c r="T1384" s="265" t="n">
        <x:v>700</x:v>
      </x:c>
      <x:c r="U1384" s="253" t="str">
        <x:f>IF(AND(S1384="Yes",T1384=0),"Yes","No")</x:f>
        <x:v>No</x:v>
      </x:c>
      <x:c r="V1384" s="253" t="str">
        <x:v>No</x:v>
      </x:c>
      <x:c r="W1384" s="253" t="str">
        <x:v>No</x:v>
      </x:c>
      <x:c r="X1384" s="259" t="n">
        <x:v>46221.166666666664</x:v>
      </x:c>
      <x:c r="Y1384" s="265" t="n">
        <x:v>600</x:v>
      </x:c>
      <x:c r="Z1384" s="265" t="n">
        <x:v>600</x:v>
      </x:c>
      <x:c r="AA1384" s="253" t="str">
        <x:f>IF(V1384="No","Maturing",IF(AND(U1384="Yes",Y1384&gt;0),"Yes","No"))</x:f>
        <x:v>Maturing</x:v>
      </x:c>
      <x:c r="AB1384" s="253" t="str">
        <x:f>IF(W1384="No","Maturing",IF(AND(U1384="Yes",Z1384&gt;0),"Yes","No"))</x:f>
        <x:v>Maturing</x:v>
      </x:c>
      <x:c r="AC1384" s="265" t="n">
        <x:v>-77.71</x:v>
      </x:c>
      <x:c r="AD1384" s="265" t="n">
        <x:v>-77.71</x:v>
      </x:c>
      <x:c r="AE1384" s="271" t="str"/>
      <x:c r="AF1384" s="274" t="str">
        <x:v>Not validated - no control/holdout</x:v>
      </x:c>
      <x:c r="AG1384" s="277" t="str">
        <x:v>Recovered execution only; assignment date and unclaimed-offer denominator unavailable</x:v>
      </x:c>
    </x:row>
    <x:row r="1385">
      <x:c r="A1385" s="252" t="str">
        <x:v>34996897</x:v>
      </x:c>
      <x:c r="B1385" s="253" t="str">
        <x:v>WS1</x:v>
      </x:c>
      <x:c r="C1385" s="253" t="str">
        <x:v>MB8</x:v>
      </x:c>
      <x:c r="D1385" s="262" t="n">
        <x:v>46221.748252314814</x:v>
      </x:c>
      <x:c r="E1385" s="259" t="n">
        <x:v>46221.166666666664</x:v>
      </x:c>
      <x:c r="F1385" s="253" t="str">
        <x:v>218256</x:v>
      </x:c>
      <x:c r="G1385" s="253" t="str">
        <x:v>Bobby2626</x:v>
      </x:c>
      <x:c r="H1385" s="253" t="str">
        <x:v>Yes</x:v>
      </x:c>
      <x:c r="I1385" s="253" t="str">
        <x:v>Elda</x:v>
      </x:c>
      <x:c r="J1385" s="253" t="str">
        <x:v>Elda</x:v>
      </x:c>
      <x:c r="K1385" s="259" t="n">
        <x:v>45659.166666666664</x:v>
      </x:c>
      <x:c r="L1385" s="268" t="str">
        <x:f>IFERROR(VLOOKUP(I1385,'Handler-Team Map'!$A$7:$C$17,2,FALSE),"")</x:f>
      </x:c>
      <x:c r="M1385" s="268" t="str">
        <x:f>IFERROR(VLOOKUP(I1385,'Handler-Team Map'!$A$7:$C$17,3,FALSE),"")</x:f>
      </x:c>
      <x:c r="N1385" s="274" t="str">
        <x:v>FT_VM_DEP1000_GET500_5X</x:v>
      </x:c>
      <x:c r="O1385" s="274" t="str">
        <x:v>VIP BONUS - Deposit 1000 Get 500 - 5x TO</x:v>
      </x:c>
      <x:c r="P1385" s="274" t="str">
        <x:v>DepositBonus</x:v>
      </x:c>
      <x:c r="Q1385" s="274" t="str">
        <x:v>Approved</x:v>
      </x:c>
      <x:c r="R1385" s="265" t="n">
        <x:v>500</x:v>
      </x:c>
      <x:c r="S1385" s="253" t="str">
        <x:v>Yes</x:v>
      </x:c>
      <x:c r="T1385" s="265" t="n">
        <x:v>79600</x:v>
      </x:c>
      <x:c r="U1385" s="253" t="str">
        <x:f>IF(AND(S1385="Yes",T1385=0),"Yes","No")</x:f>
        <x:v>No</x:v>
      </x:c>
      <x:c r="V1385" s="253" t="str">
        <x:v>No</x:v>
      </x:c>
      <x:c r="W1385" s="253" t="str">
        <x:v>No</x:v>
      </x:c>
      <x:c r="X1385" s="259" t="n">
        <x:v>46221.166666666664</x:v>
      </x:c>
      <x:c r="Y1385" s="265" t="n">
        <x:v>40000</x:v>
      </x:c>
      <x:c r="Z1385" s="265" t="n">
        <x:v>40000</x:v>
      </x:c>
      <x:c r="AA1385" s="253" t="str">
        <x:f>IF(V1385="No","Maturing",IF(AND(U1385="Yes",Y1385&gt;0),"Yes","No"))</x:f>
        <x:v>Maturing</x:v>
      </x:c>
      <x:c r="AB1385" s="253" t="str">
        <x:f>IF(W1385="No","Maturing",IF(AND(U1385="Yes",Z1385&gt;0),"Yes","No"))</x:f>
        <x:v>Maturing</x:v>
      </x:c>
      <x:c r="AC1385" s="265" t="n">
        <x:v>-112037.14</x:v>
      </x:c>
      <x:c r="AD1385" s="265" t="n">
        <x:v>-112037.14</x:v>
      </x:c>
      <x:c r="AE1385" s="271" t="str"/>
      <x:c r="AF1385" s="274" t="str">
        <x:v>Not validated - no control/holdout</x:v>
      </x:c>
      <x:c r="AG1385" s="277" t="str">
        <x:v>Recovered execution only; assignment date and unclaimed-offer denominator unavailable</x:v>
      </x:c>
    </x:row>
    <x:row r="1386">
      <x:c r="A1386" s="252" t="str">
        <x:v>35008737</x:v>
      </x:c>
      <x:c r="B1386" s="253" t="str">
        <x:v>WS1</x:v>
      </x:c>
      <x:c r="C1386" s="253" t="str">
        <x:v>MB8</x:v>
      </x:c>
      <x:c r="D1386" s="262" t="n">
        <x:v>46222.87388888889</x:v>
      </x:c>
      <x:c r="E1386" s="259" t="n">
        <x:v>46222.166666666664</x:v>
      </x:c>
      <x:c r="F1386" s="253" t="str">
        <x:v>469807</x:v>
      </x:c>
      <x:c r="G1386" s="253" t="str">
        <x:v>Bhavooi007</x:v>
      </x:c>
      <x:c r="H1386" s="253" t="str">
        <x:v>Yes</x:v>
      </x:c>
      <x:c r="I1386" s="253" t="str">
        <x:v>Serene</x:v>
      </x:c>
      <x:c r="J1386" s="253" t="str">
        <x:v>Serene</x:v>
      </x:c>
      <x:c r="K1386" s="259" t="n">
        <x:v>45831.166666666664</x:v>
      </x:c>
      <x:c r="L1386" s="268" t="str">
        <x:f>IFERROR(VLOOKUP(I1386,'Handler-Team Map'!$A$7:$C$17,2,FALSE),"")</x:f>
      </x:c>
      <x:c r="M1386" s="268" t="str">
        <x:f>IFERROR(VLOOKUP(I1386,'Handler-Team Map'!$A$7:$C$17,3,FALSE),"")</x:f>
      </x:c>
      <x:c r="N1386" s="274" t="str">
        <x:v>FT_VM_DEP1000_GET500_5X</x:v>
      </x:c>
      <x:c r="O1386" s="274" t="str">
        <x:v>VIP BONUS - Deposit 1000 Get 500 - 5x TO</x:v>
      </x:c>
      <x:c r="P1386" s="274" t="str">
        <x:v>DepositBonus</x:v>
      </x:c>
      <x:c r="Q1386" s="274" t="str">
        <x:v>Approved</x:v>
      </x:c>
      <x:c r="R1386" s="265" t="n">
        <x:v>500</x:v>
      </x:c>
      <x:c r="S1386" s="253" t="str">
        <x:v>Yes</x:v>
      </x:c>
      <x:c r="T1386" s="265" t="n">
        <x:v>1320</x:v>
      </x:c>
      <x:c r="U1386" s="253" t="str">
        <x:f>IF(AND(S1386="Yes",T1386=0),"Yes","No")</x:f>
        <x:v>No</x:v>
      </x:c>
      <x:c r="V1386" s="253" t="str">
        <x:v>No</x:v>
      </x:c>
      <x:c r="W1386" s="253" t="str">
        <x:v>No</x:v>
      </x:c>
      <x:c r="X1386" s="259" t="n">
        <x:v>46222.166666666664</x:v>
      </x:c>
      <x:c r="Y1386" s="265" t="n">
        <x:v>2600</x:v>
      </x:c>
      <x:c r="Z1386" s="265" t="n">
        <x:v>2600</x:v>
      </x:c>
      <x:c r="AA1386" s="253" t="str">
        <x:f>IF(V1386="No","Maturing",IF(AND(U1386="Yes",Y1386&gt;0),"Yes","No"))</x:f>
        <x:v>Maturing</x:v>
      </x:c>
      <x:c r="AB1386" s="253" t="str">
        <x:f>IF(W1386="No","Maturing",IF(AND(U1386="Yes",Z1386&gt;0),"Yes","No"))</x:f>
        <x:v>Maturing</x:v>
      </x:c>
      <x:c r="AC1386" s="265" t="n">
        <x:v>-6100.31</x:v>
      </x:c>
      <x:c r="AD1386" s="265" t="n">
        <x:v>-6100.31</x:v>
      </x:c>
      <x:c r="AE1386" s="271" t="str"/>
      <x:c r="AF1386" s="274" t="str">
        <x:v>Not validated - no control/holdout</x:v>
      </x:c>
      <x:c r="AG1386" s="277" t="str">
        <x:v>Recovered execution only; assignment date and unclaimed-offer denominator unavailable</x:v>
      </x:c>
    </x:row>
    <x:row r="1387">
      <x:c r="A1387" s="252" t="str">
        <x:v>6006671</x:v>
      </x:c>
      <x:c r="B1387" s="253" t="str">
        <x:v>WS1</x:v>
      </x:c>
      <x:c r="C1387" s="253" t="str">
        <x:v>MB8</x:v>
      </x:c>
      <x:c r="D1387" s="262" t="n">
        <x:v>46223.37627314815</x:v>
      </x:c>
      <x:c r="E1387" s="259" t="n">
        <x:v>46223.166666666664</x:v>
      </x:c>
      <x:c r="F1387" s="253" t="str">
        <x:v>316153</x:v>
      </x:c>
      <x:c r="G1387" s="253" t="str">
        <x:v>LAW1199</x:v>
      </x:c>
      <x:c r="H1387" s="253" t="str">
        <x:v>Yes</x:v>
      </x:c>
      <x:c r="I1387" s="253" t="str">
        <x:v>Elda</x:v>
      </x:c>
      <x:c r="J1387" s="253" t="str">
        <x:v>Elda</x:v>
      </x:c>
      <x:c r="K1387" s="259" t="n">
        <x:v>45659.166666666664</x:v>
      </x:c>
      <x:c r="L1387" s="268" t="str">
        <x:f>IFERROR(VLOOKUP(I1387,'Handler-Team Map'!$A$7:$C$17,2,FALSE),"")</x:f>
      </x:c>
      <x:c r="M1387" s="268" t="str">
        <x:f>IFERROR(VLOOKUP(I1387,'Handler-Team Map'!$A$7:$C$17,3,FALSE),"")</x:f>
      </x:c>
      <x:c r="N1387" s="274" t="str">
        <x:v>FT_VMFC_VARIABLE_3X</x:v>
      </x:c>
      <x:c r="O1387" s="274" t="str">
        <x:v>VIP SPECIAL FREE CREDIT - 3x TO</x:v>
      </x:c>
      <x:c r="P1387" s="274" t="str">
        <x:v>FreeCredit</x:v>
      </x:c>
      <x:c r="Q1387" s="274" t="str">
        <x:v>Redeemed</x:v>
      </x:c>
      <x:c r="R1387" s="265" t="n">
        <x:v>1088</x:v>
      </x:c>
      <x:c r="S1387" s="253" t="str">
        <x:v>Yes</x:v>
      </x:c>
      <x:c r="T1387" s="265" t="n">
        <x:v>0</x:v>
      </x:c>
      <x:c r="U1387" s="253" t="str">
        <x:f>IF(AND(S1387="Yes",T1387=0),"Yes","No")</x:f>
        <x:v>Yes</x:v>
      </x:c>
      <x:c r="V1387" s="253" t="str">
        <x:v>No</x:v>
      </x:c>
      <x:c r="W1387" s="253" t="str">
        <x:v>No</x:v>
      </x:c>
      <x:c r="X1387" s="259"/>
      <x:c r="Y1387" s="265" t="n">
        <x:v>0</x:v>
      </x:c>
      <x:c r="Z1387" s="265" t="n">
        <x:v>0</x:v>
      </x:c>
      <x:c r="AA1387" s="253" t="str">
        <x:f>IF(V1387="No","Maturing",IF(AND(U1387="Yes",Y1387&gt;0),"Yes","No"))</x:f>
        <x:v>Maturing</x:v>
      </x:c>
      <x:c r="AB1387" s="253" t="str">
        <x:f>IF(W1387="No","Maturing",IF(AND(U1387="Yes",Z1387&gt;0),"Yes","No"))</x:f>
        <x:v>Maturing</x:v>
      </x:c>
      <x:c r="AC1387" s="265" t="n">
        <x:v>-1088</x:v>
      </x:c>
      <x:c r="AD1387" s="265" t="n">
        <x:v>-1088</x:v>
      </x:c>
      <x:c r="AE1387" s="271" t="str"/>
      <x:c r="AF1387" s="274" t="str">
        <x:v>Not validated - no control/holdout</x:v>
      </x:c>
      <x:c r="AG1387" s="277" t="str">
        <x:v>Recovered execution only; assignment date and unclaimed-offer denominator unavailable</x:v>
      </x:c>
    </x:row>
    <x:row r="1388">
      <x:c r="A1388" s="252" t="str">
        <x:v>6038506</x:v>
      </x:c>
      <x:c r="B1388" s="253" t="str">
        <x:v>WS1</x:v>
      </x:c>
      <x:c r="C1388" s="253" t="str">
        <x:v>MB8</x:v>
      </x:c>
      <x:c r="D1388" s="262" t="n">
        <x:v>46223.5646875</x:v>
      </x:c>
      <x:c r="E1388" s="259" t="n">
        <x:v>46223.166666666664</x:v>
      </x:c>
      <x:c r="F1388" s="253" t="str">
        <x:v>681160</x:v>
      </x:c>
      <x:c r="G1388" s="253" t="str">
        <x:v>Happpy28</x:v>
      </x:c>
      <x:c r="H1388" s="253" t="str">
        <x:v>Yes</x:v>
      </x:c>
      <x:c r="I1388" s="253" t="str">
        <x:v>Elda</x:v>
      </x:c>
      <x:c r="J1388" s="253" t="str">
        <x:v>Elda</x:v>
      </x:c>
      <x:c r="K1388" s="259" t="n">
        <x:v>45659.166666666664</x:v>
      </x:c>
      <x:c r="L1388" s="268" t="str">
        <x:f>IFERROR(VLOOKUP(I1388,'Handler-Team Map'!$A$7:$C$17,2,FALSE),"")</x:f>
      </x:c>
      <x:c r="M1388" s="268" t="str">
        <x:f>IFERROR(VLOOKUP(I1388,'Handler-Team Map'!$A$7:$C$17,3,FALSE),"")</x:f>
      </x:c>
      <x:c r="N1388" s="274" t="str">
        <x:v>FT_VMFC_VARIABLE_3X</x:v>
      </x:c>
      <x:c r="O1388" s="274" t="str">
        <x:v>VIP SPECIAL FREE CREDIT - 3x TO</x:v>
      </x:c>
      <x:c r="P1388" s="274" t="str">
        <x:v>FreeCredit</x:v>
      </x:c>
      <x:c r="Q1388" s="274" t="str">
        <x:v>Redeemed</x:v>
      </x:c>
      <x:c r="R1388" s="265" t="n">
        <x:v>888</x:v>
      </x:c>
      <x:c r="S1388" s="253" t="str">
        <x:v>Yes</x:v>
      </x:c>
      <x:c r="T1388" s="265" t="n">
        <x:v>0</x:v>
      </x:c>
      <x:c r="U1388" s="253" t="str">
        <x:f>IF(AND(S1388="Yes",T1388=0),"Yes","No")</x:f>
        <x:v>Yes</x:v>
      </x:c>
      <x:c r="V1388" s="253" t="str">
        <x:v>No</x:v>
      </x:c>
      <x:c r="W1388" s="253" t="str">
        <x:v>No</x:v>
      </x:c>
      <x:c r="X1388" s="259"/>
      <x:c r="Y1388" s="265" t="n">
        <x:v>0</x:v>
      </x:c>
      <x:c r="Z1388" s="265" t="n">
        <x:v>0</x:v>
      </x:c>
      <x:c r="AA1388" s="253" t="str">
        <x:f>IF(V1388="No","Maturing",IF(AND(U1388="Yes",Y1388&gt;0),"Yes","No"))</x:f>
        <x:v>Maturing</x:v>
      </x:c>
      <x:c r="AB1388" s="253" t="str">
        <x:f>IF(W1388="No","Maturing",IF(AND(U1388="Yes",Z1388&gt;0),"Yes","No"))</x:f>
        <x:v>Maturing</x:v>
      </x:c>
      <x:c r="AC1388" s="265" t="n">
        <x:v>-3018.37</x:v>
      </x:c>
      <x:c r="AD1388" s="265" t="n">
        <x:v>-3018.37</x:v>
      </x:c>
      <x:c r="AE1388" s="271" t="str"/>
      <x:c r="AF1388" s="274" t="str">
        <x:v>Not validated - no control/holdout</x:v>
      </x:c>
      <x:c r="AG1388" s="277" t="str">
        <x:v>Recovered execution only; assignment date and unclaimed-offer denominator unavailable</x:v>
      </x:c>
    </x:row>
    <x:row r="1389">
      <x:c r="A1389" s="252" t="str">
        <x:v>6038572</x:v>
      </x:c>
      <x:c r="B1389" s="253" t="str">
        <x:v>WS1</x:v>
      </x:c>
      <x:c r="C1389" s="253" t="str">
        <x:v>MB8</x:v>
      </x:c>
      <x:c r="D1389" s="262" t="n">
        <x:v>46223.592314814814</x:v>
      </x:c>
      <x:c r="E1389" s="259" t="n">
        <x:v>46223.166666666664</x:v>
      </x:c>
      <x:c r="F1389" s="253" t="str">
        <x:v>575445</x:v>
      </x:c>
      <x:c r="G1389" s="253" t="str">
        <x:v>thanioruvan360</x:v>
      </x:c>
      <x:c r="H1389" s="253" t="str">
        <x:v>Yes</x:v>
      </x:c>
      <x:c r="I1389" s="253" t="str">
        <x:v>zhen</x:v>
      </x:c>
      <x:c r="J1389" s="253" t="str">
        <x:v>zhen</x:v>
      </x:c>
      <x:c r="K1389" s="259" t="n">
        <x:v>46090.166666666664</x:v>
      </x:c>
      <x:c r="L1389" s="268" t="str">
        <x:f>IFERROR(VLOOKUP(I1389,'Handler-Team Map'!$A$7:$C$17,2,FALSE),"")</x:f>
      </x:c>
      <x:c r="M1389" s="268" t="str">
        <x:f>IFERROR(VLOOKUP(I1389,'Handler-Team Map'!$A$7:$C$17,3,FALSE),"")</x:f>
      </x:c>
      <x:c r="N1389" s="274" t="str">
        <x:v>FT_VMFC_VARIABLE_3X</x:v>
      </x:c>
      <x:c r="O1389" s="274" t="str">
        <x:v>VIP SPECIAL FREE CREDIT - 3x TO</x:v>
      </x:c>
      <x:c r="P1389" s="274" t="str">
        <x:v>FreeCredit</x:v>
      </x:c>
      <x:c r="Q1389" s="274" t="str">
        <x:v>Redeemed</x:v>
      </x:c>
      <x:c r="R1389" s="265" t="n">
        <x:v>2088</x:v>
      </x:c>
      <x:c r="S1389" s="253" t="str">
        <x:v>Yes</x:v>
      </x:c>
      <x:c r="T1389" s="265" t="n">
        <x:v>0</x:v>
      </x:c>
      <x:c r="U1389" s="253" t="str">
        <x:f>IF(AND(S1389="Yes",T1389=0),"Yes","No")</x:f>
        <x:v>Yes</x:v>
      </x:c>
      <x:c r="V1389" s="253" t="str">
        <x:v>No</x:v>
      </x:c>
      <x:c r="W1389" s="253" t="str">
        <x:v>No</x:v>
      </x:c>
      <x:c r="X1389" s="259" t="n">
        <x:v>46225.166666666664</x:v>
      </x:c>
      <x:c r="Y1389" s="265" t="n">
        <x:v>5707</x:v>
      </x:c>
      <x:c r="Z1389" s="265" t="n">
        <x:v>5707</x:v>
      </x:c>
      <x:c r="AA1389" s="253" t="str">
        <x:f>IF(V1389="No","Maturing",IF(AND(U1389="Yes",Y1389&gt;0),"Yes","No"))</x:f>
        <x:v>Maturing</x:v>
      </x:c>
      <x:c r="AB1389" s="253" t="str">
        <x:f>IF(W1389="No","Maturing",IF(AND(U1389="Yes",Z1389&gt;0),"Yes","No"))</x:f>
        <x:v>Maturing</x:v>
      </x:c>
      <x:c r="AC1389" s="265" t="n">
        <x:v>-9315.97</x:v>
      </x:c>
      <x:c r="AD1389" s="265" t="n">
        <x:v>-9315.97</x:v>
      </x:c>
      <x:c r="AE1389" s="271" t="str"/>
      <x:c r="AF1389" s="274" t="str">
        <x:v>Not validated - no control/holdout</x:v>
      </x:c>
      <x:c r="AG1389" s="277" t="str">
        <x:v>Recovered execution only; assignment date and unclaimed-offer denominator unavailable</x:v>
      </x:c>
    </x:row>
    <x:row r="1390">
      <x:c r="A1390" s="252" t="str">
        <x:v>6038636</x:v>
      </x:c>
      <x:c r="B1390" s="253" t="str">
        <x:v>WS1</x:v>
      </x:c>
      <x:c r="C1390" s="253" t="str">
        <x:v>MB8</x:v>
      </x:c>
      <x:c r="D1390" s="262" t="n">
        <x:v>46223.60420138889</x:v>
      </x:c>
      <x:c r="E1390" s="259" t="n">
        <x:v>46223.166666666664</x:v>
      </x:c>
      <x:c r="F1390" s="253" t="str">
        <x:v>752589</x:v>
      </x:c>
      <x:c r="G1390" s="253" t="str">
        <x:v>Listo88</x:v>
      </x:c>
      <x:c r="H1390" s="253" t="str">
        <x:v>Yes</x:v>
      </x:c>
      <x:c r="I1390" s="253" t="str">
        <x:v>zhen</x:v>
      </x:c>
      <x:c r="J1390" s="253" t="str">
        <x:v>zhen</x:v>
      </x:c>
      <x:c r="K1390" s="259" t="n">
        <x:v>45922.166666666664</x:v>
      </x:c>
      <x:c r="L1390" s="268" t="str">
        <x:f>IFERROR(VLOOKUP(I1390,'Handler-Team Map'!$A$7:$C$17,2,FALSE),"")</x:f>
      </x:c>
      <x:c r="M1390" s="268" t="str">
        <x:f>IFERROR(VLOOKUP(I1390,'Handler-Team Map'!$A$7:$C$17,3,FALSE),"")</x:f>
      </x:c>
      <x:c r="N1390" s="274" t="str">
        <x:v>FT_VMFC_VARIABLE_3X</x:v>
      </x:c>
      <x:c r="O1390" s="274" t="str">
        <x:v>VIP SPECIAL FREE CREDIT - 3x TO</x:v>
      </x:c>
      <x:c r="P1390" s="274" t="str">
        <x:v>FreeCredit</x:v>
      </x:c>
      <x:c r="Q1390" s="274" t="str">
        <x:v>Redeemed</x:v>
      </x:c>
      <x:c r="R1390" s="265" t="n">
        <x:v>388</x:v>
      </x:c>
      <x:c r="S1390" s="253" t="str">
        <x:v>Yes</x:v>
      </x:c>
      <x:c r="T1390" s="265" t="n">
        <x:v>0</x:v>
      </x:c>
      <x:c r="U1390" s="253" t="str">
        <x:f>IF(AND(S1390="Yes",T1390=0),"Yes","No")</x:f>
        <x:v>Yes</x:v>
      </x:c>
      <x:c r="V1390" s="253" t="str">
        <x:v>No</x:v>
      </x:c>
      <x:c r="W1390" s="253" t="str">
        <x:v>No</x:v>
      </x:c>
      <x:c r="X1390" s="259"/>
      <x:c r="Y1390" s="265" t="n">
        <x:v>0</x:v>
      </x:c>
      <x:c r="Z1390" s="265" t="n">
        <x:v>0</x:v>
      </x:c>
      <x:c r="AA1390" s="253" t="str">
        <x:f>IF(V1390="No","Maturing",IF(AND(U1390="Yes",Y1390&gt;0),"Yes","No"))</x:f>
        <x:v>Maturing</x:v>
      </x:c>
      <x:c r="AB1390" s="253" t="str">
        <x:f>IF(W1390="No","Maturing",IF(AND(U1390="Yes",Z1390&gt;0),"Yes","No"))</x:f>
        <x:v>Maturing</x:v>
      </x:c>
      <x:c r="AC1390" s="265" t="n">
        <x:v>-6.06</x:v>
      </x:c>
      <x:c r="AD1390" s="265" t="n">
        <x:v>-6.06</x:v>
      </x:c>
      <x:c r="AE1390" s="271" t="str"/>
      <x:c r="AF1390" s="274" t="str">
        <x:v>Not validated - no control/holdout</x:v>
      </x:c>
      <x:c r="AG1390" s="277" t="str">
        <x:v>Recovered execution only; assignment date and unclaimed-offer denominator unavailable</x:v>
      </x:c>
    </x:row>
    <x:row r="1391">
      <x:c r="A1391" s="252" t="str">
        <x:v>35016112</x:v>
      </x:c>
      <x:c r="B1391" s="253" t="str">
        <x:v>WS1</x:v>
      </x:c>
      <x:c r="C1391" s="253" t="str">
        <x:v>MB8</x:v>
      </x:c>
      <x:c r="D1391" s="262" t="n">
        <x:v>46223.606099537035</x:v>
      </x:c>
      <x:c r="E1391" s="259" t="n">
        <x:v>46223.166666666664</x:v>
      </x:c>
      <x:c r="F1391" s="253" t="str">
        <x:v>306733</x:v>
      </x:c>
      <x:c r="G1391" s="253" t="str">
        <x:v>HC5140</x:v>
      </x:c>
      <x:c r="H1391" s="253" t="str">
        <x:v>Yes</x:v>
      </x:c>
      <x:c r="I1391" s="253" t="str">
        <x:v>Claire</x:v>
      </x:c>
      <x:c r="J1391" s="253" t="str">
        <x:v>Claire</x:v>
      </x:c>
      <x:c r="K1391" s="259" t="n">
        <x:v>45659.166666666664</x:v>
      </x:c>
      <x:c r="L1391" s="268" t="str">
        <x:f>IFERROR(VLOOKUP(I1391,'Handler-Team Map'!$A$7:$C$17,2,FALSE),"")</x:f>
      </x:c>
      <x:c r="M1391" s="268" t="str">
        <x:f>IFERROR(VLOOKUP(I1391,'Handler-Team Map'!$A$7:$C$17,3,FALSE),"")</x:f>
      </x:c>
      <x:c r="N1391" s="274" t="str">
        <x:v>FT_VM_DEP1000_GET500_5X</x:v>
      </x:c>
      <x:c r="O1391" s="274" t="str">
        <x:v>VIP BONUS - Deposit 1000 Get 500 - 5x TO</x:v>
      </x:c>
      <x:c r="P1391" s="274" t="str">
        <x:v>DepositBonus</x:v>
      </x:c>
      <x:c r="Q1391" s="274" t="str">
        <x:v>Approved</x:v>
      </x:c>
      <x:c r="R1391" s="265" t="n">
        <x:v>500</x:v>
      </x:c>
      <x:c r="S1391" s="253" t="str">
        <x:v>Yes</x:v>
      </x:c>
      <x:c r="T1391" s="265" t="n">
        <x:v>46624</x:v>
      </x:c>
      <x:c r="U1391" s="253" t="str">
        <x:f>IF(AND(S1391="Yes",T1391=0),"Yes","No")</x:f>
        <x:v>No</x:v>
      </x:c>
      <x:c r="V1391" s="253" t="str">
        <x:v>No</x:v>
      </x:c>
      <x:c r="W1391" s="253" t="str">
        <x:v>No</x:v>
      </x:c>
      <x:c r="X1391" s="259" t="n">
        <x:v>46223.166666666664</x:v>
      </x:c>
      <x:c r="Y1391" s="265" t="n">
        <x:v>9900</x:v>
      </x:c>
      <x:c r="Z1391" s="265" t="n">
        <x:v>9900</x:v>
      </x:c>
      <x:c r="AA1391" s="253" t="str">
        <x:f>IF(V1391="No","Maturing",IF(AND(U1391="Yes",Y1391&gt;0),"Yes","No"))</x:f>
        <x:v>Maturing</x:v>
      </x:c>
      <x:c r="AB1391" s="253" t="str">
        <x:f>IF(W1391="No","Maturing",IF(AND(U1391="Yes",Z1391&gt;0),"Yes","No"))</x:f>
        <x:v>Maturing</x:v>
      </x:c>
      <x:c r="AC1391" s="265" t="n">
        <x:v>-1583.17</x:v>
      </x:c>
      <x:c r="AD1391" s="265" t="n">
        <x:v>-1583.17</x:v>
      </x:c>
      <x:c r="AE1391" s="271" t="str"/>
      <x:c r="AF1391" s="274" t="str">
        <x:v>Not validated - no control/holdout</x:v>
      </x:c>
      <x:c r="AG1391" s="277" t="str">
        <x:v>Recovered execution only; assignment date and unclaimed-offer denominator unavailable</x:v>
      </x:c>
    </x:row>
    <x:row r="1392">
      <x:c r="A1392" s="252" t="str">
        <x:v>35016234</x:v>
      </x:c>
      <x:c r="B1392" s="253" t="str">
        <x:v>WS1</x:v>
      </x:c>
      <x:c r="C1392" s="253" t="str">
        <x:v>MB8</x:v>
      </x:c>
      <x:c r="D1392" s="262" t="n">
        <x:v>46223.6177662037</x:v>
      </x:c>
      <x:c r="E1392" s="259" t="n">
        <x:v>46223.166666666664</x:v>
      </x:c>
      <x:c r="F1392" s="253" t="str">
        <x:v>827371</x:v>
      </x:c>
      <x:c r="G1392" s="253" t="str">
        <x:v>marc187</x:v>
      </x:c>
      <x:c r="H1392" s="253" t="str">
        <x:v>Yes</x:v>
      </x:c>
      <x:c r="I1392" s="253" t="str">
        <x:v>Claire</x:v>
      </x:c>
      <x:c r="J1392" s="253" t="str">
        <x:v>Claire</x:v>
      </x:c>
      <x:c r="K1392" s="259" t="n">
        <x:v>45755.166666666664</x:v>
      </x:c>
      <x:c r="L1392" s="268" t="str">
        <x:f>IFERROR(VLOOKUP(I1392,'Handler-Team Map'!$A$7:$C$17,2,FALSE),"")</x:f>
      </x:c>
      <x:c r="M1392" s="268" t="str">
        <x:f>IFERROR(VLOOKUP(I1392,'Handler-Team Map'!$A$7:$C$17,3,FALSE),"")</x:f>
      </x:c>
      <x:c r="N1392" s="274" t="str">
        <x:v>FT_VM_DEP1000_GET1000_2X</x:v>
      </x:c>
      <x:c r="O1392" s="274" t="str">
        <x:v>VIP BONUS - Deposit 1000 Get 1000 - 2x TO</x:v>
      </x:c>
      <x:c r="P1392" s="274" t="str">
        <x:v>DepositBonus</x:v>
      </x:c>
      <x:c r="Q1392" s="274" t="str">
        <x:v>Approved</x:v>
      </x:c>
      <x:c r="R1392" s="265" t="n">
        <x:v>1000</x:v>
      </x:c>
      <x:c r="S1392" s="253" t="str">
        <x:v>Yes</x:v>
      </x:c>
      <x:c r="T1392" s="265" t="n">
        <x:v>1236318.11</x:v>
      </x:c>
      <x:c r="U1392" s="253" t="str">
        <x:f>IF(AND(S1392="Yes",T1392=0),"Yes","No")</x:f>
        <x:v>No</x:v>
      </x:c>
      <x:c r="V1392" s="253" t="str">
        <x:v>No</x:v>
      </x:c>
      <x:c r="W1392" s="253" t="str">
        <x:v>No</x:v>
      </x:c>
      <x:c r="X1392" s="259" t="n">
        <x:v>46223.166666666664</x:v>
      </x:c>
      <x:c r="Y1392" s="265" t="n">
        <x:v>145000</x:v>
      </x:c>
      <x:c r="Z1392" s="265" t="n">
        <x:v>145000</x:v>
      </x:c>
      <x:c r="AA1392" s="253" t="str">
        <x:f>IF(V1392="No","Maturing",IF(AND(U1392="Yes",Y1392&gt;0),"Yes","No"))</x:f>
        <x:v>Maturing</x:v>
      </x:c>
      <x:c r="AB1392" s="253" t="str">
        <x:f>IF(W1392="No","Maturing",IF(AND(U1392="Yes",Z1392&gt;0),"Yes","No"))</x:f>
        <x:v>Maturing</x:v>
      </x:c>
      <x:c r="AC1392" s="265" t="n">
        <x:v>64106.38</x:v>
      </x:c>
      <x:c r="AD1392" s="265" t="n">
        <x:v>64106.38</x:v>
      </x:c>
      <x:c r="AE1392" s="271" t="str"/>
      <x:c r="AF1392" s="274" t="str">
        <x:v>Not validated - no control/holdout</x:v>
      </x:c>
      <x:c r="AG1392" s="277" t="str">
        <x:v>Recovered execution only; assignment date and unclaimed-offer denominator unavailable</x:v>
      </x:c>
    </x:row>
    <x:row r="1393">
      <x:c r="A1393" s="252" t="str">
        <x:v>35016378</x:v>
      </x:c>
      <x:c r="B1393" s="253" t="str">
        <x:v>WS1</x:v>
      </x:c>
      <x:c r="C1393" s="253" t="str">
        <x:v>MB8</x:v>
      </x:c>
      <x:c r="D1393" s="262" t="n">
        <x:v>46223.634733796294</x:v>
      </x:c>
      <x:c r="E1393" s="259" t="n">
        <x:v>46223.166666666664</x:v>
      </x:c>
      <x:c r="F1393" s="253" t="str">
        <x:v>218256</x:v>
      </x:c>
      <x:c r="G1393" s="253" t="str">
        <x:v>Bobby2626</x:v>
      </x:c>
      <x:c r="H1393" s="253" t="str">
        <x:v>Yes</x:v>
      </x:c>
      <x:c r="I1393" s="253" t="str">
        <x:v>Elda</x:v>
      </x:c>
      <x:c r="J1393" s="253" t="str">
        <x:v>Elda</x:v>
      </x:c>
      <x:c r="K1393" s="259" t="n">
        <x:v>45659.166666666664</x:v>
      </x:c>
      <x:c r="L1393" s="268" t="str">
        <x:f>IFERROR(VLOOKUP(I1393,'Handler-Team Map'!$A$7:$C$17,2,FALSE),"")</x:f>
      </x:c>
      <x:c r="M1393" s="268" t="str">
        <x:f>IFERROR(VLOOKUP(I1393,'Handler-Team Map'!$A$7:$C$17,3,FALSE),"")</x:f>
      </x:c>
      <x:c r="N1393" s="274" t="str">
        <x:v>FT_VM_DEP1000_GET1000_1X</x:v>
      </x:c>
      <x:c r="O1393" s="274" t="str">
        <x:v>VIP BONUS - Deposit 1000 Get 1000 - 1x TO</x:v>
      </x:c>
      <x:c r="P1393" s="274" t="str">
        <x:v>DepositBonus</x:v>
      </x:c>
      <x:c r="Q1393" s="274" t="str">
        <x:v>Approved</x:v>
      </x:c>
      <x:c r="R1393" s="265" t="n">
        <x:v>1000</x:v>
      </x:c>
      <x:c r="S1393" s="253" t="str">
        <x:v>Yes</x:v>
      </x:c>
      <x:c r="T1393" s="265" t="n">
        <x:v>95600</x:v>
      </x:c>
      <x:c r="U1393" s="253" t="str">
        <x:f>IF(AND(S1393="Yes",T1393=0),"Yes","No")</x:f>
        <x:v>No</x:v>
      </x:c>
      <x:c r="V1393" s="253" t="str">
        <x:v>No</x:v>
      </x:c>
      <x:c r="W1393" s="253" t="str">
        <x:v>No</x:v>
      </x:c>
      <x:c r="X1393" s="259" t="n">
        <x:v>46223.166666666664</x:v>
      </x:c>
      <x:c r="Y1393" s="265" t="n">
        <x:v>21000</x:v>
      </x:c>
      <x:c r="Z1393" s="265" t="n">
        <x:v>21000</x:v>
      </x:c>
      <x:c r="AA1393" s="253" t="str">
        <x:f>IF(V1393="No","Maturing",IF(AND(U1393="Yes",Y1393&gt;0),"Yes","No"))</x:f>
        <x:v>Maturing</x:v>
      </x:c>
      <x:c r="AB1393" s="253" t="str">
        <x:f>IF(W1393="No","Maturing",IF(AND(U1393="Yes",Z1393&gt;0),"Yes","No"))</x:f>
        <x:v>Maturing</x:v>
      </x:c>
      <x:c r="AC1393" s="265" t="n">
        <x:v>-131036.84</x:v>
      </x:c>
      <x:c r="AD1393" s="265" t="n">
        <x:v>-131036.84</x:v>
      </x:c>
      <x:c r="AE1393" s="271" t="str"/>
      <x:c r="AF1393" s="274" t="str">
        <x:v>Not validated - no control/holdout</x:v>
      </x:c>
      <x:c r="AG1393" s="277" t="str">
        <x:v>Recovered execution only; assignment date and unclaimed-offer denominator unavailable</x:v>
      </x:c>
    </x:row>
    <x:row r="1394">
      <x:c r="A1394" s="252" t="str">
        <x:v>35016676</x:v>
      </x:c>
      <x:c r="B1394" s="253" t="str">
        <x:v>WS1</x:v>
      </x:c>
      <x:c r="C1394" s="253" t="str">
        <x:v>MB8</x:v>
      </x:c>
      <x:c r="D1394" s="262" t="n">
        <x:v>46223.66556712963</x:v>
      </x:c>
      <x:c r="E1394" s="259" t="n">
        <x:v>46223.166666666664</x:v>
      </x:c>
      <x:c r="F1394" s="253" t="str">
        <x:v>476510</x:v>
      </x:c>
      <x:c r="G1394" s="253" t="str">
        <x:v>giinshen</x:v>
      </x:c>
      <x:c r="H1394" s="253" t="str">
        <x:v>Yes</x:v>
      </x:c>
      <x:c r="I1394" s="253" t="str">
        <x:v>Claire</x:v>
      </x:c>
      <x:c r="J1394" s="253" t="str">
        <x:v>Claire</x:v>
      </x:c>
      <x:c r="K1394" s="259" t="n">
        <x:v>45659.166666666664</x:v>
      </x:c>
      <x:c r="L1394" s="268" t="str">
        <x:f>IFERROR(VLOOKUP(I1394,'Handler-Team Map'!$A$7:$C$17,2,FALSE),"")</x:f>
      </x:c>
      <x:c r="M1394" s="268" t="str">
        <x:f>IFERROR(VLOOKUP(I1394,'Handler-Team Map'!$A$7:$C$17,3,FALSE),"")</x:f>
      </x:c>
      <x:c r="N1394" s="274" t="str">
        <x:v>FT_VM_DEP1000_GET1000_1X</x:v>
      </x:c>
      <x:c r="O1394" s="274" t="str">
        <x:v>VIP BONUS - Deposit 1000 Get 1000 - 1x TO</x:v>
      </x:c>
      <x:c r="P1394" s="274" t="str">
        <x:v>DepositBonus</x:v>
      </x:c>
      <x:c r="Q1394" s="274" t="str">
        <x:v>Approved</x:v>
      </x:c>
      <x:c r="R1394" s="265" t="n">
        <x:v>1000</x:v>
      </x:c>
      <x:c r="S1394" s="253" t="str">
        <x:v>Yes</x:v>
      </x:c>
      <x:c r="T1394" s="265" t="n">
        <x:v>157500</x:v>
      </x:c>
      <x:c r="U1394" s="253" t="str">
        <x:f>IF(AND(S1394="Yes",T1394=0),"Yes","No")</x:f>
        <x:v>No</x:v>
      </x:c>
      <x:c r="V1394" s="253" t="str">
        <x:v>No</x:v>
      </x:c>
      <x:c r="W1394" s="253" t="str">
        <x:v>No</x:v>
      </x:c>
      <x:c r="X1394" s="259" t="n">
        <x:v>46223.166666666664</x:v>
      </x:c>
      <x:c r="Y1394" s="265" t="n">
        <x:v>2500</x:v>
      </x:c>
      <x:c r="Z1394" s="265" t="n">
        <x:v>2500</x:v>
      </x:c>
      <x:c r="AA1394" s="253" t="str">
        <x:f>IF(V1394="No","Maturing",IF(AND(U1394="Yes",Y1394&gt;0),"Yes","No"))</x:f>
        <x:v>Maturing</x:v>
      </x:c>
      <x:c r="AB1394" s="253" t="str">
        <x:f>IF(W1394="No","Maturing",IF(AND(U1394="Yes",Z1394&gt;0),"Yes","No"))</x:f>
        <x:v>Maturing</x:v>
      </x:c>
      <x:c r="AC1394" s="265" t="n">
        <x:v>2369.52</x:v>
      </x:c>
      <x:c r="AD1394" s="265" t="n">
        <x:v>2369.52</x:v>
      </x:c>
      <x:c r="AE1394" s="271" t="str"/>
      <x:c r="AF1394" s="274" t="str">
        <x:v>Not validated - no control/holdout</x:v>
      </x:c>
      <x:c r="AG1394" s="277" t="str">
        <x:v>Recovered execution only; assignment date and unclaimed-offer denominator unavailable</x:v>
      </x:c>
    </x:row>
    <x:row r="1395">
      <x:c r="A1395" s="252" t="str">
        <x:v>35016771</x:v>
      </x:c>
      <x:c r="B1395" s="253" t="str">
        <x:v>WS1</x:v>
      </x:c>
      <x:c r="C1395" s="253" t="str">
        <x:v>MB8</x:v>
      </x:c>
      <x:c r="D1395" s="262" t="n">
        <x:v>46223.67518518519</x:v>
      </x:c>
      <x:c r="E1395" s="259" t="n">
        <x:v>46223.166666666664</x:v>
      </x:c>
      <x:c r="F1395" s="253" t="str">
        <x:v>967237</x:v>
      </x:c>
      <x:c r="G1395" s="253" t="str">
        <x:v>Firedelta7</x:v>
      </x:c>
      <x:c r="H1395" s="253" t="str">
        <x:v>Yes</x:v>
      </x:c>
      <x:c r="I1395" s="253" t="str">
        <x:v>zhen</x:v>
      </x:c>
      <x:c r="J1395" s="253" t="str">
        <x:v>zhen</x:v>
      </x:c>
      <x:c r="K1395" s="259" t="n">
        <x:v>45880.166666666664</x:v>
      </x:c>
      <x:c r="L1395" s="268" t="str">
        <x:f>IFERROR(VLOOKUP(I1395,'Handler-Team Map'!$A$7:$C$17,2,FALSE),"")</x:f>
      </x:c>
      <x:c r="M1395" s="268" t="str">
        <x:f>IFERROR(VLOOKUP(I1395,'Handler-Team Map'!$A$7:$C$17,3,FALSE),"")</x:f>
      </x:c>
      <x:c r="N1395" s="274" t="str">
        <x:v>FT_VM_DEP600_GET200_5X</x:v>
      </x:c>
      <x:c r="O1395" s="274" t="str">
        <x:v>VIP BONUS - Deposit 600 Get 200 - 5x TO</x:v>
      </x:c>
      <x:c r="P1395" s="274" t="str">
        <x:v>DepositBonus</x:v>
      </x:c>
      <x:c r="Q1395" s="274" t="str">
        <x:v>Approved</x:v>
      </x:c>
      <x:c r="R1395" s="265" t="n">
        <x:v>200</x:v>
      </x:c>
      <x:c r="S1395" s="253" t="str">
        <x:v>Yes</x:v>
      </x:c>
      <x:c r="T1395" s="265" t="n">
        <x:v>56745</x:v>
      </x:c>
      <x:c r="U1395" s="253" t="str">
        <x:f>IF(AND(S1395="Yes",T1395=0),"Yes","No")</x:f>
        <x:v>No</x:v>
      </x:c>
      <x:c r="V1395" s="253" t="str">
        <x:v>No</x:v>
      </x:c>
      <x:c r="W1395" s="253" t="str">
        <x:v>No</x:v>
      </x:c>
      <x:c r="X1395" s="259" t="n">
        <x:v>46223.166666666664</x:v>
      </x:c>
      <x:c r="Y1395" s="265" t="n">
        <x:v>12000</x:v>
      </x:c>
      <x:c r="Z1395" s="265" t="n">
        <x:v>12000</x:v>
      </x:c>
      <x:c r="AA1395" s="253" t="str">
        <x:f>IF(V1395="No","Maturing",IF(AND(U1395="Yes",Y1395&gt;0),"Yes","No"))</x:f>
        <x:v>Maturing</x:v>
      </x:c>
      <x:c r="AB1395" s="253" t="str">
        <x:f>IF(W1395="No","Maturing",IF(AND(U1395="Yes",Z1395&gt;0),"Yes","No"))</x:f>
        <x:v>Maturing</x:v>
      </x:c>
      <x:c r="AC1395" s="265" t="n">
        <x:v>-1072.25</x:v>
      </x:c>
      <x:c r="AD1395" s="265" t="n">
        <x:v>-1072.25</x:v>
      </x:c>
      <x:c r="AE1395" s="271" t="str"/>
      <x:c r="AF1395" s="274" t="str">
        <x:v>Not validated - no control/holdout</x:v>
      </x:c>
      <x:c r="AG1395" s="277" t="str">
        <x:v>Recovered execution only; assignment date and unclaimed-offer denominator unavailable</x:v>
      </x:c>
    </x:row>
    <x:row r="1396">
      <x:c r="A1396" s="252" t="str">
        <x:v>35017024</x:v>
      </x:c>
      <x:c r="B1396" s="253" t="str">
        <x:v>WS1</x:v>
      </x:c>
      <x:c r="C1396" s="253" t="str">
        <x:v>MB8</x:v>
      </x:c>
      <x:c r="D1396" s="262" t="n">
        <x:v>46223.69384259259</x:v>
      </x:c>
      <x:c r="E1396" s="259" t="n">
        <x:v>46223.166666666664</x:v>
      </x:c>
      <x:c r="F1396" s="253" t="str">
        <x:v>1041738</x:v>
      </x:c>
      <x:c r="G1396" s="253" t="str">
        <x:v>ndzm777</x:v>
      </x:c>
      <x:c r="H1396" s="253" t="str">
        <x:v>Yes</x:v>
      </x:c>
      <x:c r="I1396" s="253" t="str">
        <x:v>zhen</x:v>
      </x:c>
      <x:c r="J1396" s="253" t="str">
        <x:v>zhen</x:v>
      </x:c>
      <x:c r="K1396" s="259" t="n">
        <x:v>45880.166666666664</x:v>
      </x:c>
      <x:c r="L1396" s="268" t="str">
        <x:f>IFERROR(VLOOKUP(I1396,'Handler-Team Map'!$A$7:$C$17,2,FALSE),"")</x:f>
      </x:c>
      <x:c r="M1396" s="268" t="str">
        <x:f>IFERROR(VLOOKUP(I1396,'Handler-Team Map'!$A$7:$C$17,3,FALSE),"")</x:f>
      </x:c>
      <x:c r="N1396" s="274" t="str">
        <x:v>FT_VM_DEP150_GET50_5X</x:v>
      </x:c>
      <x:c r="O1396" s="274" t="str">
        <x:v>VIP BONUS - Deposit 150 Get 50 - 5x TO</x:v>
      </x:c>
      <x:c r="P1396" s="274" t="str">
        <x:v>DepositBonus</x:v>
      </x:c>
      <x:c r="Q1396" s="274" t="str">
        <x:v>Approved</x:v>
      </x:c>
      <x:c r="R1396" s="265" t="n">
        <x:v>50</x:v>
      </x:c>
      <x:c r="S1396" s="253" t="str">
        <x:v>Yes</x:v>
      </x:c>
      <x:c r="T1396" s="265" t="n">
        <x:v>20265</x:v>
      </x:c>
      <x:c r="U1396" s="253" t="str">
        <x:f>IF(AND(S1396="Yes",T1396=0),"Yes","No")</x:f>
        <x:v>No</x:v>
      </x:c>
      <x:c r="V1396" s="253" t="str">
        <x:v>No</x:v>
      </x:c>
      <x:c r="W1396" s="253" t="str">
        <x:v>No</x:v>
      </x:c>
      <x:c r="X1396" s="259" t="n">
        <x:v>46223.166666666664</x:v>
      </x:c>
      <x:c r="Y1396" s="265" t="n">
        <x:v>3125</x:v>
      </x:c>
      <x:c r="Z1396" s="265" t="n">
        <x:v>3125</x:v>
      </x:c>
      <x:c r="AA1396" s="253" t="str">
        <x:f>IF(V1396="No","Maturing",IF(AND(U1396="Yes",Y1396&gt;0),"Yes","No"))</x:f>
        <x:v>Maturing</x:v>
      </x:c>
      <x:c r="AB1396" s="253" t="str">
        <x:f>IF(W1396="No","Maturing",IF(AND(U1396="Yes",Z1396&gt;0),"Yes","No"))</x:f>
        <x:v>Maturing</x:v>
      </x:c>
      <x:c r="AC1396" s="265" t="n">
        <x:v>3191.72</x:v>
      </x:c>
      <x:c r="AD1396" s="265" t="n">
        <x:v>3191.72</x:v>
      </x:c>
      <x:c r="AE1396" s="271" t="str"/>
      <x:c r="AF1396" s="274" t="str">
        <x:v>Not validated - no control/holdout</x:v>
      </x:c>
      <x:c r="AG1396" s="277" t="str">
        <x:v>Recovered execution only; assignment date and unclaimed-offer denominator unavailable</x:v>
      </x:c>
    </x:row>
    <x:row r="1397">
      <x:c r="A1397" s="252" t="str">
        <x:v>35017054</x:v>
      </x:c>
      <x:c r="B1397" s="253" t="str">
        <x:v>WS1</x:v>
      </x:c>
      <x:c r="C1397" s="253" t="str">
        <x:v>MB8</x:v>
      </x:c>
      <x:c r="D1397" s="262" t="n">
        <x:v>46223.69857638889</x:v>
      </x:c>
      <x:c r="E1397" s="259" t="n">
        <x:v>46223.166666666664</x:v>
      </x:c>
      <x:c r="F1397" s="253" t="str">
        <x:v>521114</x:v>
      </x:c>
      <x:c r="G1397" s="253" t="str">
        <x:v>Nzboss8181</x:v>
      </x:c>
      <x:c r="H1397" s="253" t="str">
        <x:v>Yes</x:v>
      </x:c>
      <x:c r="I1397" s="253" t="str">
        <x:v>Claire</x:v>
      </x:c>
      <x:c r="J1397" s="253" t="str">
        <x:v>Claire</x:v>
      </x:c>
      <x:c r="K1397" s="259" t="n">
        <x:v>45659.166666666664</x:v>
      </x:c>
      <x:c r="L1397" s="268" t="str">
        <x:f>IFERROR(VLOOKUP(I1397,'Handler-Team Map'!$A$7:$C$17,2,FALSE),"")</x:f>
      </x:c>
      <x:c r="M1397" s="268" t="str">
        <x:f>IFERROR(VLOOKUP(I1397,'Handler-Team Map'!$A$7:$C$17,3,FALSE),"")</x:f>
      </x:c>
      <x:c r="N1397" s="274" t="str">
        <x:v>FT_VM_DEP1000_GET800_2X</x:v>
      </x:c>
      <x:c r="O1397" s="274" t="str">
        <x:v>VIP BONUS - Deposit 1000 Get 800 - 2x TO</x:v>
      </x:c>
      <x:c r="P1397" s="274" t="str">
        <x:v>DepositBonus</x:v>
      </x:c>
      <x:c r="Q1397" s="274" t="str">
        <x:v>Approved</x:v>
      </x:c>
      <x:c r="R1397" s="265" t="n">
        <x:v>800</x:v>
      </x:c>
      <x:c r="S1397" s="253" t="str">
        <x:v>Yes</x:v>
      </x:c>
      <x:c r="T1397" s="265" t="n">
        <x:v>336400</x:v>
      </x:c>
      <x:c r="U1397" s="253" t="str">
        <x:f>IF(AND(S1397="Yes",T1397=0),"Yes","No")</x:f>
        <x:v>No</x:v>
      </x:c>
      <x:c r="V1397" s="253" t="str">
        <x:v>No</x:v>
      </x:c>
      <x:c r="W1397" s="253" t="str">
        <x:v>No</x:v>
      </x:c>
      <x:c r="X1397" s="259" t="n">
        <x:v>46223.166666666664</x:v>
      </x:c>
      <x:c r="Y1397" s="265" t="n">
        <x:v>41800</x:v>
      </x:c>
      <x:c r="Z1397" s="265" t="n">
        <x:v>41800</x:v>
      </x:c>
      <x:c r="AA1397" s="253" t="str">
        <x:f>IF(V1397="No","Maturing",IF(AND(U1397="Yes",Y1397&gt;0),"Yes","No"))</x:f>
        <x:v>Maturing</x:v>
      </x:c>
      <x:c r="AB1397" s="253" t="str">
        <x:f>IF(W1397="No","Maturing",IF(AND(U1397="Yes",Z1397&gt;0),"Yes","No"))</x:f>
        <x:v>Maturing</x:v>
      </x:c>
      <x:c r="AC1397" s="265" t="n">
        <x:v>24800.01</x:v>
      </x:c>
      <x:c r="AD1397" s="265" t="n">
        <x:v>24800.01</x:v>
      </x:c>
      <x:c r="AE1397" s="271" t="str"/>
      <x:c r="AF1397" s="274" t="str">
        <x:v>Not validated - no control/holdout</x:v>
      </x:c>
      <x:c r="AG1397" s="277" t="str">
        <x:v>Recovered execution only; assignment date and unclaimed-offer denominator unavailable</x:v>
      </x:c>
    </x:row>
    <x:row r="1398">
      <x:c r="A1398" s="252" t="str">
        <x:v>35017255</x:v>
      </x:c>
      <x:c r="B1398" s="253" t="str">
        <x:v>WS1</x:v>
      </x:c>
      <x:c r="C1398" s="253" t="str">
        <x:v>MB8</x:v>
      </x:c>
      <x:c r="D1398" s="262" t="n">
        <x:v>46223.71668981481</x:v>
      </x:c>
      <x:c r="E1398" s="259" t="n">
        <x:v>46223.166666666664</x:v>
      </x:c>
      <x:c r="F1398" s="253" t="str">
        <x:v>242044</x:v>
      </x:c>
      <x:c r="G1398" s="253" t="str">
        <x:v>michaellining</x:v>
      </x:c>
      <x:c r="H1398" s="253" t="str">
        <x:v>Yes</x:v>
      </x:c>
      <x:c r="I1398" s="253" t="str">
        <x:v>Claire</x:v>
      </x:c>
      <x:c r="J1398" s="253" t="str">
        <x:v>Claire</x:v>
      </x:c>
      <x:c r="K1398" s="259" t="n">
        <x:v>45659.166666666664</x:v>
      </x:c>
      <x:c r="L1398" s="268" t="str">
        <x:f>IFERROR(VLOOKUP(I1398,'Handler-Team Map'!$A$7:$C$17,2,FALSE),"")</x:f>
      </x:c>
      <x:c r="M1398" s="268" t="str">
        <x:f>IFERROR(VLOOKUP(I1398,'Handler-Team Map'!$A$7:$C$17,3,FALSE),"")</x:f>
      </x:c>
      <x:c r="N1398" s="274" t="str">
        <x:v>FT_VM_DEP300_GET100_5X</x:v>
      </x:c>
      <x:c r="O1398" s="274" t="str">
        <x:v>VIP BONUS - Deposit 300 Get 100 - 5x TO</x:v>
      </x:c>
      <x:c r="P1398" s="274" t="str">
        <x:v>DepositBonus</x:v>
      </x:c>
      <x:c r="Q1398" s="274" t="str">
        <x:v>Approved</x:v>
      </x:c>
      <x:c r="R1398" s="265" t="n">
        <x:v>100</x:v>
      </x:c>
      <x:c r="S1398" s="253" t="str">
        <x:v>Yes</x:v>
      </x:c>
      <x:c r="T1398" s="265" t="n">
        <x:v>103681</x:v>
      </x:c>
      <x:c r="U1398" s="253" t="str">
        <x:f>IF(AND(S1398="Yes",T1398=0),"Yes","No")</x:f>
        <x:v>No</x:v>
      </x:c>
      <x:c r="V1398" s="253" t="str">
        <x:v>No</x:v>
      </x:c>
      <x:c r="W1398" s="253" t="str">
        <x:v>No</x:v>
      </x:c>
      <x:c r="X1398" s="259" t="n">
        <x:v>46223.166666666664</x:v>
      </x:c>
      <x:c r="Y1398" s="265" t="n">
        <x:v>11344</x:v>
      </x:c>
      <x:c r="Z1398" s="265" t="n">
        <x:v>11344</x:v>
      </x:c>
      <x:c r="AA1398" s="253" t="str">
        <x:f>IF(V1398="No","Maturing",IF(AND(U1398="Yes",Y1398&gt;0),"Yes","No"))</x:f>
        <x:v>Maturing</x:v>
      </x:c>
      <x:c r="AB1398" s="253" t="str">
        <x:f>IF(W1398="No","Maturing",IF(AND(U1398="Yes",Z1398&gt;0),"Yes","No"))</x:f>
        <x:v>Maturing</x:v>
      </x:c>
      <x:c r="AC1398" s="265" t="n">
        <x:v>-352.21</x:v>
      </x:c>
      <x:c r="AD1398" s="265" t="n">
        <x:v>-352.21</x:v>
      </x:c>
      <x:c r="AE1398" s="271" t="str"/>
      <x:c r="AF1398" s="274" t="str">
        <x:v>Not validated - no control/holdout</x:v>
      </x:c>
      <x:c r="AG1398" s="277" t="str">
        <x:v>Recovered execution only; assignment date and unclaimed-offer denominator unavailable</x:v>
      </x:c>
    </x:row>
    <x:row r="1399">
      <x:c r="A1399" s="252" t="str">
        <x:v>35017511</x:v>
      </x:c>
      <x:c r="B1399" s="253" t="str">
        <x:v>WS1</x:v>
      </x:c>
      <x:c r="C1399" s="253" t="str">
        <x:v>MB8</x:v>
      </x:c>
      <x:c r="D1399" s="262" t="n">
        <x:v>46223.742476851854</x:v>
      </x:c>
      <x:c r="E1399" s="259" t="n">
        <x:v>46223.166666666664</x:v>
      </x:c>
      <x:c r="F1399" s="253" t="str">
        <x:v>725972</x:v>
      </x:c>
      <x:c r="G1399" s="253" t="str">
        <x:v>chuamek</x:v>
      </x:c>
      <x:c r="H1399" s="253" t="str">
        <x:v>Yes</x:v>
      </x:c>
      <x:c r="I1399" s="253" t="str">
        <x:v>zhen</x:v>
      </x:c>
      <x:c r="J1399" s="253" t="str">
        <x:v>zhen</x:v>
      </x:c>
      <x:c r="K1399" s="259" t="n">
        <x:v>45880.166666666664</x:v>
      </x:c>
      <x:c r="L1399" s="268" t="str">
        <x:f>IFERROR(VLOOKUP(I1399,'Handler-Team Map'!$A$7:$C$17,2,FALSE),"")</x:f>
      </x:c>
      <x:c r="M1399" s="268" t="str">
        <x:f>IFERROR(VLOOKUP(I1399,'Handler-Team Map'!$A$7:$C$17,3,FALSE),"")</x:f>
      </x:c>
      <x:c r="N1399" s="274" t="str">
        <x:v>FT_VM_DEP700_GET300_2X</x:v>
      </x:c>
      <x:c r="O1399" s="274" t="str">
        <x:v>VIP BONUS - Deposit 700 Get 300 - 2x TO</x:v>
      </x:c>
      <x:c r="P1399" s="274" t="str">
        <x:v>DepositBonus</x:v>
      </x:c>
      <x:c r="Q1399" s="274" t="str">
        <x:v>Approved</x:v>
      </x:c>
      <x:c r="R1399" s="265" t="n">
        <x:v>300</x:v>
      </x:c>
      <x:c r="S1399" s="253" t="str">
        <x:v>Yes</x:v>
      </x:c>
      <x:c r="T1399" s="265" t="n">
        <x:v>700</x:v>
      </x:c>
      <x:c r="U1399" s="253" t="str">
        <x:f>IF(AND(S1399="Yes",T1399=0),"Yes","No")</x:f>
        <x:v>No</x:v>
      </x:c>
      <x:c r="V1399" s="253" t="str">
        <x:v>No</x:v>
      </x:c>
      <x:c r="W1399" s="253" t="str">
        <x:v>No</x:v>
      </x:c>
      <x:c r="X1399" s="259" t="n">
        <x:v>46223.166666666664</x:v>
      </x:c>
      <x:c r="Y1399" s="265" t="n">
        <x:v>700</x:v>
      </x:c>
      <x:c r="Z1399" s="265" t="n">
        <x:v>700</x:v>
      </x:c>
      <x:c r="AA1399" s="253" t="str">
        <x:f>IF(V1399="No","Maturing",IF(AND(U1399="Yes",Y1399&gt;0),"Yes","No"))</x:f>
        <x:v>Maturing</x:v>
      </x:c>
      <x:c r="AB1399" s="253" t="str">
        <x:f>IF(W1399="No","Maturing",IF(AND(U1399="Yes",Z1399&gt;0),"Yes","No"))</x:f>
        <x:v>Maturing</x:v>
      </x:c>
      <x:c r="AC1399" s="265" t="n">
        <x:v>498.7</x:v>
      </x:c>
      <x:c r="AD1399" s="265" t="n">
        <x:v>498.7</x:v>
      </x:c>
      <x:c r="AE1399" s="271" t="str"/>
      <x:c r="AF1399" s="274" t="str">
        <x:v>Not validated - no control/holdout</x:v>
      </x:c>
      <x:c r="AG1399" s="277" t="str">
        <x:v>Recovered execution only; assignment date and unclaimed-offer denominator unavailable</x:v>
      </x:c>
    </x:row>
    <x:row r="1400">
      <x:c r="A1400" s="252" t="str">
        <x:v>35017691</x:v>
      </x:c>
      <x:c r="B1400" s="253" t="str">
        <x:v>WS1</x:v>
      </x:c>
      <x:c r="C1400" s="253" t="str">
        <x:v>MB8</x:v>
      </x:c>
      <x:c r="D1400" s="262" t="n">
        <x:v>46223.75765046296</x:v>
      </x:c>
      <x:c r="E1400" s="259" t="n">
        <x:v>46223.166666666664</x:v>
      </x:c>
      <x:c r="F1400" s="253" t="str">
        <x:v>461077</x:v>
      </x:c>
      <x:c r="G1400" s="253" t="str">
        <x:v>Chenghe</x:v>
      </x:c>
      <x:c r="H1400" s="253" t="str">
        <x:v>Yes</x:v>
      </x:c>
      <x:c r="I1400" s="253" t="str">
        <x:v>Claire</x:v>
      </x:c>
      <x:c r="J1400" s="253" t="str">
        <x:v>Claire</x:v>
      </x:c>
      <x:c r="K1400" s="259" t="n">
        <x:v>45659.166666666664</x:v>
      </x:c>
      <x:c r="L1400" s="268" t="str">
        <x:f>IFERROR(VLOOKUP(I1400,'Handler-Team Map'!$A$7:$C$17,2,FALSE),"")</x:f>
      </x:c>
      <x:c r="M1400" s="268" t="str">
        <x:f>IFERROR(VLOOKUP(I1400,'Handler-Team Map'!$A$7:$C$17,3,FALSE),"")</x:f>
      </x:c>
      <x:c r="N1400" s="274" t="str">
        <x:v>FT_VM_DEP700_GET300_2X</x:v>
      </x:c>
      <x:c r="O1400" s="274" t="str">
        <x:v>VIP BONUS - Deposit 700 Get 300 - 2x TO</x:v>
      </x:c>
      <x:c r="P1400" s="274" t="str">
        <x:v>DepositBonus</x:v>
      </x:c>
      <x:c r="Q1400" s="274" t="str">
        <x:v>Approved</x:v>
      </x:c>
      <x:c r="R1400" s="265" t="n">
        <x:v>300</x:v>
      </x:c>
      <x:c r="S1400" s="253" t="str">
        <x:v>Yes</x:v>
      </x:c>
      <x:c r="T1400" s="265" t="n">
        <x:v>52000</x:v>
      </x:c>
      <x:c r="U1400" s="253" t="str">
        <x:f>IF(AND(S1400="Yes",T1400=0),"Yes","No")</x:f>
        <x:v>No</x:v>
      </x:c>
      <x:c r="V1400" s="253" t="str">
        <x:v>No</x:v>
      </x:c>
      <x:c r="W1400" s="253" t="str">
        <x:v>No</x:v>
      </x:c>
      <x:c r="X1400" s="259" t="n">
        <x:v>46223.166666666664</x:v>
      </x:c>
      <x:c r="Y1400" s="265" t="n">
        <x:v>84150</x:v>
      </x:c>
      <x:c r="Z1400" s="265" t="n">
        <x:v>84150</x:v>
      </x:c>
      <x:c r="AA1400" s="253" t="str">
        <x:f>IF(V1400="No","Maturing",IF(AND(U1400="Yes",Y1400&gt;0),"Yes","No"))</x:f>
        <x:v>Maturing</x:v>
      </x:c>
      <x:c r="AB1400" s="253" t="str">
        <x:f>IF(W1400="No","Maturing",IF(AND(U1400="Yes",Z1400&gt;0),"Yes","No"))</x:f>
        <x:v>Maturing</x:v>
      </x:c>
      <x:c r="AC1400" s="265" t="n">
        <x:v>29039.5</x:v>
      </x:c>
      <x:c r="AD1400" s="265" t="n">
        <x:v>29039.5</x:v>
      </x:c>
      <x:c r="AE1400" s="271" t="str"/>
      <x:c r="AF1400" s="274" t="str">
        <x:v>Not validated - no control/holdout</x:v>
      </x:c>
      <x:c r="AG1400" s="277" t="str">
        <x:v>Recovered execution only; assignment date and unclaimed-offer denominator unavailable</x:v>
      </x:c>
    </x:row>
    <x:row r="1401">
      <x:c r="A1401" s="252" t="str">
        <x:v>6038551</x:v>
      </x:c>
      <x:c r="B1401" s="253" t="str">
        <x:v>WS1</x:v>
      </x:c>
      <x:c r="C1401" s="253" t="str">
        <x:v>MB8</x:v>
      </x:c>
      <x:c r="D1401" s="262" t="n">
        <x:v>46223.774363425924</x:v>
      </x:c>
      <x:c r="E1401" s="259" t="n">
        <x:v>46223.166666666664</x:v>
      </x:c>
      <x:c r="F1401" s="253" t="str">
        <x:v>493562</x:v>
      </x:c>
      <x:c r="G1401" s="253" t="str">
        <x:v>irfanaizat96</x:v>
      </x:c>
      <x:c r="H1401" s="253" t="str">
        <x:v>Yes</x:v>
      </x:c>
      <x:c r="I1401" s="253" t="str">
        <x:v>zhen</x:v>
      </x:c>
      <x:c r="J1401" s="253" t="str">
        <x:v>zhen</x:v>
      </x:c>
      <x:c r="K1401" s="259" t="n">
        <x:v>45880.166666666664</x:v>
      </x:c>
      <x:c r="L1401" s="268" t="str">
        <x:f>IFERROR(VLOOKUP(I1401,'Handler-Team Map'!$A$7:$C$17,2,FALSE),"")</x:f>
      </x:c>
      <x:c r="M1401" s="268" t="str">
        <x:f>IFERROR(VLOOKUP(I1401,'Handler-Team Map'!$A$7:$C$17,3,FALSE),"")</x:f>
      </x:c>
      <x:c r="N1401" s="274" t="str">
        <x:v>FT_VMFC_VARIABLE_3X</x:v>
      </x:c>
      <x:c r="O1401" s="274" t="str">
        <x:v>VIP SPECIAL FREE CREDIT - 3x TO</x:v>
      </x:c>
      <x:c r="P1401" s="274" t="str">
        <x:v>FreeCredit</x:v>
      </x:c>
      <x:c r="Q1401" s="274" t="str">
        <x:v>Redeemed</x:v>
      </x:c>
      <x:c r="R1401" s="265" t="n">
        <x:v>388</x:v>
      </x:c>
      <x:c r="S1401" s="253" t="str">
        <x:v>Yes</x:v>
      </x:c>
      <x:c r="T1401" s="265" t="n">
        <x:v>0</x:v>
      </x:c>
      <x:c r="U1401" s="253" t="str">
        <x:f>IF(AND(S1401="Yes",T1401=0),"Yes","No")</x:f>
        <x:v>Yes</x:v>
      </x:c>
      <x:c r="V1401" s="253" t="str">
        <x:v>No</x:v>
      </x:c>
      <x:c r="W1401" s="253" t="str">
        <x:v>No</x:v>
      </x:c>
      <x:c r="X1401" s="259"/>
      <x:c r="Y1401" s="265" t="n">
        <x:v>0</x:v>
      </x:c>
      <x:c r="Z1401" s="265" t="n">
        <x:v>0</x:v>
      </x:c>
      <x:c r="AA1401" s="253" t="str">
        <x:f>IF(V1401="No","Maturing",IF(AND(U1401="Yes",Y1401&gt;0),"Yes","No"))</x:f>
        <x:v>Maturing</x:v>
      </x:c>
      <x:c r="AB1401" s="253" t="str">
        <x:f>IF(W1401="No","Maturing",IF(AND(U1401="Yes",Z1401&gt;0),"Yes","No"))</x:f>
        <x:v>Maturing</x:v>
      </x:c>
      <x:c r="AC1401" s="265" t="n">
        <x:v>-5.83</x:v>
      </x:c>
      <x:c r="AD1401" s="265" t="n">
        <x:v>-5.83</x:v>
      </x:c>
      <x:c r="AE1401" s="271" t="str"/>
      <x:c r="AF1401" s="274" t="str">
        <x:v>Not validated - no control/holdout</x:v>
      </x:c>
      <x:c r="AG1401" s="277" t="str">
        <x:v>Recovered execution only; assignment date and unclaimed-offer denominator unavailable</x:v>
      </x:c>
    </x:row>
    <x:row r="1402">
      <x:c r="A1402" s="252" t="str">
        <x:v>35018318</x:v>
      </x:c>
      <x:c r="B1402" s="253" t="str">
        <x:v>WS1</x:v>
      </x:c>
      <x:c r="C1402" s="253" t="str">
        <x:v>MB8</x:v>
      </x:c>
      <x:c r="D1402" s="262" t="n">
        <x:v>46223.815416666665</x:v>
      </x:c>
      <x:c r="E1402" s="259" t="n">
        <x:v>46223.166666666664</x:v>
      </x:c>
      <x:c r="F1402" s="253" t="str">
        <x:v>470875</x:v>
      </x:c>
      <x:c r="G1402" s="253" t="str">
        <x:v>mohammjm</x:v>
      </x:c>
      <x:c r="H1402" s="253" t="str">
        <x:v>Yes</x:v>
      </x:c>
      <x:c r="I1402" s="253" t="str">
        <x:v>Elda</x:v>
      </x:c>
      <x:c r="J1402" s="253" t="str">
        <x:v>Elda</x:v>
      </x:c>
      <x:c r="K1402" s="259" t="n">
        <x:v>45790.166666666664</x:v>
      </x:c>
      <x:c r="L1402" s="268" t="str">
        <x:f>IFERROR(VLOOKUP(I1402,'Handler-Team Map'!$A$7:$C$17,2,FALSE),"")</x:f>
      </x:c>
      <x:c r="M1402" s="268" t="str">
        <x:f>IFERROR(VLOOKUP(I1402,'Handler-Team Map'!$A$7:$C$17,3,FALSE),"")</x:f>
      </x:c>
      <x:c r="N1402" s="274" t="str">
        <x:v>FT_VM_DEP150_GET50_5X</x:v>
      </x:c>
      <x:c r="O1402" s="274" t="str">
        <x:v>VIP BONUS - Deposit 150 Get 50 - 5x TO</x:v>
      </x:c>
      <x:c r="P1402" s="274" t="str">
        <x:v>DepositBonus</x:v>
      </x:c>
      <x:c r="Q1402" s="274" t="str">
        <x:v>Approved</x:v>
      </x:c>
      <x:c r="R1402" s="265" t="n">
        <x:v>50</x:v>
      </x:c>
      <x:c r="S1402" s="253" t="str">
        <x:v>Yes</x:v>
      </x:c>
      <x:c r="T1402" s="265" t="n">
        <x:v>7977</x:v>
      </x:c>
      <x:c r="U1402" s="253" t="str">
        <x:f>IF(AND(S1402="Yes",T1402=0),"Yes","No")</x:f>
        <x:v>No</x:v>
      </x:c>
      <x:c r="V1402" s="253" t="str">
        <x:v>No</x:v>
      </x:c>
      <x:c r="W1402" s="253" t="str">
        <x:v>No</x:v>
      </x:c>
      <x:c r="X1402" s="259" t="n">
        <x:v>46223.166666666664</x:v>
      </x:c>
      <x:c r="Y1402" s="265" t="n">
        <x:v>3830</x:v>
      </x:c>
      <x:c r="Z1402" s="265" t="n">
        <x:v>3830</x:v>
      </x:c>
      <x:c r="AA1402" s="253" t="str">
        <x:f>IF(V1402="No","Maturing",IF(AND(U1402="Yes",Y1402&gt;0),"Yes","No"))</x:f>
        <x:v>Maturing</x:v>
      </x:c>
      <x:c r="AB1402" s="253" t="str">
        <x:f>IF(W1402="No","Maturing",IF(AND(U1402="Yes",Z1402&gt;0),"Yes","No"))</x:f>
        <x:v>Maturing</x:v>
      </x:c>
      <x:c r="AC1402" s="265" t="n">
        <x:v>327.31</x:v>
      </x:c>
      <x:c r="AD1402" s="265" t="n">
        <x:v>327.31</x:v>
      </x:c>
      <x:c r="AE1402" s="271" t="str"/>
      <x:c r="AF1402" s="274" t="str">
        <x:v>Not validated - no control/holdout</x:v>
      </x:c>
      <x:c r="AG1402" s="277" t="str">
        <x:v>Recovered execution only; assignment date and unclaimed-offer denominator unavailable</x:v>
      </x:c>
    </x:row>
    <x:row r="1403">
      <x:c r="A1403" s="252" t="str">
        <x:v>35018328</x:v>
      </x:c>
      <x:c r="B1403" s="253" t="str">
        <x:v>WS1</x:v>
      </x:c>
      <x:c r="C1403" s="253" t="str">
        <x:v>MB8</x:v>
      </x:c>
      <x:c r="D1403" s="262" t="n">
        <x:v>46223.816296296296</x:v>
      </x:c>
      <x:c r="E1403" s="259" t="n">
        <x:v>46223.166666666664</x:v>
      </x:c>
      <x:c r="F1403" s="253" t="str">
        <x:v>432234</x:v>
      </x:c>
      <x:c r="G1403" s="253" t="str">
        <x:v>geechew85</x:v>
      </x:c>
      <x:c r="H1403" s="253" t="str">
        <x:v>Yes</x:v>
      </x:c>
      <x:c r="I1403" s="253" t="str">
        <x:v>zhen</x:v>
      </x:c>
      <x:c r="J1403" s="253" t="str">
        <x:v>zhen</x:v>
      </x:c>
      <x:c r="K1403" s="259" t="n">
        <x:v>45922.166666666664</x:v>
      </x:c>
      <x:c r="L1403" s="268" t="str">
        <x:f>IFERROR(VLOOKUP(I1403,'Handler-Team Map'!$A$7:$C$17,2,FALSE),"")</x:f>
      </x:c>
      <x:c r="M1403" s="268" t="str">
        <x:f>IFERROR(VLOOKUP(I1403,'Handler-Team Map'!$A$7:$C$17,3,FALSE),"")</x:f>
      </x:c>
      <x:c r="N1403" s="274" t="str">
        <x:v>FT_VM_DEP1000_GET500_5X</x:v>
      </x:c>
      <x:c r="O1403" s="274" t="str">
        <x:v>VIP BONUS - Deposit 1000 Get 500 - 5x TO</x:v>
      </x:c>
      <x:c r="P1403" s="274" t="str">
        <x:v>DepositBonus</x:v>
      </x:c>
      <x:c r="Q1403" s="274" t="str">
        <x:v>Approved</x:v>
      </x:c>
      <x:c r="R1403" s="265" t="n">
        <x:v>500</x:v>
      </x:c>
      <x:c r="S1403" s="253" t="str">
        <x:v>Yes</x:v>
      </x:c>
      <x:c r="T1403" s="265" t="n">
        <x:v>9776.02</x:v>
      </x:c>
      <x:c r="U1403" s="253" t="str">
        <x:f>IF(AND(S1403="Yes",T1403=0),"Yes","No")</x:f>
        <x:v>No</x:v>
      </x:c>
      <x:c r="V1403" s="253" t="str">
        <x:v>No</x:v>
      </x:c>
      <x:c r="W1403" s="253" t="str">
        <x:v>No</x:v>
      </x:c>
      <x:c r="X1403" s="259" t="n">
        <x:v>46223.166666666664</x:v>
      </x:c>
      <x:c r="Y1403" s="265" t="n">
        <x:v>5589</x:v>
      </x:c>
      <x:c r="Z1403" s="265" t="n">
        <x:v>5589</x:v>
      </x:c>
      <x:c r="AA1403" s="253" t="str">
        <x:f>IF(V1403="No","Maturing",IF(AND(U1403="Yes",Y1403&gt;0),"Yes","No"))</x:f>
        <x:v>Maturing</x:v>
      </x:c>
      <x:c r="AB1403" s="253" t="str">
        <x:f>IF(W1403="No","Maturing",IF(AND(U1403="Yes",Z1403&gt;0),"Yes","No"))</x:f>
        <x:v>Maturing</x:v>
      </x:c>
      <x:c r="AC1403" s="265" t="n">
        <x:v>1588.97</x:v>
      </x:c>
      <x:c r="AD1403" s="265" t="n">
        <x:v>1588.97</x:v>
      </x:c>
      <x:c r="AE1403" s="271" t="str"/>
      <x:c r="AF1403" s="274" t="str">
        <x:v>Not validated - no control/holdout</x:v>
      </x:c>
      <x:c r="AG1403" s="277" t="str">
        <x:v>Recovered execution only; assignment date and unclaimed-offer denominator unavailable</x:v>
      </x:c>
    </x:row>
    <x:row r="1404">
      <x:c r="A1404" s="252" t="str">
        <x:v>35018641</x:v>
      </x:c>
      <x:c r="B1404" s="253" t="str">
        <x:v>WS1</x:v>
      </x:c>
      <x:c r="C1404" s="253" t="str">
        <x:v>MB8</x:v>
      </x:c>
      <x:c r="D1404" s="262" t="n">
        <x:v>46223.842199074075</x:v>
      </x:c>
      <x:c r="E1404" s="259" t="n">
        <x:v>46223.166666666664</x:v>
      </x:c>
      <x:c r="F1404" s="253" t="str">
        <x:v>923480</x:v>
      </x:c>
      <x:c r="G1404" s="253" t="str">
        <x:v>jared081199</x:v>
      </x:c>
      <x:c r="H1404" s="253" t="str">
        <x:v>Yes</x:v>
      </x:c>
      <x:c r="I1404" s="253" t="str">
        <x:v>Tammy</x:v>
      </x:c>
      <x:c r="J1404" s="253" t="str">
        <x:v>Tammy</x:v>
      </x:c>
      <x:c r="K1404" s="259" t="n">
        <x:v>45951.166666666664</x:v>
      </x:c>
      <x:c r="L1404" s="268" t="str">
        <x:f>IFERROR(VLOOKUP(I1404,'Handler-Team Map'!$A$7:$C$17,2,FALSE),"")</x:f>
      </x:c>
      <x:c r="M1404" s="268" t="str">
        <x:f>IFERROR(VLOOKUP(I1404,'Handler-Team Map'!$A$7:$C$17,3,FALSE),"")</x:f>
      </x:c>
      <x:c r="N1404" s="274" t="str">
        <x:v>FT_VM_DEP600_GET200_5X</x:v>
      </x:c>
      <x:c r="O1404" s="274" t="str">
        <x:v>VIP BONUS - Deposit 600 Get 200 - 5x TO</x:v>
      </x:c>
      <x:c r="P1404" s="274" t="str">
        <x:v>DepositBonus</x:v>
      </x:c>
      <x:c r="Q1404" s="274" t="str">
        <x:v>Approved</x:v>
      </x:c>
      <x:c r="R1404" s="265" t="n">
        <x:v>200</x:v>
      </x:c>
      <x:c r="S1404" s="253" t="str">
        <x:v>Yes</x:v>
      </x:c>
      <x:c r="T1404" s="265" t="n">
        <x:v>1248</x:v>
      </x:c>
      <x:c r="U1404" s="253" t="str">
        <x:f>IF(AND(S1404="Yes",T1404=0),"Yes","No")</x:f>
        <x:v>No</x:v>
      </x:c>
      <x:c r="V1404" s="253" t="str">
        <x:v>No</x:v>
      </x:c>
      <x:c r="W1404" s="253" t="str">
        <x:v>No</x:v>
      </x:c>
      <x:c r="X1404" s="259" t="n">
        <x:v>46223.166666666664</x:v>
      </x:c>
      <x:c r="Y1404" s="265" t="n">
        <x:v>600</x:v>
      </x:c>
      <x:c r="Z1404" s="265" t="n">
        <x:v>600</x:v>
      </x:c>
      <x:c r="AA1404" s="253" t="str">
        <x:f>IF(V1404="No","Maturing",IF(AND(U1404="Yes",Y1404&gt;0),"Yes","No"))</x:f>
        <x:v>Maturing</x:v>
      </x:c>
      <x:c r="AB1404" s="253" t="str">
        <x:f>IF(W1404="No","Maturing",IF(AND(U1404="Yes",Z1404&gt;0),"Yes","No"))</x:f>
        <x:v>Maturing</x:v>
      </x:c>
      <x:c r="AC1404" s="265" t="n">
        <x:v>-279.7</x:v>
      </x:c>
      <x:c r="AD1404" s="265" t="n">
        <x:v>-279.7</x:v>
      </x:c>
      <x:c r="AE1404" s="271" t="str"/>
      <x:c r="AF1404" s="274" t="str">
        <x:v>Not validated - no control/holdout</x:v>
      </x:c>
      <x:c r="AG1404" s="277" t="str">
        <x:v>Recovered execution only; assignment date and unclaimed-offer denominator unavailable</x:v>
      </x:c>
    </x:row>
    <x:row r="1405">
      <x:c r="A1405" s="252" t="str">
        <x:v>35019190</x:v>
      </x:c>
      <x:c r="B1405" s="253" t="str">
        <x:v>WS1</x:v>
      </x:c>
      <x:c r="C1405" s="253" t="str">
        <x:v>MB8</x:v>
      </x:c>
      <x:c r="D1405" s="262" t="n">
        <x:v>46223.88454861111</x:v>
      </x:c>
      <x:c r="E1405" s="259" t="n">
        <x:v>46223.166666666664</x:v>
      </x:c>
      <x:c r="F1405" s="253" t="str">
        <x:v>718441</x:v>
      </x:c>
      <x:c r="G1405" s="253" t="str">
        <x:v>Gk6535</x:v>
      </x:c>
      <x:c r="H1405" s="253" t="str">
        <x:v>Yes</x:v>
      </x:c>
      <x:c r="I1405" s="253" t="str"/>
      <x:c r="J1405" s="253" t="str"/>
      <x:c r="K1405" s="259"/>
      <x:c r="L1405" s="268" t="str">
        <x:f>IFERROR(VLOOKUP(I1405,'Handler-Team Map'!$A$7:$C$17,2,FALSE),"")</x:f>
      </x:c>
      <x:c r="M1405" s="268" t="str">
        <x:f>IFERROR(VLOOKUP(I1405,'Handler-Team Map'!$A$7:$C$17,3,FALSE),"")</x:f>
      </x:c>
      <x:c r="N1405" s="274" t="str">
        <x:v>FT_VM_DEP800_GET400_1X</x:v>
      </x:c>
      <x:c r="O1405" s="274" t="str">
        <x:v>VIP BONUS - Deposit 800 Get 400 - 1x TO</x:v>
      </x:c>
      <x:c r="P1405" s="274" t="str">
        <x:v>DepositBonus</x:v>
      </x:c>
      <x:c r="Q1405" s="274" t="str">
        <x:v>Approved</x:v>
      </x:c>
      <x:c r="R1405" s="265" t="n">
        <x:v>400</x:v>
      </x:c>
      <x:c r="S1405" s="253" t="str">
        <x:v>Yes</x:v>
      </x:c>
      <x:c r="T1405" s="265" t="n">
        <x:v>0</x:v>
      </x:c>
      <x:c r="U1405" s="253" t="str">
        <x:f>IF(AND(S1405="Yes",T1405=0),"Yes","No")</x:f>
        <x:v>Yes</x:v>
      </x:c>
      <x:c r="V1405" s="253" t="str">
        <x:v>No</x:v>
      </x:c>
      <x:c r="W1405" s="253" t="str">
        <x:v>No</x:v>
      </x:c>
      <x:c r="X1405" s="259" t="n">
        <x:v>46223.166666666664</x:v>
      </x:c>
      <x:c r="Y1405" s="265" t="n">
        <x:v>800</x:v>
      </x:c>
      <x:c r="Z1405" s="265" t="n">
        <x:v>800</x:v>
      </x:c>
      <x:c r="AA1405" s="253" t="str">
        <x:f>IF(V1405="No","Maturing",IF(AND(U1405="Yes",Y1405&gt;0),"Yes","No"))</x:f>
        <x:v>Maturing</x:v>
      </x:c>
      <x:c r="AB1405" s="253" t="str">
        <x:f>IF(W1405="No","Maturing",IF(AND(U1405="Yes",Z1405&gt;0),"Yes","No"))</x:f>
        <x:v>Maturing</x:v>
      </x:c>
      <x:c r="AC1405" s="265" t="n">
        <x:v>-570.61</x:v>
      </x:c>
      <x:c r="AD1405" s="265" t="n">
        <x:v>-570.61</x:v>
      </x:c>
      <x:c r="AE1405" s="271" t="str"/>
      <x:c r="AF1405" s="274" t="str">
        <x:v>Not validated - no control/holdout</x:v>
      </x:c>
      <x:c r="AG1405" s="277" t="str">
        <x:v>Recovered execution only; assignment date and unclaimed-offer denominator unavailable</x:v>
      </x:c>
    </x:row>
    <x:row r="1406">
      <x:c r="A1406" s="252" t="str">
        <x:v>35019211</x:v>
      </x:c>
      <x:c r="B1406" s="253" t="str">
        <x:v>WS1</x:v>
      </x:c>
      <x:c r="C1406" s="253" t="str">
        <x:v>MB8</x:v>
      </x:c>
      <x:c r="D1406" s="262" t="n">
        <x:v>46223.885729166665</x:v>
      </x:c>
      <x:c r="E1406" s="259" t="n">
        <x:v>46223.166666666664</x:v>
      </x:c>
      <x:c r="F1406" s="253" t="str">
        <x:v>433845</x:v>
      </x:c>
      <x:c r="G1406" s="253" t="str">
        <x:v>aderson124</x:v>
      </x:c>
      <x:c r="H1406" s="253" t="str">
        <x:v>Yes</x:v>
      </x:c>
      <x:c r="I1406" s="253" t="str">
        <x:v>Sheena</x:v>
      </x:c>
      <x:c r="J1406" s="253" t="str">
        <x:v>Sheena</x:v>
      </x:c>
      <x:c r="K1406" s="259" t="n">
        <x:v>45852.166666666664</x:v>
      </x:c>
      <x:c r="L1406" s="268" t="str">
        <x:f>IFERROR(VLOOKUP(I1406,'Handler-Team Map'!$A$7:$C$17,2,FALSE),"")</x:f>
      </x:c>
      <x:c r="M1406" s="268" t="str">
        <x:f>IFERROR(VLOOKUP(I1406,'Handler-Team Map'!$A$7:$C$17,3,FALSE),"")</x:f>
      </x:c>
      <x:c r="N1406" s="274" t="str">
        <x:v>FT_VM_DEP1000_GET500_5X</x:v>
      </x:c>
      <x:c r="O1406" s="274" t="str">
        <x:v>VIP BONUS - Deposit 1000 Get 500 - 5x TO</x:v>
      </x:c>
      <x:c r="P1406" s="274" t="str">
        <x:v>DepositBonus</x:v>
      </x:c>
      <x:c r="Q1406" s="274" t="str">
        <x:v>Approved</x:v>
      </x:c>
      <x:c r="R1406" s="265" t="n">
        <x:v>500</x:v>
      </x:c>
      <x:c r="S1406" s="253" t="str">
        <x:v>Yes</x:v>
      </x:c>
      <x:c r="T1406" s="265" t="n">
        <x:v>40533</x:v>
      </x:c>
      <x:c r="U1406" s="253" t="str">
        <x:f>IF(AND(S1406="Yes",T1406=0),"Yes","No")</x:f>
        <x:v>No</x:v>
      </x:c>
      <x:c r="V1406" s="253" t="str">
        <x:v>No</x:v>
      </x:c>
      <x:c r="W1406" s="253" t="str">
        <x:v>No</x:v>
      </x:c>
      <x:c r="X1406" s="259" t="n">
        <x:v>46223.166666666664</x:v>
      </x:c>
      <x:c r="Y1406" s="265" t="n">
        <x:v>1000</x:v>
      </x:c>
      <x:c r="Z1406" s="265" t="n">
        <x:v>1000</x:v>
      </x:c>
      <x:c r="AA1406" s="253" t="str">
        <x:f>IF(V1406="No","Maturing",IF(AND(U1406="Yes",Y1406&gt;0),"Yes","No"))</x:f>
        <x:v>Maturing</x:v>
      </x:c>
      <x:c r="AB1406" s="253" t="str">
        <x:f>IF(W1406="No","Maturing",IF(AND(U1406="Yes",Z1406&gt;0),"Yes","No"))</x:f>
        <x:v>Maturing</x:v>
      </x:c>
      <x:c r="AC1406" s="265" t="n">
        <x:v>1000.5</x:v>
      </x:c>
      <x:c r="AD1406" s="265" t="n">
        <x:v>1000.5</x:v>
      </x:c>
      <x:c r="AE1406" s="271" t="str"/>
      <x:c r="AF1406" s="274" t="str">
        <x:v>Not validated - no control/holdout</x:v>
      </x:c>
      <x:c r="AG1406" s="277" t="str">
        <x:v>Recovered execution only; assignment date and unclaimed-offer denominator unavailable</x:v>
      </x:c>
    </x:row>
    <x:row r="1407">
      <x:c r="A1407" s="252" t="str">
        <x:v>35019256</x:v>
      </x:c>
      <x:c r="B1407" s="253" t="str">
        <x:v>WS1</x:v>
      </x:c>
      <x:c r="C1407" s="253" t="str">
        <x:v>MB8</x:v>
      </x:c>
      <x:c r="D1407" s="262" t="n">
        <x:v>46223.888032407405</x:v>
      </x:c>
      <x:c r="E1407" s="259" t="n">
        <x:v>46223.166666666664</x:v>
      </x:c>
      <x:c r="F1407" s="253" t="str">
        <x:v>302345</x:v>
      </x:c>
      <x:c r="G1407" s="253" t="str">
        <x:v>bujiangfatt</x:v>
      </x:c>
      <x:c r="H1407" s="253" t="str">
        <x:v>Yes</x:v>
      </x:c>
      <x:c r="I1407" s="253" t="str">
        <x:v>Elda</x:v>
      </x:c>
      <x:c r="J1407" s="253" t="str">
        <x:v>Elda</x:v>
      </x:c>
      <x:c r="K1407" s="259" t="n">
        <x:v>45659.166666666664</x:v>
      </x:c>
      <x:c r="L1407" s="268" t="str">
        <x:f>IFERROR(VLOOKUP(I1407,'Handler-Team Map'!$A$7:$C$17,2,FALSE),"")</x:f>
      </x:c>
      <x:c r="M1407" s="268" t="str">
        <x:f>IFERROR(VLOOKUP(I1407,'Handler-Team Map'!$A$7:$C$17,3,FALSE),"")</x:f>
      </x:c>
      <x:c r="N1407" s="274" t="str">
        <x:v>FT_VM_DEP1000_GET500_5X</x:v>
      </x:c>
      <x:c r="O1407" s="274" t="str">
        <x:v>VIP BONUS - Deposit 1000 Get 500 - 5x TO</x:v>
      </x:c>
      <x:c r="P1407" s="274" t="str">
        <x:v>DepositBonus</x:v>
      </x:c>
      <x:c r="Q1407" s="274" t="str">
        <x:v>Approved</x:v>
      </x:c>
      <x:c r="R1407" s="265" t="n">
        <x:v>500</x:v>
      </x:c>
      <x:c r="S1407" s="253" t="str">
        <x:v>Yes</x:v>
      </x:c>
      <x:c r="T1407" s="265" t="n">
        <x:v>26327</x:v>
      </x:c>
      <x:c r="U1407" s="253" t="str">
        <x:f>IF(AND(S1407="Yes",T1407=0),"Yes","No")</x:f>
        <x:v>No</x:v>
      </x:c>
      <x:c r="V1407" s="253" t="str">
        <x:v>No</x:v>
      </x:c>
      <x:c r="W1407" s="253" t="str">
        <x:v>No</x:v>
      </x:c>
      <x:c r="X1407" s="259" t="n">
        <x:v>46223.166666666664</x:v>
      </x:c>
      <x:c r="Y1407" s="265" t="n">
        <x:v>1030</x:v>
      </x:c>
      <x:c r="Z1407" s="265" t="n">
        <x:v>1030</x:v>
      </x:c>
      <x:c r="AA1407" s="253" t="str">
        <x:f>IF(V1407="No","Maturing",IF(AND(U1407="Yes",Y1407&gt;0),"Yes","No"))</x:f>
        <x:v>Maturing</x:v>
      </x:c>
      <x:c r="AB1407" s="253" t="str">
        <x:f>IF(W1407="No","Maturing",IF(AND(U1407="Yes",Z1407&gt;0),"Yes","No"))</x:f>
        <x:v>Maturing</x:v>
      </x:c>
      <x:c r="AC1407" s="265" t="n">
        <x:v>1341.64</x:v>
      </x:c>
      <x:c r="AD1407" s="265" t="n">
        <x:v>1341.64</x:v>
      </x:c>
      <x:c r="AE1407" s="271" t="str"/>
      <x:c r="AF1407" s="274" t="str">
        <x:v>Not validated - no control/holdout</x:v>
      </x:c>
      <x:c r="AG1407" s="277" t="str">
        <x:v>Recovered execution only; assignment date and unclaimed-offer denominator unavailable</x:v>
      </x:c>
    </x:row>
    <x:row r="1408">
      <x:c r="A1408" s="252" t="str">
        <x:v>35019919</x:v>
      </x:c>
      <x:c r="B1408" s="253" t="str">
        <x:v>WS1</x:v>
      </x:c>
      <x:c r="C1408" s="253" t="str">
        <x:v>MB8</x:v>
      </x:c>
      <x:c r="D1408" s="262" t="n">
        <x:v>46223.93158564815</x:v>
      </x:c>
      <x:c r="E1408" s="259" t="n">
        <x:v>46223.166666666664</x:v>
      </x:c>
      <x:c r="F1408" s="253" t="str">
        <x:v>678135</x:v>
      </x:c>
      <x:c r="G1408" s="253" t="str">
        <x:v>Sikder</x:v>
      </x:c>
      <x:c r="H1408" s="253" t="str">
        <x:v>Yes</x:v>
      </x:c>
      <x:c r="I1408" s="253" t="str">
        <x:v>Elda</x:v>
      </x:c>
      <x:c r="J1408" s="253" t="str">
        <x:v>Elda</x:v>
      </x:c>
      <x:c r="K1408" s="259" t="n">
        <x:v>45659.166666666664</x:v>
      </x:c>
      <x:c r="L1408" s="268" t="str">
        <x:f>IFERROR(VLOOKUP(I1408,'Handler-Team Map'!$A$7:$C$17,2,FALSE),"")</x:f>
      </x:c>
      <x:c r="M1408" s="268" t="str">
        <x:f>IFERROR(VLOOKUP(I1408,'Handler-Team Map'!$A$7:$C$17,3,FALSE),"")</x:f>
      </x:c>
      <x:c r="N1408" s="274" t="str">
        <x:v>FT_VM_DEP600_GET200_5X</x:v>
      </x:c>
      <x:c r="O1408" s="274" t="str">
        <x:v>VIP BONUS - Deposit 600 Get 200 - 5x TO</x:v>
      </x:c>
      <x:c r="P1408" s="274" t="str">
        <x:v>DepositBonus</x:v>
      </x:c>
      <x:c r="Q1408" s="274" t="str">
        <x:v>Approved</x:v>
      </x:c>
      <x:c r="R1408" s="265" t="n">
        <x:v>200</x:v>
      </x:c>
      <x:c r="S1408" s="253" t="str">
        <x:v>Yes</x:v>
      </x:c>
      <x:c r="T1408" s="265" t="n">
        <x:v>35263</x:v>
      </x:c>
      <x:c r="U1408" s="253" t="str">
        <x:f>IF(AND(S1408="Yes",T1408=0),"Yes","No")</x:f>
        <x:v>No</x:v>
      </x:c>
      <x:c r="V1408" s="253" t="str">
        <x:v>No</x:v>
      </x:c>
      <x:c r="W1408" s="253" t="str">
        <x:v>No</x:v>
      </x:c>
      <x:c r="X1408" s="259" t="n">
        <x:v>46223.166666666664</x:v>
      </x:c>
      <x:c r="Y1408" s="265" t="n">
        <x:v>7955</x:v>
      </x:c>
      <x:c r="Z1408" s="265" t="n">
        <x:v>7955</x:v>
      </x:c>
      <x:c r="AA1408" s="253" t="str">
        <x:f>IF(V1408="No","Maturing",IF(AND(U1408="Yes",Y1408&gt;0),"Yes","No"))</x:f>
        <x:v>Maturing</x:v>
      </x:c>
      <x:c r="AB1408" s="253" t="str">
        <x:f>IF(W1408="No","Maturing",IF(AND(U1408="Yes",Z1408&gt;0),"Yes","No"))</x:f>
        <x:v>Maturing</x:v>
      </x:c>
      <x:c r="AC1408" s="265" t="n">
        <x:v>3479.2</x:v>
      </x:c>
      <x:c r="AD1408" s="265" t="n">
        <x:v>3479.2</x:v>
      </x:c>
      <x:c r="AE1408" s="271" t="str"/>
      <x:c r="AF1408" s="274" t="str">
        <x:v>Not validated - no control/holdout</x:v>
      </x:c>
      <x:c r="AG1408" s="277" t="str">
        <x:v>Recovered execution only; assignment date and unclaimed-offer denominator unavailable</x:v>
      </x:c>
    </x:row>
    <x:row r="1409">
      <x:c r="A1409" s="252" t="str">
        <x:v>35020741</x:v>
      </x:c>
      <x:c r="B1409" s="253" t="str">
        <x:v>WS1</x:v>
      </x:c>
      <x:c r="C1409" s="253" t="str">
        <x:v>MB8</x:v>
      </x:c>
      <x:c r="D1409" s="262" t="n">
        <x:v>46223.97728009259</x:v>
      </x:c>
      <x:c r="E1409" s="259" t="n">
        <x:v>46223.166666666664</x:v>
      </x:c>
      <x:c r="F1409" s="253" t="str">
        <x:v>693045</x:v>
      </x:c>
      <x:c r="G1409" s="253" t="str">
        <x:v>S0109427034</x:v>
      </x:c>
      <x:c r="H1409" s="253" t="str">
        <x:v>Yes</x:v>
      </x:c>
      <x:c r="I1409" s="253" t="str">
        <x:v>Christy</x:v>
      </x:c>
      <x:c r="J1409" s="253" t="str">
        <x:v>Christy</x:v>
      </x:c>
      <x:c r="K1409" s="259" t="n">
        <x:v>45831.166666666664</x:v>
      </x:c>
      <x:c r="L1409" s="268" t="str">
        <x:f>IFERROR(VLOOKUP(I1409,'Handler-Team Map'!$A$7:$C$17,2,FALSE),"")</x:f>
      </x:c>
      <x:c r="M1409" s="268" t="str">
        <x:f>IFERROR(VLOOKUP(I1409,'Handler-Team Map'!$A$7:$C$17,3,FALSE),"")</x:f>
      </x:c>
      <x:c r="N1409" s="274" t="str">
        <x:v>FT_VM_DEP600_GET200_5X</x:v>
      </x:c>
      <x:c r="O1409" s="274" t="str">
        <x:v>VIP BONUS - Deposit 600 Get 200 - 5x TO</x:v>
      </x:c>
      <x:c r="P1409" s="274" t="str">
        <x:v>DepositBonus</x:v>
      </x:c>
      <x:c r="Q1409" s="274" t="str">
        <x:v>Approved</x:v>
      </x:c>
      <x:c r="R1409" s="265" t="n">
        <x:v>200</x:v>
      </x:c>
      <x:c r="S1409" s="253" t="str">
        <x:v>Yes</x:v>
      </x:c>
      <x:c r="T1409" s="265" t="n">
        <x:v>58187.55</x:v>
      </x:c>
      <x:c r="U1409" s="253" t="str">
        <x:f>IF(AND(S1409="Yes",T1409=0),"Yes","No")</x:f>
        <x:v>No</x:v>
      </x:c>
      <x:c r="V1409" s="253" t="str">
        <x:v>No</x:v>
      </x:c>
      <x:c r="W1409" s="253" t="str">
        <x:v>No</x:v>
      </x:c>
      <x:c r="X1409" s="259" t="n">
        <x:v>46223.166666666664</x:v>
      </x:c>
      <x:c r="Y1409" s="265" t="n">
        <x:v>1634.4</x:v>
      </x:c>
      <x:c r="Z1409" s="265" t="n">
        <x:v>1634.4</x:v>
      </x:c>
      <x:c r="AA1409" s="253" t="str">
        <x:f>IF(V1409="No","Maturing",IF(AND(U1409="Yes",Y1409&gt;0),"Yes","No"))</x:f>
        <x:v>Maturing</x:v>
      </x:c>
      <x:c r="AB1409" s="253" t="str">
        <x:f>IF(W1409="No","Maturing",IF(AND(U1409="Yes",Z1409&gt;0),"Yes","No"))</x:f>
        <x:v>Maturing</x:v>
      </x:c>
      <x:c r="AC1409" s="265" t="n">
        <x:v>-1366.78</x:v>
      </x:c>
      <x:c r="AD1409" s="265" t="n">
        <x:v>-1366.78</x:v>
      </x:c>
      <x:c r="AE1409" s="271" t="str"/>
      <x:c r="AF1409" s="274" t="str">
        <x:v>Not validated - no control/holdout</x:v>
      </x:c>
      <x:c r="AG1409" s="277" t="str">
        <x:v>Recovered execution only; assignment date and unclaimed-offer denominator unavailable</x:v>
      </x:c>
    </x:row>
    <x:row r="1410">
      <x:c r="A1410" s="252" t="str">
        <x:v>35022234</x:v>
      </x:c>
      <x:c r="B1410" s="253" t="str">
        <x:v>WS1</x:v>
      </x:c>
      <x:c r="C1410" s="253" t="str">
        <x:v>MB8</x:v>
      </x:c>
      <x:c r="D1410" s="262" t="n">
        <x:v>46224.09232638889</x:v>
      </x:c>
      <x:c r="E1410" s="259" t="n">
        <x:v>46224.166666666664</x:v>
      </x:c>
      <x:c r="F1410" s="253" t="str">
        <x:v>144118</x:v>
      </x:c>
      <x:c r="G1410" s="253" t="str">
        <x:v>Mark777</x:v>
      </x:c>
      <x:c r="H1410" s="253" t="str">
        <x:v>Yes</x:v>
      </x:c>
      <x:c r="I1410" s="253" t="str"/>
      <x:c r="J1410" s="253" t="str"/>
      <x:c r="K1410" s="259"/>
      <x:c r="L1410" s="268" t="str">
        <x:f>IFERROR(VLOOKUP(I1410,'Handler-Team Map'!$A$7:$C$17,2,FALSE),"")</x:f>
      </x:c>
      <x:c r="M1410" s="268" t="str">
        <x:f>IFERROR(VLOOKUP(I1410,'Handler-Team Map'!$A$7:$C$17,3,FALSE),"")</x:f>
      </x:c>
      <x:c r="N1410" s="274" t="str">
        <x:v>FT_VM_DEP800_GET400_1X</x:v>
      </x:c>
      <x:c r="O1410" s="274" t="str">
        <x:v>VIP BONUS - Deposit 800 Get 400 - 1x TO</x:v>
      </x:c>
      <x:c r="P1410" s="274" t="str">
        <x:v>DepositBonus</x:v>
      </x:c>
      <x:c r="Q1410" s="274" t="str">
        <x:v>Approved</x:v>
      </x:c>
      <x:c r="R1410" s="265" t="n">
        <x:v>400</x:v>
      </x:c>
      <x:c r="S1410" s="253" t="str">
        <x:v>Yes</x:v>
      </x:c>
      <x:c r="T1410" s="265" t="n">
        <x:v>0</x:v>
      </x:c>
      <x:c r="U1410" s="253" t="str">
        <x:f>IF(AND(S1410="Yes",T1410=0),"Yes","No")</x:f>
        <x:v>Yes</x:v>
      </x:c>
      <x:c r="V1410" s="253" t="str">
        <x:v>No</x:v>
      </x:c>
      <x:c r="W1410" s="253" t="str">
        <x:v>No</x:v>
      </x:c>
      <x:c r="X1410" s="259" t="n">
        <x:v>46224.166666666664</x:v>
      </x:c>
      <x:c r="Y1410" s="265" t="n">
        <x:v>800</x:v>
      </x:c>
      <x:c r="Z1410" s="265" t="n">
        <x:v>800</x:v>
      </x:c>
      <x:c r="AA1410" s="253" t="str">
        <x:f>IF(V1410="No","Maturing",IF(AND(U1410="Yes",Y1410&gt;0),"Yes","No"))</x:f>
        <x:v>Maturing</x:v>
      </x:c>
      <x:c r="AB1410" s="253" t="str">
        <x:f>IF(W1410="No","Maturing",IF(AND(U1410="Yes",Z1410&gt;0),"Yes","No"))</x:f>
        <x:v>Maturing</x:v>
      </x:c>
      <x:c r="AC1410" s="265" t="n">
        <x:v>-430.08</x:v>
      </x:c>
      <x:c r="AD1410" s="265" t="n">
        <x:v>-430.08</x:v>
      </x:c>
      <x:c r="AE1410" s="271" t="str"/>
      <x:c r="AF1410" s="274" t="str">
        <x:v>Not validated - no control/holdout</x:v>
      </x:c>
      <x:c r="AG1410" s="277" t="str">
        <x:v>Recovered execution only; assignment date and unclaimed-offer denominator unavailable</x:v>
      </x:c>
    </x:row>
    <x:row r="1411">
      <x:c r="A1411" s="252" t="str">
        <x:v>35022586</x:v>
      </x:c>
      <x:c r="B1411" s="253" t="str">
        <x:v>WS1</x:v>
      </x:c>
      <x:c r="C1411" s="253" t="str">
        <x:v>MB8</x:v>
      </x:c>
      <x:c r="D1411" s="262" t="n">
        <x:v>46224.14041666667</x:v>
      </x:c>
      <x:c r="E1411" s="259" t="n">
        <x:v>46224.166666666664</x:v>
      </x:c>
      <x:c r="F1411" s="253" t="str">
        <x:v>195813</x:v>
      </x:c>
      <x:c r="G1411" s="253" t="str">
        <x:v>Veq5774</x:v>
      </x:c>
      <x:c r="H1411" s="253" t="str">
        <x:v>Yes</x:v>
      </x:c>
      <x:c r="I1411" s="253" t="str">
        <x:v>Elda</x:v>
      </x:c>
      <x:c r="J1411" s="253" t="str">
        <x:v>Elda</x:v>
      </x:c>
      <x:c r="K1411" s="259" t="n">
        <x:v>45659.166666666664</x:v>
      </x:c>
      <x:c r="L1411" s="268" t="str">
        <x:f>IFERROR(VLOOKUP(I1411,'Handler-Team Map'!$A$7:$C$17,2,FALSE),"")</x:f>
      </x:c>
      <x:c r="M1411" s="268" t="str">
        <x:f>IFERROR(VLOOKUP(I1411,'Handler-Team Map'!$A$7:$C$17,3,FALSE),"")</x:f>
      </x:c>
      <x:c r="N1411" s="274" t="str">
        <x:v>FT_VM_DEP1000_GET800_1X</x:v>
      </x:c>
      <x:c r="O1411" s="274" t="str">
        <x:v>VIP BONUS - Deposit 1000 Get 800 - 1x TO</x:v>
      </x:c>
      <x:c r="P1411" s="274" t="str">
        <x:v>DepositBonus</x:v>
      </x:c>
      <x:c r="Q1411" s="274" t="str">
        <x:v>Approved</x:v>
      </x:c>
      <x:c r="R1411" s="265" t="n">
        <x:v>800</x:v>
      </x:c>
      <x:c r="S1411" s="253" t="str">
        <x:v>Yes</x:v>
      </x:c>
      <x:c r="T1411" s="265" t="n">
        <x:v>195904</x:v>
      </x:c>
      <x:c r="U1411" s="253" t="str">
        <x:f>IF(AND(S1411="Yes",T1411=0),"Yes","No")</x:f>
        <x:v>No</x:v>
      </x:c>
      <x:c r="V1411" s="253" t="str">
        <x:v>No</x:v>
      </x:c>
      <x:c r="W1411" s="253" t="str">
        <x:v>No</x:v>
      </x:c>
      <x:c r="X1411" s="259" t="n">
        <x:v>46224.166666666664</x:v>
      </x:c>
      <x:c r="Y1411" s="265" t="n">
        <x:v>36242</x:v>
      </x:c>
      <x:c r="Z1411" s="265" t="n">
        <x:v>36242</x:v>
      </x:c>
      <x:c r="AA1411" s="253" t="str">
        <x:f>IF(V1411="No","Maturing",IF(AND(U1411="Yes",Y1411&gt;0),"Yes","No"))</x:f>
        <x:v>Maturing</x:v>
      </x:c>
      <x:c r="AB1411" s="253" t="str">
        <x:f>IF(W1411="No","Maturing",IF(AND(U1411="Yes",Z1411&gt;0),"Yes","No"))</x:f>
        <x:v>Maturing</x:v>
      </x:c>
      <x:c r="AC1411" s="265" t="n">
        <x:v>-43916.84</x:v>
      </x:c>
      <x:c r="AD1411" s="265" t="n">
        <x:v>-43916.84</x:v>
      </x:c>
      <x:c r="AE1411" s="271" t="str"/>
      <x:c r="AF1411" s="274" t="str">
        <x:v>Not validated - no control/holdout</x:v>
      </x:c>
      <x:c r="AG1411" s="277" t="str">
        <x:v>Recovered execution only; assignment date and unclaimed-offer denominator unavailable</x:v>
      </x:c>
    </x:row>
    <x:row r="1412">
      <x:c r="A1412" s="252" t="str">
        <x:v>35023431</x:v>
      </x:c>
      <x:c r="B1412" s="253" t="str">
        <x:v>WS1</x:v>
      </x:c>
      <x:c r="C1412" s="253" t="str">
        <x:v>MB8</x:v>
      </x:c>
      <x:c r="D1412" s="262" t="n">
        <x:v>46224.346875</x:v>
      </x:c>
      <x:c r="E1412" s="259" t="n">
        <x:v>46224.166666666664</x:v>
      </x:c>
      <x:c r="F1412" s="253" t="str">
        <x:v>1188167</x:v>
      </x:c>
      <x:c r="G1412" s="253" t="str">
        <x:v>BABUJI21</x:v>
      </x:c>
      <x:c r="H1412" s="253" t="str">
        <x:v>Yes</x:v>
      </x:c>
      <x:c r="I1412" s="253" t="str">
        <x:v>Tammy</x:v>
      </x:c>
      <x:c r="J1412" s="253" t="str">
        <x:v>Tammy</x:v>
      </x:c>
      <x:c r="K1412" s="259" t="n">
        <x:v>45951.166666666664</x:v>
      </x:c>
      <x:c r="L1412" s="268" t="str">
        <x:f>IFERROR(VLOOKUP(I1412,'Handler-Team Map'!$A$7:$C$17,2,FALSE),"")</x:f>
      </x:c>
      <x:c r="M1412" s="268" t="str">
        <x:f>IFERROR(VLOOKUP(I1412,'Handler-Team Map'!$A$7:$C$17,3,FALSE),"")</x:f>
      </x:c>
      <x:c r="N1412" s="274" t="str">
        <x:v>FT_VM_DEP600_GET200_5X</x:v>
      </x:c>
      <x:c r="O1412" s="274" t="str">
        <x:v>VIP BONUS - Deposit 600 Get 200 - 5x TO</x:v>
      </x:c>
      <x:c r="P1412" s="274" t="str">
        <x:v>DepositBonus</x:v>
      </x:c>
      <x:c r="Q1412" s="274" t="str">
        <x:v>Approved</x:v>
      </x:c>
      <x:c r="R1412" s="265" t="n">
        <x:v>200</x:v>
      </x:c>
      <x:c r="S1412" s="253" t="str">
        <x:v>Yes</x:v>
      </x:c>
      <x:c r="T1412" s="265" t="n">
        <x:v>166955</x:v>
      </x:c>
      <x:c r="U1412" s="253" t="str">
        <x:f>IF(AND(S1412="Yes",T1412=0),"Yes","No")</x:f>
        <x:v>No</x:v>
      </x:c>
      <x:c r="V1412" s="253" t="str">
        <x:v>No</x:v>
      </x:c>
      <x:c r="W1412" s="253" t="str">
        <x:v>No</x:v>
      </x:c>
      <x:c r="X1412" s="259" t="n">
        <x:v>46224.166666666664</x:v>
      </x:c>
      <x:c r="Y1412" s="265" t="n">
        <x:v>4800</x:v>
      </x:c>
      <x:c r="Z1412" s="265" t="n">
        <x:v>4800</x:v>
      </x:c>
      <x:c r="AA1412" s="253" t="str">
        <x:f>IF(V1412="No","Maturing",IF(AND(U1412="Yes",Y1412&gt;0),"Yes","No"))</x:f>
        <x:v>Maturing</x:v>
      </x:c>
      <x:c r="AB1412" s="253" t="str">
        <x:f>IF(W1412="No","Maturing",IF(AND(U1412="Yes",Z1412&gt;0),"Yes","No"))</x:f>
        <x:v>Maturing</x:v>
      </x:c>
      <x:c r="AC1412" s="265" t="n">
        <x:v>4774.8</x:v>
      </x:c>
      <x:c r="AD1412" s="265" t="n">
        <x:v>4774.8</x:v>
      </x:c>
      <x:c r="AE1412" s="271" t="str"/>
      <x:c r="AF1412" s="274" t="str">
        <x:v>Not validated - no control/holdout</x:v>
      </x:c>
      <x:c r="AG1412" s="277" t="str">
        <x:v>Recovered execution only; assignment date and unclaimed-offer denominator unavailable</x:v>
      </x:c>
    </x:row>
    <x:row r="1413">
      <x:c r="A1413" s="252" t="str">
        <x:v>35023568</x:v>
      </x:c>
      <x:c r="B1413" s="253" t="str">
        <x:v>WS1</x:v>
      </x:c>
      <x:c r="C1413" s="253" t="str">
        <x:v>MB8</x:v>
      </x:c>
      <x:c r="D1413" s="262" t="n">
        <x:v>46224.382199074076</x:v>
      </x:c>
      <x:c r="E1413" s="259" t="n">
        <x:v>46224.166666666664</x:v>
      </x:c>
      <x:c r="F1413" s="253" t="str">
        <x:v>852289</x:v>
      </x:c>
      <x:c r="G1413" s="253" t="str">
        <x:v>Chuanyap</x:v>
      </x:c>
      <x:c r="H1413" s="253" t="str">
        <x:v>Yes</x:v>
      </x:c>
      <x:c r="I1413" s="253" t="str"/>
      <x:c r="J1413" s="253" t="str"/>
      <x:c r="K1413" s="259"/>
      <x:c r="L1413" s="268" t="str">
        <x:f>IFERROR(VLOOKUP(I1413,'Handler-Team Map'!$A$7:$C$17,2,FALSE),"")</x:f>
      </x:c>
      <x:c r="M1413" s="268" t="str">
        <x:f>IFERROR(VLOOKUP(I1413,'Handler-Team Map'!$A$7:$C$17,3,FALSE),"")</x:f>
      </x:c>
      <x:c r="N1413" s="274" t="str">
        <x:v>FT_VM_DEP1000_GET500_1X</x:v>
      </x:c>
      <x:c r="O1413" s="274" t="str">
        <x:v>VIP BONUS - Deposit 1000 Get 500 - 1x TO</x:v>
      </x:c>
      <x:c r="P1413" s="274" t="str">
        <x:v>DepositBonus</x:v>
      </x:c>
      <x:c r="Q1413" s="274" t="str">
        <x:v>Approved</x:v>
      </x:c>
      <x:c r="R1413" s="265" t="n">
        <x:v>500</x:v>
      </x:c>
      <x:c r="S1413" s="253" t="str">
        <x:v>Yes</x:v>
      </x:c>
      <x:c r="T1413" s="265" t="n">
        <x:v>100</x:v>
      </x:c>
      <x:c r="U1413" s="253" t="str">
        <x:f>IF(AND(S1413="Yes",T1413=0),"Yes","No")</x:f>
        <x:v>No</x:v>
      </x:c>
      <x:c r="V1413" s="253" t="str">
        <x:v>No</x:v>
      </x:c>
      <x:c r="W1413" s="253" t="str">
        <x:v>No</x:v>
      </x:c>
      <x:c r="X1413" s="259" t="n">
        <x:v>46224.166666666664</x:v>
      </x:c>
      <x:c r="Y1413" s="265" t="n">
        <x:v>1100</x:v>
      </x:c>
      <x:c r="Z1413" s="265" t="n">
        <x:v>1100</x:v>
      </x:c>
      <x:c r="AA1413" s="253" t="str">
        <x:f>IF(V1413="No","Maturing",IF(AND(U1413="Yes",Y1413&gt;0),"Yes","No"))</x:f>
        <x:v>Maturing</x:v>
      </x:c>
      <x:c r="AB1413" s="253" t="str">
        <x:f>IF(W1413="No","Maturing",IF(AND(U1413="Yes",Z1413&gt;0),"Yes","No"))</x:f>
        <x:v>Maturing</x:v>
      </x:c>
      <x:c r="AC1413" s="265" t="n">
        <x:v>-461.85</x:v>
      </x:c>
      <x:c r="AD1413" s="265" t="n">
        <x:v>-461.85</x:v>
      </x:c>
      <x:c r="AE1413" s="271" t="str"/>
      <x:c r="AF1413" s="274" t="str">
        <x:v>Not validated - no control/holdout</x:v>
      </x:c>
      <x:c r="AG1413" s="277" t="str">
        <x:v>Recovered execution only; assignment date and unclaimed-offer denominator unavailable</x:v>
      </x:c>
    </x:row>
    <x:row r="1414">
      <x:c r="A1414" s="252" t="str">
        <x:v>6043740</x:v>
      </x:c>
      <x:c r="B1414" s="253" t="str">
        <x:v>WS1</x:v>
      </x:c>
      <x:c r="C1414" s="253" t="str">
        <x:v>MB8</x:v>
      </x:c>
      <x:c r="D1414" s="262" t="n">
        <x:v>46224.54883101852</x:v>
      </x:c>
      <x:c r="E1414" s="259" t="n">
        <x:v>46224.166666666664</x:v>
      </x:c>
      <x:c r="F1414" s="253" t="str">
        <x:v>1103104</x:v>
      </x:c>
      <x:c r="G1414" s="253" t="str">
        <x:v>jijija</x:v>
      </x:c>
      <x:c r="H1414" s="253" t="str">
        <x:v>Yes</x:v>
      </x:c>
      <x:c r="I1414" s="253" t="str">
        <x:v>Jiahui</x:v>
      </x:c>
      <x:c r="J1414" s="253" t="str">
        <x:v>Jiahui</x:v>
      </x:c>
      <x:c r="K1414" s="259" t="n">
        <x:v>46077.166666666664</x:v>
      </x:c>
      <x:c r="L1414" s="268" t="str">
        <x:f>IFERROR(VLOOKUP(I1414,'Handler-Team Map'!$A$7:$C$17,2,FALSE),"")</x:f>
      </x:c>
      <x:c r="M1414" s="268" t="str">
        <x:f>IFERROR(VLOOKUP(I1414,'Handler-Team Map'!$A$7:$C$17,3,FALSE),"")</x:f>
      </x:c>
      <x:c r="N1414" s="274" t="str">
        <x:v>FT_VMFC_VARIABLE_3X</x:v>
      </x:c>
      <x:c r="O1414" s="274" t="str">
        <x:v>VIP SPECIAL FREE CREDIT - 3x TO</x:v>
      </x:c>
      <x:c r="P1414" s="274" t="str">
        <x:v>FreeCredit</x:v>
      </x:c>
      <x:c r="Q1414" s="274" t="str">
        <x:v>Redeemed</x:v>
      </x:c>
      <x:c r="R1414" s="265" t="n">
        <x:v>288</x:v>
      </x:c>
      <x:c r="S1414" s="253" t="str">
        <x:v>Yes</x:v>
      </x:c>
      <x:c r="T1414" s="265" t="n">
        <x:v>0</x:v>
      </x:c>
      <x:c r="U1414" s="253" t="str">
        <x:f>IF(AND(S1414="Yes",T1414=0),"Yes","No")</x:f>
        <x:v>Yes</x:v>
      </x:c>
      <x:c r="V1414" s="253" t="str">
        <x:v>No</x:v>
      </x:c>
      <x:c r="W1414" s="253" t="str">
        <x:v>No</x:v>
      </x:c>
      <x:c r="X1414" s="259"/>
      <x:c r="Y1414" s="265" t="n">
        <x:v>0</x:v>
      </x:c>
      <x:c r="Z1414" s="265" t="n">
        <x:v>0</x:v>
      </x:c>
      <x:c r="AA1414" s="253" t="str">
        <x:f>IF(V1414="No","Maturing",IF(AND(U1414="Yes",Y1414&gt;0),"Yes","No"))</x:f>
        <x:v>Maturing</x:v>
      </x:c>
      <x:c r="AB1414" s="253" t="str">
        <x:f>IF(W1414="No","Maturing",IF(AND(U1414="Yes",Z1414&gt;0),"Yes","No"))</x:f>
        <x:v>Maturing</x:v>
      </x:c>
      <x:c r="AC1414" s="265" t="n">
        <x:v>-4.43</x:v>
      </x:c>
      <x:c r="AD1414" s="265" t="n">
        <x:v>-4.43</x:v>
      </x:c>
      <x:c r="AE1414" s="271" t="str"/>
      <x:c r="AF1414" s="274" t="str">
        <x:v>Not validated - no control/holdout</x:v>
      </x:c>
      <x:c r="AG1414" s="277" t="str">
        <x:v>Recovered execution only; assignment date and unclaimed-offer denominator unavailable</x:v>
      </x:c>
    </x:row>
    <x:row r="1415">
      <x:c r="A1415" s="252" t="str">
        <x:v>35025336</x:v>
      </x:c>
      <x:c r="B1415" s="253" t="str">
        <x:v>WS1</x:v>
      </x:c>
      <x:c r="C1415" s="253" t="str">
        <x:v>MB8</x:v>
      </x:c>
      <x:c r="D1415" s="262" t="n">
        <x:v>46224.60527777778</x:v>
      </x:c>
      <x:c r="E1415" s="259" t="n">
        <x:v>46224.166666666664</x:v>
      </x:c>
      <x:c r="F1415" s="253" t="str">
        <x:v>450398</x:v>
      </x:c>
      <x:c r="G1415" s="253" t="str">
        <x:v>johnnytan8</x:v>
      </x:c>
      <x:c r="H1415" s="253" t="str">
        <x:v>Yes</x:v>
      </x:c>
      <x:c r="I1415" s="253" t="str">
        <x:v>Elda</x:v>
      </x:c>
      <x:c r="J1415" s="253" t="str">
        <x:v>Elda</x:v>
      </x:c>
      <x:c r="K1415" s="259" t="n">
        <x:v>45790.166666666664</x:v>
      </x:c>
      <x:c r="L1415" s="268" t="str">
        <x:f>IFERROR(VLOOKUP(I1415,'Handler-Team Map'!$A$7:$C$17,2,FALSE),"")</x:f>
      </x:c>
      <x:c r="M1415" s="268" t="str">
        <x:f>IFERROR(VLOOKUP(I1415,'Handler-Team Map'!$A$7:$C$17,3,FALSE),"")</x:f>
      </x:c>
      <x:c r="N1415" s="274" t="str">
        <x:v>FT_VM_DEP800_GET400_2X</x:v>
      </x:c>
      <x:c r="O1415" s="274" t="str">
        <x:v>VIP BONUS - Deposit 800 Get 400 - 2x TO</x:v>
      </x:c>
      <x:c r="P1415" s="274" t="str">
        <x:v>DepositBonus</x:v>
      </x:c>
      <x:c r="Q1415" s="274" t="str">
        <x:v>Approved</x:v>
      </x:c>
      <x:c r="R1415" s="265" t="n">
        <x:v>400</x:v>
      </x:c>
      <x:c r="S1415" s="253" t="str">
        <x:v>Yes</x:v>
      </x:c>
      <x:c r="T1415" s="265" t="n">
        <x:v>800</x:v>
      </x:c>
      <x:c r="U1415" s="253" t="str">
        <x:f>IF(AND(S1415="Yes",T1415=0),"Yes","No")</x:f>
        <x:v>No</x:v>
      </x:c>
      <x:c r="V1415" s="253" t="str">
        <x:v>No</x:v>
      </x:c>
      <x:c r="W1415" s="253" t="str">
        <x:v>No</x:v>
      </x:c>
      <x:c r="X1415" s="259" t="n">
        <x:v>46224.166666666664</x:v>
      </x:c>
      <x:c r="Y1415" s="265" t="n">
        <x:v>800</x:v>
      </x:c>
      <x:c r="Z1415" s="265" t="n">
        <x:v>800</x:v>
      </x:c>
      <x:c r="AA1415" s="253" t="str">
        <x:f>IF(V1415="No","Maturing",IF(AND(U1415="Yes",Y1415&gt;0),"Yes","No"))</x:f>
        <x:v>Maturing</x:v>
      </x:c>
      <x:c r="AB1415" s="253" t="str">
        <x:f>IF(W1415="No","Maturing",IF(AND(U1415="Yes",Z1415&gt;0),"Yes","No"))</x:f>
        <x:v>Maturing</x:v>
      </x:c>
      <x:c r="AC1415" s="265" t="n">
        <x:v>-99.8</x:v>
      </x:c>
      <x:c r="AD1415" s="265" t="n">
        <x:v>-99.8</x:v>
      </x:c>
      <x:c r="AE1415" s="271" t="str"/>
      <x:c r="AF1415" s="274" t="str">
        <x:v>Not validated - no control/holdout</x:v>
      </x:c>
      <x:c r="AG1415" s="277" t="str">
        <x:v>Recovered execution only; assignment date and unclaimed-offer denominator unavailable</x:v>
      </x:c>
    </x:row>
    <x:row r="1416">
      <x:c r="A1416" s="252" t="str">
        <x:v>6043852</x:v>
      </x:c>
      <x:c r="B1416" s="253" t="str">
        <x:v>WS1</x:v>
      </x:c>
      <x:c r="C1416" s="253" t="str">
        <x:v>MB8</x:v>
      </x:c>
      <x:c r="D1416" s="262" t="n">
        <x:v>46224.622141203705</x:v>
      </x:c>
      <x:c r="E1416" s="259" t="n">
        <x:v>46224.166666666664</x:v>
      </x:c>
      <x:c r="F1416" s="253" t="str">
        <x:v>594783</x:v>
      </x:c>
      <x:c r="G1416" s="253" t="str">
        <x:v>rick1988</x:v>
      </x:c>
      <x:c r="H1416" s="253" t="str">
        <x:v>Yes</x:v>
      </x:c>
      <x:c r="I1416" s="253" t="str">
        <x:v>zhen</x:v>
      </x:c>
      <x:c r="J1416" s="253" t="str">
        <x:v>zhen</x:v>
      </x:c>
      <x:c r="K1416" s="259" t="n">
        <x:v>45880.166666666664</x:v>
      </x:c>
      <x:c r="L1416" s="268" t="str">
        <x:f>IFERROR(VLOOKUP(I1416,'Handler-Team Map'!$A$7:$C$17,2,FALSE),"")</x:f>
      </x:c>
      <x:c r="M1416" s="268" t="str">
        <x:f>IFERROR(VLOOKUP(I1416,'Handler-Team Map'!$A$7:$C$17,3,FALSE),"")</x:f>
      </x:c>
      <x:c r="N1416" s="274" t="str">
        <x:v>FT_VMFC_VARIABLE_3X</x:v>
      </x:c>
      <x:c r="O1416" s="274" t="str">
        <x:v>VIP SPECIAL FREE CREDIT - 3x TO</x:v>
      </x:c>
      <x:c r="P1416" s="274" t="str">
        <x:v>FreeCredit</x:v>
      </x:c>
      <x:c r="Q1416" s="274" t="str">
        <x:v>Redeemed</x:v>
      </x:c>
      <x:c r="R1416" s="265" t="n">
        <x:v>288</x:v>
      </x:c>
      <x:c r="S1416" s="253" t="str">
        <x:v>Yes</x:v>
      </x:c>
      <x:c r="T1416" s="265" t="n">
        <x:v>0</x:v>
      </x:c>
      <x:c r="U1416" s="253" t="str">
        <x:f>IF(AND(S1416="Yes",T1416=0),"Yes","No")</x:f>
        <x:v>Yes</x:v>
      </x:c>
      <x:c r="V1416" s="253" t="str">
        <x:v>No</x:v>
      </x:c>
      <x:c r="W1416" s="253" t="str">
        <x:v>No</x:v>
      </x:c>
      <x:c r="X1416" s="259"/>
      <x:c r="Y1416" s="265" t="n">
        <x:v>0</x:v>
      </x:c>
      <x:c r="Z1416" s="265" t="n">
        <x:v>0</x:v>
      </x:c>
      <x:c r="AA1416" s="253" t="str">
        <x:f>IF(V1416="No","Maturing",IF(AND(U1416="Yes",Y1416&gt;0),"Yes","No"))</x:f>
        <x:v>Maturing</x:v>
      </x:c>
      <x:c r="AB1416" s="253" t="str">
        <x:f>IF(W1416="No","Maturing",IF(AND(U1416="Yes",Z1416&gt;0),"Yes","No"))</x:f>
        <x:v>Maturing</x:v>
      </x:c>
      <x:c r="AC1416" s="265" t="n">
        <x:v>20.56</x:v>
      </x:c>
      <x:c r="AD1416" s="265" t="n">
        <x:v>20.56</x:v>
      </x:c>
      <x:c r="AE1416" s="271" t="str"/>
      <x:c r="AF1416" s="274" t="str">
        <x:v>Not validated - no control/holdout</x:v>
      </x:c>
      <x:c r="AG1416" s="277" t="str">
        <x:v>Recovered execution only; assignment date and unclaimed-offer denominator unavailable</x:v>
      </x:c>
    </x:row>
    <x:row r="1417">
      <x:c r="A1417" s="252" t="str">
        <x:v>35025797</x:v>
      </x:c>
      <x:c r="B1417" s="253" t="str">
        <x:v>WS1</x:v>
      </x:c>
      <x:c r="C1417" s="253" t="str">
        <x:v>MB8</x:v>
      </x:c>
      <x:c r="D1417" s="262" t="n">
        <x:v>46224.65118055556</x:v>
      </x:c>
      <x:c r="E1417" s="259" t="n">
        <x:v>46224.166666666664</x:v>
      </x:c>
      <x:c r="F1417" s="253" t="str">
        <x:v>679848</x:v>
      </x:c>
      <x:c r="G1417" s="253" t="str">
        <x:v>Kack99</x:v>
      </x:c>
      <x:c r="H1417" s="253" t="str">
        <x:v>Yes</x:v>
      </x:c>
      <x:c r="I1417" s="253" t="str"/>
      <x:c r="J1417" s="253" t="str"/>
      <x:c r="K1417" s="259"/>
      <x:c r="L1417" s="268" t="str">
        <x:f>IFERROR(VLOOKUP(I1417,'Handler-Team Map'!$A$7:$C$17,2,FALSE),"")</x:f>
      </x:c>
      <x:c r="M1417" s="268" t="str">
        <x:f>IFERROR(VLOOKUP(I1417,'Handler-Team Map'!$A$7:$C$17,3,FALSE),"")</x:f>
      </x:c>
      <x:c r="N1417" s="274" t="str">
        <x:v>FT_VM_DEP1000_GET500_2X</x:v>
      </x:c>
      <x:c r="O1417" s="274" t="str">
        <x:v>VIP BONUS - Deposit 1000 Get 500 - 2x TO</x:v>
      </x:c>
      <x:c r="P1417" s="274" t="str">
        <x:v>DepositBonus</x:v>
      </x:c>
      <x:c r="Q1417" s="274" t="str">
        <x:v>Approved</x:v>
      </x:c>
      <x:c r="R1417" s="265" t="n">
        <x:v>500</x:v>
      </x:c>
      <x:c r="S1417" s="253" t="str">
        <x:v>Yes</x:v>
      </x:c>
      <x:c r="T1417" s="265" t="n">
        <x:v>6620</x:v>
      </x:c>
      <x:c r="U1417" s="253" t="str">
        <x:f>IF(AND(S1417="Yes",T1417=0),"Yes","No")</x:f>
        <x:v>No</x:v>
      </x:c>
      <x:c r="V1417" s="253" t="str">
        <x:v>No</x:v>
      </x:c>
      <x:c r="W1417" s="253" t="str">
        <x:v>No</x:v>
      </x:c>
      <x:c r="X1417" s="259" t="n">
        <x:v>46224.166666666664</x:v>
      </x:c>
      <x:c r="Y1417" s="265" t="n">
        <x:v>2000</x:v>
      </x:c>
      <x:c r="Z1417" s="265" t="n">
        <x:v>2000</x:v>
      </x:c>
      <x:c r="AA1417" s="253" t="str">
        <x:f>IF(V1417="No","Maturing",IF(AND(U1417="Yes",Y1417&gt;0),"Yes","No"))</x:f>
        <x:v>Maturing</x:v>
      </x:c>
      <x:c r="AB1417" s="253" t="str">
        <x:f>IF(W1417="No","Maturing",IF(AND(U1417="Yes",Z1417&gt;0),"Yes","No"))</x:f>
        <x:v>Maturing</x:v>
      </x:c>
      <x:c r="AC1417" s="265" t="n">
        <x:v>970.16</x:v>
      </x:c>
      <x:c r="AD1417" s="265" t="n">
        <x:v>970.16</x:v>
      </x:c>
      <x:c r="AE1417" s="271" t="str"/>
      <x:c r="AF1417" s="274" t="str">
        <x:v>Not validated - no control/holdout</x:v>
      </x:c>
      <x:c r="AG1417" s="277" t="str">
        <x:v>Recovered execution only; assignment date and unclaimed-offer denominator unavailable</x:v>
      </x:c>
    </x:row>
    <x:row r="1418">
      <x:c r="A1418" s="252" t="str">
        <x:v>35026329</x:v>
      </x:c>
      <x:c r="B1418" s="253" t="str">
        <x:v>WS1</x:v>
      </x:c>
      <x:c r="C1418" s="253" t="str">
        <x:v>MB8</x:v>
      </x:c>
      <x:c r="D1418" s="262" t="n">
        <x:v>46224.69112268519</x:v>
      </x:c>
      <x:c r="E1418" s="259" t="n">
        <x:v>46224.166666666664</x:v>
      </x:c>
      <x:c r="F1418" s="253" t="str">
        <x:v>300292</x:v>
      </x:c>
      <x:c r="G1418" s="253" t="str">
        <x:v>Samlim</x:v>
      </x:c>
      <x:c r="H1418" s="253" t="str">
        <x:v>Yes</x:v>
      </x:c>
      <x:c r="I1418" s="253" t="str">
        <x:v>zhen</x:v>
      </x:c>
      <x:c r="J1418" s="253" t="str">
        <x:v>zhen</x:v>
      </x:c>
      <x:c r="K1418" s="259" t="n">
        <x:v>45985.166666666664</x:v>
      </x:c>
      <x:c r="L1418" s="268" t="str">
        <x:f>IFERROR(VLOOKUP(I1418,'Handler-Team Map'!$A$7:$C$17,2,FALSE),"")</x:f>
      </x:c>
      <x:c r="M1418" s="268" t="str">
        <x:f>IFERROR(VLOOKUP(I1418,'Handler-Team Map'!$A$7:$C$17,3,FALSE),"")</x:f>
      </x:c>
      <x:c r="N1418" s="274" t="str">
        <x:v>FT_VM_DEP300_GET100_5X</x:v>
      </x:c>
      <x:c r="O1418" s="274" t="str">
        <x:v>VIP BONUS - Deposit 300 Get 100 - 5x TO</x:v>
      </x:c>
      <x:c r="P1418" s="274" t="str">
        <x:v>DepositBonus</x:v>
      </x:c>
      <x:c r="Q1418" s="274" t="str">
        <x:v>Approved</x:v>
      </x:c>
      <x:c r="R1418" s="265" t="n">
        <x:v>100</x:v>
      </x:c>
      <x:c r="S1418" s="253" t="str">
        <x:v>Yes</x:v>
      </x:c>
      <x:c r="T1418" s="265" t="n">
        <x:v>128080</x:v>
      </x:c>
      <x:c r="U1418" s="253" t="str">
        <x:f>IF(AND(S1418="Yes",T1418=0),"Yes","No")</x:f>
        <x:v>No</x:v>
      </x:c>
      <x:c r="V1418" s="253" t="str">
        <x:v>No</x:v>
      </x:c>
      <x:c r="W1418" s="253" t="str">
        <x:v>No</x:v>
      </x:c>
      <x:c r="X1418" s="259" t="n">
        <x:v>46224.166666666664</x:v>
      </x:c>
      <x:c r="Y1418" s="265" t="n">
        <x:v>800</x:v>
      </x:c>
      <x:c r="Z1418" s="265" t="n">
        <x:v>800</x:v>
      </x:c>
      <x:c r="AA1418" s="253" t="str">
        <x:f>IF(V1418="No","Maturing",IF(AND(U1418="Yes",Y1418&gt;0),"Yes","No"))</x:f>
        <x:v>Maturing</x:v>
      </x:c>
      <x:c r="AB1418" s="253" t="str">
        <x:f>IF(W1418="No","Maturing",IF(AND(U1418="Yes",Z1418&gt;0),"Yes","No"))</x:f>
        <x:v>Maturing</x:v>
      </x:c>
      <x:c r="AC1418" s="265" t="n">
        <x:v>799.12</x:v>
      </x:c>
      <x:c r="AD1418" s="265" t="n">
        <x:v>799.12</x:v>
      </x:c>
      <x:c r="AE1418" s="271" t="str"/>
      <x:c r="AF1418" s="274" t="str">
        <x:v>Not validated - no control/holdout</x:v>
      </x:c>
      <x:c r="AG1418" s="277" t="str">
        <x:v>Recovered execution only; assignment date and unclaimed-offer denominator unavailable</x:v>
      </x:c>
    </x:row>
    <x:row r="1419">
      <x:c r="A1419" s="252" t="str">
        <x:v>35026382</x:v>
      </x:c>
      <x:c r="B1419" s="253" t="str">
        <x:v>WS1</x:v>
      </x:c>
      <x:c r="C1419" s="253" t="str">
        <x:v>MB8</x:v>
      </x:c>
      <x:c r="D1419" s="262" t="n">
        <x:v>46224.696435185186</x:v>
      </x:c>
      <x:c r="E1419" s="259" t="n">
        <x:v>46224.166666666664</x:v>
      </x:c>
      <x:c r="F1419" s="253" t="str">
        <x:v>1138186</x:v>
      </x:c>
      <x:c r="G1419" s="253" t="str">
        <x:v>Zainie89</x:v>
      </x:c>
      <x:c r="H1419" s="253" t="str">
        <x:v>Yes</x:v>
      </x:c>
      <x:c r="I1419" s="253" t="str">
        <x:v>Tammy</x:v>
      </x:c>
      <x:c r="J1419" s="253" t="str">
        <x:v>Tammy</x:v>
      </x:c>
      <x:c r="K1419" s="259" t="n">
        <x:v>45951.166666666664</x:v>
      </x:c>
      <x:c r="L1419" s="268" t="str">
        <x:f>IFERROR(VLOOKUP(I1419,'Handler-Team Map'!$A$7:$C$17,2,FALSE),"")</x:f>
      </x:c>
      <x:c r="M1419" s="268" t="str">
        <x:f>IFERROR(VLOOKUP(I1419,'Handler-Team Map'!$A$7:$C$17,3,FALSE),"")</x:f>
      </x:c>
      <x:c r="N1419" s="274" t="str">
        <x:v>FT_VM_DEP700_GET300_2X</x:v>
      </x:c>
      <x:c r="O1419" s="274" t="str">
        <x:v>VIP BONUS - Deposit 700 Get 300 - 2x TO</x:v>
      </x:c>
      <x:c r="P1419" s="274" t="str">
        <x:v>DepositBonus</x:v>
      </x:c>
      <x:c r="Q1419" s="274" t="str">
        <x:v>Approved</x:v>
      </x:c>
      <x:c r="R1419" s="265" t="n">
        <x:v>300</x:v>
      </x:c>
      <x:c r="S1419" s="253" t="str">
        <x:v>Yes</x:v>
      </x:c>
      <x:c r="T1419" s="265" t="n">
        <x:v>1260</x:v>
      </x:c>
      <x:c r="U1419" s="253" t="str">
        <x:f>IF(AND(S1419="Yes",T1419=0),"Yes","No")</x:f>
        <x:v>No</x:v>
      </x:c>
      <x:c r="V1419" s="253" t="str">
        <x:v>No</x:v>
      </x:c>
      <x:c r="W1419" s="253" t="str">
        <x:v>No</x:v>
      </x:c>
      <x:c r="X1419" s="259" t="n">
        <x:v>46224.166666666664</x:v>
      </x:c>
      <x:c r="Y1419" s="265" t="n">
        <x:v>1700</x:v>
      </x:c>
      <x:c r="Z1419" s="265" t="n">
        <x:v>1700</x:v>
      </x:c>
      <x:c r="AA1419" s="253" t="str">
        <x:f>IF(V1419="No","Maturing",IF(AND(U1419="Yes",Y1419&gt;0),"Yes","No"))</x:f>
        <x:v>Maturing</x:v>
      </x:c>
      <x:c r="AB1419" s="253" t="str">
        <x:f>IF(W1419="No","Maturing",IF(AND(U1419="Yes",Z1419&gt;0),"Yes","No"))</x:f>
        <x:v>Maturing</x:v>
      </x:c>
      <x:c r="AC1419" s="265" t="n">
        <x:v>1697.34</x:v>
      </x:c>
      <x:c r="AD1419" s="265" t="n">
        <x:v>1697.34</x:v>
      </x:c>
      <x:c r="AE1419" s="271" t="str"/>
      <x:c r="AF1419" s="274" t="str">
        <x:v>Not validated - no control/holdout</x:v>
      </x:c>
      <x:c r="AG1419" s="277" t="str">
        <x:v>Recovered execution only; assignment date and unclaimed-offer denominator unavailable</x:v>
      </x:c>
    </x:row>
    <x:row r="1420">
      <x:c r="A1420" s="252" t="str">
        <x:v>35026639</x:v>
      </x:c>
      <x:c r="B1420" s="253" t="str">
        <x:v>WS1</x:v>
      </x:c>
      <x:c r="C1420" s="253" t="str">
        <x:v>MB8</x:v>
      </x:c>
      <x:c r="D1420" s="262" t="n">
        <x:v>46224.717199074075</x:v>
      </x:c>
      <x:c r="E1420" s="259" t="n">
        <x:v>46224.166666666664</x:v>
      </x:c>
      <x:c r="F1420" s="253" t="str">
        <x:v>515825</x:v>
      </x:c>
      <x:c r="G1420" s="253" t="str">
        <x:v>Carson427</x:v>
      </x:c>
      <x:c r="H1420" s="253" t="str">
        <x:v>Yes</x:v>
      </x:c>
      <x:c r="I1420" s="253" t="str"/>
      <x:c r="J1420" s="253" t="str"/>
      <x:c r="K1420" s="259"/>
      <x:c r="L1420" s="268" t="str">
        <x:f>IFERROR(VLOOKUP(I1420,'Handler-Team Map'!$A$7:$C$17,2,FALSE),"")</x:f>
      </x:c>
      <x:c r="M1420" s="268" t="str">
        <x:f>IFERROR(VLOOKUP(I1420,'Handler-Team Map'!$A$7:$C$17,3,FALSE),"")</x:f>
      </x:c>
      <x:c r="N1420" s="274" t="str">
        <x:v>FT_VM_DEP1000_GET800_2X</x:v>
      </x:c>
      <x:c r="O1420" s="274" t="str">
        <x:v>VIP BONUS - Deposit 1000 Get 800 - 2x TO</x:v>
      </x:c>
      <x:c r="P1420" s="274" t="str">
        <x:v>DepositBonus</x:v>
      </x:c>
      <x:c r="Q1420" s="274" t="str">
        <x:v>Approved</x:v>
      </x:c>
      <x:c r="R1420" s="265" t="n">
        <x:v>800</x:v>
      </x:c>
      <x:c r="S1420" s="253" t="str">
        <x:v>Yes</x:v>
      </x:c>
      <x:c r="T1420" s="265" t="n">
        <x:v>1100</x:v>
      </x:c>
      <x:c r="U1420" s="253" t="str">
        <x:f>IF(AND(S1420="Yes",T1420=0),"Yes","No")</x:f>
        <x:v>No</x:v>
      </x:c>
      <x:c r="V1420" s="253" t="str">
        <x:v>No</x:v>
      </x:c>
      <x:c r="W1420" s="253" t="str">
        <x:v>No</x:v>
      </x:c>
      <x:c r="X1420" s="259" t="n">
        <x:v>46224.166666666664</x:v>
      </x:c>
      <x:c r="Y1420" s="265" t="n">
        <x:v>1035</x:v>
      </x:c>
      <x:c r="Z1420" s="265" t="n">
        <x:v>1035</x:v>
      </x:c>
      <x:c r="AA1420" s="253" t="str">
        <x:f>IF(V1420="No","Maturing",IF(AND(U1420="Yes",Y1420&gt;0),"Yes","No"))</x:f>
        <x:v>Maturing</x:v>
      </x:c>
      <x:c r="AB1420" s="253" t="str">
        <x:f>IF(W1420="No","Maturing",IF(AND(U1420="Yes",Z1420&gt;0),"Yes","No"))</x:f>
        <x:v>Maturing</x:v>
      </x:c>
      <x:c r="AC1420" s="265" t="n">
        <x:v>388.48</x:v>
      </x:c>
      <x:c r="AD1420" s="265" t="n">
        <x:v>388.48</x:v>
      </x:c>
      <x:c r="AE1420" s="271" t="str"/>
      <x:c r="AF1420" s="274" t="str">
        <x:v>Not validated - no control/holdout</x:v>
      </x:c>
      <x:c r="AG1420" s="277" t="str">
        <x:v>Recovered execution only; assignment date and unclaimed-offer denominator unavailable</x:v>
      </x:c>
    </x:row>
    <x:row r="1421">
      <x:c r="A1421" s="252" t="str">
        <x:v>35026741</x:v>
      </x:c>
      <x:c r="B1421" s="253" t="str">
        <x:v>WS1</x:v>
      </x:c>
      <x:c r="C1421" s="253" t="str">
        <x:v>MB8</x:v>
      </x:c>
      <x:c r="D1421" s="262" t="n">
        <x:v>46224.7256712963</x:v>
      </x:c>
      <x:c r="E1421" s="259" t="n">
        <x:v>46224.166666666664</x:v>
      </x:c>
      <x:c r="F1421" s="253" t="str">
        <x:v>597308</x:v>
      </x:c>
      <x:c r="G1421" s="253" t="str">
        <x:v>yby117</x:v>
      </x:c>
      <x:c r="H1421" s="253" t="str">
        <x:v>Yes</x:v>
      </x:c>
      <x:c r="I1421" s="253" t="str">
        <x:v>Serene</x:v>
      </x:c>
      <x:c r="J1421" s="253" t="str">
        <x:v>Serene</x:v>
      </x:c>
      <x:c r="K1421" s="259" t="n">
        <x:v>45859.166666666664</x:v>
      </x:c>
      <x:c r="L1421" s="268" t="str">
        <x:f>IFERROR(VLOOKUP(I1421,'Handler-Team Map'!$A$7:$C$17,2,FALSE),"")</x:f>
      </x:c>
      <x:c r="M1421" s="268" t="str">
        <x:f>IFERROR(VLOOKUP(I1421,'Handler-Team Map'!$A$7:$C$17,3,FALSE),"")</x:f>
      </x:c>
      <x:c r="N1421" s="274" t="str">
        <x:v>FT_VM_DEP300_GET100_5X</x:v>
      </x:c>
      <x:c r="O1421" s="274" t="str">
        <x:v>VIP BONUS - Deposit 300 Get 100 - 5x TO</x:v>
      </x:c>
      <x:c r="P1421" s="274" t="str">
        <x:v>DepositBonus</x:v>
      </x:c>
      <x:c r="Q1421" s="274" t="str">
        <x:v>Approved</x:v>
      </x:c>
      <x:c r="R1421" s="265" t="n">
        <x:v>100</x:v>
      </x:c>
      <x:c r="S1421" s="253" t="str">
        <x:v>Yes</x:v>
      </x:c>
      <x:c r="T1421" s="265" t="n">
        <x:v>17111</x:v>
      </x:c>
      <x:c r="U1421" s="253" t="str">
        <x:f>IF(AND(S1421="Yes",T1421=0),"Yes","No")</x:f>
        <x:v>No</x:v>
      </x:c>
      <x:c r="V1421" s="253" t="str">
        <x:v>No</x:v>
      </x:c>
      <x:c r="W1421" s="253" t="str">
        <x:v>No</x:v>
      </x:c>
      <x:c r="X1421" s="259" t="n">
        <x:v>46224.166666666664</x:v>
      </x:c>
      <x:c r="Y1421" s="265" t="n">
        <x:v>2751</x:v>
      </x:c>
      <x:c r="Z1421" s="265" t="n">
        <x:v>2751</x:v>
      </x:c>
      <x:c r="AA1421" s="253" t="str">
        <x:f>IF(V1421="No","Maturing",IF(AND(U1421="Yes",Y1421&gt;0),"Yes","No"))</x:f>
        <x:v>Maturing</x:v>
      </x:c>
      <x:c r="AB1421" s="253" t="str">
        <x:f>IF(W1421="No","Maturing",IF(AND(U1421="Yes",Z1421&gt;0),"Yes","No"))</x:f>
        <x:v>Maturing</x:v>
      </x:c>
      <x:c r="AC1421" s="265" t="n">
        <x:v>-79.49</x:v>
      </x:c>
      <x:c r="AD1421" s="265" t="n">
        <x:v>-79.49</x:v>
      </x:c>
      <x:c r="AE1421" s="271" t="str"/>
      <x:c r="AF1421" s="274" t="str">
        <x:v>Not validated - no control/holdout</x:v>
      </x:c>
      <x:c r="AG1421" s="277" t="str">
        <x:v>Recovered execution only; assignment date and unclaimed-offer denominator unavailable</x:v>
      </x:c>
    </x:row>
    <x:row r="1422">
      <x:c r="A1422" s="252" t="str">
        <x:v>6045182</x:v>
      </x:c>
      <x:c r="B1422" s="253" t="str">
        <x:v>WS1</x:v>
      </x:c>
      <x:c r="C1422" s="253" t="str">
        <x:v>MB8</x:v>
      </x:c>
      <x:c r="D1422" s="262" t="n">
        <x:v>46224.78202546296</x:v>
      </x:c>
      <x:c r="E1422" s="259" t="n">
        <x:v>46224.166666666664</x:v>
      </x:c>
      <x:c r="F1422" s="253" t="str">
        <x:v>940393</x:v>
      </x:c>
      <x:c r="G1422" s="253" t="str">
        <x:v>Han1993han</x:v>
      </x:c>
      <x:c r="H1422" s="253" t="str">
        <x:v>Yes</x:v>
      </x:c>
      <x:c r="I1422" s="253" t="str">
        <x:v>zhen</x:v>
      </x:c>
      <x:c r="J1422" s="253" t="str">
        <x:v>zhen</x:v>
      </x:c>
      <x:c r="K1422" s="259" t="n">
        <x:v>46090.166666666664</x:v>
      </x:c>
      <x:c r="L1422" s="268" t="str">
        <x:f>IFERROR(VLOOKUP(I1422,'Handler-Team Map'!$A$7:$C$17,2,FALSE),"")</x:f>
      </x:c>
      <x:c r="M1422" s="268" t="str">
        <x:f>IFERROR(VLOOKUP(I1422,'Handler-Team Map'!$A$7:$C$17,3,FALSE),"")</x:f>
      </x:c>
      <x:c r="N1422" s="274" t="str">
        <x:v>FT_VMFC_VARIABLE_3X</x:v>
      </x:c>
      <x:c r="O1422" s="274" t="str">
        <x:v>VIP SPECIAL FREE CREDIT - 3x TO</x:v>
      </x:c>
      <x:c r="P1422" s="274" t="str">
        <x:v>FreeCredit</x:v>
      </x:c>
      <x:c r="Q1422" s="274" t="str">
        <x:v>Redeemed</x:v>
      </x:c>
      <x:c r="R1422" s="265" t="n">
        <x:v>288</x:v>
      </x:c>
      <x:c r="S1422" s="253" t="str">
        <x:v>Yes</x:v>
      </x:c>
      <x:c r="T1422" s="265" t="n">
        <x:v>0</x:v>
      </x:c>
      <x:c r="U1422" s="253" t="str">
        <x:f>IF(AND(S1422="Yes",T1422=0),"Yes","No")</x:f>
        <x:v>Yes</x:v>
      </x:c>
      <x:c r="V1422" s="253" t="str">
        <x:v>No</x:v>
      </x:c>
      <x:c r="W1422" s="253" t="str">
        <x:v>No</x:v>
      </x:c>
      <x:c r="X1422" s="259"/>
      <x:c r="Y1422" s="265" t="n">
        <x:v>0</x:v>
      </x:c>
      <x:c r="Z1422" s="265" t="n">
        <x:v>0</x:v>
      </x:c>
      <x:c r="AA1422" s="253" t="str">
        <x:f>IF(V1422="No","Maturing",IF(AND(U1422="Yes",Y1422&gt;0),"Yes","No"))</x:f>
        <x:v>Maturing</x:v>
      </x:c>
      <x:c r="AB1422" s="253" t="str">
        <x:f>IF(W1422="No","Maturing",IF(AND(U1422="Yes",Z1422&gt;0),"Yes","No"))</x:f>
        <x:v>Maturing</x:v>
      </x:c>
      <x:c r="AC1422" s="265" t="n">
        <x:v>-100.08</x:v>
      </x:c>
      <x:c r="AD1422" s="265" t="n">
        <x:v>-100.08</x:v>
      </x:c>
      <x:c r="AE1422" s="271" t="str"/>
      <x:c r="AF1422" s="274" t="str">
        <x:v>Not validated - no control/holdout</x:v>
      </x:c>
      <x:c r="AG1422" s="277" t="str">
        <x:v>Recovered execution only; assignment date and unclaimed-offer denominator unavailable</x:v>
      </x:c>
    </x:row>
    <x:row r="1423">
      <x:c r="A1423" s="252" t="str">
        <x:v>6047376</x:v>
      </x:c>
      <x:c r="B1423" s="253" t="str">
        <x:v>WS1</x:v>
      </x:c>
      <x:c r="C1423" s="253" t="str">
        <x:v>MB8</x:v>
      </x:c>
      <x:c r="D1423" s="262" t="n">
        <x:v>46224.83320601852</x:v>
      </x:c>
      <x:c r="E1423" s="259" t="n">
        <x:v>46224.166666666664</x:v>
      </x:c>
      <x:c r="F1423" s="253" t="str">
        <x:v>1143317</x:v>
      </x:c>
      <x:c r="G1423" s="253" t="str">
        <x:v>KuanKimWeng</x:v>
      </x:c>
      <x:c r="H1423" s="253" t="str">
        <x:v>Yes</x:v>
      </x:c>
      <x:c r="I1423" s="253" t="str">
        <x:v>Mikki</x:v>
      </x:c>
      <x:c r="J1423" s="253" t="str">
        <x:v>Mikki</x:v>
      </x:c>
      <x:c r="K1423" s="259" t="n">
        <x:v>45993.166666666664</x:v>
      </x:c>
      <x:c r="L1423" s="268" t="str">
        <x:f>IFERROR(VLOOKUP(I1423,'Handler-Team Map'!$A$7:$C$17,2,FALSE),"")</x:f>
      </x:c>
      <x:c r="M1423" s="268" t="str">
        <x:f>IFERROR(VLOOKUP(I1423,'Handler-Team Map'!$A$7:$C$17,3,FALSE),"")</x:f>
      </x:c>
      <x:c r="N1423" s="274" t="str">
        <x:v>FT_VMFC_VARIABLE_3X</x:v>
      </x:c>
      <x:c r="O1423" s="274" t="str">
        <x:v>VIP SPECIAL FREE CREDIT - 3x TO</x:v>
      </x:c>
      <x:c r="P1423" s="274" t="str">
        <x:v>FreeCredit</x:v>
      </x:c>
      <x:c r="Q1423" s="274" t="str">
        <x:v>Redeemed</x:v>
      </x:c>
      <x:c r="R1423" s="265" t="n">
        <x:v>388</x:v>
      </x:c>
      <x:c r="S1423" s="253" t="str">
        <x:v>Yes</x:v>
      </x:c>
      <x:c r="T1423" s="265" t="n">
        <x:v>0</x:v>
      </x:c>
      <x:c r="U1423" s="253" t="str">
        <x:f>IF(AND(S1423="Yes",T1423=0),"Yes","No")</x:f>
        <x:v>Yes</x:v>
      </x:c>
      <x:c r="V1423" s="253" t="str">
        <x:v>No</x:v>
      </x:c>
      <x:c r="W1423" s="253" t="str">
        <x:v>No</x:v>
      </x:c>
      <x:c r="X1423" s="259"/>
      <x:c r="Y1423" s="265" t="n">
        <x:v>0</x:v>
      </x:c>
      <x:c r="Z1423" s="265" t="n">
        <x:v>0</x:v>
      </x:c>
      <x:c r="AA1423" s="253" t="str">
        <x:f>IF(V1423="No","Maturing",IF(AND(U1423="Yes",Y1423&gt;0),"Yes","No"))</x:f>
        <x:v>Maturing</x:v>
      </x:c>
      <x:c r="AB1423" s="253" t="str">
        <x:f>IF(W1423="No","Maturing",IF(AND(U1423="Yes",Z1423&gt;0),"Yes","No"))</x:f>
        <x:v>Maturing</x:v>
      </x:c>
      <x:c r="AC1423" s="265" t="n">
        <x:v>-3.57</x:v>
      </x:c>
      <x:c r="AD1423" s="265" t="n">
        <x:v>-3.57</x:v>
      </x:c>
      <x:c r="AE1423" s="271" t="str"/>
      <x:c r="AF1423" s="274" t="str">
        <x:v>Not validated - no control/holdout</x:v>
      </x:c>
      <x:c r="AG1423" s="277" t="str">
        <x:v>Recovered execution only; assignment date and unclaimed-offer denominator unavailable</x:v>
      </x:c>
    </x:row>
    <x:row r="1424">
      <x:c r="A1424" s="252" t="str">
        <x:v>35029179</x:v>
      </x:c>
      <x:c r="B1424" s="253" t="str">
        <x:v>WS1</x:v>
      </x:c>
      <x:c r="C1424" s="253" t="str">
        <x:v>MB8</x:v>
      </x:c>
      <x:c r="D1424" s="262" t="n">
        <x:v>46224.92652777778</x:v>
      </x:c>
      <x:c r="E1424" s="259" t="n">
        <x:v>46224.166666666664</x:v>
      </x:c>
      <x:c r="F1424" s="253" t="str">
        <x:v>612280</x:v>
      </x:c>
      <x:c r="G1424" s="253" t="str">
        <x:v>Sarfaraz1</x:v>
      </x:c>
      <x:c r="H1424" s="253" t="str">
        <x:v>Yes</x:v>
      </x:c>
      <x:c r="I1424" s="253" t="str"/>
      <x:c r="J1424" s="253" t="str"/>
      <x:c r="K1424" s="259"/>
      <x:c r="L1424" s="268" t="str">
        <x:f>IFERROR(VLOOKUP(I1424,'Handler-Team Map'!$A$7:$C$17,2,FALSE),"")</x:f>
      </x:c>
      <x:c r="M1424" s="268" t="str">
        <x:f>IFERROR(VLOOKUP(I1424,'Handler-Team Map'!$A$7:$C$17,3,FALSE),"")</x:f>
      </x:c>
      <x:c r="N1424" s="274" t="str">
        <x:v>FT_VM_DEP600_GET200_5X</x:v>
      </x:c>
      <x:c r="O1424" s="274" t="str">
        <x:v>VIP BONUS - Deposit 600 Get 200 - 5x TO</x:v>
      </x:c>
      <x:c r="P1424" s="274" t="str">
        <x:v>DepositBonus</x:v>
      </x:c>
      <x:c r="Q1424" s="274" t="str">
        <x:v>Approved</x:v>
      </x:c>
      <x:c r="R1424" s="265" t="n">
        <x:v>200</x:v>
      </x:c>
      <x:c r="S1424" s="253" t="str">
        <x:v>Yes</x:v>
      </x:c>
      <x:c r="T1424" s="265" t="n">
        <x:v>1400</x:v>
      </x:c>
      <x:c r="U1424" s="253" t="str">
        <x:f>IF(AND(S1424="Yes",T1424=0),"Yes","No")</x:f>
        <x:v>No</x:v>
      </x:c>
      <x:c r="V1424" s="253" t="str">
        <x:v>No</x:v>
      </x:c>
      <x:c r="W1424" s="253" t="str">
        <x:v>No</x:v>
      </x:c>
      <x:c r="X1424" s="259" t="n">
        <x:v>46224.166666666664</x:v>
      </x:c>
      <x:c r="Y1424" s="265" t="n">
        <x:v>600</x:v>
      </x:c>
      <x:c r="Z1424" s="265" t="n">
        <x:v>600</x:v>
      </x:c>
      <x:c r="AA1424" s="253" t="str">
        <x:f>IF(V1424="No","Maturing",IF(AND(U1424="Yes",Y1424&gt;0),"Yes","No"))</x:f>
        <x:v>Maturing</x:v>
      </x:c>
      <x:c r="AB1424" s="253" t="str">
        <x:f>IF(W1424="No","Maturing",IF(AND(U1424="Yes",Z1424&gt;0),"Yes","No"))</x:f>
        <x:v>Maturing</x:v>
      </x:c>
      <x:c r="AC1424" s="265" t="n">
        <x:v>599.75</x:v>
      </x:c>
      <x:c r="AD1424" s="265" t="n">
        <x:v>599.75</x:v>
      </x:c>
      <x:c r="AE1424" s="271" t="str"/>
      <x:c r="AF1424" s="274" t="str">
        <x:v>Not validated - no control/holdout</x:v>
      </x:c>
      <x:c r="AG1424" s="277" t="str">
        <x:v>Recovered execution only; assignment date and unclaimed-offer denominator unavailable</x:v>
      </x:c>
    </x:row>
    <x:row r="1425">
      <x:c r="A1425" s="252" t="str">
        <x:v>6043687</x:v>
      </x:c>
      <x:c r="B1425" s="253" t="str">
        <x:v>WS1</x:v>
      </x:c>
      <x:c r="C1425" s="253" t="str">
        <x:v>MB8</x:v>
      </x:c>
      <x:c r="D1425" s="262" t="n">
        <x:v>46224.9516087963</x:v>
      </x:c>
      <x:c r="E1425" s="259" t="n">
        <x:v>46224.166666666664</x:v>
      </x:c>
      <x:c r="F1425" s="253" t="str">
        <x:v>706138</x:v>
      </x:c>
      <x:c r="G1425" s="253" t="str">
        <x:v>Patma10</x:v>
      </x:c>
      <x:c r="H1425" s="253" t="str">
        <x:v>Yes</x:v>
      </x:c>
      <x:c r="I1425" s="253" t="str">
        <x:v>Serene</x:v>
      </x:c>
      <x:c r="J1425" s="253" t="str">
        <x:v>Serene</x:v>
      </x:c>
      <x:c r="K1425" s="259" t="n">
        <x:v>45859.166666666664</x:v>
      </x:c>
      <x:c r="L1425" s="268" t="str">
        <x:f>IFERROR(VLOOKUP(I1425,'Handler-Team Map'!$A$7:$C$17,2,FALSE),"")</x:f>
      </x:c>
      <x:c r="M1425" s="268" t="str">
        <x:f>IFERROR(VLOOKUP(I1425,'Handler-Team Map'!$A$7:$C$17,3,FALSE),"")</x:f>
      </x:c>
      <x:c r="N1425" s="274" t="str">
        <x:v>FT_VMFC_VARIABLE_3X</x:v>
      </x:c>
      <x:c r="O1425" s="274" t="str">
        <x:v>VIP SPECIAL FREE CREDIT - 3x TO</x:v>
      </x:c>
      <x:c r="P1425" s="274" t="str">
        <x:v>FreeCredit</x:v>
      </x:c>
      <x:c r="Q1425" s="274" t="str">
        <x:v>Redeemed</x:v>
      </x:c>
      <x:c r="R1425" s="265" t="n">
        <x:v>388</x:v>
      </x:c>
      <x:c r="S1425" s="253" t="str">
        <x:v>Yes</x:v>
      </x:c>
      <x:c r="T1425" s="265" t="n">
        <x:v>0</x:v>
      </x:c>
      <x:c r="U1425" s="253" t="str">
        <x:f>IF(AND(S1425="Yes",T1425=0),"Yes","No")</x:f>
        <x:v>Yes</x:v>
      </x:c>
      <x:c r="V1425" s="253" t="str">
        <x:v>No</x:v>
      </x:c>
      <x:c r="W1425" s="253" t="str">
        <x:v>No</x:v>
      </x:c>
      <x:c r="X1425" s="259"/>
      <x:c r="Y1425" s="265" t="n">
        <x:v>0</x:v>
      </x:c>
      <x:c r="Z1425" s="265" t="n">
        <x:v>0</x:v>
      </x:c>
      <x:c r="AA1425" s="253" t="str">
        <x:f>IF(V1425="No","Maturing",IF(AND(U1425="Yes",Y1425&gt;0),"Yes","No"))</x:f>
        <x:v>Maturing</x:v>
      </x:c>
      <x:c r="AB1425" s="253" t="str">
        <x:f>IF(W1425="No","Maturing",IF(AND(U1425="Yes",Z1425&gt;0),"Yes","No"))</x:f>
        <x:v>Maturing</x:v>
      </x:c>
      <x:c r="AC1425" s="265" t="n">
        <x:v>0.04</x:v>
      </x:c>
      <x:c r="AD1425" s="265" t="n">
        <x:v>0.04</x:v>
      </x:c>
      <x:c r="AE1425" s="271" t="str"/>
      <x:c r="AF1425" s="274" t="str">
        <x:v>Not validated - no control/holdout</x:v>
      </x:c>
      <x:c r="AG1425" s="277" t="str">
        <x:v>Recovered execution only; assignment date and unclaimed-offer denominator unavailable</x:v>
      </x:c>
    </x:row>
    <x:row r="1426">
      <x:c r="A1426" s="252" t="str">
        <x:v>35030206</x:v>
      </x:c>
      <x:c r="B1426" s="253" t="str">
        <x:v>WS1</x:v>
      </x:c>
      <x:c r="C1426" s="253" t="str">
        <x:v>MB8</x:v>
      </x:c>
      <x:c r="D1426" s="262" t="n">
        <x:v>46224.98574074074</x:v>
      </x:c>
      <x:c r="E1426" s="259" t="n">
        <x:v>46224.166666666664</x:v>
      </x:c>
      <x:c r="F1426" s="253" t="str">
        <x:v>668383</x:v>
      </x:c>
      <x:c r="G1426" s="253" t="str">
        <x:v>Wira1007</x:v>
      </x:c>
      <x:c r="H1426" s="253" t="str">
        <x:v>Yes</x:v>
      </x:c>
      <x:c r="I1426" s="253" t="str">
        <x:v>Serene</x:v>
      </x:c>
      <x:c r="J1426" s="253" t="str">
        <x:v>Serene</x:v>
      </x:c>
      <x:c r="K1426" s="259" t="n">
        <x:v>45859.166666666664</x:v>
      </x:c>
      <x:c r="L1426" s="268" t="str">
        <x:f>IFERROR(VLOOKUP(I1426,'Handler-Team Map'!$A$7:$C$17,2,FALSE),"")</x:f>
      </x:c>
      <x:c r="M1426" s="268" t="str">
        <x:f>IFERROR(VLOOKUP(I1426,'Handler-Team Map'!$A$7:$C$17,3,FALSE),"")</x:f>
      </x:c>
      <x:c r="N1426" s="274" t="str">
        <x:v>FT_VM_DEP300_GET100_5X</x:v>
      </x:c>
      <x:c r="O1426" s="274" t="str">
        <x:v>VIP BONUS - Deposit 300 Get 100 - 5x TO</x:v>
      </x:c>
      <x:c r="P1426" s="274" t="str">
        <x:v>DepositBonus</x:v>
      </x:c>
      <x:c r="Q1426" s="274" t="str">
        <x:v>Approved</x:v>
      </x:c>
      <x:c r="R1426" s="265" t="n">
        <x:v>100</x:v>
      </x:c>
      <x:c r="S1426" s="253" t="str">
        <x:v>Yes</x:v>
      </x:c>
      <x:c r="T1426" s="265" t="n">
        <x:v>27940</x:v>
      </x:c>
      <x:c r="U1426" s="253" t="str">
        <x:f>IF(AND(S1426="Yes",T1426=0),"Yes","No")</x:f>
        <x:v>No</x:v>
      </x:c>
      <x:c r="V1426" s="253" t="str">
        <x:v>No</x:v>
      </x:c>
      <x:c r="W1426" s="253" t="str">
        <x:v>No</x:v>
      </x:c>
      <x:c r="X1426" s="259" t="n">
        <x:v>46224.166666666664</x:v>
      </x:c>
      <x:c r="Y1426" s="265" t="n">
        <x:v>2000</x:v>
      </x:c>
      <x:c r="Z1426" s="265" t="n">
        <x:v>2000</x:v>
      </x:c>
      <x:c r="AA1426" s="253" t="str">
        <x:f>IF(V1426="No","Maturing",IF(AND(U1426="Yes",Y1426&gt;0),"Yes","No"))</x:f>
        <x:v>Maturing</x:v>
      </x:c>
      <x:c r="AB1426" s="253" t="str">
        <x:f>IF(W1426="No","Maturing",IF(AND(U1426="Yes",Z1426&gt;0),"Yes","No"))</x:f>
        <x:v>Maturing</x:v>
      </x:c>
      <x:c r="AC1426" s="265" t="n">
        <x:v>-3500.16</x:v>
      </x:c>
      <x:c r="AD1426" s="265" t="n">
        <x:v>-3500.16</x:v>
      </x:c>
      <x:c r="AE1426" s="271" t="str"/>
      <x:c r="AF1426" s="274" t="str">
        <x:v>Not validated - no control/holdout</x:v>
      </x:c>
      <x:c r="AG1426" s="277" t="str">
        <x:v>Recovered execution only; assignment date and unclaimed-offer denominator unavailable</x:v>
      </x:c>
    </x:row>
    <x:row r="1427">
      <x:c r="A1427" s="252" t="str">
        <x:v>35030336</x:v>
      </x:c>
      <x:c r="B1427" s="253" t="str">
        <x:v>WS1</x:v>
      </x:c>
      <x:c r="C1427" s="253" t="str">
        <x:v>MB8</x:v>
      </x:c>
      <x:c r="D1427" s="262" t="n">
        <x:v>46224.99303240741</x:v>
      </x:c>
      <x:c r="E1427" s="259" t="n">
        <x:v>46224.166666666664</x:v>
      </x:c>
      <x:c r="F1427" s="253" t="str">
        <x:v>706405</x:v>
      </x:c>
      <x:c r="G1427" s="253" t="str">
        <x:v>Mangal123</x:v>
      </x:c>
      <x:c r="H1427" s="253" t="str">
        <x:v>Yes</x:v>
      </x:c>
      <x:c r="I1427" s="253" t="str"/>
      <x:c r="J1427" s="253" t="str"/>
      <x:c r="K1427" s="259"/>
      <x:c r="L1427" s="268" t="str">
        <x:f>IFERROR(VLOOKUP(I1427,'Handler-Team Map'!$A$7:$C$17,2,FALSE),"")</x:f>
      </x:c>
      <x:c r="M1427" s="268" t="str">
        <x:f>IFERROR(VLOOKUP(I1427,'Handler-Team Map'!$A$7:$C$17,3,FALSE),"")</x:f>
      </x:c>
      <x:c r="N1427" s="274" t="str">
        <x:v>FT_VM_DEP600_GET200_5X</x:v>
      </x:c>
      <x:c r="O1427" s="274" t="str">
        <x:v>VIP BONUS - Deposit 600 Get 200 - 5x TO</x:v>
      </x:c>
      <x:c r="P1427" s="274" t="str">
        <x:v>DepositBonus</x:v>
      </x:c>
      <x:c r="Q1427" s="274" t="str">
        <x:v>Approved</x:v>
      </x:c>
      <x:c r="R1427" s="265" t="n">
        <x:v>200</x:v>
      </x:c>
      <x:c r="S1427" s="253" t="str">
        <x:v>Yes</x:v>
      </x:c>
      <x:c r="T1427" s="265" t="n">
        <x:v>10800</x:v>
      </x:c>
      <x:c r="U1427" s="253" t="str">
        <x:f>IF(AND(S1427="Yes",T1427=0),"Yes","No")</x:f>
        <x:v>No</x:v>
      </x:c>
      <x:c r="V1427" s="253" t="str">
        <x:v>No</x:v>
      </x:c>
      <x:c r="W1427" s="253" t="str">
        <x:v>No</x:v>
      </x:c>
      <x:c r="X1427" s="259" t="n">
        <x:v>46224.166666666664</x:v>
      </x:c>
      <x:c r="Y1427" s="265" t="n">
        <x:v>1500</x:v>
      </x:c>
      <x:c r="Z1427" s="265" t="n">
        <x:v>1500</x:v>
      </x:c>
      <x:c r="AA1427" s="253" t="str">
        <x:f>IF(V1427="No","Maturing",IF(AND(U1427="Yes",Y1427&gt;0),"Yes","No"))</x:f>
        <x:v>Maturing</x:v>
      </x:c>
      <x:c r="AB1427" s="253" t="str">
        <x:f>IF(W1427="No","Maturing",IF(AND(U1427="Yes",Z1427&gt;0),"Yes","No"))</x:f>
        <x:v>Maturing</x:v>
      </x:c>
      <x:c r="AC1427" s="265" t="n">
        <x:v>-477.6</x:v>
      </x:c>
      <x:c r="AD1427" s="265" t="n">
        <x:v>-477.6</x:v>
      </x:c>
      <x:c r="AE1427" s="271" t="str"/>
      <x:c r="AF1427" s="274" t="str">
        <x:v>Not validated - no control/holdout</x:v>
      </x:c>
      <x:c r="AG1427" s="277" t="str">
        <x:v>Recovered execution only; assignment date and unclaimed-offer denominator unavailable</x:v>
      </x:c>
    </x:row>
    <x:row r="1428">
      <x:c r="A1428" s="252" t="str">
        <x:v>35031204</x:v>
      </x:c>
      <x:c r="B1428" s="253" t="str">
        <x:v>WS1</x:v>
      </x:c>
      <x:c r="C1428" s="253" t="str">
        <x:v>MB8</x:v>
      </x:c>
      <x:c r="D1428" s="262" t="n">
        <x:v>46225.03524305556</x:v>
      </x:c>
      <x:c r="E1428" s="259" t="n">
        <x:v>46225.166666666664</x:v>
      </x:c>
      <x:c r="F1428" s="253" t="str">
        <x:v>871247</x:v>
      </x:c>
      <x:c r="G1428" s="253" t="str">
        <x:v>Jiayao66</x:v>
      </x:c>
      <x:c r="H1428" s="253" t="str">
        <x:v>Yes</x:v>
      </x:c>
      <x:c r="I1428" s="253" t="str"/>
      <x:c r="J1428" s="253" t="str"/>
      <x:c r="K1428" s="259"/>
      <x:c r="L1428" s="268" t="str">
        <x:f>IFERROR(VLOOKUP(I1428,'Handler-Team Map'!$A$7:$C$17,2,FALSE),"")</x:f>
      </x:c>
      <x:c r="M1428" s="268" t="str">
        <x:f>IFERROR(VLOOKUP(I1428,'Handler-Team Map'!$A$7:$C$17,3,FALSE),"")</x:f>
      </x:c>
      <x:c r="N1428" s="274" t="str">
        <x:v>FT_VM_DEP700_GET300_2X</x:v>
      </x:c>
      <x:c r="O1428" s="274" t="str">
        <x:v>VIP BONUS - Deposit 700 Get 300 - 2x TO</x:v>
      </x:c>
      <x:c r="P1428" s="274" t="str">
        <x:v>DepositBonus</x:v>
      </x:c>
      <x:c r="Q1428" s="274" t="str">
        <x:v>Approved</x:v>
      </x:c>
      <x:c r="R1428" s="265" t="n">
        <x:v>300</x:v>
      </x:c>
      <x:c r="S1428" s="253" t="str">
        <x:v>Yes</x:v>
      </x:c>
      <x:c r="T1428" s="265" t="n">
        <x:v>1500</x:v>
      </x:c>
      <x:c r="U1428" s="253" t="str">
        <x:f>IF(AND(S1428="Yes",T1428=0),"Yes","No")</x:f>
        <x:v>No</x:v>
      </x:c>
      <x:c r="V1428" s="253" t="str">
        <x:v>No</x:v>
      </x:c>
      <x:c r="W1428" s="253" t="str">
        <x:v>No</x:v>
      </x:c>
      <x:c r="X1428" s="259" t="n">
        <x:v>46225.166666666664</x:v>
      </x:c>
      <x:c r="Y1428" s="265" t="n">
        <x:v>700</x:v>
      </x:c>
      <x:c r="Z1428" s="265" t="n">
        <x:v>700</x:v>
      </x:c>
      <x:c r="AA1428" s="253" t="str">
        <x:f>IF(V1428="No","Maturing",IF(AND(U1428="Yes",Y1428&gt;0),"Yes","No"))</x:f>
        <x:v>Maturing</x:v>
      </x:c>
      <x:c r="AB1428" s="253" t="str">
        <x:f>IF(W1428="No","Maturing",IF(AND(U1428="Yes",Z1428&gt;0),"Yes","No"))</x:f>
        <x:v>Maturing</x:v>
      </x:c>
      <x:c r="AC1428" s="265" t="n">
        <x:v>-2401.24</x:v>
      </x:c>
      <x:c r="AD1428" s="265" t="n">
        <x:v>-2401.24</x:v>
      </x:c>
      <x:c r="AE1428" s="271" t="str"/>
      <x:c r="AF1428" s="274" t="str">
        <x:v>Not validated - no control/holdout</x:v>
      </x:c>
      <x:c r="AG1428" s="277" t="str">
        <x:v>Recovered execution only; assignment date and unclaimed-offer denominator unavailable</x:v>
      </x:c>
    </x:row>
    <x:row r="1429">
      <x:c r="A1429" s="252" t="str">
        <x:v>35031667</x:v>
      </x:c>
      <x:c r="B1429" s="253" t="str">
        <x:v>WS1</x:v>
      </x:c>
      <x:c r="C1429" s="253" t="str">
        <x:v>MB8</x:v>
      </x:c>
      <x:c r="D1429" s="262" t="n">
        <x:v>46225.06019675926</x:v>
      </x:c>
      <x:c r="E1429" s="259" t="n">
        <x:v>46225.166666666664</x:v>
      </x:c>
      <x:c r="F1429" s="253" t="str">
        <x:v>535893</x:v>
      </x:c>
      <x:c r="G1429" s="253" t="str">
        <x:v>austinng88</x:v>
      </x:c>
      <x:c r="H1429" s="253" t="str">
        <x:v>Yes</x:v>
      </x:c>
      <x:c r="I1429" s="253" t="str">
        <x:v>Serene</x:v>
      </x:c>
      <x:c r="J1429" s="253" t="str">
        <x:v>Serene</x:v>
      </x:c>
      <x:c r="K1429" s="259" t="n">
        <x:v>45859.166666666664</x:v>
      </x:c>
      <x:c r="L1429" s="268" t="str">
        <x:f>IFERROR(VLOOKUP(I1429,'Handler-Team Map'!$A$7:$C$17,2,FALSE),"")</x:f>
      </x:c>
      <x:c r="M1429" s="268" t="str">
        <x:f>IFERROR(VLOOKUP(I1429,'Handler-Team Map'!$A$7:$C$17,3,FALSE),"")</x:f>
      </x:c>
      <x:c r="N1429" s="274" t="str">
        <x:v>FT_VM_DEP150_GET50_5X</x:v>
      </x:c>
      <x:c r="O1429" s="274" t="str">
        <x:v>VIP BONUS - Deposit 150 Get 50 - 5x TO</x:v>
      </x:c>
      <x:c r="P1429" s="274" t="str">
        <x:v>DepositBonus</x:v>
      </x:c>
      <x:c r="Q1429" s="274" t="str">
        <x:v>Approved</x:v>
      </x:c>
      <x:c r="R1429" s="265" t="n">
        <x:v>50</x:v>
      </x:c>
      <x:c r="S1429" s="253" t="str">
        <x:v>Yes</x:v>
      </x:c>
      <x:c r="T1429" s="265" t="n">
        <x:v>21980</x:v>
      </x:c>
      <x:c r="U1429" s="253" t="str">
        <x:f>IF(AND(S1429="Yes",T1429=0),"Yes","No")</x:f>
        <x:v>No</x:v>
      </x:c>
      <x:c r="V1429" s="253" t="str">
        <x:v>No</x:v>
      </x:c>
      <x:c r="W1429" s="253" t="str">
        <x:v>No</x:v>
      </x:c>
      <x:c r="X1429" s="259" t="n">
        <x:v>46225.166666666664</x:v>
      </x:c>
      <x:c r="Y1429" s="265" t="n">
        <x:v>4120</x:v>
      </x:c>
      <x:c r="Z1429" s="265" t="n">
        <x:v>4120</x:v>
      </x:c>
      <x:c r="AA1429" s="253" t="str">
        <x:f>IF(V1429="No","Maturing",IF(AND(U1429="Yes",Y1429&gt;0),"Yes","No"))</x:f>
        <x:v>Maturing</x:v>
      </x:c>
      <x:c r="AB1429" s="253" t="str">
        <x:f>IF(W1429="No","Maturing",IF(AND(U1429="Yes",Z1429&gt;0),"Yes","No"))</x:f>
        <x:v>Maturing</x:v>
      </x:c>
      <x:c r="AC1429" s="265" t="n">
        <x:v>1584.48</x:v>
      </x:c>
      <x:c r="AD1429" s="265" t="n">
        <x:v>1584.48</x:v>
      </x:c>
      <x:c r="AE1429" s="271" t="str"/>
      <x:c r="AF1429" s="274" t="str">
        <x:v>Not validated - no control/holdout</x:v>
      </x:c>
      <x:c r="AG1429" s="277" t="str">
        <x:v>Recovered execution only; assignment date and unclaimed-offer denominator unavailable</x:v>
      </x:c>
    </x:row>
    <x:row r="1430">
      <x:c r="A1430" s="252" t="str">
        <x:v>35032785</x:v>
      </x:c>
      <x:c r="B1430" s="253" t="str">
        <x:v>WS1</x:v>
      </x:c>
      <x:c r="C1430" s="253" t="str">
        <x:v>MB8</x:v>
      </x:c>
      <x:c r="D1430" s="262" t="n">
        <x:v>46225.16013888889</x:v>
      </x:c>
      <x:c r="E1430" s="259" t="n">
        <x:v>46225.166666666664</x:v>
      </x:c>
      <x:c r="F1430" s="253" t="str">
        <x:v>568212</x:v>
      </x:c>
      <x:c r="G1430" s="253" t="str">
        <x:v>Vellatexas</x:v>
      </x:c>
      <x:c r="H1430" s="253" t="str">
        <x:v>Yes</x:v>
      </x:c>
      <x:c r="I1430" s="253" t="str">
        <x:v>zhen</x:v>
      </x:c>
      <x:c r="J1430" s="253" t="str">
        <x:v>zhen</x:v>
      </x:c>
      <x:c r="K1430" s="259" t="n">
        <x:v>46090.166666666664</x:v>
      </x:c>
      <x:c r="L1430" s="268" t="str">
        <x:f>IFERROR(VLOOKUP(I1430,'Handler-Team Map'!$A$7:$C$17,2,FALSE),"")</x:f>
      </x:c>
      <x:c r="M1430" s="268" t="str">
        <x:f>IFERROR(VLOOKUP(I1430,'Handler-Team Map'!$A$7:$C$17,3,FALSE),"")</x:f>
      </x:c>
      <x:c r="N1430" s="274" t="str">
        <x:v>FT_VM_DEP1000_GET900_1X</x:v>
      </x:c>
      <x:c r="O1430" s="274" t="str">
        <x:v>VIP BONUS - Deposit 1000 Get 900 - 1x TO</x:v>
      </x:c>
      <x:c r="P1430" s="274" t="str">
        <x:v>DepositBonus</x:v>
      </x:c>
      <x:c r="Q1430" s="274" t="str">
        <x:v>Approved</x:v>
      </x:c>
      <x:c r="R1430" s="265" t="n">
        <x:v>900</x:v>
      </x:c>
      <x:c r="S1430" s="253" t="str">
        <x:v>Yes</x:v>
      </x:c>
      <x:c r="T1430" s="265" t="n">
        <x:v>0</x:v>
      </x:c>
      <x:c r="U1430" s="253" t="str">
        <x:f>IF(AND(S1430="Yes",T1430=0),"Yes","No")</x:f>
        <x:v>Yes</x:v>
      </x:c>
      <x:c r="V1430" s="253" t="str">
        <x:v>No</x:v>
      </x:c>
      <x:c r="W1430" s="253" t="str">
        <x:v>No</x:v>
      </x:c>
      <x:c r="X1430" s="259" t="n">
        <x:v>46225.166666666664</x:v>
      </x:c>
      <x:c r="Y1430" s="265" t="n">
        <x:v>1530</x:v>
      </x:c>
      <x:c r="Z1430" s="265" t="n">
        <x:v>1530</x:v>
      </x:c>
      <x:c r="AA1430" s="253" t="str">
        <x:f>IF(V1430="No","Maturing",IF(AND(U1430="Yes",Y1430&gt;0),"Yes","No"))</x:f>
        <x:v>Maturing</x:v>
      </x:c>
      <x:c r="AB1430" s="253" t="str">
        <x:f>IF(W1430="No","Maturing",IF(AND(U1430="Yes",Z1430&gt;0),"Yes","No"))</x:f>
        <x:v>Maturing</x:v>
      </x:c>
      <x:c r="AC1430" s="265" t="n">
        <x:v>-10491.17</x:v>
      </x:c>
      <x:c r="AD1430" s="265" t="n">
        <x:v>-10491.17</x:v>
      </x:c>
      <x:c r="AE1430" s="271" t="str"/>
      <x:c r="AF1430" s="274" t="str">
        <x:v>Not validated - no control/holdout</x:v>
      </x:c>
      <x:c r="AG1430" s="277" t="str">
        <x:v>Recovered execution only; assignment date and unclaimed-offer denominator unavailable</x:v>
      </x:c>
    </x:row>
    <x:row r="1431">
      <x:c r="A1431" s="252" t="str">
        <x:v>35035638</x:v>
      </x:c>
      <x:c r="B1431" s="253" t="str">
        <x:v>WS1</x:v>
      </x:c>
      <x:c r="C1431" s="253" t="str">
        <x:v>MB8</x:v>
      </x:c>
      <x:c r="D1431" s="262" t="n">
        <x:v>46225.548368055555</x:v>
      </x:c>
      <x:c r="E1431" s="259" t="n">
        <x:v>46225.166666666664</x:v>
      </x:c>
      <x:c r="F1431" s="253" t="str">
        <x:v>39460</x:v>
      </x:c>
      <x:c r="G1431" s="253" t="str">
        <x:v>Mathankumar0301</x:v>
      </x:c>
      <x:c r="H1431" s="253" t="str">
        <x:v>Yes</x:v>
      </x:c>
      <x:c r="I1431" s="253" t="str">
        <x:v>Elda</x:v>
      </x:c>
      <x:c r="J1431" s="253" t="str">
        <x:v>Elda</x:v>
      </x:c>
      <x:c r="K1431" s="259" t="n">
        <x:v>45779.166666666664</x:v>
      </x:c>
      <x:c r="L1431" s="268" t="str">
        <x:f>IFERROR(VLOOKUP(I1431,'Handler-Team Map'!$A$7:$C$17,2,FALSE),"")</x:f>
      </x:c>
      <x:c r="M1431" s="268" t="str">
        <x:f>IFERROR(VLOOKUP(I1431,'Handler-Team Map'!$A$7:$C$17,3,FALSE),"")</x:f>
      </x:c>
      <x:c r="N1431" s="274" t="str">
        <x:v>FT_VM_DEP1000_GET500_5X</x:v>
      </x:c>
      <x:c r="O1431" s="274" t="str">
        <x:v>VIP BONUS - Deposit 1000 Get 500 - 5x TO</x:v>
      </x:c>
      <x:c r="P1431" s="274" t="str">
        <x:v>DepositBonus</x:v>
      </x:c>
      <x:c r="Q1431" s="274" t="str">
        <x:v>Approved</x:v>
      </x:c>
      <x:c r="R1431" s="265" t="n">
        <x:v>500</x:v>
      </x:c>
      <x:c r="S1431" s="253" t="str">
        <x:v>Yes</x:v>
      </x:c>
      <x:c r="T1431" s="265" t="n">
        <x:v>7800</x:v>
      </x:c>
      <x:c r="U1431" s="253" t="str">
        <x:f>IF(AND(S1431="Yes",T1431=0),"Yes","No")</x:f>
        <x:v>No</x:v>
      </x:c>
      <x:c r="V1431" s="253" t="str">
        <x:v>No</x:v>
      </x:c>
      <x:c r="W1431" s="253" t="str">
        <x:v>No</x:v>
      </x:c>
      <x:c r="X1431" s="259" t="n">
        <x:v>46225.166666666664</x:v>
      </x:c>
      <x:c r="Y1431" s="265" t="n">
        <x:v>1000</x:v>
      </x:c>
      <x:c r="Z1431" s="265" t="n">
        <x:v>1000</x:v>
      </x:c>
      <x:c r="AA1431" s="253" t="str">
        <x:f>IF(V1431="No","Maturing",IF(AND(U1431="Yes",Y1431&gt;0),"Yes","No"))</x:f>
        <x:v>Maturing</x:v>
      </x:c>
      <x:c r="AB1431" s="253" t="str">
        <x:f>IF(W1431="No","Maturing",IF(AND(U1431="Yes",Z1431&gt;0),"Yes","No"))</x:f>
        <x:v>Maturing</x:v>
      </x:c>
      <x:c r="AC1431" s="265" t="n">
        <x:v>3002.24</x:v>
      </x:c>
      <x:c r="AD1431" s="265" t="n">
        <x:v>3002.24</x:v>
      </x:c>
      <x:c r="AE1431" s="271" t="str"/>
      <x:c r="AF1431" s="274" t="str">
        <x:v>Not validated - no control/holdout</x:v>
      </x:c>
      <x:c r="AG1431" s="277" t="str">
        <x:v>Recovered execution only; assignment date and unclaimed-offer denominator unavailable</x:v>
      </x:c>
    </x:row>
    <x:row r="1432">
      <x:c r="A1432" s="252" t="str">
        <x:v>35037526</x:v>
      </x:c>
      <x:c r="B1432" s="253" t="str">
        <x:v>WS1</x:v>
      </x:c>
      <x:c r="C1432" s="253" t="str">
        <x:v>MB8</x:v>
      </x:c>
      <x:c r="D1432" s="262" t="n">
        <x:v>46225.72336805556</x:v>
      </x:c>
      <x:c r="E1432" s="259" t="n">
        <x:v>46225.166666666664</x:v>
      </x:c>
      <x:c r="F1432" s="253" t="str">
        <x:v>779246</x:v>
      </x:c>
      <x:c r="G1432" s="253" t="str">
        <x:v>hhhooi</x:v>
      </x:c>
      <x:c r="H1432" s="253" t="str">
        <x:v>Yes</x:v>
      </x:c>
      <x:c r="I1432" s="253" t="str">
        <x:v>Tammy</x:v>
      </x:c>
      <x:c r="J1432" s="253" t="str">
        <x:v>Tammy</x:v>
      </x:c>
      <x:c r="K1432" s="259" t="n">
        <x:v>46028.166666666664</x:v>
      </x:c>
      <x:c r="L1432" s="268" t="str">
        <x:f>IFERROR(VLOOKUP(I1432,'Handler-Team Map'!$A$7:$C$17,2,FALSE),"")</x:f>
      </x:c>
      <x:c r="M1432" s="268" t="str">
        <x:f>IFERROR(VLOOKUP(I1432,'Handler-Team Map'!$A$7:$C$17,3,FALSE),"")</x:f>
      </x:c>
      <x:c r="N1432" s="274" t="str">
        <x:v>FT_VM_DEP1000_GET700_2X</x:v>
      </x:c>
      <x:c r="O1432" s="274" t="str">
        <x:v>VIP BONUS - Deposit 1000 Get 700 - 2x TO</x:v>
      </x:c>
      <x:c r="P1432" s="274" t="str">
        <x:v>DepositBonus</x:v>
      </x:c>
      <x:c r="Q1432" s="274" t="str">
        <x:v>Approved</x:v>
      </x:c>
      <x:c r="R1432" s="265" t="n">
        <x:v>700</x:v>
      </x:c>
      <x:c r="S1432" s="253" t="str">
        <x:v>Yes</x:v>
      </x:c>
      <x:c r="T1432" s="265" t="n">
        <x:v>1000</x:v>
      </x:c>
      <x:c r="U1432" s="253" t="str">
        <x:f>IF(AND(S1432="Yes",T1432=0),"Yes","No")</x:f>
        <x:v>No</x:v>
      </x:c>
      <x:c r="V1432" s="253" t="str">
        <x:v>No</x:v>
      </x:c>
      <x:c r="W1432" s="253" t="str">
        <x:v>No</x:v>
      </x:c>
      <x:c r="X1432" s="259" t="n">
        <x:v>46225.166666666664</x:v>
      </x:c>
      <x:c r="Y1432" s="265" t="n">
        <x:v>2000</x:v>
      </x:c>
      <x:c r="Z1432" s="265" t="n">
        <x:v>2000</x:v>
      </x:c>
      <x:c r="AA1432" s="253" t="str">
        <x:f>IF(V1432="No","Maturing",IF(AND(U1432="Yes",Y1432&gt;0),"Yes","No"))</x:f>
        <x:v>Maturing</x:v>
      </x:c>
      <x:c r="AB1432" s="253" t="str">
        <x:f>IF(W1432="No","Maturing",IF(AND(U1432="Yes",Z1432&gt;0),"Yes","No"))</x:f>
        <x:v>Maturing</x:v>
      </x:c>
      <x:c r="AC1432" s="265" t="n">
        <x:v>1250.5</x:v>
      </x:c>
      <x:c r="AD1432" s="265" t="n">
        <x:v>1250.5</x:v>
      </x:c>
      <x:c r="AE1432" s="271" t="str"/>
      <x:c r="AF1432" s="274" t="str">
        <x:v>Not validated - no control/holdout</x:v>
      </x:c>
      <x:c r="AG1432" s="277" t="str">
        <x:v>Recovered execution only; assignment date and unclaimed-offer denominator unavailable</x:v>
      </x:c>
    </x:row>
    <x:row r="1433">
      <x:c r="A1433" s="252" t="str">
        <x:v>35038167</x:v>
      </x:c>
      <x:c r="B1433" s="253" t="str">
        <x:v>WS1</x:v>
      </x:c>
      <x:c r="C1433" s="253" t="str">
        <x:v>MB8</x:v>
      </x:c>
      <x:c r="D1433" s="262" t="n">
        <x:v>46225.76262731481</x:v>
      </x:c>
      <x:c r="E1433" s="259" t="n">
        <x:v>46225.166666666664</x:v>
      </x:c>
      <x:c r="F1433" s="253" t="str">
        <x:v>660411</x:v>
      </x:c>
      <x:c r="G1433" s="253" t="str">
        <x:v>babyshark888</x:v>
      </x:c>
      <x:c r="H1433" s="253" t="str">
        <x:v>Yes</x:v>
      </x:c>
      <x:c r="I1433" s="253" t="str">
        <x:v>Serene</x:v>
      </x:c>
      <x:c r="J1433" s="253" t="str">
        <x:v>Serene</x:v>
      </x:c>
      <x:c r="K1433" s="259" t="n">
        <x:v>45859.166666666664</x:v>
      </x:c>
      <x:c r="L1433" s="268" t="str">
        <x:f>IFERROR(VLOOKUP(I1433,'Handler-Team Map'!$A$7:$C$17,2,FALSE),"")</x:f>
      </x:c>
      <x:c r="M1433" s="268" t="str">
        <x:f>IFERROR(VLOOKUP(I1433,'Handler-Team Map'!$A$7:$C$17,3,FALSE),"")</x:f>
      </x:c>
      <x:c r="N1433" s="274" t="str">
        <x:v>FT_VM_DEP1000_GET500_5X</x:v>
      </x:c>
      <x:c r="O1433" s="274" t="str">
        <x:v>VIP BONUS - Deposit 1000 Get 500 - 5x TO</x:v>
      </x:c>
      <x:c r="P1433" s="274" t="str">
        <x:v>DepositBonus</x:v>
      </x:c>
      <x:c r="Q1433" s="274" t="str">
        <x:v>Approved</x:v>
      </x:c>
      <x:c r="R1433" s="265" t="n">
        <x:v>500</x:v>
      </x:c>
      <x:c r="S1433" s="253" t="str">
        <x:v>Yes</x:v>
      </x:c>
      <x:c r="T1433" s="265" t="n">
        <x:v>24960</x:v>
      </x:c>
      <x:c r="U1433" s="253" t="str">
        <x:f>IF(AND(S1433="Yes",T1433=0),"Yes","No")</x:f>
        <x:v>No</x:v>
      </x:c>
      <x:c r="V1433" s="253" t="str">
        <x:v>No</x:v>
      </x:c>
      <x:c r="W1433" s="253" t="str">
        <x:v>No</x:v>
      </x:c>
      <x:c r="X1433" s="259" t="n">
        <x:v>46225.166666666664</x:v>
      </x:c>
      <x:c r="Y1433" s="265" t="n">
        <x:v>3500</x:v>
      </x:c>
      <x:c r="Z1433" s="265" t="n">
        <x:v>3500</x:v>
      </x:c>
      <x:c r="AA1433" s="253" t="str">
        <x:f>IF(V1433="No","Maturing",IF(AND(U1433="Yes",Y1433&gt;0),"Yes","No"))</x:f>
        <x:v>Maturing</x:v>
      </x:c>
      <x:c r="AB1433" s="253" t="str">
        <x:f>IF(W1433="No","Maturing",IF(AND(U1433="Yes",Z1433&gt;0),"Yes","No"))</x:f>
        <x:v>Maturing</x:v>
      </x:c>
      <x:c r="AC1433" s="265" t="n">
        <x:v>3503.15</x:v>
      </x:c>
      <x:c r="AD1433" s="265" t="n">
        <x:v>3503.15</x:v>
      </x:c>
      <x:c r="AE1433" s="271" t="str"/>
      <x:c r="AF1433" s="274" t="str">
        <x:v>Not validated - no control/holdout</x:v>
      </x:c>
      <x:c r="AG1433" s="277" t="str">
        <x:v>Recovered execution only; assignment date and unclaimed-offer denominator unavailable</x:v>
      </x:c>
    </x:row>
    <x:row r="1434">
      <x:c r="A1434" s="252" t="str">
        <x:v>35038883</x:v>
      </x:c>
      <x:c r="B1434" s="253" t="str">
        <x:v>WS1</x:v>
      </x:c>
      <x:c r="C1434" s="253" t="str">
        <x:v>MB8</x:v>
      </x:c>
      <x:c r="D1434" s="262" t="n">
        <x:v>46225.81628472222</x:v>
      </x:c>
      <x:c r="E1434" s="259" t="n">
        <x:v>46225.166666666664</x:v>
      </x:c>
      <x:c r="F1434" s="253" t="str">
        <x:v>8822</x:v>
      </x:c>
      <x:c r="G1434" s="253" t="str">
        <x:v>bryan1234</x:v>
      </x:c>
      <x:c r="H1434" s="253" t="str">
        <x:v>Yes</x:v>
      </x:c>
      <x:c r="I1434" s="253" t="str">
        <x:v>Serene</x:v>
      </x:c>
      <x:c r="J1434" s="253" t="str">
        <x:v>Serene</x:v>
      </x:c>
      <x:c r="K1434" s="259" t="n">
        <x:v>45859.166666666664</x:v>
      </x:c>
      <x:c r="L1434" s="268" t="str">
        <x:f>IFERROR(VLOOKUP(I1434,'Handler-Team Map'!$A$7:$C$17,2,FALSE),"")</x:f>
      </x:c>
      <x:c r="M1434" s="268" t="str">
        <x:f>IFERROR(VLOOKUP(I1434,'Handler-Team Map'!$A$7:$C$17,3,FALSE),"")</x:f>
      </x:c>
      <x:c r="N1434" s="274" t="str">
        <x:v>FT_VM_DEP1000_GET500_5X</x:v>
      </x:c>
      <x:c r="O1434" s="274" t="str">
        <x:v>VIP BONUS - Deposit 1000 Get 500 - 5x TO</x:v>
      </x:c>
      <x:c r="P1434" s="274" t="str">
        <x:v>DepositBonus</x:v>
      </x:c>
      <x:c r="Q1434" s="274" t="str">
        <x:v>Approved</x:v>
      </x:c>
      <x:c r="R1434" s="265" t="n">
        <x:v>500</x:v>
      </x:c>
      <x:c r="S1434" s="253" t="str">
        <x:v>Yes</x:v>
      </x:c>
      <x:c r="T1434" s="265" t="n">
        <x:v>1200</x:v>
      </x:c>
      <x:c r="U1434" s="253" t="str">
        <x:f>IF(AND(S1434="Yes",T1434=0),"Yes","No")</x:f>
        <x:v>No</x:v>
      </x:c>
      <x:c r="V1434" s="253" t="str">
        <x:v>No</x:v>
      </x:c>
      <x:c r="W1434" s="253" t="str">
        <x:v>No</x:v>
      </x:c>
      <x:c r="X1434" s="259" t="n">
        <x:v>46225.166666666664</x:v>
      </x:c>
      <x:c r="Y1434" s="265" t="n">
        <x:v>1000</x:v>
      </x:c>
      <x:c r="Z1434" s="265" t="n">
        <x:v>1000</x:v>
      </x:c>
      <x:c r="AA1434" s="253" t="str">
        <x:f>IF(V1434="No","Maturing",IF(AND(U1434="Yes",Y1434&gt;0),"Yes","No"))</x:f>
        <x:v>Maturing</x:v>
      </x:c>
      <x:c r="AB1434" s="253" t="str">
        <x:f>IF(W1434="No","Maturing",IF(AND(U1434="Yes",Z1434&gt;0),"Yes","No"))</x:f>
        <x:v>Maturing</x:v>
      </x:c>
      <x:c r="AC1434" s="265" t="n">
        <x:v>-2599.5</x:v>
      </x:c>
      <x:c r="AD1434" s="265" t="n">
        <x:v>-2599.5</x:v>
      </x:c>
      <x:c r="AE1434" s="271" t="str"/>
      <x:c r="AF1434" s="274" t="str">
        <x:v>Not validated - no control/holdout</x:v>
      </x:c>
      <x:c r="AG1434" s="277" t="str">
        <x:v>Recovered execution only; assignment date and unclaimed-offer denominator unavailable</x:v>
      </x:c>
    </x:row>
    <x:row r="1435">
      <x:c r="A1435" s="252" t="str">
        <x:v>35038906</x:v>
      </x:c>
      <x:c r="B1435" s="253" t="str">
        <x:v>WS1</x:v>
      </x:c>
      <x:c r="C1435" s="253" t="str">
        <x:v>MB8</x:v>
      </x:c>
      <x:c r="D1435" s="262" t="n">
        <x:v>46225.81773148148</x:v>
      </x:c>
      <x:c r="E1435" s="259" t="n">
        <x:v>46225.166666666664</x:v>
      </x:c>
      <x:c r="F1435" s="253" t="str">
        <x:v>700774</x:v>
      </x:c>
      <x:c r="G1435" s="253" t="str">
        <x:v>Arifbillah</x:v>
      </x:c>
      <x:c r="H1435" s="253" t="str">
        <x:v>Yes</x:v>
      </x:c>
      <x:c r="I1435" s="253" t="str">
        <x:v>Elda</x:v>
      </x:c>
      <x:c r="J1435" s="253" t="str">
        <x:v>Elda</x:v>
      </x:c>
      <x:c r="K1435" s="259" t="n">
        <x:v>46090.166666666664</x:v>
      </x:c>
      <x:c r="L1435" s="268" t="str">
        <x:f>IFERROR(VLOOKUP(I1435,'Handler-Team Map'!$A$7:$C$17,2,FALSE),"")</x:f>
      </x:c>
      <x:c r="M1435" s="268" t="str">
        <x:f>IFERROR(VLOOKUP(I1435,'Handler-Team Map'!$A$7:$C$17,3,FALSE),"")</x:f>
      </x:c>
      <x:c r="N1435" s="274" t="str">
        <x:v>FT_VM_DEP1000_GET500_5X</x:v>
      </x:c>
      <x:c r="O1435" s="274" t="str">
        <x:v>VIP BONUS - Deposit 1000 Get 500 - 5x TO</x:v>
      </x:c>
      <x:c r="P1435" s="274" t="str">
        <x:v>DepositBonus</x:v>
      </x:c>
      <x:c r="Q1435" s="274" t="str">
        <x:v>Approved</x:v>
      </x:c>
      <x:c r="R1435" s="265" t="n">
        <x:v>500</x:v>
      </x:c>
      <x:c r="S1435" s="253" t="str">
        <x:v>Yes</x:v>
      </x:c>
      <x:c r="T1435" s="265" t="n">
        <x:v>800</x:v>
      </x:c>
      <x:c r="U1435" s="253" t="str">
        <x:f>IF(AND(S1435="Yes",T1435=0),"Yes","No")</x:f>
        <x:v>No</x:v>
      </x:c>
      <x:c r="V1435" s="253" t="str">
        <x:v>No</x:v>
      </x:c>
      <x:c r="W1435" s="253" t="str">
        <x:v>No</x:v>
      </x:c>
      <x:c r="X1435" s="259" t="n">
        <x:v>46225.166666666664</x:v>
      </x:c>
      <x:c r="Y1435" s="265" t="n">
        <x:v>1000</x:v>
      </x:c>
      <x:c r="Z1435" s="265" t="n">
        <x:v>1000</x:v>
      </x:c>
      <x:c r="AA1435" s="253" t="str">
        <x:f>IF(V1435="No","Maturing",IF(AND(U1435="Yes",Y1435&gt;0),"Yes","No"))</x:f>
        <x:v>Maturing</x:v>
      </x:c>
      <x:c r="AB1435" s="253" t="str">
        <x:f>IF(W1435="No","Maturing",IF(AND(U1435="Yes",Z1435&gt;0),"Yes","No"))</x:f>
        <x:v>Maturing</x:v>
      </x:c>
      <x:c r="AC1435" s="265" t="n">
        <x:v>-9006.65</x:v>
      </x:c>
      <x:c r="AD1435" s="265" t="n">
        <x:v>-9006.65</x:v>
      </x:c>
      <x:c r="AE1435" s="271" t="str"/>
      <x:c r="AF1435" s="274" t="str">
        <x:v>Not validated - no control/holdout</x:v>
      </x:c>
      <x:c r="AG1435" s="277" t="str">
        <x:v>Recovered execution only; assignment date and unclaimed-offer denominator unavailable</x:v>
      </x:c>
    </x:row>
    <x:row r="1436">
      <x:c r="A1436" s="252" t="str">
        <x:v>35039801</x:v>
      </x:c>
      <x:c r="B1436" s="253" t="str">
        <x:v>WS1</x:v>
      </x:c>
      <x:c r="C1436" s="253" t="str">
        <x:v>MB8</x:v>
      </x:c>
      <x:c r="D1436" s="262" t="n">
        <x:v>46225.88784722222</x:v>
      </x:c>
      <x:c r="E1436" s="259" t="n">
        <x:v>46225.166666666664</x:v>
      </x:c>
      <x:c r="F1436" s="253" t="str">
        <x:v>625089</x:v>
      </x:c>
      <x:c r="G1436" s="253" t="str">
        <x:v>hash1026</x:v>
      </x:c>
      <x:c r="H1436" s="253" t="str">
        <x:v>Yes</x:v>
      </x:c>
      <x:c r="I1436" s="253" t="str">
        <x:v>zhen</x:v>
      </x:c>
      <x:c r="J1436" s="253" t="str">
        <x:v>zhen</x:v>
      </x:c>
      <x:c r="K1436" s="259" t="n">
        <x:v>45922.166666666664</x:v>
      </x:c>
      <x:c r="L1436" s="268" t="str">
        <x:f>IFERROR(VLOOKUP(I1436,'Handler-Team Map'!$A$7:$C$17,2,FALSE),"")</x:f>
      </x:c>
      <x:c r="M1436" s="268" t="str">
        <x:f>IFERROR(VLOOKUP(I1436,'Handler-Team Map'!$A$7:$C$17,3,FALSE),"")</x:f>
      </x:c>
      <x:c r="N1436" s="274" t="str">
        <x:v>FT_VM_DEP300_GET100_5X</x:v>
      </x:c>
      <x:c r="O1436" s="274" t="str">
        <x:v>VIP BONUS - Deposit 300 Get 100 - 5x TO</x:v>
      </x:c>
      <x:c r="P1436" s="274" t="str">
        <x:v>DepositBonus</x:v>
      </x:c>
      <x:c r="Q1436" s="274" t="str">
        <x:v>Approved</x:v>
      </x:c>
      <x:c r="R1436" s="265" t="n">
        <x:v>100</x:v>
      </x:c>
      <x:c r="S1436" s="253" t="str">
        <x:v>Yes</x:v>
      </x:c>
      <x:c r="T1436" s="265" t="n">
        <x:v>7070</x:v>
      </x:c>
      <x:c r="U1436" s="253" t="str">
        <x:f>IF(AND(S1436="Yes",T1436=0),"Yes","No")</x:f>
        <x:v>No</x:v>
      </x:c>
      <x:c r="V1436" s="253" t="str">
        <x:v>No</x:v>
      </x:c>
      <x:c r="W1436" s="253" t="str">
        <x:v>No</x:v>
      </x:c>
      <x:c r="X1436" s="259" t="n">
        <x:v>46225.166666666664</x:v>
      </x:c>
      <x:c r="Y1436" s="265" t="n">
        <x:v>630</x:v>
      </x:c>
      <x:c r="Z1436" s="265" t="n">
        <x:v>630</x:v>
      </x:c>
      <x:c r="AA1436" s="253" t="str">
        <x:f>IF(V1436="No","Maturing",IF(AND(U1436="Yes",Y1436&gt;0),"Yes","No"))</x:f>
        <x:v>Maturing</x:v>
      </x:c>
      <x:c r="AB1436" s="253" t="str">
        <x:f>IF(W1436="No","Maturing",IF(AND(U1436="Yes",Z1436&gt;0),"Yes","No"))</x:f>
        <x:v>Maturing</x:v>
      </x:c>
      <x:c r="AC1436" s="265" t="n">
        <x:v>861</x:v>
      </x:c>
      <x:c r="AD1436" s="265" t="n">
        <x:v>861</x:v>
      </x:c>
      <x:c r="AE1436" s="271" t="str"/>
      <x:c r="AF1436" s="274" t="str">
        <x:v>Not validated - no control/holdout</x:v>
      </x:c>
      <x:c r="AG1436" s="277" t="str">
        <x:v>Recovered execution only; assignment date and unclaimed-offer denominator unavailable</x:v>
      </x:c>
    </x:row>
    <x:row r="1437">
      <x:c r="A1437" s="252" t="str">
        <x:v>35040075</x:v>
      </x:c>
      <x:c r="B1437" s="253" t="str">
        <x:v>WS1</x:v>
      </x:c>
      <x:c r="C1437" s="253" t="str">
        <x:v>MB8</x:v>
      </x:c>
      <x:c r="D1437" s="262" t="n">
        <x:v>46225.90783564815</x:v>
      </x:c>
      <x:c r="E1437" s="259" t="n">
        <x:v>46225.166666666664</x:v>
      </x:c>
      <x:c r="F1437" s="253" t="str">
        <x:v>279079</x:v>
      </x:c>
      <x:c r="G1437" s="253" t="str">
        <x:v>Cricket8</x:v>
      </x:c>
      <x:c r="H1437" s="253" t="str">
        <x:v>Yes</x:v>
      </x:c>
      <x:c r="I1437" s="253" t="str">
        <x:v>Claire</x:v>
      </x:c>
      <x:c r="J1437" s="253" t="str">
        <x:v>Claire</x:v>
      </x:c>
      <x:c r="K1437" s="259" t="n">
        <x:v>45659.166666666664</x:v>
      </x:c>
      <x:c r="L1437" s="268" t="str">
        <x:f>IFERROR(VLOOKUP(I1437,'Handler-Team Map'!$A$7:$C$17,2,FALSE),"")</x:f>
      </x:c>
      <x:c r="M1437" s="268" t="str">
        <x:f>IFERROR(VLOOKUP(I1437,'Handler-Team Map'!$A$7:$C$17,3,FALSE),"")</x:f>
      </x:c>
      <x:c r="N1437" s="274" t="str">
        <x:v>FT_VM_DEP700_GET300_2X</x:v>
      </x:c>
      <x:c r="O1437" s="274" t="str">
        <x:v>VIP BONUS - Deposit 700 Get 300 - 2x TO</x:v>
      </x:c>
      <x:c r="P1437" s="274" t="str">
        <x:v>DepositBonus</x:v>
      </x:c>
      <x:c r="Q1437" s="274" t="str">
        <x:v>Approved</x:v>
      </x:c>
      <x:c r="R1437" s="265" t="n">
        <x:v>300</x:v>
      </x:c>
      <x:c r="S1437" s="253" t="str">
        <x:v>Yes</x:v>
      </x:c>
      <x:c r="T1437" s="265" t="n">
        <x:v>27239</x:v>
      </x:c>
      <x:c r="U1437" s="253" t="str">
        <x:f>IF(AND(S1437="Yes",T1437=0),"Yes","No")</x:f>
        <x:v>No</x:v>
      </x:c>
      <x:c r="V1437" s="253" t="str">
        <x:v>No</x:v>
      </x:c>
      <x:c r="W1437" s="253" t="str">
        <x:v>No</x:v>
      </x:c>
      <x:c r="X1437" s="259" t="n">
        <x:v>46225.166666666664</x:v>
      </x:c>
      <x:c r="Y1437" s="265" t="n">
        <x:v>12650</x:v>
      </x:c>
      <x:c r="Z1437" s="265" t="n">
        <x:v>12650</x:v>
      </x:c>
      <x:c r="AA1437" s="253" t="str">
        <x:f>IF(V1437="No","Maturing",IF(AND(U1437="Yes",Y1437&gt;0),"Yes","No"))</x:f>
        <x:v>Maturing</x:v>
      </x:c>
      <x:c r="AB1437" s="253" t="str">
        <x:f>IF(W1437="No","Maturing",IF(AND(U1437="Yes",Z1437&gt;0),"Yes","No"))</x:f>
        <x:v>Maturing</x:v>
      </x:c>
      <x:c r="AC1437" s="265" t="n">
        <x:v>-1649.83</x:v>
      </x:c>
      <x:c r="AD1437" s="265" t="n">
        <x:v>-1649.83</x:v>
      </x:c>
      <x:c r="AE1437" s="271" t="str"/>
      <x:c r="AF1437" s="274" t="str">
        <x:v>Not validated - no control/holdout</x:v>
      </x:c>
      <x:c r="AG1437" s="277" t="str">
        <x:v>Recovered execution only; assignment date and unclaimed-offer denominator unavailable</x:v>
      </x:c>
    </x:row>
    <x:row r="1438">
      <x:c r="A1438" s="252" t="str">
        <x:v>35041038</x:v>
      </x:c>
      <x:c r="B1438" s="253" t="str">
        <x:v>WS1</x:v>
      </x:c>
      <x:c r="C1438" s="253" t="str">
        <x:v>MB8</x:v>
      </x:c>
      <x:c r="D1438" s="262" t="n">
        <x:v>46225.96239583333</x:v>
      </x:c>
      <x:c r="E1438" s="259" t="n">
        <x:v>46225.166666666664</x:v>
      </x:c>
      <x:c r="F1438" s="253" t="str">
        <x:v>587088</x:v>
      </x:c>
      <x:c r="G1438" s="253" t="str">
        <x:v>dx126</x:v>
      </x:c>
      <x:c r="H1438" s="253" t="str">
        <x:v>Yes</x:v>
      </x:c>
      <x:c r="I1438" s="253" t="str">
        <x:v>Serene</x:v>
      </x:c>
      <x:c r="J1438" s="253" t="str">
        <x:v>Serene</x:v>
      </x:c>
      <x:c r="K1438" s="259" t="n">
        <x:v>45859.166666666664</x:v>
      </x:c>
      <x:c r="L1438" s="268" t="str">
        <x:f>IFERROR(VLOOKUP(I1438,'Handler-Team Map'!$A$7:$C$17,2,FALSE),"")</x:f>
      </x:c>
      <x:c r="M1438" s="268" t="str">
        <x:f>IFERROR(VLOOKUP(I1438,'Handler-Team Map'!$A$7:$C$17,3,FALSE),"")</x:f>
      </x:c>
      <x:c r="N1438" s="274" t="str">
        <x:v>FT_VM_DEP150_GET50_5X</x:v>
      </x:c>
      <x:c r="O1438" s="274" t="str">
        <x:v>VIP BONUS - Deposit 150 Get 50 - 5x TO</x:v>
      </x:c>
      <x:c r="P1438" s="274" t="str">
        <x:v>DepositBonus</x:v>
      </x:c>
      <x:c r="Q1438" s="274" t="str">
        <x:v>Approved</x:v>
      </x:c>
      <x:c r="R1438" s="265" t="n">
        <x:v>50</x:v>
      </x:c>
      <x:c r="S1438" s="253" t="str">
        <x:v>Yes</x:v>
      </x:c>
      <x:c r="T1438" s="265" t="n">
        <x:v>16425</x:v>
      </x:c>
      <x:c r="U1438" s="253" t="str">
        <x:f>IF(AND(S1438="Yes",T1438=0),"Yes","No")</x:f>
        <x:v>No</x:v>
      </x:c>
      <x:c r="V1438" s="253" t="str">
        <x:v>No</x:v>
      </x:c>
      <x:c r="W1438" s="253" t="str">
        <x:v>No</x:v>
      </x:c>
      <x:c r="X1438" s="259" t="n">
        <x:v>46225.166666666664</x:v>
      </x:c>
      <x:c r="Y1438" s="265" t="n">
        <x:v>2238</x:v>
      </x:c>
      <x:c r="Z1438" s="265" t="n">
        <x:v>2238</x:v>
      </x:c>
      <x:c r="AA1438" s="253" t="str">
        <x:f>IF(V1438="No","Maturing",IF(AND(U1438="Yes",Y1438&gt;0),"Yes","No"))</x:f>
        <x:v>Maturing</x:v>
      </x:c>
      <x:c r="AB1438" s="253" t="str">
        <x:f>IF(W1438="No","Maturing",IF(AND(U1438="Yes",Z1438&gt;0),"Yes","No"))</x:f>
        <x:v>Maturing</x:v>
      </x:c>
      <x:c r="AC1438" s="265" t="n">
        <x:v>1537.85</x:v>
      </x:c>
      <x:c r="AD1438" s="265" t="n">
        <x:v>1537.85</x:v>
      </x:c>
      <x:c r="AE1438" s="271" t="str"/>
      <x:c r="AF1438" s="274" t="str">
        <x:v>Not validated - no control/holdout</x:v>
      </x:c>
      <x:c r="AG1438" s="277" t="str">
        <x:v>Recovered execution only; assignment date and unclaimed-offer denominator unavailable</x:v>
      </x:c>
    </x:row>
    <x:row r="1439">
      <x:c r="A1439" s="252" t="str">
        <x:v>35041050</x:v>
      </x:c>
      <x:c r="B1439" s="253" t="str">
        <x:v>WS1</x:v>
      </x:c>
      <x:c r="C1439" s="253" t="str">
        <x:v>MB8</x:v>
      </x:c>
      <x:c r="D1439" s="262" t="n">
        <x:v>46225.96282407407</x:v>
      </x:c>
      <x:c r="E1439" s="259" t="n">
        <x:v>46225.166666666664</x:v>
      </x:c>
      <x:c r="F1439" s="253" t="str">
        <x:v>444377</x:v>
      </x:c>
      <x:c r="G1439" s="253" t="str">
        <x:v>Selva030487</x:v>
      </x:c>
      <x:c r="H1439" s="253" t="str">
        <x:v>Yes</x:v>
      </x:c>
      <x:c r="I1439" s="253" t="str">
        <x:v>Sheena</x:v>
      </x:c>
      <x:c r="J1439" s="253" t="str">
        <x:v>Sheena</x:v>
      </x:c>
      <x:c r="K1439" s="259" t="n">
        <x:v>46090.166666666664</x:v>
      </x:c>
      <x:c r="L1439" s="268" t="str">
        <x:f>IFERROR(VLOOKUP(I1439,'Handler-Team Map'!$A$7:$C$17,2,FALSE),"")</x:f>
      </x:c>
      <x:c r="M1439" s="268" t="str">
        <x:f>IFERROR(VLOOKUP(I1439,'Handler-Team Map'!$A$7:$C$17,3,FALSE),"")</x:f>
      </x:c>
      <x:c r="N1439" s="274" t="str">
        <x:v>FT_VM_DEP300_GET100_5X</x:v>
      </x:c>
      <x:c r="O1439" s="274" t="str">
        <x:v>VIP BONUS - Deposit 300 Get 100 - 5x TO</x:v>
      </x:c>
      <x:c r="P1439" s="274" t="str">
        <x:v>DepositBonus</x:v>
      </x:c>
      <x:c r="Q1439" s="274" t="str">
        <x:v>Approved</x:v>
      </x:c>
      <x:c r="R1439" s="265" t="n">
        <x:v>100</x:v>
      </x:c>
      <x:c r="S1439" s="253" t="str">
        <x:v>Yes</x:v>
      </x:c>
      <x:c r="T1439" s="265" t="n">
        <x:v>23920</x:v>
      </x:c>
      <x:c r="U1439" s="253" t="str">
        <x:f>IF(AND(S1439="Yes",T1439=0),"Yes","No")</x:f>
        <x:v>No</x:v>
      </x:c>
      <x:c r="V1439" s="253" t="str">
        <x:v>No</x:v>
      </x:c>
      <x:c r="W1439" s="253" t="str">
        <x:v>No</x:v>
      </x:c>
      <x:c r="X1439" s="259" t="n">
        <x:v>46225.166666666664</x:v>
      </x:c>
      <x:c r="Y1439" s="265" t="n">
        <x:v>500</x:v>
      </x:c>
      <x:c r="Z1439" s="265" t="n">
        <x:v>500</x:v>
      </x:c>
      <x:c r="AA1439" s="253" t="str">
        <x:f>IF(V1439="No","Maturing",IF(AND(U1439="Yes",Y1439&gt;0),"Yes","No"))</x:f>
        <x:v>Maturing</x:v>
      </x:c>
      <x:c r="AB1439" s="253" t="str">
        <x:f>IF(W1439="No","Maturing",IF(AND(U1439="Yes",Z1439&gt;0),"Yes","No"))</x:f>
        <x:v>Maturing</x:v>
      </x:c>
      <x:c r="AC1439" s="265" t="n">
        <x:v>499.97</x:v>
      </x:c>
      <x:c r="AD1439" s="265" t="n">
        <x:v>499.97</x:v>
      </x:c>
      <x:c r="AE1439" s="271" t="str"/>
      <x:c r="AF1439" s="274" t="str">
        <x:v>Not validated - no control/holdout</x:v>
      </x:c>
      <x:c r="AG1439" s="277" t="str">
        <x:v>Recovered execution only; assignment date and unclaimed-offer denominator unavailable</x:v>
      </x:c>
    </x:row>
    <x:row r="1440">
      <x:c r="A1440" s="252" t="str">
        <x:v>35041477</x:v>
      </x:c>
      <x:c r="B1440" s="253" t="str">
        <x:v>WS1</x:v>
      </x:c>
      <x:c r="C1440" s="253" t="str">
        <x:v>MB8</x:v>
      </x:c>
      <x:c r="D1440" s="262" t="n">
        <x:v>46225.98884259259</x:v>
      </x:c>
      <x:c r="E1440" s="259" t="n">
        <x:v>46225.166666666664</x:v>
      </x:c>
      <x:c r="F1440" s="253" t="str">
        <x:v>113180</x:v>
      </x:c>
      <x:c r="G1440" s="253" t="str">
        <x:v>Hazel</x:v>
      </x:c>
      <x:c r="H1440" s="253" t="str">
        <x:v>Yes</x:v>
      </x:c>
      <x:c r="I1440" s="253" t="str">
        <x:v>Serene</x:v>
      </x:c>
      <x:c r="J1440" s="253" t="str">
        <x:v>Serene</x:v>
      </x:c>
      <x:c r="K1440" s="259" t="n">
        <x:v>45831.166666666664</x:v>
      </x:c>
      <x:c r="L1440" s="268" t="str">
        <x:f>IFERROR(VLOOKUP(I1440,'Handler-Team Map'!$A$7:$C$17,2,FALSE),"")</x:f>
      </x:c>
      <x:c r="M1440" s="268" t="str">
        <x:f>IFERROR(VLOOKUP(I1440,'Handler-Team Map'!$A$7:$C$17,3,FALSE),"")</x:f>
      </x:c>
      <x:c r="N1440" s="274" t="str">
        <x:v>FT_VM_DEP1000_GET500_5X</x:v>
      </x:c>
      <x:c r="O1440" s="274" t="str">
        <x:v>VIP BONUS - Deposit 1000 Get 500 - 5x TO</x:v>
      </x:c>
      <x:c r="P1440" s="274" t="str">
        <x:v>DepositBonus</x:v>
      </x:c>
      <x:c r="Q1440" s="274" t="str">
        <x:v>Approved</x:v>
      </x:c>
      <x:c r="R1440" s="265" t="n">
        <x:v>500</x:v>
      </x:c>
      <x:c r="S1440" s="253" t="str">
        <x:v>Yes</x:v>
      </x:c>
      <x:c r="T1440" s="265" t="n">
        <x:v>4210</x:v>
      </x:c>
      <x:c r="U1440" s="253" t="str">
        <x:f>IF(AND(S1440="Yes",T1440=0),"Yes","No")</x:f>
        <x:v>No</x:v>
      </x:c>
      <x:c r="V1440" s="253" t="str">
        <x:v>No</x:v>
      </x:c>
      <x:c r="W1440" s="253" t="str">
        <x:v>No</x:v>
      </x:c>
      <x:c r="X1440" s="259" t="n">
        <x:v>46225.166666666664</x:v>
      </x:c>
      <x:c r="Y1440" s="265" t="n">
        <x:v>1000</x:v>
      </x:c>
      <x:c r="Z1440" s="265" t="n">
        <x:v>1000</x:v>
      </x:c>
      <x:c r="AA1440" s="253" t="str">
        <x:f>IF(V1440="No","Maturing",IF(AND(U1440="Yes",Y1440&gt;0),"Yes","No"))</x:f>
        <x:v>Maturing</x:v>
      </x:c>
      <x:c r="AB1440" s="253" t="str">
        <x:f>IF(W1440="No","Maturing",IF(AND(U1440="Yes",Z1440&gt;0),"Yes","No"))</x:f>
        <x:v>Maturing</x:v>
      </x:c>
      <x:c r="AC1440" s="265" t="n">
        <x:v>-106.48</x:v>
      </x:c>
      <x:c r="AD1440" s="265" t="n">
        <x:v>-106.48</x:v>
      </x:c>
      <x:c r="AE1440" s="271" t="str"/>
      <x:c r="AF1440" s="274" t="str">
        <x:v>Not validated - no control/holdout</x:v>
      </x:c>
      <x:c r="AG1440" s="277" t="str">
        <x:v>Recovered execution only; assignment date and unclaimed-offer denominator unavailable</x:v>
      </x:c>
    </x:row>
    <x:row r="1441">
      <x:c r="A1441" s="252" t="str">
        <x:v>35043113</x:v>
      </x:c>
      <x:c r="B1441" s="253" t="str">
        <x:v>WS1</x:v>
      </x:c>
      <x:c r="C1441" s="253" t="str">
        <x:v>MB8</x:v>
      </x:c>
      <x:c r="D1441" s="262" t="n">
        <x:v>46226.08888888889</x:v>
      </x:c>
      <x:c r="E1441" s="259" t="n">
        <x:v>46226.166666666664</x:v>
      </x:c>
      <x:c r="F1441" s="253" t="str">
        <x:v>776402</x:v>
      </x:c>
      <x:c r="G1441" s="253" t="str">
        <x:v>SkyTar94</x:v>
      </x:c>
      <x:c r="H1441" s="253" t="str">
        <x:v>Yes</x:v>
      </x:c>
      <x:c r="I1441" s="253" t="str">
        <x:v>Kam</x:v>
      </x:c>
      <x:c r="J1441" s="253" t="str">
        <x:v>Kam</x:v>
      </x:c>
      <x:c r="K1441" s="259" t="n">
        <x:v>45817.166666666664</x:v>
      </x:c>
      <x:c r="L1441" s="268" t="str">
        <x:f>IFERROR(VLOOKUP(I1441,'Handler-Team Map'!$A$7:$C$17,2,FALSE),"")</x:f>
      </x:c>
      <x:c r="M1441" s="268" t="str">
        <x:f>IFERROR(VLOOKUP(I1441,'Handler-Team Map'!$A$7:$C$17,3,FALSE),"")</x:f>
      </x:c>
      <x:c r="N1441" s="274" t="str">
        <x:v>FT_VM_REL100PCT_X1</x:v>
      </x:c>
      <x:c r="O1441" s="274" t="str">
        <x:v>100% Reload Bonus - VIP Offer</x:v>
      </x:c>
      <x:c r="P1441" s="274" t="str">
        <x:v>DepositBonus</x:v>
      </x:c>
      <x:c r="Q1441" s="274" t="str">
        <x:v>Approved</x:v>
      </x:c>
      <x:c r="R1441" s="265" t="n">
        <x:v>300</x:v>
      </x:c>
      <x:c r="S1441" s="253" t="str">
        <x:v>Yes</x:v>
      </x:c>
      <x:c r="T1441" s="265" t="n">
        <x:v>0</x:v>
      </x:c>
      <x:c r="U1441" s="253" t="str">
        <x:f>IF(AND(S1441="Yes",T1441=0),"Yes","No")</x:f>
        <x:v>Yes</x:v>
      </x:c>
      <x:c r="V1441" s="253" t="str">
        <x:v>No</x:v>
      </x:c>
      <x:c r="W1441" s="253" t="str">
        <x:v>No</x:v>
      </x:c>
      <x:c r="X1441" s="259" t="n">
        <x:v>46226.166666666664</x:v>
      </x:c>
      <x:c r="Y1441" s="265" t="n">
        <x:v>450</x:v>
      </x:c>
      <x:c r="Z1441" s="265" t="n">
        <x:v>450</x:v>
      </x:c>
      <x:c r="AA1441" s="253" t="str">
        <x:f>IF(V1441="No","Maturing",IF(AND(U1441="Yes",Y1441&gt;0),"Yes","No"))</x:f>
        <x:v>Maturing</x:v>
      </x:c>
      <x:c r="AB1441" s="253" t="str">
        <x:f>IF(W1441="No","Maturing",IF(AND(U1441="Yes",Z1441&gt;0),"Yes","No"))</x:f>
        <x:v>Maturing</x:v>
      </x:c>
      <x:c r="AC1441" s="265" t="n">
        <x:v>450.6</x:v>
      </x:c>
      <x:c r="AD1441" s="265" t="n">
        <x:v>450.6</x:v>
      </x:c>
      <x:c r="AE1441" s="271" t="str"/>
      <x:c r="AF1441" s="274" t="str">
        <x:v>Not validated - no control/holdout</x:v>
      </x:c>
      <x:c r="AG1441" s="277" t="str">
        <x:v>Recovered execution only; assignment date and unclaimed-offer denominator unavailable</x:v>
      </x:c>
    </x:row>
    <x:row r="1442">
      <x:c r="A1442" s="252" t="str">
        <x:v>35043707</x:v>
      </x:c>
      <x:c r="B1442" s="253" t="str">
        <x:v>WS1</x:v>
      </x:c>
      <x:c r="C1442" s="253" t="str">
        <x:v>MB8</x:v>
      </x:c>
      <x:c r="D1442" s="262" t="n">
        <x:v>46226.15405092593</x:v>
      </x:c>
      <x:c r="E1442" s="259" t="n">
        <x:v>46226.166666666664</x:v>
      </x:c>
      <x:c r="F1442" s="253" t="str">
        <x:v>726288</x:v>
      </x:c>
      <x:c r="G1442" s="253" t="str">
        <x:v>TeohWayne08</x:v>
      </x:c>
      <x:c r="H1442" s="253" t="str">
        <x:v>Yes</x:v>
      </x:c>
      <x:c r="I1442" s="253" t="str"/>
      <x:c r="J1442" s="253" t="str"/>
      <x:c r="K1442" s="259"/>
      <x:c r="L1442" s="268" t="str">
        <x:f>IFERROR(VLOOKUP(I1442,'Handler-Team Map'!$A$7:$C$17,2,FALSE),"")</x:f>
      </x:c>
      <x:c r="M1442" s="268" t="str">
        <x:f>IFERROR(VLOOKUP(I1442,'Handler-Team Map'!$A$7:$C$17,3,FALSE),"")</x:f>
      </x:c>
      <x:c r="N1442" s="274" t="str">
        <x:v>FT_VM_DEP800_GET400_1X</x:v>
      </x:c>
      <x:c r="O1442" s="274" t="str">
        <x:v>VIP BONUS - Deposit 800 Get 400 - 1x TO</x:v>
      </x:c>
      <x:c r="P1442" s="274" t="str">
        <x:v>DepositBonus</x:v>
      </x:c>
      <x:c r="Q1442" s="274" t="str">
        <x:v>Approved</x:v>
      </x:c>
      <x:c r="R1442" s="265" t="n">
        <x:v>400</x:v>
      </x:c>
      <x:c r="S1442" s="253" t="str">
        <x:v>Yes</x:v>
      </x:c>
      <x:c r="T1442" s="265" t="n">
        <x:v>1000</x:v>
      </x:c>
      <x:c r="U1442" s="253" t="str">
        <x:f>IF(AND(S1442="Yes",T1442=0),"Yes","No")</x:f>
        <x:v>No</x:v>
      </x:c>
      <x:c r="V1442" s="253" t="str">
        <x:v>No</x:v>
      </x:c>
      <x:c r="W1442" s="253" t="str">
        <x:v>No</x:v>
      </x:c>
      <x:c r="X1442" s="259" t="n">
        <x:v>46226.166666666664</x:v>
      </x:c>
      <x:c r="Y1442" s="265" t="n">
        <x:v>800</x:v>
      </x:c>
      <x:c r="Z1442" s="265" t="n">
        <x:v>800</x:v>
      </x:c>
      <x:c r="AA1442" s="253" t="str">
        <x:f>IF(V1442="No","Maturing",IF(AND(U1442="Yes",Y1442&gt;0),"Yes","No"))</x:f>
        <x:v>Maturing</x:v>
      </x:c>
      <x:c r="AB1442" s="253" t="str">
        <x:f>IF(W1442="No","Maturing",IF(AND(U1442="Yes",Z1442&gt;0),"Yes","No"))</x:f>
        <x:v>Maturing</x:v>
      </x:c>
      <x:c r="AC1442" s="265" t="n">
        <x:v>-1227.05</x:v>
      </x:c>
      <x:c r="AD1442" s="265" t="n">
        <x:v>-1227.05</x:v>
      </x:c>
      <x:c r="AE1442" s="271" t="str"/>
      <x:c r="AF1442" s="274" t="str">
        <x:v>Not validated - no control/holdout</x:v>
      </x:c>
      <x:c r="AG1442" s="277" t="str">
        <x:v>Recovered execution only; assignment date and unclaimed-offer denominator unavailable</x:v>
      </x:c>
    </x:row>
    <x:row r="1443">
      <x:c r="A1443" s="252" t="str">
        <x:v>35043942</x:v>
      </x:c>
      <x:c r="B1443" s="253" t="str">
        <x:v>WS1</x:v>
      </x:c>
      <x:c r="C1443" s="253" t="str">
        <x:v>MB8</x:v>
      </x:c>
      <x:c r="D1443" s="262" t="n">
        <x:v>46226.19386574074</x:v>
      </x:c>
      <x:c r="E1443" s="259" t="n">
        <x:v>46226.166666666664</x:v>
      </x:c>
      <x:c r="F1443" s="253" t="str">
        <x:v>587646</x:v>
      </x:c>
      <x:c r="G1443" s="253" t="str">
        <x:v>arilrich</x:v>
      </x:c>
      <x:c r="H1443" s="253" t="str">
        <x:v>Yes</x:v>
      </x:c>
      <x:c r="I1443" s="253" t="str">
        <x:v>Christy</x:v>
      </x:c>
      <x:c r="J1443" s="253" t="str">
        <x:v>Christy</x:v>
      </x:c>
      <x:c r="K1443" s="259" t="n">
        <x:v>45831.166666666664</x:v>
      </x:c>
      <x:c r="L1443" s="268" t="str">
        <x:f>IFERROR(VLOOKUP(I1443,'Handler-Team Map'!$A$7:$C$17,2,FALSE),"")</x:f>
      </x:c>
      <x:c r="M1443" s="268" t="str">
        <x:f>IFERROR(VLOOKUP(I1443,'Handler-Team Map'!$A$7:$C$17,3,FALSE),"")</x:f>
      </x:c>
      <x:c r="N1443" s="274" t="str">
        <x:v>FT_VM_DEP1000_GET500_5X</x:v>
      </x:c>
      <x:c r="O1443" s="274" t="str">
        <x:v>VIP BONUS - Deposit 1000 Get 500 - 5x TO</x:v>
      </x:c>
      <x:c r="P1443" s="274" t="str">
        <x:v>DepositBonus</x:v>
      </x:c>
      <x:c r="Q1443" s="274" t="str">
        <x:v>Approved</x:v>
      </x:c>
      <x:c r="R1443" s="265" t="n">
        <x:v>500</x:v>
      </x:c>
      <x:c r="S1443" s="253" t="str">
        <x:v>Yes</x:v>
      </x:c>
      <x:c r="T1443" s="265" t="n">
        <x:v>7315</x:v>
      </x:c>
      <x:c r="U1443" s="253" t="str">
        <x:f>IF(AND(S1443="Yes",T1443=0),"Yes","No")</x:f>
        <x:v>No</x:v>
      </x:c>
      <x:c r="V1443" s="253" t="str">
        <x:v>No</x:v>
      </x:c>
      <x:c r="W1443" s="253" t="str">
        <x:v>No</x:v>
      </x:c>
      <x:c r="X1443" s="259" t="n">
        <x:v>46226.166666666664</x:v>
      </x:c>
      <x:c r="Y1443" s="265" t="n">
        <x:v>1000</x:v>
      </x:c>
      <x:c r="Z1443" s="265" t="n">
        <x:v>1000</x:v>
      </x:c>
      <x:c r="AA1443" s="253" t="str">
        <x:f>IF(V1443="No","Maturing",IF(AND(U1443="Yes",Y1443&gt;0),"Yes","No"))</x:f>
        <x:v>Maturing</x:v>
      </x:c>
      <x:c r="AB1443" s="253" t="str">
        <x:f>IF(W1443="No","Maturing",IF(AND(U1443="Yes",Z1443&gt;0),"Yes","No"))</x:f>
        <x:v>Maturing</x:v>
      </x:c>
      <x:c r="AC1443" s="265" t="n">
        <x:v>1000</x:v>
      </x:c>
      <x:c r="AD1443" s="265" t="n">
        <x:v>1000</x:v>
      </x:c>
      <x:c r="AE1443" s="271" t="str"/>
      <x:c r="AF1443" s="274" t="str">
        <x:v>Not validated - no control/holdout</x:v>
      </x:c>
      <x:c r="AG1443" s="277" t="str">
        <x:v>Recovered execution only; assignment date and unclaimed-offer denominator unavailable</x:v>
      </x:c>
    </x:row>
    <x:row r="1444">
      <x:c r="A1444" s="255" t="str">
        <x:v>35044623</x:v>
      </x:c>
      <x:c r="B1444" s="256" t="str">
        <x:v>WS1</x:v>
      </x:c>
      <x:c r="C1444" s="256" t="str">
        <x:v>MB8</x:v>
      </x:c>
      <x:c r="D1444" s="263" t="n">
        <x:v>46226.31390046296</x:v>
      </x:c>
      <x:c r="E1444" s="260" t="n">
        <x:v>46226.166666666664</x:v>
      </x:c>
      <x:c r="F1444" s="256" t="str">
        <x:v>772894</x:v>
      </x:c>
      <x:c r="G1444" s="256" t="str">
        <x:v>anuar531</x:v>
      </x:c>
      <x:c r="H1444" s="256" t="str">
        <x:v>Yes</x:v>
      </x:c>
      <x:c r="I1444" s="256" t="str">
        <x:v>Claire</x:v>
      </x:c>
      <x:c r="J1444" s="256" t="str">
        <x:v>Claire</x:v>
      </x:c>
      <x:c r="K1444" s="260" t="n">
        <x:v>45659.166666666664</x:v>
      </x:c>
      <x:c r="L1444" s="269" t="str">
        <x:f>IFERROR(VLOOKUP(I1444,'Handler-Team Map'!$A$7:$C$17,2,FALSE),"")</x:f>
      </x:c>
      <x:c r="M1444" s="269" t="str">
        <x:f>IFERROR(VLOOKUP(I1444,'Handler-Team Map'!$A$7:$C$17,3,FALSE),"")</x:f>
      </x:c>
      <x:c r="N1444" s="275" t="str">
        <x:v>FT_VM_DEP1000_GET500_5X</x:v>
      </x:c>
      <x:c r="O1444" s="275" t="str">
        <x:v>VIP BONUS - Deposit 1000 Get 500 - 5x TO</x:v>
      </x:c>
      <x:c r="P1444" s="275" t="str">
        <x:v>DepositBonus</x:v>
      </x:c>
      <x:c r="Q1444" s="275" t="str">
        <x:v>Approved</x:v>
      </x:c>
      <x:c r="R1444" s="266" t="n">
        <x:v>500</x:v>
      </x:c>
      <x:c r="S1444" s="256" t="str">
        <x:v>Yes</x:v>
      </x:c>
      <x:c r="T1444" s="266" t="n">
        <x:v>57464</x:v>
      </x:c>
      <x:c r="U1444" s="256" t="str">
        <x:f>IF(AND(S1444="Yes",T1444=0),"Yes","No")</x:f>
        <x:v>No</x:v>
      </x:c>
      <x:c r="V1444" s="256" t="str">
        <x:v>No</x:v>
      </x:c>
      <x:c r="W1444" s="256" t="str">
        <x:v>No</x:v>
      </x:c>
      <x:c r="X1444" s="260" t="n">
        <x:v>46226.166666666664</x:v>
      </x:c>
      <x:c r="Y1444" s="266" t="n">
        <x:v>1000</x:v>
      </x:c>
      <x:c r="Z1444" s="266" t="n">
        <x:v>1000</x:v>
      </x:c>
      <x:c r="AA1444" s="256" t="str">
        <x:f>IF(V1444="No","Maturing",IF(AND(U1444="Yes",Y1444&gt;0),"Yes","No"))</x:f>
        <x:v>Maturing</x:v>
      </x:c>
      <x:c r="AB1444" s="256" t="str">
        <x:f>IF(W1444="No","Maturing",IF(AND(U1444="Yes",Z1444&gt;0),"Yes","No"))</x:f>
        <x:v>Maturing</x:v>
      </x:c>
      <x:c r="AC1444" s="266" t="n">
        <x:v>-752.35</x:v>
      </x:c>
      <x:c r="AD1444" s="266" t="n">
        <x:v>-752.35</x:v>
      </x:c>
      <x:c r="AE1444" s="272" t="str"/>
      <x:c r="AF1444" s="275" t="str">
        <x:v>Not validated - no control/holdout</x:v>
      </x:c>
      <x:c r="AG1444" s="278" t="str">
        <x:v>Recovered execution only; assignment date and unclaimed-offer denominator unavailable</x:v>
      </x:c>
    </x:row>
  </x:sheetData>
  <x:mergeCells>
    <x:mergeCell ref="A1:AG2"/>
    <x:mergeCell ref="A3:AG3"/>
  </x:mergeCells>
  <x:conditionalFormatting sqref="H6:H1444">
    <x:cfRule type="containsText" dxfId="9" priority="1" operator="containsText" text="Yes"/>
    <x:cfRule type="containsText" dxfId="10" priority="2" operator="containsText" text="Maturing"/>
  </x:conditionalFormatting>
  <x:conditionalFormatting sqref="U6:W1444">
    <x:cfRule type="containsText" dxfId="11" priority="3" operator="containsText" text="Yes"/>
    <x:cfRule type="containsText" dxfId="12" priority="4" operator="containsText" text="Maturing"/>
  </x:conditionalFormatting>
  <x:conditionalFormatting sqref="AA6:AB1444">
    <x:cfRule type="containsText" dxfId="13" priority="5" operator="containsText" text="Yes"/>
    <x:cfRule type="containsText" dxfId="14" priority="6" operator="containsText" text="Maturing"/>
  </x:conditionalFormatting>
  <x:pageMargins left="0.7" right="0.7" top="0.75" bottom="0.75" header="0.3" footer="0.3"/>
  <x:tableParts count="1">
    <x:tablePart xmlns:r="http://schemas.openxmlformats.org/officeDocument/2006/relationships" r:id="R09b65af406c94a9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31" hidden="0" customWidth="1"/>
    <x:col min="3" max="3" width="43" hidden="0" customWidth="1"/>
    <x:col min="4" max="4" width="26" hidden="0" customWidth="1"/>
    <x:col min="5" max="5" width="14" hidden="0" customWidth="1"/>
    <x:col min="6" max="6" width="16" hidden="0" customWidth="1"/>
    <x:col min="7" max="7" width="34" hidden="0" customWidth="1"/>
    <x:col min="8" max="8" width="34" hidden="0" customWidth="1"/>
  </x:cols>
  <x:sheetData>
    <x:row r="1">
      <x:c r="A1" s="218" t="str">
        <x:v>Quality Gate - readiness checks before management use</x:v>
      </x:c>
      <x:c r="B1" s="218"/>
      <x:c r="C1" s="218"/>
      <x:c r="D1" s="218"/>
      <x:c r="E1" s="218"/>
      <x:c r="F1" s="218"/>
      <x:c r="G1" s="218"/>
      <x:c r="H1" s="218"/>
    </x:row>
    <x:row r="2">
      <x:c r="A2" s="218"/>
      <x:c r="B2" s="218"/>
      <x:c r="C2" s="218"/>
      <x:c r="D2" s="218"/>
      <x:c r="E2" s="218"/>
      <x:c r="F2" s="218"/>
      <x:c r="G2" s="218"/>
      <x:c r="H2" s="218"/>
    </x:row>
    <x:row r="3">
      <x:c r="A3" s="134"/>
      <x:c r="B3" s="134"/>
      <x:c r="C3" s="134"/>
      <x:c r="D3" s="134"/>
      <x:c r="E3" s="134"/>
      <x:c r="F3" s="134"/>
      <x:c r="G3" s="134"/>
      <x:c r="H3" s="134"/>
    </x:row>
    <x:row r="4">
      <x:c r="A4" s="5" t="str">
        <x:v>Approval rule: use this tracker for management conclusions only after critical data coverage and ownership gaps are closed.</x:v>
      </x:c>
      <x:c r="B4" s="5"/>
      <x:c r="C4" s="5"/>
      <x:c r="D4" s="5"/>
      <x:c r="E4" s="5"/>
      <x:c r="F4" s="5"/>
      <x:c r="G4" s="5"/>
      <x:c r="H4" s="5"/>
    </x:row>
    <x:row r="5">
      <x:c r="A5" s="134"/>
      <x:c r="B5" s="134"/>
      <x:c r="C5" s="134"/>
      <x:c r="D5" s="134"/>
      <x:c r="E5" s="134"/>
      <x:c r="F5" s="134"/>
      <x:c r="G5" s="134"/>
      <x:c r="H5" s="134"/>
    </x:row>
    <x:row r="6">
      <x:c r="A6" s="133" t="str">
        <x:v>Check</x:v>
      </x:c>
      <x:c r="B6" s="133" t="str">
        <x:v>Status</x:v>
      </x:c>
      <x:c r="C6" s="133" t="str">
        <x:v>Result</x:v>
      </x:c>
      <x:c r="D6" s="133" t="str">
        <x:v>Acceptance rule</x:v>
      </x:c>
      <x:c r="E6" s="133" t="str">
        <x:v>Owner</x:v>
      </x:c>
      <x:c r="F6" s="133" t="str">
        <x:v>Required action</x:v>
      </x:c>
      <x:c r="G6" s="134"/>
      <x:c r="H6" s="134"/>
    </x:row>
    <x:row r="7">
      <x:c r="A7" s="288" t="str">
        <x:v>Scope filter</x:v>
      </x:c>
      <x:c r="B7" s="273" t="str">
        <x:v>PASS</x:v>
      </x:c>
      <x:c r="C7" s="273" t="str">
        <x:v>WS1 / MYR / 2026-01-01 to 2026-07-23</x:v>
      </x:c>
      <x:c r="D7" s="273" t="str">
        <x:v>Correct site, currency and period</x:v>
      </x:c>
      <x:c r="E7" s="273" t="str">
        <x:v>Promotions</x:v>
      </x:c>
      <x:c r="F7" s="276" t="str">
        <x:v>None</x:v>
      </x:c>
      <x:c r="G7" s="134"/>
      <x:c r="H7" s="134"/>
    </x:row>
    <x:row r="8">
      <x:c r="A8" s="289" t="str">
        <x:v>Assignment-log coverage</x:v>
      </x:c>
      <x:c r="B8" s="274" t="str">
        <x:v>BLOCKED</x:v>
      </x:c>
      <x:c r="C8" s="274" t="str">
        <x:v>Assignment records stop 2026-03-24</x:v>
      </x:c>
      <x:c r="D8" s="274" t="str">
        <x:v>Original assignment dates and all offered members through 2026-07-23</x:v>
      </x:c>
      <x:c r="E8" s="274" t="str">
        <x:v>Campaign source owners</x:v>
      </x:c>
      <x:c r="F8" s="277" t="str">
        <x:v>Supply April-July assignment records to recover the conversion denominator</x:v>
      </x:c>
      <x:c r="G8" s="134"/>
      <x:c r="H8" s="134"/>
    </x:row>
    <x:row r="9">
      <x:c r="A9" s="289" t="str">
        <x:v>Execution recovery</x:v>
      </x:c>
      <x:c r="B9" s="274" t="str">
        <x:v>PASS</x:v>
      </x:c>
      <x:c r="C9" s="274" t="str">
        <x:v>1439 executions / 592 members / MYR 657328.00</x:v>
      </x:c>
      <x:c r="D9" s="274" t="str">
        <x:v>Exact approved Bonus Menu code and valid bonus status</x:v>
      </x:c>
      <x:c r="E9" s="274" t="str">
        <x:v>Data / Promotions</x:v>
      </x:c>
      <x:c r="F9" s="277" t="str">
        <x:v>Use Recovered Executions for execution and cost only</x:v>
      </x:c>
      <x:c r="G9" s="134"/>
      <x:c r="H9" s="134"/>
    </x:row>
    <x:row r="10">
      <x:c r="A10" s="289" t="str">
        <x:v>Offer-code mapping</x:v>
      </x:c>
      <x:c r="B10" s="274" t="str">
        <x:v>PASS</x:v>
      </x:c>
      <x:c r="C10" s="274" t="str">
        <x:v>179 assignment offers mapped; 1,439 recovered executions exact-matched</x:v>
      </x:c>
      <x:c r="D10" s="274" t="str">
        <x:v>100% exact match to approved bonus menu</x:v>
      </x:c>
      <x:c r="E10" s="274" t="str">
        <x:v>Promotions</x:v>
      </x:c>
      <x:c r="F10" s="277" t="str">
        <x:v>None</x:v>
      </x:c>
      <x:c r="G10" s="134"/>
      <x:c r="H10" s="134"/>
    </x:row>
    <x:row r="11">
      <x:c r="A11" s="289" t="str">
        <x:v>Member match</x:v>
      </x:c>
      <x:c r="B11" s="274" t="str">
        <x:v>WARNING</x:v>
      </x:c>
      <x:c r="C11" s="274" t="str">
        <x:v>Assignments 178/179; recovered executions 1439/1439</x:v>
      </x:c>
      <x:c r="D11" s="274" t="str">
        <x:v>100% member match</x:v>
      </x:c>
      <x:c r="E11" s="274" t="str">
        <x:v>Data / Promotions</x:v>
      </x:c>
      <x:c r="F11" s="277" t="str">
        <x:v>Investigate assignment member 650454 / yuyuni</x:v>
      </x:c>
      <x:c r="G11" s="134"/>
      <x:c r="H11" s="134"/>
    </x:row>
    <x:row r="12">
      <x:c r="A12" s="289" t="str">
        <x:v>Handler snapshot coverage</x:v>
      </x:c>
      <x:c r="B12" s="274" t="str">
        <x:v>WARNING</x:v>
      </x:c>
      <x:c r="C12" s="274" t="str">
        <x:v>1120 of 1439 executions have a 2026-05-04 handler snapshot</x:v>
      </x:c>
      <x:c r="D12" s="274" t="str">
        <x:v>Historical handler at execution time</x:v>
      </x:c>
      <x:c r="E12" s="274" t="str">
        <x:v>Campaign source owners</x:v>
      </x:c>
      <x:c r="F12" s="277" t="str">
        <x:v>Do not treat snapshot handler as historical ownership</x:v>
      </x:c>
      <x:c r="G12" s="134"/>
      <x:c r="H12" s="134"/>
    </x:row>
    <x:row r="13">
      <x:c r="A13" s="289" t="str">
        <x:v>TL and team mapping</x:v>
      </x:c>
      <x:c r="B13" s="274" t="str">
        <x:v>PENDING</x:v>
      </x:c>
      <x:c r="C13" s="274" t="str">
        <x:v>0 of 11 handlers mapped</x:v>
      </x:c>
      <x:c r="D13" s="274" t="str">
        <x:v>Every handler has confirmed team and TL</x:v>
      </x:c>
      <x:c r="E13" s="274" t="str">
        <x:v>VM / TSM / AM TLs</x:v>
      </x:c>
      <x:c r="F13" s="277" t="str">
        <x:v>Confirm mappings with Joe/Syham, Szee Szee and Kevin</x:v>
      </x:c>
      <x:c r="G13" s="134"/>
      <x:c r="H13" s="134"/>
    </x:row>
    <x:row r="14">
      <x:c r="A14" s="289" t="str">
        <x:v>Reactivation interpretation</x:v>
      </x:c>
      <x:c r="B14" s="274" t="str">
        <x:v>WARNING</x:v>
      </x:c>
      <x:c r="C14" s="274" t="str">
        <x:v>Jan-Mar anchored on assignment; Apr-Jul anchored on execution</x:v>
      </x:c>
      <x:c r="D14" s="274" t="str">
        <x:v>Prior depositor; zero deposits in prior 30d</x:v>
      </x:c>
      <x:c r="E14" s="274" t="str">
        <x:v>Promotions / Analytics</x:v>
      </x:c>
      <x:c r="F14" s="277" t="str">
        <x:v>Do not compare the two periods as one conversion rate</x:v>
      </x:c>
      <x:c r="G14" s="134"/>
      <x:c r="H14" s="134"/>
    </x:row>
    <x:row r="15">
      <x:c r="A15" s="289" t="str">
        <x:v>Outcome-window maturity</x:v>
      </x:c>
      <x:c r="B15" s="274" t="str">
        <x:v>WARNING</x:v>
      </x:c>
      <x:c r="C15" s="274" t="str">
        <x:v>July 7d and 14d windows are still maturing</x:v>
      </x:c>
      <x:c r="D15" s="274" t="str">
        <x:v>Only completed windows enter recovered outcome totals</x:v>
      </x:c>
      <x:c r="E15" s="274" t="str">
        <x:v>Promotions / Analytics</x:v>
      </x:c>
      <x:c r="F15" s="277" t="str">
        <x:v>Refresh after the observation windows close</x:v>
      </x:c>
      <x:c r="G15" s="134"/>
      <x:c r="H15" s="134"/>
    </x:row>
    <x:row r="16">
      <x:c r="A16" s="289" t="str">
        <x:v>NGR attribution</x:v>
      </x:c>
      <x:c r="B16" s="274" t="str">
        <x:v>NOT VALIDATED</x:v>
      </x:c>
      <x:c r="C16" s="274" t="str">
        <x:v>Post-offer NGR only</x:v>
      </x:c>
      <x:c r="D16" s="274" t="str">
        <x:v>Control or holdout attribution approved</x:v>
      </x:c>
      <x:c r="E16" s="274" t="str">
        <x:v>Analytics</x:v>
      </x:c>
      <x:c r="F16" s="277" t="str">
        <x:v>Do not label observed NGR as attributed NGR</x:v>
      </x:c>
      <x:c r="G16" s="134"/>
      <x:c r="H16" s="134"/>
    </x:row>
    <x:row r="17">
      <x:c r="A17" s="290" t="str">
        <x:v>Management approval</x:v>
      </x:c>
      <x:c r="B17" s="275" t="str">
        <x:v>PARTIAL USE</x:v>
      </x:c>
      <x:c r="C17" s="275" t="str">
        <x:v>Execution counts and cost are usable; offer conversion and attributed ROI are not</x:v>
      </x:c>
      <x:c r="D17" s="275" t="str">
        <x:v>Use only metrics supported by their source</x:v>
      </x:c>
      <x:c r="E17" s="275" t="str">
        <x:v>Approver</x:v>
      </x:c>
      <x:c r="F17" s="278" t="str">
        <x:v>Document the approved use and the remaining assignment-source gap</x:v>
      </x:c>
      <x:c r="G17" s="134"/>
      <x:c r="H17" s="134"/>
    </x:row>
    <x:row r="18">
      <x:c r="A18" s="134"/>
      <x:c r="B18" s="134"/>
      <x:c r="C18" s="134"/>
      <x:c r="D18" s="134"/>
      <x:c r="E18" s="134"/>
      <x:c r="F18" s="134"/>
      <x:c r="G18" s="134"/>
      <x:c r="H18" s="134"/>
    </x:row>
    <x:row r="19">
      <x:c r="A19" s="134"/>
      <x:c r="B19" s="134"/>
      <x:c r="C19" s="134"/>
      <x:c r="D19" s="134"/>
      <x:c r="E19" s="134"/>
      <x:c r="F19" s="134"/>
      <x:c r="G19" s="134"/>
      <x:c r="H19" s="134"/>
    </x:row>
    <x:row r="20">
      <x:c r="A20" s="130" t="str">
        <x:v>Follow-up Actions - plain action log for unresolved items</x:v>
      </x:c>
      <x:c r="B20" s="130"/>
      <x:c r="C20" s="130"/>
      <x:c r="D20" s="130"/>
      <x:c r="E20" s="130"/>
      <x:c r="F20" s="130"/>
      <x:c r="G20" s="130"/>
      <x:c r="H20" s="130"/>
    </x:row>
    <x:row r="21">
      <x:c r="A21" s="133" t="str">
        <x:v>Action ID</x:v>
      </x:c>
      <x:c r="B21" s="133" t="str">
        <x:v>Issue / gap</x:v>
      </x:c>
      <x:c r="C21" s="133" t="str">
        <x:v>Action required</x:v>
      </x:c>
      <x:c r="D21" s="133" t="str">
        <x:v>Owner</x:v>
      </x:c>
      <x:c r="E21" s="133" t="str">
        <x:v>Due date</x:v>
      </x:c>
      <x:c r="F21" s="133" t="str">
        <x:v>Status</x:v>
      </x:c>
      <x:c r="G21" s="133" t="str">
        <x:v>Evidence / link</x:v>
      </x:c>
      <x:c r="H21" s="133" t="str">
        <x:v>Closure note</x:v>
      </x:c>
    </x:row>
    <x:row r="22">
      <x:c r="A22" s="310" t="n">
        <x:v>1</x:v>
      </x:c>
      <x:c r="B22" s="311" t="str">
        <x:v>April-July assignment records missing</x:v>
      </x:c>
      <x:c r="C22" s="311" t="str">
        <x:v>Request original assignment dates and all offered members, including non-claimers</x:v>
      </x:c>
      <x:c r="D22" s="311" t="str">
        <x:v>Campaign source owners</x:v>
      </x:c>
      <x:c r="E22" s="319" t="str"/>
      <x:c r="F22" s="311" t="str">
        <x:v>Open</x:v>
      </x:c>
      <x:c r="G22" s="311" t="str"/>
      <x:c r="H22" s="312" t="str"/>
    </x:row>
    <x:row r="23">
      <x:c r="A23" s="313" t="n">
        <x:v>2</x:v>
      </x:c>
      <x:c r="B23" s="314" t="str">
        <x:v>Handler-to-team mapping missing</x:v>
      </x:c>
      <x:c r="C23" s="314" t="str">
        <x:v>Confirm team and TL for every handler</x:v>
      </x:c>
      <x:c r="D23" s="314" t="str">
        <x:v>Joe/Syham, Szee Szee, Kevin</x:v>
      </x:c>
      <x:c r="E23" s="320" t="str"/>
      <x:c r="F23" s="314" t="str">
        <x:v>Open</x:v>
      </x:c>
      <x:c r="G23" s="314" t="str"/>
      <x:c r="H23" s="315" t="str"/>
    </x:row>
    <x:row r="24">
      <x:c r="A24" s="313" t="n">
        <x:v>3</x:v>
      </x:c>
      <x:c r="B24" s="314" t="str">
        <x:v>One member not matched</x:v>
      </x:c>
      <x:c r="C24" s="314" t="str">
        <x:v>Validate member 650454 / yuyuni and correct ID if needed</x:v>
      </x:c>
      <x:c r="D24" s="314" t="str">
        <x:v>Data / Promotions</x:v>
      </x:c>
      <x:c r="E24" s="320" t="str"/>
      <x:c r="F24" s="314" t="str">
        <x:v>Open</x:v>
      </x:c>
      <x:c r="G24" s="314" t="str"/>
      <x:c r="H24" s="315" t="str"/>
    </x:row>
    <x:row r="25">
      <x:c r="A25" s="313" t="n">
        <x:v>4</x:v>
      </x:c>
      <x:c r="B25" s="314" t="str">
        <x:v>NGR attribution not validated</x:v>
      </x:c>
      <x:c r="C25" s="314" t="str">
        <x:v>Agree holdout/control methodology before using attributed NGR</x:v>
      </x:c>
      <x:c r="D25" s="314" t="str">
        <x:v>Analytics</x:v>
      </x:c>
      <x:c r="E25" s="320" t="str"/>
      <x:c r="F25" s="314" t="str">
        <x:v>Open</x:v>
      </x:c>
      <x:c r="G25" s="314" t="str"/>
      <x:c r="H25" s="315" t="str"/>
    </x:row>
    <x:row r="26">
      <x:c r="A26" s="313" t="str"/>
      <x:c r="B26" s="314" t="str"/>
      <x:c r="C26" s="314" t="str"/>
      <x:c r="D26" s="314" t="str"/>
      <x:c r="E26" s="320" t="str"/>
      <x:c r="F26" s="314" t="str"/>
      <x:c r="G26" s="314" t="str"/>
      <x:c r="H26" s="315" t="str"/>
    </x:row>
    <x:row r="27">
      <x:c r="A27" s="313" t="str"/>
      <x:c r="B27" s="314" t="str"/>
      <x:c r="C27" s="314" t="str"/>
      <x:c r="D27" s="314" t="str"/>
      <x:c r="E27" s="320" t="str"/>
      <x:c r="F27" s="314" t="str"/>
      <x:c r="G27" s="314" t="str"/>
      <x:c r="H27" s="315" t="str"/>
    </x:row>
    <x:row r="28">
      <x:c r="A28" s="313" t="str"/>
      <x:c r="B28" s="314" t="str"/>
      <x:c r="C28" s="314" t="str"/>
      <x:c r="D28" s="314" t="str"/>
      <x:c r="E28" s="320" t="str"/>
      <x:c r="F28" s="314" t="str"/>
      <x:c r="G28" s="314" t="str"/>
      <x:c r="H28" s="315" t="str"/>
    </x:row>
    <x:row r="29">
      <x:c r="A29" s="313" t="str"/>
      <x:c r="B29" s="314" t="str"/>
      <x:c r="C29" s="314" t="str"/>
      <x:c r="D29" s="314" t="str"/>
      <x:c r="E29" s="320" t="str"/>
      <x:c r="F29" s="314" t="str"/>
      <x:c r="G29" s="314" t="str"/>
      <x:c r="H29" s="315" t="str"/>
    </x:row>
    <x:row r="30">
      <x:c r="A30" s="313" t="str"/>
      <x:c r="B30" s="314" t="str"/>
      <x:c r="C30" s="314" t="str"/>
      <x:c r="D30" s="314" t="str"/>
      <x:c r="E30" s="320" t="str"/>
      <x:c r="F30" s="314" t="str"/>
      <x:c r="G30" s="314" t="str"/>
      <x:c r="H30" s="315" t="str"/>
    </x:row>
    <x:row r="31">
      <x:c r="A31" s="313" t="str"/>
      <x:c r="B31" s="314" t="str"/>
      <x:c r="C31" s="314" t="str"/>
      <x:c r="D31" s="314" t="str"/>
      <x:c r="E31" s="320" t="str"/>
      <x:c r="F31" s="314" t="str"/>
      <x:c r="G31" s="314" t="str"/>
      <x:c r="H31" s="315" t="str"/>
    </x:row>
    <x:row r="32">
      <x:c r="A32" s="313" t="str"/>
      <x:c r="B32" s="314" t="str"/>
      <x:c r="C32" s="314" t="str"/>
      <x:c r="D32" s="314" t="str"/>
      <x:c r="E32" s="320" t="str"/>
      <x:c r="F32" s="314" t="str"/>
      <x:c r="G32" s="314" t="str"/>
      <x:c r="H32" s="315" t="str"/>
    </x:row>
    <x:row r="33">
      <x:c r="A33" s="313" t="str"/>
      <x:c r="B33" s="314" t="str"/>
      <x:c r="C33" s="314" t="str"/>
      <x:c r="D33" s="314" t="str"/>
      <x:c r="E33" s="320" t="str"/>
      <x:c r="F33" s="314" t="str"/>
      <x:c r="G33" s="314" t="str"/>
      <x:c r="H33" s="315" t="str"/>
    </x:row>
    <x:row r="34">
      <x:c r="A34" s="313" t="str"/>
      <x:c r="B34" s="314" t="str"/>
      <x:c r="C34" s="314" t="str"/>
      <x:c r="D34" s="314" t="str"/>
      <x:c r="E34" s="320" t="str"/>
      <x:c r="F34" s="314" t="str"/>
      <x:c r="G34" s="314" t="str"/>
      <x:c r="H34" s="315" t="str"/>
    </x:row>
    <x:row r="35">
      <x:c r="A35" s="316" t="str"/>
      <x:c r="B35" s="317" t="str"/>
      <x:c r="C35" s="317" t="str"/>
      <x:c r="D35" s="317" t="str"/>
      <x:c r="E35" s="321" t="str"/>
      <x:c r="F35" s="317" t="str"/>
      <x:c r="G35" s="317" t="str"/>
      <x:c r="H35" s="318" t="str"/>
    </x:row>
  </x:sheetData>
  <x:mergeCells>
    <x:mergeCell ref="A1:H2"/>
    <x:mergeCell ref="A4:H4"/>
    <x:mergeCell ref="A20:H20"/>
  </x:mergeCells>
  <x:conditionalFormatting sqref="B7:B17">
    <x:cfRule type="containsText" dxfId="15" priority="1" operator="containsText" text="PASS"/>
    <x:cfRule type="containsText" dxfId="16" priority="2" operator="containsText" text="WARNING"/>
    <x:cfRule type="containsText" dxfId="17" priority="3" operator="containsText" text="BLOCKED"/>
    <x:cfRule type="containsText" dxfId="18" priority="4" operator="containsText" text="PENDING"/>
    <x:cfRule type="containsText" dxfId="19" priority="5" operator="containsText" text="NOT VALIDATED"/>
    <x:cfRule type="containsText" dxfId="20" priority="6" operator="containsText" text="WAIT"/>
    <x:cfRule type="containsText" dxfId="21" priority="7" operator="containsText" text="PARTIAL USE"/>
  </x:conditionalFormatting>
  <x:conditionalFormatting sqref="F22:F35">
    <x:cfRule type="containsText" dxfId="22" priority="8" operator="containsText" text="Closed"/>
  </x:conditionalFormatting>
  <x:dataValidations count="1">
    <x:dataValidation type="list" sqref="F22:F35">
      <x:formula1>"Open,In progress,Closed,Accepted risk"</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15" hidden="0" customWidth="1"/>
    <x:col min="4" max="4" width="18" hidden="0" customWidth="1"/>
    <x:col min="5" max="5" width="14" hidden="0" customWidth="1"/>
    <x:col min="6" max="6" width="42" hidden="0" customWidth="1"/>
  </x:cols>
  <x:sheetData>
    <x:row r="1">
      <x:c r="A1" s="3" t="str">
        <x:v>Source Assignments - unedited WS1 rows received from the campaign sheet</x:v>
      </x:c>
      <x:c r="B1" s="3"/>
      <x:c r="C1" s="3"/>
      <x:c r="D1" s="3"/>
      <x:c r="E1" s="3"/>
      <x:c r="F1" s="3"/>
    </x:row>
    <x:row r="2">
      <x:c r="A2" s="3"/>
      <x:c r="B2" s="3"/>
      <x:c r="C2" s="3"/>
      <x:c r="D2" s="3"/>
      <x:c r="E2" s="3"/>
      <x:c r="F2" s="3"/>
    </x:row>
    <x:row r="4">
      <x:c r="A4" s="133" t="str">
        <x:v>Site</x:v>
      </x:c>
      <x:c r="B4" s="133" t="str">
        <x:v>Username</x:v>
      </x:c>
      <x:c r="C4" s="133" t="str">
        <x:v>Assign Date</x:v>
      </x:c>
      <x:c r="D4" s="133" t="str">
        <x:v>Handler Name</x:v>
      </x:c>
      <x:c r="E4" s="133" t="str">
        <x:v>Member ID</x:v>
      </x:c>
      <x:c r="F4" s="133" t="str">
        <x:v>Manual Offer (This Week)</x:v>
      </x:c>
    </x:row>
    <x:row r="5">
      <x:c r="A5" s="249" t="str">
        <x:v>WS1</x:v>
      </x:c>
      <x:c r="B5" s="250" t="str">
        <x:v>nayiemansor1991</x:v>
      </x:c>
      <x:c r="C5" s="258" t="n">
        <x:v>46028.166666666664</x:v>
      </x:c>
      <x:c r="D5" s="250" t="str">
        <x:v>Tammy</x:v>
      </x:c>
      <x:c r="E5" s="250" t="str">
        <x:v>573098</x:v>
      </x:c>
      <x:c r="F5" s="276" t="str">
        <x:v>FT_VM_FC_VARIABLE_5X - MYR 888</x:v>
      </x:c>
    </x:row>
    <x:row r="6">
      <x:c r="A6" s="252" t="str">
        <x:v>WS1</x:v>
      </x:c>
      <x:c r="B6" s="253" t="str">
        <x:v>Bryan93csj</x:v>
      </x:c>
      <x:c r="C6" s="259" t="n">
        <x:v>46028.166666666664</x:v>
      </x:c>
      <x:c r="D6" s="253" t="str">
        <x:v>Tammy</x:v>
      </x:c>
      <x:c r="E6" s="253" t="str">
        <x:v>254348</x:v>
      </x:c>
      <x:c r="F6" s="277" t="str">
        <x:v>(MID) - VM_DEP600_GET200_5X</x:v>
      </x:c>
    </x:row>
    <x:row r="7">
      <x:c r="A7" s="252" t="str">
        <x:v>WS1</x:v>
      </x:c>
      <x:c r="B7" s="253" t="str">
        <x:v>hhhooi</x:v>
      </x:c>
      <x:c r="C7" s="259" t="n">
        <x:v>46028.166666666664</x:v>
      </x:c>
      <x:c r="D7" s="253" t="str">
        <x:v>Tammy</x:v>
      </x:c>
      <x:c r="E7" s="253" t="str">
        <x:v>779246</x:v>
      </x:c>
      <x:c r="F7" s="277" t="str">
        <x:v>FT_VM_FC_VARIABLE_5X - MYR 1088</x:v>
      </x:c>
    </x:row>
    <x:row r="8">
      <x:c r="A8" s="252" t="str">
        <x:v>WS1</x:v>
      </x:c>
      <x:c r="B8" s="253" t="str">
        <x:v>Ahseang</x:v>
      </x:c>
      <x:c r="C8" s="259" t="n">
        <x:v>46028.166666666664</x:v>
      </x:c>
      <x:c r="D8" s="253" t="str">
        <x:v>Tammy</x:v>
      </x:c>
      <x:c r="E8" s="253" t="str">
        <x:v>727612</x:v>
      </x:c>
      <x:c r="F8" s="277" t="str"/>
    </x:row>
    <x:row r="9">
      <x:c r="A9" s="252" t="str">
        <x:v>WS1</x:v>
      </x:c>
      <x:c r="B9" s="253" t="str">
        <x:v>BBB1BC</x:v>
      </x:c>
      <x:c r="C9" s="259" t="n">
        <x:v>46028.166666666664</x:v>
      </x:c>
      <x:c r="D9" s="253" t="str">
        <x:v>Tammy</x:v>
      </x:c>
      <x:c r="E9" s="253" t="str">
        <x:v>933614</x:v>
      </x:c>
      <x:c r="F9" s="277" t="str">
        <x:v>FT_VM_DEP600_GET200_5X</x:v>
      </x:c>
    </x:row>
    <x:row r="10">
      <x:c r="A10" s="252" t="str">
        <x:v>WS1</x:v>
      </x:c>
      <x:c r="B10" s="253" t="str">
        <x:v>nickganps</x:v>
      </x:c>
      <x:c r="C10" s="259" t="n">
        <x:v>46028.166666666664</x:v>
      </x:c>
      <x:c r="D10" s="253" t="str">
        <x:v>Tammy</x:v>
      </x:c>
      <x:c r="E10" s="253" t="str">
        <x:v>1091902</x:v>
      </x:c>
      <x:c r="F10" s="277" t="str"/>
    </x:row>
    <x:row r="11">
      <x:c r="A11" s="252" t="str">
        <x:v>WS1</x:v>
      </x:c>
      <x:c r="B11" s="253" t="str">
        <x:v>Lai8489</x:v>
      </x:c>
      <x:c r="C11" s="259" t="n">
        <x:v>46028.166666666664</x:v>
      </x:c>
      <x:c r="D11" s="253" t="str">
        <x:v>Tammy</x:v>
      </x:c>
      <x:c r="E11" s="253" t="str">
        <x:v>1123954</x:v>
      </x:c>
      <x:c r="F11" s="277" t="str"/>
    </x:row>
    <x:row r="12">
      <x:c r="A12" s="252" t="str">
        <x:v>WS1</x:v>
      </x:c>
      <x:c r="B12" s="253" t="str">
        <x:v>Rahamanzillur</x:v>
      </x:c>
      <x:c r="C12" s="259" t="n">
        <x:v>46028.166666666664</x:v>
      </x:c>
      <x:c r="D12" s="253" t="str">
        <x:v>Tammy</x:v>
      </x:c>
      <x:c r="E12" s="253" t="str">
        <x:v>664561</x:v>
      </x:c>
      <x:c r="F12" s="277" t="str"/>
    </x:row>
    <x:row r="13">
      <x:c r="A13" s="252" t="str">
        <x:v>WS1</x:v>
      </x:c>
      <x:c r="B13" s="253" t="str">
        <x:v>shawntie</x:v>
      </x:c>
      <x:c r="C13" s="259" t="n">
        <x:v>46028.166666666664</x:v>
      </x:c>
      <x:c r="D13" s="253" t="str">
        <x:v>Tammy</x:v>
      </x:c>
      <x:c r="E13" s="253" t="str">
        <x:v>727686</x:v>
      </x:c>
      <x:c r="F13" s="277" t="str">
        <x:v>DORMANT</x:v>
      </x:c>
    </x:row>
    <x:row r="14">
      <x:c r="A14" s="252" t="str">
        <x:v>WS1</x:v>
      </x:c>
      <x:c r="B14" s="253" t="str">
        <x:v>Justdream</x:v>
      </x:c>
      <x:c r="C14" s="259" t="n">
        <x:v>46028.166666666664</x:v>
      </x:c>
      <x:c r="D14" s="253" t="str">
        <x:v>Tammy</x:v>
      </x:c>
      <x:c r="E14" s="253" t="str">
        <x:v>976270</x:v>
      </x:c>
      <x:c r="F14" s="277" t="str">
        <x:v>DORMANT</x:v>
      </x:c>
    </x:row>
    <x:row r="15">
      <x:c r="A15" s="252" t="str">
        <x:v>WS1</x:v>
      </x:c>
      <x:c r="B15" s="253" t="str">
        <x:v>crewno88</x:v>
      </x:c>
      <x:c r="C15" s="259" t="n">
        <x:v>46028.166666666664</x:v>
      </x:c>
      <x:c r="D15" s="253" t="str">
        <x:v>Tammy</x:v>
      </x:c>
      <x:c r="E15" s="253" t="str">
        <x:v>219758</x:v>
      </x:c>
      <x:c r="F15" s="277" t="str">
        <x:v>FT_VM_DEP600_GET200_5X</x:v>
      </x:c>
    </x:row>
    <x:row r="16">
      <x:c r="A16" s="252" t="str">
        <x:v>WS1</x:v>
      </x:c>
      <x:c r="B16" s="253" t="str">
        <x:v>Princess0918</x:v>
      </x:c>
      <x:c r="C16" s="259" t="n">
        <x:v>46028.166666666664</x:v>
      </x:c>
      <x:c r="D16" s="253" t="str">
        <x:v>Tammy</x:v>
      </x:c>
      <x:c r="E16" s="253" t="str">
        <x:v>1163432</x:v>
      </x:c>
      <x:c r="F16" s="277" t="str"/>
    </x:row>
    <x:row r="17">
      <x:c r="A17" s="252" t="str">
        <x:v>WS1</x:v>
      </x:c>
      <x:c r="B17" s="253" t="str">
        <x:v>alifakmal3914</x:v>
      </x:c>
      <x:c r="C17" s="259" t="n">
        <x:v>46028.166666666664</x:v>
      </x:c>
      <x:c r="D17" s="253" t="str">
        <x:v>Tammy</x:v>
      </x:c>
      <x:c r="E17" s="253" t="str">
        <x:v>1193521</x:v>
      </x:c>
      <x:c r="F17" s="277" t="str"/>
    </x:row>
    <x:row r="18">
      <x:c r="A18" s="252" t="str">
        <x:v>WS1</x:v>
      </x:c>
      <x:c r="B18" s="253" t="str">
        <x:v>Mloving522</x:v>
      </x:c>
      <x:c r="C18" s="259" t="n">
        <x:v>46028.166666666664</x:v>
      </x:c>
      <x:c r="D18" s="253" t="str">
        <x:v>Tammy</x:v>
      </x:c>
      <x:c r="E18" s="253" t="str">
        <x:v>656475</x:v>
      </x:c>
      <x:c r="F18" s="277" t="str">
        <x:v>DORMANT</x:v>
      </x:c>
    </x:row>
    <x:row r="19">
      <x:c r="A19" s="252" t="str">
        <x:v>WS1</x:v>
      </x:c>
      <x:c r="B19" s="253" t="str">
        <x:v>Aliffleys</x:v>
      </x:c>
      <x:c r="C19" s="259" t="n">
        <x:v>46028.166666666664</x:v>
      </x:c>
      <x:c r="D19" s="253" t="str">
        <x:v>Tammy</x:v>
      </x:c>
      <x:c r="E19" s="253" t="str">
        <x:v>1032180</x:v>
      </x:c>
      <x:c r="F19" s="277" t="str"/>
    </x:row>
    <x:row r="20">
      <x:c r="A20" s="252" t="str">
        <x:v>WS1</x:v>
      </x:c>
      <x:c r="B20" s="253" t="str">
        <x:v>Chinseang18</x:v>
      </x:c>
      <x:c r="C20" s="259" t="n">
        <x:v>46035.166666666664</x:v>
      </x:c>
      <x:c r="D20" s="253" t="str">
        <x:v>Kam</x:v>
      </x:c>
      <x:c r="E20" s="253" t="str">
        <x:v>659555</x:v>
      </x:c>
      <x:c r="F20" s="277" t="str"/>
    </x:row>
    <x:row r="21">
      <x:c r="A21" s="252" t="str">
        <x:v>WS1</x:v>
      </x:c>
      <x:c r="B21" s="253" t="str">
        <x:v>DomXgod88</x:v>
      </x:c>
      <x:c r="C21" s="259" t="n">
        <x:v>46035.166666666664</x:v>
      </x:c>
      <x:c r="D21" s="253" t="str">
        <x:v>Tammy</x:v>
      </x:c>
      <x:c r="E21" s="253" t="str">
        <x:v>791730</x:v>
      </x:c>
      <x:c r="F21" s="277" t="str">
        <x:v>DORMANT</x:v>
      </x:c>
    </x:row>
    <x:row r="22">
      <x:c r="A22" s="252" t="str">
        <x:v>WS1</x:v>
      </x:c>
      <x:c r="B22" s="253" t="str">
        <x:v>Jebon09</x:v>
      </x:c>
      <x:c r="C22" s="259" t="n">
        <x:v>46035.166666666664</x:v>
      </x:c>
      <x:c r="D22" s="253" t="str">
        <x:v>Tammy</x:v>
      </x:c>
      <x:c r="E22" s="253" t="str">
        <x:v>726428</x:v>
      </x:c>
      <x:c r="F22" s="277" t="str">
        <x:v>DORMANT</x:v>
      </x:c>
    </x:row>
    <x:row r="23">
      <x:c r="A23" s="252" t="str">
        <x:v>WS1</x:v>
      </x:c>
      <x:c r="B23" s="253" t="str">
        <x:v>windywindy</x:v>
      </x:c>
      <x:c r="C23" s="259" t="n">
        <x:v>46035.166666666664</x:v>
      </x:c>
      <x:c r="D23" s="253" t="str">
        <x:v>Michelle</x:v>
      </x:c>
      <x:c r="E23" s="253" t="str">
        <x:v>1155209</x:v>
      </x:c>
      <x:c r="F23" s="277" t="str"/>
    </x:row>
    <x:row r="24">
      <x:c r="A24" s="252" t="str">
        <x:v>WS1</x:v>
      </x:c>
      <x:c r="B24" s="253" t="str">
        <x:v>sumon9</x:v>
      </x:c>
      <x:c r="C24" s="259" t="n">
        <x:v>46035.166666666664</x:v>
      </x:c>
      <x:c r="D24" s="253" t="str">
        <x:v>Tammy</x:v>
      </x:c>
      <x:c r="E24" s="253" t="str">
        <x:v>693474</x:v>
      </x:c>
      <x:c r="F24" s="277" t="str">
        <x:v>FT_VM_DEP600_GET200_5X</x:v>
      </x:c>
    </x:row>
    <x:row r="25">
      <x:c r="A25" s="252" t="str">
        <x:v>WS1</x:v>
      </x:c>
      <x:c r="B25" s="253" t="str">
        <x:v>Kenjisan123</x:v>
      </x:c>
      <x:c r="C25" s="259" t="n">
        <x:v>46035.166666666664</x:v>
      </x:c>
      <x:c r="D25" s="253" t="str">
        <x:v>Tammy</x:v>
      </x:c>
      <x:c r="E25" s="253" t="str">
        <x:v>668899</x:v>
      </x:c>
      <x:c r="F25" s="277" t="str">
        <x:v>FT_VM_DEP600_GET200_5X</x:v>
      </x:c>
    </x:row>
    <x:row r="26">
      <x:c r="A26" s="252" t="str">
        <x:v>WS1</x:v>
      </x:c>
      <x:c r="B26" s="253" t="str">
        <x:v>huathuat</x:v>
      </x:c>
      <x:c r="C26" s="259" t="n">
        <x:v>46035.166666666664</x:v>
      </x:c>
      <x:c r="D26" s="253" t="str">
        <x:v>Michelle</x:v>
      </x:c>
      <x:c r="E26" s="253" t="str">
        <x:v>163316</x:v>
      </x:c>
      <x:c r="F26" s="277" t="str">
        <x:v>FT_VM_DEP600_GET200_5X</x:v>
      </x:c>
    </x:row>
    <x:row r="27">
      <x:c r="A27" s="252" t="str">
        <x:v>WS1</x:v>
      </x:c>
      <x:c r="B27" s="253" t="str">
        <x:v>fahimi246</x:v>
      </x:c>
      <x:c r="C27" s="259" t="n">
        <x:v>46035.166666666664</x:v>
      </x:c>
      <x:c r="D27" s="253" t="str">
        <x:v>Tammy</x:v>
      </x:c>
      <x:c r="E27" s="253" t="str">
        <x:v>1184581</x:v>
      </x:c>
      <x:c r="F27" s="277" t="str"/>
    </x:row>
    <x:row r="28">
      <x:c r="A28" s="252" t="str">
        <x:v>WS1</x:v>
      </x:c>
      <x:c r="B28" s="253" t="str">
        <x:v>Persona777</x:v>
      </x:c>
      <x:c r="C28" s="259" t="n">
        <x:v>46042.166666666664</x:v>
      </x:c>
      <x:c r="D28" s="253" t="str">
        <x:v>Tammy</x:v>
      </x:c>
      <x:c r="E28" s="253" t="str">
        <x:v>665555</x:v>
      </x:c>
      <x:c r="F28" s="277" t="str"/>
    </x:row>
    <x:row r="29">
      <x:c r="A29" s="252" t="str">
        <x:v>WS1</x:v>
      </x:c>
      <x:c r="B29" s="253" t="str">
        <x:v>imran2121</x:v>
      </x:c>
      <x:c r="C29" s="259" t="n">
        <x:v>46042.166666666664</x:v>
      </x:c>
      <x:c r="D29" s="253" t="str">
        <x:v>Tammy</x:v>
      </x:c>
      <x:c r="E29" s="253" t="str">
        <x:v>937039</x:v>
      </x:c>
      <x:c r="F29" s="277" t="str"/>
    </x:row>
    <x:row r="30">
      <x:c r="A30" s="252" t="str">
        <x:v>WS1</x:v>
      </x:c>
      <x:c r="B30" s="253" t="str">
        <x:v>avitaminix</x:v>
      </x:c>
      <x:c r="C30" s="259" t="n">
        <x:v>46062.166666666664</x:v>
      </x:c>
      <x:c r="D30" s="253" t="str">
        <x:v>Sheena</x:v>
      </x:c>
      <x:c r="E30" s="253" t="str">
        <x:v>670921</x:v>
      </x:c>
      <x:c r="F30" s="277" t="str">
        <x:v>FT_VM_FC_VARIABLE_5X - MYR 588</x:v>
      </x:c>
    </x:row>
    <x:row r="31">
      <x:c r="A31" s="252" t="str">
        <x:v>WS1</x:v>
      </x:c>
      <x:c r="B31" s="253" t="str">
        <x:v>kang4886</x:v>
      </x:c>
      <x:c r="C31" s="259" t="n">
        <x:v>46062.166666666664</x:v>
      </x:c>
      <x:c r="D31" s="253" t="str">
        <x:v>Sheena</x:v>
      </x:c>
      <x:c r="E31" s="253" t="str">
        <x:v>533010</x:v>
      </x:c>
      <x:c r="F31" s="277" t="str"/>
    </x:row>
    <x:row r="32">
      <x:c r="A32" s="252" t="str">
        <x:v>WS1</x:v>
      </x:c>
      <x:c r="B32" s="253" t="str">
        <x:v>ArrianeJ</x:v>
      </x:c>
      <x:c r="C32" s="259" t="n">
        <x:v>46062.166666666664</x:v>
      </x:c>
      <x:c r="D32" s="253" t="str">
        <x:v>Sheena</x:v>
      </x:c>
      <x:c r="E32" s="253" t="str">
        <x:v>1182382</x:v>
      </x:c>
      <x:c r="F32" s="277" t="str"/>
    </x:row>
    <x:row r="33">
      <x:c r="A33" s="252" t="str">
        <x:v>WS1</x:v>
      </x:c>
      <x:c r="B33" s="253" t="str">
        <x:v>Rishadkawsar</x:v>
      </x:c>
      <x:c r="C33" s="259" t="n">
        <x:v>46062.166666666664</x:v>
      </x:c>
      <x:c r="D33" s="253" t="str">
        <x:v>Sheena</x:v>
      </x:c>
      <x:c r="E33" s="253" t="str">
        <x:v>970156</x:v>
      </x:c>
      <x:c r="F33" s="277" t="str">
        <x:v>FT_VM_DEP700_GET300_1X</x:v>
      </x:c>
    </x:row>
    <x:row r="34">
      <x:c r="A34" s="252" t="str">
        <x:v>WS1</x:v>
      </x:c>
      <x:c r="B34" s="253" t="str">
        <x:v>ALI1988</x:v>
      </x:c>
      <x:c r="C34" s="259" t="n">
        <x:v>46062.166666666664</x:v>
      </x:c>
      <x:c r="D34" s="253" t="str">
        <x:v>Sheena</x:v>
      </x:c>
      <x:c r="E34" s="253" t="str">
        <x:v>1146939</x:v>
      </x:c>
      <x:c r="F34" s="277" t="str"/>
    </x:row>
    <x:row r="35">
      <x:c r="A35" s="252" t="str">
        <x:v>WS1</x:v>
      </x:c>
      <x:c r="B35" s="253" t="str">
        <x:v>Kogilah49</x:v>
      </x:c>
      <x:c r="C35" s="259" t="n">
        <x:v>46062.166666666664</x:v>
      </x:c>
      <x:c r="D35" s="253" t="str">
        <x:v>Sheena</x:v>
      </x:c>
      <x:c r="E35" s="253" t="str">
        <x:v>979014</x:v>
      </x:c>
      <x:c r="F35" s="277" t="str"/>
    </x:row>
    <x:row r="36">
      <x:c r="A36" s="252" t="str">
        <x:v>WS1</x:v>
      </x:c>
      <x:c r="B36" s="253" t="str">
        <x:v>Mamunahmed</x:v>
      </x:c>
      <x:c r="C36" s="259" t="n">
        <x:v>46062.166666666664</x:v>
      </x:c>
      <x:c r="D36" s="253" t="str">
        <x:v>Sheena</x:v>
      </x:c>
      <x:c r="E36" s="253" t="str">
        <x:v>1185060</x:v>
      </x:c>
      <x:c r="F36" s="277" t="str">
        <x:v>FT_VM_DEP600_GET200_5X</x:v>
      </x:c>
    </x:row>
    <x:row r="37">
      <x:c r="A37" s="252" t="str">
        <x:v>WS1</x:v>
      </x:c>
      <x:c r="B37" s="253" t="str">
        <x:v>Szechuan33</x:v>
      </x:c>
      <x:c r="C37" s="259" t="n">
        <x:v>46062.166666666664</x:v>
      </x:c>
      <x:c r="D37" s="253" t="str">
        <x:v>Sheena</x:v>
      </x:c>
      <x:c r="E37" s="253" t="str">
        <x:v>1182703</x:v>
      </x:c>
      <x:c r="F37" s="277" t="str"/>
    </x:row>
    <x:row r="38">
      <x:c r="A38" s="252" t="str">
        <x:v>WS1</x:v>
      </x:c>
      <x:c r="B38" s="253" t="str">
        <x:v>Adadad123</x:v>
      </x:c>
      <x:c r="C38" s="259" t="n">
        <x:v>46062.166666666664</x:v>
      </x:c>
      <x:c r="D38" s="253" t="str">
        <x:v>Sheena</x:v>
      </x:c>
      <x:c r="E38" s="253" t="str">
        <x:v>837035</x:v>
      </x:c>
      <x:c r="F38" s="277" t="str"/>
    </x:row>
    <x:row r="39">
      <x:c r="A39" s="252" t="str">
        <x:v>WS1</x:v>
      </x:c>
      <x:c r="B39" s="253" t="str">
        <x:v>Bakot</x:v>
      </x:c>
      <x:c r="C39" s="259" t="n">
        <x:v>46062.166666666664</x:v>
      </x:c>
      <x:c r="D39" s="253" t="str">
        <x:v>Sheena</x:v>
      </x:c>
      <x:c r="E39" s="253" t="str">
        <x:v>443836</x:v>
      </x:c>
      <x:c r="F39" s="277" t="str"/>
    </x:row>
    <x:row r="40">
      <x:c r="A40" s="252" t="str">
        <x:v>WS1</x:v>
      </x:c>
      <x:c r="B40" s="253" t="str">
        <x:v>Raymond8862</x:v>
      </x:c>
      <x:c r="C40" s="259" t="n">
        <x:v>46062.166666666664</x:v>
      </x:c>
      <x:c r="D40" s="253" t="str">
        <x:v>Sheena</x:v>
      </x:c>
      <x:c r="E40" s="253" t="str">
        <x:v>1200733</x:v>
      </x:c>
      <x:c r="F40" s="277" t="str">
        <x:v>FT_VM_FC_VARIABLE_8X - MYR 388</x:v>
      </x:c>
    </x:row>
    <x:row r="41">
      <x:c r="A41" s="252" t="str">
        <x:v>WS1</x:v>
      </x:c>
      <x:c r="B41" s="253" t="str">
        <x:v>Soo33</x:v>
      </x:c>
      <x:c r="C41" s="259" t="n">
        <x:v>46072.166666666664</x:v>
      </x:c>
      <x:c r="D41" s="253" t="str">
        <x:v>Serene</x:v>
      </x:c>
      <x:c r="E41" s="253" t="str">
        <x:v>467438</x:v>
      </x:c>
      <x:c r="F41" s="277" t="str">
        <x:v>(MID) - VM_DEP600_GET200_5X</x:v>
      </x:c>
    </x:row>
    <x:row r="42">
      <x:c r="A42" s="252" t="str">
        <x:v>WS1</x:v>
      </x:c>
      <x:c r="B42" s="253" t="str">
        <x:v>amieycreative</x:v>
      </x:c>
      <x:c r="C42" s="259" t="n">
        <x:v>46072.166666666664</x:v>
      </x:c>
      <x:c r="D42" s="253" t="str">
        <x:v>Serene</x:v>
      </x:c>
      <x:c r="E42" s="253" t="str">
        <x:v>270251</x:v>
      </x:c>
      <x:c r="F42" s="277" t="str"/>
    </x:row>
    <x:row r="43">
      <x:c r="A43" s="252" t="str">
        <x:v>WS1</x:v>
      </x:c>
      <x:c r="B43" s="253" t="str">
        <x:v>goodluck88</x:v>
      </x:c>
      <x:c r="C43" s="259" t="n">
        <x:v>46072.166666666664</x:v>
      </x:c>
      <x:c r="D43" s="253" t="str">
        <x:v>Serene</x:v>
      </x:c>
      <x:c r="E43" s="253" t="str">
        <x:v>1178526</x:v>
      </x:c>
      <x:c r="F43" s="277" t="str"/>
    </x:row>
    <x:row r="44">
      <x:c r="A44" s="252" t="str">
        <x:v>WS1</x:v>
      </x:c>
      <x:c r="B44" s="253" t="str">
        <x:v>afadzliahmad</x:v>
      </x:c>
      <x:c r="C44" s="259" t="n">
        <x:v>46072.166666666664</x:v>
      </x:c>
      <x:c r="D44" s="253" t="str">
        <x:v>Serene</x:v>
      </x:c>
      <x:c r="E44" s="253" t="str">
        <x:v>692932</x:v>
      </x:c>
      <x:c r="F44" s="277" t="str"/>
    </x:row>
    <x:row r="45">
      <x:c r="A45" s="252" t="str">
        <x:v>WS1</x:v>
      </x:c>
      <x:c r="B45" s="253" t="str">
        <x:v>Sumathi75</x:v>
      </x:c>
      <x:c r="C45" s="259" t="n">
        <x:v>46072.166666666664</x:v>
      </x:c>
      <x:c r="D45" s="253" t="str">
        <x:v>Serene</x:v>
      </x:c>
      <x:c r="E45" s="253" t="str">
        <x:v>702584</x:v>
      </x:c>
      <x:c r="F45" s="277" t="str"/>
    </x:row>
    <x:row r="46">
      <x:c r="A46" s="252" t="str">
        <x:v>WS1</x:v>
      </x:c>
      <x:c r="B46" s="253" t="str">
        <x:v>Nick88</x:v>
      </x:c>
      <x:c r="C46" s="259" t="n">
        <x:v>46072.166666666664</x:v>
      </x:c>
      <x:c r="D46" s="253" t="str">
        <x:v>Serene</x:v>
      </x:c>
      <x:c r="E46" s="253" t="str">
        <x:v>554794</x:v>
      </x:c>
      <x:c r="F46" s="277" t="str"/>
    </x:row>
    <x:row r="47">
      <x:c r="A47" s="252" t="str">
        <x:v>WS1</x:v>
      </x:c>
      <x:c r="B47" s="253" t="str">
        <x:v>Senz27</x:v>
      </x:c>
      <x:c r="C47" s="259" t="n">
        <x:v>46072.166666666664</x:v>
      </x:c>
      <x:c r="D47" s="253" t="str">
        <x:v>Serene</x:v>
      </x:c>
      <x:c r="E47" s="253" t="str">
        <x:v>237809</x:v>
      </x:c>
      <x:c r="F47" s="277" t="str">
        <x:v>FT_VM_DEP600_GET200_5X</x:v>
      </x:c>
    </x:row>
    <x:row r="48">
      <x:c r="A48" s="252" t="str">
        <x:v>WS1</x:v>
      </x:c>
      <x:c r="B48" s="253" t="str">
        <x:v>Phantom99</x:v>
      </x:c>
      <x:c r="C48" s="259" t="n">
        <x:v>46072.166666666664</x:v>
      </x:c>
      <x:c r="D48" s="253" t="str">
        <x:v>Serene</x:v>
      </x:c>
      <x:c r="E48" s="253" t="str">
        <x:v>299759</x:v>
      </x:c>
      <x:c r="F48" s="277" t="str"/>
    </x:row>
    <x:row r="49">
      <x:c r="A49" s="252" t="str">
        <x:v>WS1</x:v>
      </x:c>
      <x:c r="B49" s="253" t="str">
        <x:v>RUBEN777</x:v>
      </x:c>
      <x:c r="C49" s="259" t="n">
        <x:v>46072.166666666664</x:v>
      </x:c>
      <x:c r="D49" s="253" t="str">
        <x:v>Serene</x:v>
      </x:c>
      <x:c r="E49" s="253" t="str">
        <x:v>407828</x:v>
      </x:c>
      <x:c r="F49" s="277" t="str"/>
    </x:row>
    <x:row r="50">
      <x:c r="A50" s="252" t="str">
        <x:v>WS1</x:v>
      </x:c>
      <x:c r="B50" s="253" t="str">
        <x:v>Junkgoatz</x:v>
      </x:c>
      <x:c r="C50" s="259" t="n">
        <x:v>46072.166666666664</x:v>
      </x:c>
      <x:c r="D50" s="253" t="str">
        <x:v>Serene</x:v>
      </x:c>
      <x:c r="E50" s="253" t="str">
        <x:v>813859</x:v>
      </x:c>
      <x:c r="F50" s="277" t="str"/>
    </x:row>
    <x:row r="51">
      <x:c r="A51" s="252" t="str">
        <x:v>WS1</x:v>
      </x:c>
      <x:c r="B51" s="253" t="str">
        <x:v>Murali82</x:v>
      </x:c>
      <x:c r="C51" s="259" t="n">
        <x:v>46072.166666666664</x:v>
      </x:c>
      <x:c r="D51" s="253" t="str">
        <x:v>Serene</x:v>
      </x:c>
      <x:c r="E51" s="253" t="str">
        <x:v>1191199</x:v>
      </x:c>
      <x:c r="F51" s="277" t="str"/>
    </x:row>
    <x:row r="52">
      <x:c r="A52" s="252" t="str">
        <x:v>WS1</x:v>
      </x:c>
      <x:c r="B52" s="253" t="str">
        <x:v>Miki5858</x:v>
      </x:c>
      <x:c r="C52" s="259" t="n">
        <x:v>46072.166666666664</x:v>
      </x:c>
      <x:c r="D52" s="253" t="str">
        <x:v>Serene</x:v>
      </x:c>
      <x:c r="E52" s="253" t="str">
        <x:v>1181098</x:v>
      </x:c>
      <x:c r="F52" s="277" t="str"/>
    </x:row>
    <x:row r="53">
      <x:c r="A53" s="252" t="str">
        <x:v>WS1</x:v>
      </x:c>
      <x:c r="B53" s="253" t="str">
        <x:v>skychin</x:v>
      </x:c>
      <x:c r="C53" s="259" t="n">
        <x:v>46072.166666666664</x:v>
      </x:c>
      <x:c r="D53" s="253" t="str">
        <x:v>Serene</x:v>
      </x:c>
      <x:c r="E53" s="253" t="str">
        <x:v>691221</x:v>
      </x:c>
      <x:c r="F53" s="277" t="str">
        <x:v>FT_VM_DEP800_GET400_2X</x:v>
      </x:c>
    </x:row>
    <x:row r="54">
      <x:c r="A54" s="252" t="str">
        <x:v>WS1</x:v>
      </x:c>
      <x:c r="B54" s="253" t="str">
        <x:v>Darkowlz22</x:v>
      </x:c>
      <x:c r="C54" s="259" t="n">
        <x:v>46072.166666666664</x:v>
      </x:c>
      <x:c r="D54" s="253" t="str">
        <x:v>Serene</x:v>
      </x:c>
      <x:c r="E54" s="253" t="str">
        <x:v>931221</x:v>
      </x:c>
      <x:c r="F54" s="277" t="str"/>
    </x:row>
    <x:row r="55">
      <x:c r="A55" s="252" t="str">
        <x:v>WS1</x:v>
      </x:c>
      <x:c r="B55" s="253" t="str">
        <x:v>Keongw</x:v>
      </x:c>
      <x:c r="C55" s="259" t="n">
        <x:v>46072.166666666664</x:v>
      </x:c>
      <x:c r="D55" s="253" t="str">
        <x:v>Serene</x:v>
      </x:c>
      <x:c r="E55" s="253" t="str">
        <x:v>677152</x:v>
      </x:c>
      <x:c r="F55" s="277" t="str"/>
    </x:row>
    <x:row r="56">
      <x:c r="A56" s="252" t="str">
        <x:v>WS1</x:v>
      </x:c>
      <x:c r="B56" s="253" t="str">
        <x:v>Matsha</x:v>
      </x:c>
      <x:c r="C56" s="259" t="n">
        <x:v>46072.166666666664</x:v>
      </x:c>
      <x:c r="D56" s="253" t="str">
        <x:v>Serene</x:v>
      </x:c>
      <x:c r="E56" s="253" t="str">
        <x:v>657901</x:v>
      </x:c>
      <x:c r="F56" s="277" t="str"/>
    </x:row>
    <x:row r="57">
      <x:c r="A57" s="252" t="str">
        <x:v>WS1</x:v>
      </x:c>
      <x:c r="B57" s="253" t="str">
        <x:v>mt2041</x:v>
      </x:c>
      <x:c r="C57" s="259" t="n">
        <x:v>46072.166666666664</x:v>
      </x:c>
      <x:c r="D57" s="253" t="str">
        <x:v>Serene</x:v>
      </x:c>
      <x:c r="E57" s="253" t="str">
        <x:v>674354</x:v>
      </x:c>
      <x:c r="F57" s="277" t="str">
        <x:v>DORMANT</x:v>
      </x:c>
    </x:row>
    <x:row r="58">
      <x:c r="A58" s="252" t="str">
        <x:v>WS1</x:v>
      </x:c>
      <x:c r="B58" s="253" t="str">
        <x:v>dmandy</x:v>
      </x:c>
      <x:c r="C58" s="259" t="n">
        <x:v>46077.166666666664</x:v>
      </x:c>
      <x:c r="D58" s="253" t="str">
        <x:v>Serene</x:v>
      </x:c>
      <x:c r="E58" s="253" t="str">
        <x:v>176403</x:v>
      </x:c>
      <x:c r="F58" s="277" t="str">
        <x:v>FT_VM_DEP1000_GET800_1X</x:v>
      </x:c>
    </x:row>
    <x:row r="59">
      <x:c r="A59" s="252" t="str">
        <x:v>WS1</x:v>
      </x:c>
      <x:c r="B59" s="253" t="str">
        <x:v>Solehibrahim93</x:v>
      </x:c>
      <x:c r="C59" s="259" t="n">
        <x:v>46077.166666666664</x:v>
      </x:c>
      <x:c r="D59" s="253" t="str">
        <x:v>Serene</x:v>
      </x:c>
      <x:c r="E59" s="253" t="str">
        <x:v>704620</x:v>
      </x:c>
      <x:c r="F59" s="277" t="str"/>
    </x:row>
    <x:row r="60">
      <x:c r="A60" s="252" t="str">
        <x:v>WS1</x:v>
      </x:c>
      <x:c r="B60" s="253" t="str">
        <x:v>Wendylee12</x:v>
      </x:c>
      <x:c r="C60" s="259" t="n">
        <x:v>46077.166666666664</x:v>
      </x:c>
      <x:c r="D60" s="253" t="str">
        <x:v>Serene</x:v>
      </x:c>
      <x:c r="E60" s="253" t="str">
        <x:v>35107</x:v>
      </x:c>
      <x:c r="F60" s="277" t="str">
        <x:v>FT_VM_DEP800_GET400_2X</x:v>
      </x:c>
    </x:row>
    <x:row r="61">
      <x:c r="A61" s="252" t="str">
        <x:v>WS1</x:v>
      </x:c>
      <x:c r="B61" s="253" t="str">
        <x:v>Jerrychai</x:v>
      </x:c>
      <x:c r="C61" s="259" t="n">
        <x:v>46077.166666666664</x:v>
      </x:c>
      <x:c r="D61" s="253" t="str">
        <x:v>Serene</x:v>
      </x:c>
      <x:c r="E61" s="253" t="str">
        <x:v>24953</x:v>
      </x:c>
      <x:c r="F61" s="277" t="str">
        <x:v>FT_VM_FC_VARIABLE_5X - MYR 588</x:v>
      </x:c>
    </x:row>
    <x:row r="62">
      <x:c r="A62" s="252" t="str">
        <x:v>WS1</x:v>
      </x:c>
      <x:c r="B62" s="253" t="str">
        <x:v>Psyee88</x:v>
      </x:c>
      <x:c r="C62" s="259" t="n">
        <x:v>46077.166666666664</x:v>
      </x:c>
      <x:c r="D62" s="253" t="str">
        <x:v>Serene</x:v>
      </x:c>
      <x:c r="E62" s="253" t="str">
        <x:v>676839</x:v>
      </x:c>
      <x:c r="F62" s="277" t="str"/>
    </x:row>
    <x:row r="63">
      <x:c r="A63" s="252" t="str">
        <x:v>WS1</x:v>
      </x:c>
      <x:c r="B63" s="253" t="str">
        <x:v>WANYOE</x:v>
      </x:c>
      <x:c r="C63" s="259" t="n">
        <x:v>46077.166666666664</x:v>
      </x:c>
      <x:c r="D63" s="253" t="str">
        <x:v>Serene</x:v>
      </x:c>
      <x:c r="E63" s="253" t="str">
        <x:v>449481</x:v>
      </x:c>
      <x:c r="F63" s="277" t="str"/>
    </x:row>
    <x:row r="64">
      <x:c r="A64" s="252" t="str">
        <x:v>WS1</x:v>
      </x:c>
      <x:c r="B64" s="253" t="str">
        <x:v>venkat2101898</x:v>
      </x:c>
      <x:c r="C64" s="259" t="n">
        <x:v>46077.166666666664</x:v>
      </x:c>
      <x:c r="D64" s="253" t="str">
        <x:v>Serene</x:v>
      </x:c>
      <x:c r="E64" s="253" t="str">
        <x:v>1191779</x:v>
      </x:c>
      <x:c r="F64" s="277" t="str"/>
    </x:row>
    <x:row r="65">
      <x:c r="A65" s="252" t="str">
        <x:v>WS1</x:v>
      </x:c>
      <x:c r="B65" s="253" t="str">
        <x:v>ericlee5237</x:v>
      </x:c>
      <x:c r="C65" s="259" t="n">
        <x:v>46077.166666666664</x:v>
      </x:c>
      <x:c r="D65" s="253" t="str">
        <x:v>Serene</x:v>
      </x:c>
      <x:c r="E65" s="253" t="str">
        <x:v>1049844</x:v>
      </x:c>
      <x:c r="F65" s="277" t="str">
        <x:v>FT_VM_DEP1000_GET500_1X</x:v>
      </x:c>
    </x:row>
    <x:row r="66">
      <x:c r="A66" s="252" t="str">
        <x:v>WS1</x:v>
      </x:c>
      <x:c r="B66" s="253" t="str">
        <x:v>Pugall</x:v>
      </x:c>
      <x:c r="C66" s="259" t="n">
        <x:v>46077.166666666664</x:v>
      </x:c>
      <x:c r="D66" s="253" t="str">
        <x:v>Serene</x:v>
      </x:c>
      <x:c r="E66" s="253" t="str">
        <x:v>601471</x:v>
      </x:c>
      <x:c r="F66" s="277" t="str"/>
    </x:row>
    <x:row r="67">
      <x:c r="A67" s="252" t="str">
        <x:v>WS1</x:v>
      </x:c>
      <x:c r="B67" s="253" t="str">
        <x:v>Lorry</x:v>
      </x:c>
      <x:c r="C67" s="259" t="n">
        <x:v>46077.166666666664</x:v>
      </x:c>
      <x:c r="D67" s="253" t="str">
        <x:v>Serene</x:v>
      </x:c>
      <x:c r="E67" s="253" t="str">
        <x:v>1190425</x:v>
      </x:c>
      <x:c r="F67" s="277" t="str"/>
    </x:row>
    <x:row r="68">
      <x:c r="A68" s="252" t="str">
        <x:v>WS1</x:v>
      </x:c>
      <x:c r="B68" s="253" t="str">
        <x:v>Lancaumax77</x:v>
      </x:c>
      <x:c r="C68" s="259" t="n">
        <x:v>46077.166666666664</x:v>
      </x:c>
      <x:c r="D68" s="253" t="str">
        <x:v>Serene</x:v>
      </x:c>
      <x:c r="E68" s="253" t="str">
        <x:v>423052</x:v>
      </x:c>
      <x:c r="F68" s="277" t="str">
        <x:v>FT_VM_DEP1000_GET500_5X</x:v>
      </x:c>
    </x:row>
    <x:row r="69">
      <x:c r="A69" s="252" t="str">
        <x:v>WS1</x:v>
      </x:c>
      <x:c r="B69" s="253" t="str">
        <x:v>al6552</x:v>
      </x:c>
      <x:c r="C69" s="259" t="n">
        <x:v>46077.166666666664</x:v>
      </x:c>
      <x:c r="D69" s="253" t="str">
        <x:v>Serene</x:v>
      </x:c>
      <x:c r="E69" s="253" t="str">
        <x:v>848260</x:v>
      </x:c>
      <x:c r="F69" s="277" t="str">
        <x:v>FT_VM_DEP700_GET300_2X</x:v>
      </x:c>
    </x:row>
    <x:row r="70">
      <x:c r="A70" s="252" t="str">
        <x:v>WS1</x:v>
      </x:c>
      <x:c r="B70" s="253" t="str">
        <x:v>6666mm</x:v>
      </x:c>
      <x:c r="C70" s="259" t="n">
        <x:v>46077.166666666664</x:v>
      </x:c>
      <x:c r="D70" s="253" t="str">
        <x:v>Serene</x:v>
      </x:c>
      <x:c r="E70" s="253" t="str">
        <x:v>381189</x:v>
      </x:c>
      <x:c r="F70" s="277" t="str">
        <x:v>FT_VM_FC_VARIABLE_5X - MYR 1088</x:v>
      </x:c>
    </x:row>
    <x:row r="71">
      <x:c r="A71" s="252" t="str">
        <x:v>WS1</x:v>
      </x:c>
      <x:c r="B71" s="253" t="str">
        <x:v>Badmintonhaha</x:v>
      </x:c>
      <x:c r="C71" s="259" t="n">
        <x:v>46077.166666666664</x:v>
      </x:c>
      <x:c r="D71" s="253" t="str">
        <x:v>Serene</x:v>
      </x:c>
      <x:c r="E71" s="253" t="str">
        <x:v>580281</x:v>
      </x:c>
      <x:c r="F71" s="277" t="str">
        <x:v>FT_VM_FC_VARIABLE_5X - MYR 1088</x:v>
      </x:c>
    </x:row>
    <x:row r="72">
      <x:c r="A72" s="252" t="str">
        <x:v>WS1</x:v>
      </x:c>
      <x:c r="B72" s="253" t="str">
        <x:v>vinvin1987</x:v>
      </x:c>
      <x:c r="C72" s="259" t="n">
        <x:v>46077.166666666664</x:v>
      </x:c>
      <x:c r="D72" s="253" t="str">
        <x:v>Serene</x:v>
      </x:c>
      <x:c r="E72" s="253" t="str">
        <x:v>952004</x:v>
      </x:c>
      <x:c r="F72" s="277" t="str">
        <x:v>FT_VM_DEP1000_GET500_5X</x:v>
      </x:c>
    </x:row>
    <x:row r="73">
      <x:c r="A73" s="252" t="str">
        <x:v>WS1</x:v>
      </x:c>
      <x:c r="B73" s="253" t="str">
        <x:v>Aliceyap</x:v>
      </x:c>
      <x:c r="C73" s="259" t="n">
        <x:v>46077.166666666664</x:v>
      </x:c>
      <x:c r="D73" s="253" t="str">
        <x:v>Serene</x:v>
      </x:c>
      <x:c r="E73" s="253" t="str">
        <x:v>937936</x:v>
      </x:c>
      <x:c r="F73" s="277" t="str">
        <x:v>FT_VM_DEP800_GET400_2X</x:v>
      </x:c>
    </x:row>
    <x:row r="74">
      <x:c r="A74" s="252" t="str">
        <x:v>WS1</x:v>
      </x:c>
      <x:c r="B74" s="253" t="str">
        <x:v>Tee0689</x:v>
      </x:c>
      <x:c r="C74" s="259" t="n">
        <x:v>46077.166666666664</x:v>
      </x:c>
      <x:c r="D74" s="253" t="str">
        <x:v>Serene</x:v>
      </x:c>
      <x:c r="E74" s="253" t="str">
        <x:v>778442</x:v>
      </x:c>
      <x:c r="F74" s="277" t="str">
        <x:v>FT_VM_DEP600_GET200_5X</x:v>
      </x:c>
    </x:row>
    <x:row r="75">
      <x:c r="A75" s="252" t="str">
        <x:v>WS1</x:v>
      </x:c>
      <x:c r="B75" s="253" t="str">
        <x:v>Marleylish86</x:v>
      </x:c>
      <x:c r="C75" s="259" t="n">
        <x:v>46077.166666666664</x:v>
      </x:c>
      <x:c r="D75" s="253" t="str">
        <x:v>Serene</x:v>
      </x:c>
      <x:c r="E75" s="253" t="str">
        <x:v>188278</x:v>
      </x:c>
      <x:c r="F75" s="277" t="str"/>
    </x:row>
    <x:row r="76">
      <x:c r="A76" s="252" t="str">
        <x:v>WS1</x:v>
      </x:c>
      <x:c r="B76" s="253" t="str">
        <x:v>Abu1202</x:v>
      </x:c>
      <x:c r="C76" s="259" t="n">
        <x:v>46077.166666666664</x:v>
      </x:c>
      <x:c r="D76" s="253" t="str">
        <x:v>Serene</x:v>
      </x:c>
      <x:c r="E76" s="253" t="str">
        <x:v>188600</x:v>
      </x:c>
      <x:c r="F76" s="277" t="str"/>
    </x:row>
    <x:row r="77">
      <x:c r="A77" s="252" t="str">
        <x:v>WS1</x:v>
      </x:c>
      <x:c r="B77" s="253" t="str">
        <x:v>Dragonfly</x:v>
      </x:c>
      <x:c r="C77" s="259" t="n">
        <x:v>46077.166666666664</x:v>
      </x:c>
      <x:c r="D77" s="253" t="str">
        <x:v>Serene</x:v>
      </x:c>
      <x:c r="E77" s="253" t="str">
        <x:v>231225</x:v>
      </x:c>
      <x:c r="F77" s="277" t="str">
        <x:v>FT_VM_FC_VARIABLE_8X - MYR 888</x:v>
      </x:c>
    </x:row>
    <x:row r="78">
      <x:c r="A78" s="252" t="str">
        <x:v>WS1</x:v>
      </x:c>
      <x:c r="B78" s="253" t="str">
        <x:v>mrusinpuyut</x:v>
      </x:c>
      <x:c r="C78" s="259" t="n">
        <x:v>46077.166666666664</x:v>
      </x:c>
      <x:c r="D78" s="253" t="str">
        <x:v>Serene</x:v>
      </x:c>
      <x:c r="E78" s="253" t="str">
        <x:v>567248</x:v>
      </x:c>
      <x:c r="F78" s="277" t="str"/>
    </x:row>
    <x:row r="79">
      <x:c r="A79" s="252" t="str">
        <x:v>WS1</x:v>
      </x:c>
      <x:c r="B79" s="253" t="str">
        <x:v>Shan1612</x:v>
      </x:c>
      <x:c r="C79" s="259" t="n">
        <x:v>46077.166666666664</x:v>
      </x:c>
      <x:c r="D79" s="253" t="str">
        <x:v>Serene</x:v>
      </x:c>
      <x:c r="E79" s="253" t="str">
        <x:v>144467</x:v>
      </x:c>
      <x:c r="F79" s="277" t="str"/>
    </x:row>
    <x:row r="80">
      <x:c r="A80" s="252" t="str">
        <x:v>WS1</x:v>
      </x:c>
      <x:c r="B80" s="253" t="str">
        <x:v>BBQ12122</x:v>
      </x:c>
      <x:c r="C80" s="259" t="n">
        <x:v>46077.166666666664</x:v>
      </x:c>
      <x:c r="D80" s="253" t="str">
        <x:v>Serene</x:v>
      </x:c>
      <x:c r="E80" s="253" t="str">
        <x:v>1043989</x:v>
      </x:c>
      <x:c r="F80" s="277" t="str">
        <x:v>FT_VM_DEP600_GET200_5X</x:v>
      </x:c>
    </x:row>
    <x:row r="81">
      <x:c r="A81" s="252" t="str">
        <x:v>WS1</x:v>
      </x:c>
      <x:c r="B81" s="253" t="str">
        <x:v>Syedrizal</x:v>
      </x:c>
      <x:c r="C81" s="259" t="n">
        <x:v>46077.166666666664</x:v>
      </x:c>
      <x:c r="D81" s="253" t="str">
        <x:v>Serene</x:v>
      </x:c>
      <x:c r="E81" s="253" t="str">
        <x:v>723246</x:v>
      </x:c>
      <x:c r="F81" s="277" t="str">
        <x:v>FT_VM_FC_VARIABLE_5X - MYR 588</x:v>
      </x:c>
    </x:row>
    <x:row r="82">
      <x:c r="A82" s="252" t="str">
        <x:v>WS1</x:v>
      </x:c>
      <x:c r="B82" s="253" t="str">
        <x:v>asadlangah317</x:v>
      </x:c>
      <x:c r="C82" s="259" t="n">
        <x:v>46077.166666666664</x:v>
      </x:c>
      <x:c r="D82" s="253" t="str">
        <x:v>Serene</x:v>
      </x:c>
      <x:c r="E82" s="253" t="str">
        <x:v>990296</x:v>
      </x:c>
      <x:c r="F82" s="277" t="str">
        <x:v>FT_VM_DEP600_GET200_5X</x:v>
      </x:c>
    </x:row>
    <x:row r="83">
      <x:c r="A83" s="252" t="str">
        <x:v>WS1</x:v>
      </x:c>
      <x:c r="B83" s="253" t="str">
        <x:v>Epoy96</x:v>
      </x:c>
      <x:c r="C83" s="259" t="n">
        <x:v>46077.166666666664</x:v>
      </x:c>
      <x:c r="D83" s="253" t="str">
        <x:v>Serene</x:v>
      </x:c>
      <x:c r="E83" s="253" t="str">
        <x:v>73158</x:v>
      </x:c>
      <x:c r="F83" s="277" t="str"/>
    </x:row>
    <x:row r="84">
      <x:c r="A84" s="252" t="str">
        <x:v>WS1</x:v>
      </x:c>
      <x:c r="B84" s="253" t="str">
        <x:v>Bosque95</x:v>
      </x:c>
      <x:c r="C84" s="259" t="n">
        <x:v>46077.166666666664</x:v>
      </x:c>
      <x:c r="D84" s="253" t="str">
        <x:v>Serene</x:v>
      </x:c>
      <x:c r="E84" s="253" t="str">
        <x:v>731684</x:v>
      </x:c>
      <x:c r="F84" s="277" t="str">
        <x:v>FT_VM_DEP800_GET400_2X</x:v>
      </x:c>
    </x:row>
    <x:row r="85">
      <x:c r="A85" s="252" t="str">
        <x:v>WS1</x:v>
      </x:c>
      <x:c r="B85" s="253" t="str">
        <x:v>Padubetol</x:v>
      </x:c>
      <x:c r="C85" s="259" t="n">
        <x:v>46077.166666666664</x:v>
      </x:c>
      <x:c r="D85" s="253" t="str">
        <x:v>Serene</x:v>
      </x:c>
      <x:c r="E85" s="253" t="str">
        <x:v>1051454</x:v>
      </x:c>
      <x:c r="F85" s="277" t="str"/>
    </x:row>
    <x:row r="86">
      <x:c r="A86" s="252" t="str">
        <x:v>WS1</x:v>
      </x:c>
      <x:c r="B86" s="253" t="str">
        <x:v>Mondolmdtutul</x:v>
      </x:c>
      <x:c r="C86" s="259" t="n">
        <x:v>46077.166666666664</x:v>
      </x:c>
      <x:c r="D86" s="253" t="str">
        <x:v>Serene</x:v>
      </x:c>
      <x:c r="E86" s="253" t="str">
        <x:v>923919</x:v>
      </x:c>
      <x:c r="F86" s="277" t="str"/>
    </x:row>
    <x:row r="87">
      <x:c r="A87" s="252" t="str">
        <x:v>WS1</x:v>
      </x:c>
      <x:c r="B87" s="253" t="str">
        <x:v>dong1993</x:v>
      </x:c>
      <x:c r="C87" s="259" t="n">
        <x:v>46077.166666666664</x:v>
      </x:c>
      <x:c r="D87" s="253" t="str">
        <x:v>Serene</x:v>
      </x:c>
      <x:c r="E87" s="253" t="str">
        <x:v>996288</x:v>
      </x:c>
      <x:c r="F87" s="277" t="str">
        <x:v>FT_VM_DEP600_GET200_5X</x:v>
      </x:c>
    </x:row>
    <x:row r="88">
      <x:c r="A88" s="252" t="str">
        <x:v>WS1</x:v>
      </x:c>
      <x:c r="B88" s="253" t="str">
        <x:v>Kobe0011</x:v>
      </x:c>
      <x:c r="C88" s="259" t="n">
        <x:v>46077.166666666664</x:v>
      </x:c>
      <x:c r="D88" s="253" t="str">
        <x:v>Serene</x:v>
      </x:c>
      <x:c r="E88" s="253" t="str">
        <x:v>1051646</x:v>
      </x:c>
      <x:c r="F88" s="277" t="str">
        <x:v>FT_VM_DEP600_GET200_5X</x:v>
      </x:c>
    </x:row>
    <x:row r="89">
      <x:c r="A89" s="252" t="str">
        <x:v>WS1</x:v>
      </x:c>
      <x:c r="B89" s="253" t="str">
        <x:v>Ap1802</x:v>
      </x:c>
      <x:c r="C89" s="259" t="n">
        <x:v>46077.166666666664</x:v>
      </x:c>
      <x:c r="D89" s="253" t="str">
        <x:v>Serene</x:v>
      </x:c>
      <x:c r="E89" s="253" t="str">
        <x:v>1054089</x:v>
      </x:c>
      <x:c r="F89" s="277" t="str"/>
    </x:row>
    <x:row r="90">
      <x:c r="A90" s="252" t="str">
        <x:v>WS1</x:v>
      </x:c>
      <x:c r="B90" s="253" t="str">
        <x:v>bc8888</x:v>
      </x:c>
      <x:c r="C90" s="259" t="n">
        <x:v>46077.166666666664</x:v>
      </x:c>
      <x:c r="D90" s="253" t="str">
        <x:v>Serene</x:v>
      </x:c>
      <x:c r="E90" s="253" t="str">
        <x:v>842097</x:v>
      </x:c>
      <x:c r="F90" s="277" t="str"/>
    </x:row>
    <x:row r="91">
      <x:c r="A91" s="252" t="str">
        <x:v>WS1</x:v>
      </x:c>
      <x:c r="B91" s="253" t="str">
        <x:v>Lisaleelee</x:v>
      </x:c>
      <x:c r="C91" s="259" t="n">
        <x:v>46077.166666666664</x:v>
      </x:c>
      <x:c r="D91" s="253" t="str">
        <x:v>Serene</x:v>
      </x:c>
      <x:c r="E91" s="253" t="str">
        <x:v>925527</x:v>
      </x:c>
      <x:c r="F91" s="277" t="str"/>
    </x:row>
    <x:row r="92">
      <x:c r="A92" s="252" t="str">
        <x:v>WS1</x:v>
      </x:c>
      <x:c r="B92" s="253" t="str">
        <x:v>Yayay75</x:v>
      </x:c>
      <x:c r="C92" s="259" t="n">
        <x:v>46077.166666666664</x:v>
      </x:c>
      <x:c r="D92" s="253" t="str">
        <x:v>Serene</x:v>
      </x:c>
      <x:c r="E92" s="253" t="str">
        <x:v>927189</x:v>
      </x:c>
      <x:c r="F92" s="277" t="str">
        <x:v>FT_VM_FC_VARIABLE_5X - MYR 588</x:v>
      </x:c>
    </x:row>
    <x:row r="93">
      <x:c r="A93" s="252" t="str">
        <x:v>WS1</x:v>
      </x:c>
      <x:c r="B93" s="253" t="str">
        <x:v>Jaikanes92</x:v>
      </x:c>
      <x:c r="C93" s="259" t="n">
        <x:v>46077.166666666664</x:v>
      </x:c>
      <x:c r="D93" s="253" t="str">
        <x:v>Serene</x:v>
      </x:c>
      <x:c r="E93" s="253" t="str">
        <x:v>928553</x:v>
      </x:c>
      <x:c r="F93" s="277" t="str">
        <x:v>FT_VM_DEP800_GET400_2X</x:v>
      </x:c>
    </x:row>
    <x:row r="94">
      <x:c r="A94" s="252" t="str">
        <x:v>WS1</x:v>
      </x:c>
      <x:c r="B94" s="253" t="str">
        <x:v>D1995</x:v>
      </x:c>
      <x:c r="C94" s="259" t="n">
        <x:v>46077.166666666664</x:v>
      </x:c>
      <x:c r="D94" s="253" t="str">
        <x:v>Serene</x:v>
      </x:c>
      <x:c r="E94" s="253" t="str">
        <x:v>855550</x:v>
      </x:c>
      <x:c r="F94" s="277" t="str"/>
    </x:row>
    <x:row r="95">
      <x:c r="A95" s="252" t="str">
        <x:v>WS1</x:v>
      </x:c>
      <x:c r="B95" s="253" t="str">
        <x:v>Kenny8898</x:v>
      </x:c>
      <x:c r="C95" s="259" t="n">
        <x:v>46077.166666666664</x:v>
      </x:c>
      <x:c r="D95" s="253" t="str">
        <x:v>Serene</x:v>
      </x:c>
      <x:c r="E95" s="253" t="str">
        <x:v>1159229</x:v>
      </x:c>
      <x:c r="F95" s="277" t="str">
        <x:v>FT_VM_DEP800_GET400_1X</x:v>
      </x:c>
    </x:row>
    <x:row r="96">
      <x:c r="A96" s="252" t="str">
        <x:v>WS1</x:v>
      </x:c>
      <x:c r="B96" s="253" t="str">
        <x:v>Tiezia</x:v>
      </x:c>
      <x:c r="C96" s="259" t="n">
        <x:v>46077.166666666664</x:v>
      </x:c>
      <x:c r="D96" s="253" t="str">
        <x:v>Serene</x:v>
      </x:c>
      <x:c r="E96" s="253" t="str">
        <x:v>1166142</x:v>
      </x:c>
      <x:c r="F96" s="277" t="str"/>
    </x:row>
    <x:row r="97">
      <x:c r="A97" s="252" t="str">
        <x:v>WS1</x:v>
      </x:c>
      <x:c r="B97" s="253" t="str">
        <x:v>armizam88</x:v>
      </x:c>
      <x:c r="C97" s="259" t="n">
        <x:v>46077.166666666664</x:v>
      </x:c>
      <x:c r="D97" s="253" t="str">
        <x:v>Serene</x:v>
      </x:c>
      <x:c r="E97" s="253" t="str">
        <x:v>1171941</x:v>
      </x:c>
      <x:c r="F97" s="277" t="str">
        <x:v>FT_VM_DEP800_GET400_1X</x:v>
      </x:c>
    </x:row>
    <x:row r="98">
      <x:c r="A98" s="252" t="str">
        <x:v>WS1</x:v>
      </x:c>
      <x:c r="B98" s="253" t="str">
        <x:v>Mdbukhari93</x:v>
      </x:c>
      <x:c r="C98" s="259" t="n">
        <x:v>46077.166666666664</x:v>
      </x:c>
      <x:c r="D98" s="253" t="str">
        <x:v>Serene</x:v>
      </x:c>
      <x:c r="E98" s="253" t="str">
        <x:v>1174795</x:v>
      </x:c>
      <x:c r="F98" s="277" t="str"/>
    </x:row>
    <x:row r="99">
      <x:c r="A99" s="252" t="str">
        <x:v>WS1</x:v>
      </x:c>
      <x:c r="B99" s="253" t="str">
        <x:v>Thiva2727</x:v>
      </x:c>
      <x:c r="C99" s="259" t="n">
        <x:v>46077.166666666664</x:v>
      </x:c>
      <x:c r="D99" s="253" t="str">
        <x:v>Serene</x:v>
      </x:c>
      <x:c r="E99" s="253" t="str">
        <x:v>567523</x:v>
      </x:c>
      <x:c r="F99" s="277" t="str"/>
    </x:row>
    <x:row r="100">
      <x:c r="A100" s="252" t="str">
        <x:v>WS1</x:v>
      </x:c>
      <x:c r="B100" s="253" t="str">
        <x:v>jeevan8421</x:v>
      </x:c>
      <x:c r="C100" s="259" t="n">
        <x:v>46077.166666666664</x:v>
      </x:c>
      <x:c r="D100" s="253" t="str">
        <x:v>Serene</x:v>
      </x:c>
      <x:c r="E100" s="253" t="str">
        <x:v>362199</x:v>
      </x:c>
      <x:c r="F100" s="277" t="str">
        <x:v>FT_VM_FC_VARIABLE_8X - MYR 288</x:v>
      </x:c>
    </x:row>
    <x:row r="101">
      <x:c r="A101" s="252" t="str">
        <x:v>WS1</x:v>
      </x:c>
      <x:c r="B101" s="253" t="str">
        <x:v>Lcn2128</x:v>
      </x:c>
      <x:c r="C101" s="259" t="n">
        <x:v>46077.166666666664</x:v>
      </x:c>
      <x:c r="D101" s="253" t="str">
        <x:v>Jiahui</x:v>
      </x:c>
      <x:c r="E101" s="253" t="str">
        <x:v>443837</x:v>
      </x:c>
      <x:c r="F101" s="277" t="str"/>
    </x:row>
    <x:row r="102">
      <x:c r="A102" s="252" t="str">
        <x:v>WS1</x:v>
      </x:c>
      <x:c r="B102" s="253" t="str">
        <x:v>myatmin84</x:v>
      </x:c>
      <x:c r="C102" s="259" t="n">
        <x:v>46077.166666666664</x:v>
      </x:c>
      <x:c r="D102" s="253" t="str">
        <x:v>Jiahui</x:v>
      </x:c>
      <x:c r="E102" s="253" t="str">
        <x:v>522075</x:v>
      </x:c>
      <x:c r="F102" s="277" t="str">
        <x:v>FT_VM_DEP600_GET200_5X</x:v>
      </x:c>
    </x:row>
    <x:row r="103">
      <x:c r="A103" s="252" t="str">
        <x:v>WS1</x:v>
      </x:c>
      <x:c r="B103" s="253" t="str">
        <x:v>Amirkamal77</x:v>
      </x:c>
      <x:c r="C103" s="259" t="n">
        <x:v>46077.166666666664</x:v>
      </x:c>
      <x:c r="D103" s="253" t="str">
        <x:v>Jiahui</x:v>
      </x:c>
      <x:c r="E103" s="253" t="str">
        <x:v>937206</x:v>
      </x:c>
      <x:c r="F103" s="277" t="str"/>
    </x:row>
    <x:row r="104">
      <x:c r="A104" s="252" t="str">
        <x:v>WS1</x:v>
      </x:c>
      <x:c r="B104" s="253" t="str">
        <x:v>haneycasper08</x:v>
      </x:c>
      <x:c r="C104" s="259" t="n">
        <x:v>46077.166666666664</x:v>
      </x:c>
      <x:c r="D104" s="253" t="str">
        <x:v>Jiahui</x:v>
      </x:c>
      <x:c r="E104" s="253" t="str">
        <x:v>16750</x:v>
      </x:c>
      <x:c r="F104" s="277" t="str"/>
    </x:row>
    <x:row r="105">
      <x:c r="A105" s="252" t="str">
        <x:v>WS1</x:v>
      </x:c>
      <x:c r="B105" s="253" t="str">
        <x:v>Honestboy</x:v>
      </x:c>
      <x:c r="C105" s="259" t="n">
        <x:v>46077.166666666664</x:v>
      </x:c>
      <x:c r="D105" s="253" t="str">
        <x:v>Jiahui</x:v>
      </x:c>
      <x:c r="E105" s="253" t="str">
        <x:v>900782</x:v>
      </x:c>
      <x:c r="F105" s="277" t="str"/>
    </x:row>
    <x:row r="106">
      <x:c r="A106" s="252" t="str">
        <x:v>WS1</x:v>
      </x:c>
      <x:c r="B106" s="253" t="str">
        <x:v>Babu4456</x:v>
      </x:c>
      <x:c r="C106" s="259" t="n">
        <x:v>46077.166666666664</x:v>
      </x:c>
      <x:c r="D106" s="253" t="str">
        <x:v>Jiahui</x:v>
      </x:c>
      <x:c r="E106" s="253" t="str">
        <x:v>775458</x:v>
      </x:c>
      <x:c r="F106" s="277" t="str"/>
    </x:row>
    <x:row r="107">
      <x:c r="A107" s="252" t="str">
        <x:v>WS1</x:v>
      </x:c>
      <x:c r="B107" s="253" t="str">
        <x:v>Jeremy73ow</x:v>
      </x:c>
      <x:c r="C107" s="259" t="n">
        <x:v>46077.166666666664</x:v>
      </x:c>
      <x:c r="D107" s="253" t="str">
        <x:v>Jiahui</x:v>
      </x:c>
      <x:c r="E107" s="253" t="str">
        <x:v>821855</x:v>
      </x:c>
      <x:c r="F107" s="277" t="str"/>
    </x:row>
    <x:row r="108">
      <x:c r="A108" s="252" t="str">
        <x:v>WS1</x:v>
      </x:c>
      <x:c r="B108" s="253" t="str">
        <x:v>Bonnygoh</x:v>
      </x:c>
      <x:c r="C108" s="259" t="n">
        <x:v>46077.166666666664</x:v>
      </x:c>
      <x:c r="D108" s="253" t="str">
        <x:v>Jiahui</x:v>
      </x:c>
      <x:c r="E108" s="253" t="str">
        <x:v>822504</x:v>
      </x:c>
      <x:c r="F108" s="277" t="str"/>
    </x:row>
    <x:row r="109">
      <x:c r="A109" s="252" t="str">
        <x:v>WS1</x:v>
      </x:c>
      <x:c r="B109" s="253" t="str">
        <x:v>apoi25</x:v>
      </x:c>
      <x:c r="C109" s="259" t="n">
        <x:v>46077.166666666664</x:v>
      </x:c>
      <x:c r="D109" s="253" t="str">
        <x:v>Jiahui</x:v>
      </x:c>
      <x:c r="E109" s="253" t="str">
        <x:v>82328</x:v>
      </x:c>
      <x:c r="F109" s="277" t="str"/>
    </x:row>
    <x:row r="110">
      <x:c r="A110" s="252" t="str">
        <x:v>WS1</x:v>
      </x:c>
      <x:c r="B110" s="253" t="str">
        <x:v>ngvincent264</x:v>
      </x:c>
      <x:c r="C110" s="259" t="n">
        <x:v>46077.166666666664</x:v>
      </x:c>
      <x:c r="D110" s="253" t="str">
        <x:v>Jiahui</x:v>
      </x:c>
      <x:c r="E110" s="253" t="str">
        <x:v>1101295</x:v>
      </x:c>
      <x:c r="F110" s="277" t="str">
        <x:v>FT_VM_DEP1000_GET500_1X</x:v>
      </x:c>
    </x:row>
    <x:row r="111">
      <x:c r="A111" s="252" t="str">
        <x:v>WS1</x:v>
      </x:c>
      <x:c r="B111" s="253" t="str">
        <x:v>jijija</x:v>
      </x:c>
      <x:c r="C111" s="259" t="n">
        <x:v>46077.166666666664</x:v>
      </x:c>
      <x:c r="D111" s="253" t="str">
        <x:v>Jiahui</x:v>
      </x:c>
      <x:c r="E111" s="253" t="str">
        <x:v>1103104</x:v>
      </x:c>
      <x:c r="F111" s="277" t="str"/>
    </x:row>
    <x:row r="112">
      <x:c r="A112" s="252" t="str">
        <x:v>WS1</x:v>
      </x:c>
      <x:c r="B112" s="253" t="str">
        <x:v>danone</x:v>
      </x:c>
      <x:c r="C112" s="259" t="n">
        <x:v>46077.166666666664</x:v>
      </x:c>
      <x:c r="D112" s="253" t="str">
        <x:v>Jiahui</x:v>
      </x:c>
      <x:c r="E112" s="253" t="str">
        <x:v>666513</x:v>
      </x:c>
      <x:c r="F112" s="277" t="str">
        <x:v>FT_VM_DEP1000_GET500_5X</x:v>
      </x:c>
    </x:row>
    <x:row r="113">
      <x:c r="A113" s="252" t="str">
        <x:v>WS1</x:v>
      </x:c>
      <x:c r="B113" s="253" t="str">
        <x:v>Sonique</x:v>
      </x:c>
      <x:c r="C113" s="259" t="n">
        <x:v>46077.166666666664</x:v>
      </x:c>
      <x:c r="D113" s="253" t="str">
        <x:v>Jiahui</x:v>
      </x:c>
      <x:c r="E113" s="253" t="str">
        <x:v>1051205</x:v>
      </x:c>
      <x:c r="F113" s="277" t="str">
        <x:v>FT_VM_DEP600_GET200_5X</x:v>
      </x:c>
    </x:row>
    <x:row r="114">
      <x:c r="A114" s="252" t="str">
        <x:v>WS1</x:v>
      </x:c>
      <x:c r="B114" s="253" t="str">
        <x:v>Nandos8</x:v>
      </x:c>
      <x:c r="C114" s="259" t="n">
        <x:v>46077.166666666664</x:v>
      </x:c>
      <x:c r="D114" s="253" t="str">
        <x:v>Sheena</x:v>
      </x:c>
      <x:c r="E114" s="253" t="str">
        <x:v>998457</x:v>
      </x:c>
      <x:c r="F114" s="277" t="str"/>
    </x:row>
    <x:row r="115">
      <x:c r="A115" s="252" t="str">
        <x:v>WS1</x:v>
      </x:c>
      <x:c r="B115" s="253" t="str">
        <x:v>Lucas86</x:v>
      </x:c>
      <x:c r="C115" s="259" t="n">
        <x:v>46077.166666666664</x:v>
      </x:c>
      <x:c r="D115" s="253" t="str">
        <x:v>Sheena</x:v>
      </x:c>
      <x:c r="E115" s="253" t="str">
        <x:v>540384</x:v>
      </x:c>
      <x:c r="F115" s="277" t="str">
        <x:v>FT_VM_DEP600_GET200_5X</x:v>
      </x:c>
    </x:row>
    <x:row r="116">
      <x:c r="A116" s="252" t="str">
        <x:v>WS1</x:v>
      </x:c>
      <x:c r="B116" s="253" t="str">
        <x:v>Boonminlim</x:v>
      </x:c>
      <x:c r="C116" s="259" t="n">
        <x:v>46077.166666666664</x:v>
      </x:c>
      <x:c r="D116" s="253" t="str">
        <x:v>Sheena</x:v>
      </x:c>
      <x:c r="E116" s="253" t="str">
        <x:v>390084</x:v>
      </x:c>
      <x:c r="F116" s="277" t="str"/>
    </x:row>
    <x:row r="117">
      <x:c r="A117" s="252" t="str">
        <x:v>WS1</x:v>
      </x:c>
      <x:c r="B117" s="253" t="str">
        <x:v>Hadi86</x:v>
      </x:c>
      <x:c r="C117" s="259" t="n">
        <x:v>46077.166666666664</x:v>
      </x:c>
      <x:c r="D117" s="253" t="str">
        <x:v>Sheena</x:v>
      </x:c>
      <x:c r="E117" s="253" t="str">
        <x:v>148422</x:v>
      </x:c>
      <x:c r="F117" s="277" t="str">
        <x:v>FT_VM_DEP800_GET400_2X</x:v>
      </x:c>
    </x:row>
    <x:row r="118">
      <x:c r="A118" s="252" t="str">
        <x:v>WS1</x:v>
      </x:c>
      <x:c r="B118" s="253" t="str">
        <x:v>Nabil885000</x:v>
      </x:c>
      <x:c r="C118" s="259" t="n">
        <x:v>46077.166666666664</x:v>
      </x:c>
      <x:c r="D118" s="253" t="str">
        <x:v>Sheena</x:v>
      </x:c>
      <x:c r="E118" s="253" t="str">
        <x:v>1182388</x:v>
      </x:c>
      <x:c r="F118" s="277" t="str"/>
    </x:row>
    <x:row r="119">
      <x:c r="A119" s="252" t="str">
        <x:v>WS1</x:v>
      </x:c>
      <x:c r="B119" s="253" t="str">
        <x:v>Saravanan88</x:v>
      </x:c>
      <x:c r="C119" s="259" t="n">
        <x:v>46077.166666666664</x:v>
      </x:c>
      <x:c r="D119" s="253" t="str">
        <x:v>Sheena</x:v>
      </x:c>
      <x:c r="E119" s="253" t="str">
        <x:v>531267</x:v>
      </x:c>
      <x:c r="F119" s="277" t="str"/>
    </x:row>
    <x:row r="120">
      <x:c r="A120" s="252" t="str">
        <x:v>WS1</x:v>
      </x:c>
      <x:c r="B120" s="253" t="str">
        <x:v>Man860207</x:v>
      </x:c>
      <x:c r="C120" s="259" t="n">
        <x:v>46077.166666666664</x:v>
      </x:c>
      <x:c r="D120" s="253" t="str">
        <x:v>Sheena</x:v>
      </x:c>
      <x:c r="E120" s="253" t="str">
        <x:v>125928</x:v>
      </x:c>
      <x:c r="F120" s="277" t="str"/>
    </x:row>
    <x:row r="121">
      <x:c r="A121" s="252" t="str">
        <x:v>WS1</x:v>
      </x:c>
      <x:c r="B121" s="253" t="str">
        <x:v>Alongm</x:v>
      </x:c>
      <x:c r="C121" s="259" t="n">
        <x:v>46077.166666666664</x:v>
      </x:c>
      <x:c r="D121" s="253" t="str">
        <x:v>Sheena</x:v>
      </x:c>
      <x:c r="E121" s="253" t="str">
        <x:v>140778</x:v>
      </x:c>
      <x:c r="F121" s="277" t="str"/>
    </x:row>
    <x:row r="122">
      <x:c r="A122" s="252" t="str">
        <x:v>WS1</x:v>
      </x:c>
      <x:c r="B122" s="253" t="str">
        <x:v>Winniepeng</x:v>
      </x:c>
      <x:c r="C122" s="259" t="n">
        <x:v>46077.166666666664</x:v>
      </x:c>
      <x:c r="D122" s="253" t="str">
        <x:v>Sheena</x:v>
      </x:c>
      <x:c r="E122" s="253" t="str">
        <x:v>635433</x:v>
      </x:c>
      <x:c r="F122" s="277" t="str"/>
    </x:row>
    <x:row r="123">
      <x:c r="A123" s="252" t="str">
        <x:v>WS1</x:v>
      </x:c>
      <x:c r="B123" s="253" t="str">
        <x:v>Mae223</x:v>
      </x:c>
      <x:c r="C123" s="259" t="n">
        <x:v>46077.166666666664</x:v>
      </x:c>
      <x:c r="D123" s="253" t="str">
        <x:v>Sheena</x:v>
      </x:c>
      <x:c r="E123" s="253" t="str">
        <x:v>282880</x:v>
      </x:c>
      <x:c r="F123" s="277" t="str"/>
    </x:row>
    <x:row r="124">
      <x:c r="A124" s="252" t="str">
        <x:v>WS1</x:v>
      </x:c>
      <x:c r="B124" s="253" t="str">
        <x:v>Bella92</x:v>
      </x:c>
      <x:c r="C124" s="259" t="n">
        <x:v>46077.166666666664</x:v>
      </x:c>
      <x:c r="D124" s="253" t="str">
        <x:v>Sheena</x:v>
      </x:c>
      <x:c r="E124" s="253" t="str">
        <x:v>656500</x:v>
      </x:c>
      <x:c r="F124" s="277" t="str"/>
    </x:row>
    <x:row r="125">
      <x:c r="A125" s="252" t="str">
        <x:v>WS1</x:v>
      </x:c>
      <x:c r="B125" s="253" t="str">
        <x:v>onnonn0709</x:v>
      </x:c>
      <x:c r="C125" s="259" t="n">
        <x:v>46077.166666666664</x:v>
      </x:c>
      <x:c r="D125" s="253" t="str">
        <x:v>Sheena</x:v>
      </x:c>
      <x:c r="E125" s="253" t="str">
        <x:v>494747</x:v>
      </x:c>
      <x:c r="F125" s="277" t="str">
        <x:v>FT_VM_DEP1000_GET700_2X</x:v>
      </x:c>
    </x:row>
    <x:row r="126">
      <x:c r="A126" s="252" t="str">
        <x:v>WS1</x:v>
      </x:c>
      <x:c r="B126" s="253" t="str">
        <x:v>Casshidi</x:v>
      </x:c>
      <x:c r="C126" s="259" t="n">
        <x:v>46077.166666666664</x:v>
      </x:c>
      <x:c r="D126" s="253" t="str">
        <x:v>Sheena</x:v>
      </x:c>
      <x:c r="E126" s="253" t="str">
        <x:v>448378</x:v>
      </x:c>
      <x:c r="F126" s="277" t="str">
        <x:v>FT_VM_DEP1000_GET500_5X</x:v>
      </x:c>
    </x:row>
    <x:row r="127">
      <x:c r="A127" s="252" t="str">
        <x:v>WS1</x:v>
      </x:c>
      <x:c r="B127" s="253" t="str">
        <x:v>jifrin270293</x:v>
      </x:c>
      <x:c r="C127" s="259" t="n">
        <x:v>46077.166666666664</x:v>
      </x:c>
      <x:c r="D127" s="253" t="str">
        <x:v>Sheena</x:v>
      </x:c>
      <x:c r="E127" s="253" t="str">
        <x:v>542325</x:v>
      </x:c>
      <x:c r="F127" s="277" t="str"/>
    </x:row>
    <x:row r="128">
      <x:c r="A128" s="252" t="str">
        <x:v>WS1</x:v>
      </x:c>
      <x:c r="B128" s="253" t="str">
        <x:v>FoX00</x:v>
      </x:c>
      <x:c r="C128" s="259" t="n">
        <x:v>46077.166666666664</x:v>
      </x:c>
      <x:c r="D128" s="253" t="str">
        <x:v>Sheena</x:v>
      </x:c>
      <x:c r="E128" s="253" t="str">
        <x:v>598137</x:v>
      </x:c>
      <x:c r="F128" s="277" t="str"/>
    </x:row>
    <x:row r="129">
      <x:c r="A129" s="252" t="str">
        <x:v>WS1</x:v>
      </x:c>
      <x:c r="B129" s="253" t="str">
        <x:v>Emmachung</x:v>
      </x:c>
      <x:c r="C129" s="259" t="n">
        <x:v>46077.166666666664</x:v>
      </x:c>
      <x:c r="D129" s="253" t="str">
        <x:v>Sheena</x:v>
      </x:c>
      <x:c r="E129" s="253" t="str">
        <x:v>90842</x:v>
      </x:c>
      <x:c r="F129" s="277" t="str"/>
    </x:row>
    <x:row r="130">
      <x:c r="A130" s="252" t="str">
        <x:v>WS1</x:v>
      </x:c>
      <x:c r="B130" s="253" t="str">
        <x:v>beibei</x:v>
      </x:c>
      <x:c r="C130" s="259" t="n">
        <x:v>46077.166666666664</x:v>
      </x:c>
      <x:c r="D130" s="253" t="str">
        <x:v>Sheena</x:v>
      </x:c>
      <x:c r="E130" s="253" t="str">
        <x:v>674920</x:v>
      </x:c>
      <x:c r="F130" s="277" t="str"/>
    </x:row>
    <x:row r="131">
      <x:c r="A131" s="252" t="str">
        <x:v>WS1</x:v>
      </x:c>
      <x:c r="B131" s="253" t="str">
        <x:v>huang999</x:v>
      </x:c>
      <x:c r="C131" s="259" t="n">
        <x:v>46077.166666666664</x:v>
      </x:c>
      <x:c r="D131" s="253" t="str">
        <x:v>Sheena</x:v>
      </x:c>
      <x:c r="E131" s="253" t="str">
        <x:v>711296</x:v>
      </x:c>
      <x:c r="F131" s="277" t="str"/>
    </x:row>
    <x:row r="132">
      <x:c r="A132" s="252" t="str">
        <x:v>WS1</x:v>
      </x:c>
      <x:c r="B132" s="253" t="str">
        <x:v>Jane2107</x:v>
      </x:c>
      <x:c r="C132" s="259" t="n">
        <x:v>46077.166666666664</x:v>
      </x:c>
      <x:c r="D132" s="253" t="str">
        <x:v>Sheena</x:v>
      </x:c>
      <x:c r="E132" s="253" t="str">
        <x:v>263575</x:v>
      </x:c>
      <x:c r="F132" s="277" t="str"/>
    </x:row>
    <x:row r="133">
      <x:c r="A133" s="252" t="str">
        <x:v>WS1</x:v>
      </x:c>
      <x:c r="B133" s="253" t="str">
        <x:v>Matterap</x:v>
      </x:c>
      <x:c r="C133" s="259" t="n">
        <x:v>46077.166666666664</x:v>
      </x:c>
      <x:c r="D133" s="253" t="str">
        <x:v>Mikki</x:v>
      </x:c>
      <x:c r="E133" s="253" t="str">
        <x:v>442492</x:v>
      </x:c>
      <x:c r="F133" s="277" t="str">
        <x:v>DORMANT</x:v>
      </x:c>
    </x:row>
    <x:row r="134">
      <x:c r="A134" s="252" t="str">
        <x:v>WS1</x:v>
      </x:c>
      <x:c r="B134" s="253" t="str">
        <x:v>zoolander7</x:v>
      </x:c>
      <x:c r="C134" s="259" t="n">
        <x:v>46077.166666666664</x:v>
      </x:c>
      <x:c r="D134" s="253" t="str">
        <x:v>Mikki</x:v>
      </x:c>
      <x:c r="E134" s="253" t="str">
        <x:v>529403</x:v>
      </x:c>
      <x:c r="F134" s="277" t="str"/>
    </x:row>
    <x:row r="135">
      <x:c r="A135" s="252" t="str">
        <x:v>WS1</x:v>
      </x:c>
      <x:c r="B135" s="253" t="str">
        <x:v>ELHELH</x:v>
      </x:c>
      <x:c r="C135" s="259" t="n">
        <x:v>46077.166666666664</x:v>
      </x:c>
      <x:c r="D135" s="253" t="str">
        <x:v>Mikki</x:v>
      </x:c>
      <x:c r="E135" s="253" t="str">
        <x:v>282920</x:v>
      </x:c>
      <x:c r="F135" s="277" t="str">
        <x:v>FT_VM_DEP800_GET400_2X</x:v>
      </x:c>
    </x:row>
    <x:row r="136">
      <x:c r="A136" s="252" t="str">
        <x:v>WS1</x:v>
      </x:c>
      <x:c r="B136" s="253" t="str">
        <x:v>Harun87</x:v>
      </x:c>
      <x:c r="C136" s="259" t="n">
        <x:v>46077.166666666664</x:v>
      </x:c>
      <x:c r="D136" s="253" t="str">
        <x:v>Mikki</x:v>
      </x:c>
      <x:c r="E136" s="253" t="str">
        <x:v>168627</x:v>
      </x:c>
      <x:c r="F136" s="277" t="str">
        <x:v>DORMANT</x:v>
      </x:c>
    </x:row>
    <x:row r="137">
      <x:c r="A137" s="252" t="str">
        <x:v>WS1</x:v>
      </x:c>
      <x:c r="B137" s="253" t="str">
        <x:v>Dayung91</x:v>
      </x:c>
      <x:c r="C137" s="259" t="n">
        <x:v>46077.166666666664</x:v>
      </x:c>
      <x:c r="D137" s="253" t="str">
        <x:v>Mikki</x:v>
      </x:c>
      <x:c r="E137" s="253" t="str">
        <x:v>171088</x:v>
      </x:c>
      <x:c r="F137" s="277" t="str">
        <x:v>DORMANT</x:v>
      </x:c>
    </x:row>
    <x:row r="138">
      <x:c r="A138" s="252" t="str">
        <x:v>WS1</x:v>
      </x:c>
      <x:c r="B138" s="253" t="str">
        <x:v>nanot0058</x:v>
      </x:c>
      <x:c r="C138" s="259" t="n">
        <x:v>46077.166666666664</x:v>
      </x:c>
      <x:c r="D138" s="253" t="str">
        <x:v>Mikki</x:v>
      </x:c>
      <x:c r="E138" s="253" t="str">
        <x:v>96473</x:v>
      </x:c>
      <x:c r="F138" s="277" t="str">
        <x:v>DORMANT</x:v>
      </x:c>
    </x:row>
    <x:row r="139">
      <x:c r="A139" s="252" t="str">
        <x:v>WS1</x:v>
      </x:c>
      <x:c r="B139" s="253" t="str">
        <x:v>Nyoi94</x:v>
      </x:c>
      <x:c r="C139" s="259" t="n">
        <x:v>46077.166666666664</x:v>
      </x:c>
      <x:c r="D139" s="253" t="str">
        <x:v>Mikki</x:v>
      </x:c>
      <x:c r="E139" s="253" t="str">
        <x:v>968966</x:v>
      </x:c>
      <x:c r="F139" s="277" t="str">
        <x:v>FT_VM_DEP800_GET400_1X</x:v>
      </x:c>
    </x:row>
    <x:row r="140">
      <x:c r="A140" s="252" t="str">
        <x:v>WS1</x:v>
      </x:c>
      <x:c r="B140" s="253" t="str">
        <x:v>aizatjoker93</x:v>
      </x:c>
      <x:c r="C140" s="259" t="n">
        <x:v>46077.166666666664</x:v>
      </x:c>
      <x:c r="D140" s="253" t="str">
        <x:v>Mikki</x:v>
      </x:c>
      <x:c r="E140" s="253" t="str">
        <x:v>1135831</x:v>
      </x:c>
      <x:c r="F140" s="277" t="str"/>
    </x:row>
    <x:row r="141">
      <x:c r="A141" s="252" t="str">
        <x:v>WS1</x:v>
      </x:c>
      <x:c r="B141" s="253" t="str">
        <x:v>sweekeat3137</x:v>
      </x:c>
      <x:c r="C141" s="259" t="n">
        <x:v>46077.166666666664</x:v>
      </x:c>
      <x:c r="D141" s="253" t="str">
        <x:v>Mikki</x:v>
      </x:c>
      <x:c r="E141" s="253" t="str">
        <x:v>1140364</x:v>
      </x:c>
      <x:c r="F141" s="277" t="str">
        <x:v>DORMANT</x:v>
      </x:c>
    </x:row>
    <x:row r="142">
      <x:c r="A142" s="252" t="str">
        <x:v>WS1</x:v>
      </x:c>
      <x:c r="B142" s="253" t="str">
        <x:v>Louis6091</x:v>
      </x:c>
      <x:c r="C142" s="259" t="n">
        <x:v>46077.166666666664</x:v>
      </x:c>
      <x:c r="D142" s="253" t="str">
        <x:v>Mikki</x:v>
      </x:c>
      <x:c r="E142" s="253" t="str">
        <x:v>70876</x:v>
      </x:c>
      <x:c r="F142" s="277" t="str">
        <x:v>DORMANT</x:v>
      </x:c>
    </x:row>
    <x:row r="143">
      <x:c r="A143" s="252" t="str">
        <x:v>WS1</x:v>
      </x:c>
      <x:c r="B143" s="253" t="str">
        <x:v>Bayar</x:v>
      </x:c>
      <x:c r="C143" s="259" t="n">
        <x:v>46077.166666666664</x:v>
      </x:c>
      <x:c r="D143" s="253" t="str">
        <x:v>Mikki</x:v>
      </x:c>
      <x:c r="E143" s="253" t="str">
        <x:v>708883</x:v>
      </x:c>
      <x:c r="F143" s="277" t="str">
        <x:v>DORMANT</x:v>
      </x:c>
    </x:row>
    <x:row r="144">
      <x:c r="A144" s="252" t="str">
        <x:v>WS1</x:v>
      </x:c>
      <x:c r="B144" s="253" t="str">
        <x:v>Aber85</x:v>
      </x:c>
      <x:c r="C144" s="259" t="n">
        <x:v>46077.166666666664</x:v>
      </x:c>
      <x:c r="D144" s="253" t="str">
        <x:v>Mikki</x:v>
      </x:c>
      <x:c r="E144" s="253" t="str">
        <x:v>712243</x:v>
      </x:c>
      <x:c r="F144" s="277" t="str"/>
    </x:row>
    <x:row r="145">
      <x:c r="A145" s="252" t="str">
        <x:v>WS1</x:v>
      </x:c>
      <x:c r="B145" s="253" t="str">
        <x:v>Hairi03</x:v>
      </x:c>
      <x:c r="C145" s="259" t="n">
        <x:v>46077.166666666664</x:v>
      </x:c>
      <x:c r="D145" s="253" t="str">
        <x:v>Mikki</x:v>
      </x:c>
      <x:c r="E145" s="253" t="str">
        <x:v>774982</x:v>
      </x:c>
      <x:c r="F145" s="277" t="str"/>
    </x:row>
    <x:row r="146">
      <x:c r="A146" s="252" t="str">
        <x:v>WS1</x:v>
      </x:c>
      <x:c r="B146" s="253" t="str">
        <x:v>Aimanaziman</x:v>
      </x:c>
      <x:c r="C146" s="259" t="n">
        <x:v>46077.166666666664</x:v>
      </x:c>
      <x:c r="D146" s="253" t="str">
        <x:v>Mikki</x:v>
      </x:c>
      <x:c r="E146" s="253" t="str">
        <x:v>778235</x:v>
      </x:c>
      <x:c r="F146" s="277" t="str"/>
    </x:row>
    <x:row r="147">
      <x:c r="A147" s="252" t="str">
        <x:v>WS1</x:v>
      </x:c>
      <x:c r="B147" s="253" t="str">
        <x:v>iwan9912</x:v>
      </x:c>
      <x:c r="C147" s="259" t="n">
        <x:v>46077.166666666664</x:v>
      </x:c>
      <x:c r="D147" s="253" t="str">
        <x:v>Mikki</x:v>
      </x:c>
      <x:c r="E147" s="253" t="str">
        <x:v>780833</x:v>
      </x:c>
      <x:c r="F147" s="277" t="str">
        <x:v>FT_VM_DEP600_GET200_5X</x:v>
      </x:c>
    </x:row>
    <x:row r="148">
      <x:c r="A148" s="252" t="str">
        <x:v>WS1</x:v>
      </x:c>
      <x:c r="B148" s="253" t="str">
        <x:v>xXyzd5Xz</x:v>
      </x:c>
      <x:c r="C148" s="259" t="n">
        <x:v>46077.166666666664</x:v>
      </x:c>
      <x:c r="D148" s="253" t="str">
        <x:v>Mikki</x:v>
      </x:c>
      <x:c r="E148" s="253" t="str">
        <x:v>110195</x:v>
      </x:c>
      <x:c r="F148" s="277" t="str">
        <x:v>FT_VM_DEP600_GET200_5X</x:v>
      </x:c>
    </x:row>
    <x:row r="149">
      <x:c r="A149" s="252" t="str">
        <x:v>WS1</x:v>
      </x:c>
      <x:c r="B149" s="253" t="str">
        <x:v>syana88</x:v>
      </x:c>
      <x:c r="C149" s="259" t="n">
        <x:v>46077.166666666664</x:v>
      </x:c>
      <x:c r="D149" s="253" t="str">
        <x:v>Mikki</x:v>
      </x:c>
      <x:c r="E149" s="253" t="str">
        <x:v>1079285</x:v>
      </x:c>
      <x:c r="F149" s="277" t="str">
        <x:v>FT_VM_DEP700_GET300_1X</x:v>
      </x:c>
    </x:row>
    <x:row r="150">
      <x:c r="A150" s="252" t="str">
        <x:v>WS1</x:v>
      </x:c>
      <x:c r="B150" s="253" t="str">
        <x:v>iscrew</x:v>
      </x:c>
      <x:c r="C150" s="259" t="n">
        <x:v>46077.166666666664</x:v>
      </x:c>
      <x:c r="D150" s="253" t="str">
        <x:v>Mikki</x:v>
      </x:c>
      <x:c r="E150" s="253" t="str">
        <x:v>1135878</x:v>
      </x:c>
      <x:c r="F150" s="277" t="str"/>
    </x:row>
    <x:row r="151">
      <x:c r="A151" s="252" t="str">
        <x:v>WS1</x:v>
      </x:c>
      <x:c r="B151" s="253" t="str">
        <x:v>00rizal</x:v>
      </x:c>
      <x:c r="C151" s="259" t="n">
        <x:v>46077.166666666664</x:v>
      </x:c>
      <x:c r="D151" s="253" t="str">
        <x:v>Mikki</x:v>
      </x:c>
      <x:c r="E151" s="253" t="str">
        <x:v>1143961</x:v>
      </x:c>
      <x:c r="F151" s="277" t="str">
        <x:v>FT_VM_DEP600_GET200_5X</x:v>
      </x:c>
    </x:row>
    <x:row r="152">
      <x:c r="A152" s="252" t="str">
        <x:v>WS1</x:v>
      </x:c>
      <x:c r="B152" s="253" t="str">
        <x:v>Kishore200896</x:v>
      </x:c>
      <x:c r="C152" s="259" t="n">
        <x:v>46077.166666666664</x:v>
      </x:c>
      <x:c r="D152" s="253" t="str">
        <x:v>Mikki</x:v>
      </x:c>
      <x:c r="E152" s="253" t="str">
        <x:v>558828</x:v>
      </x:c>
      <x:c r="F152" s="277" t="str"/>
    </x:row>
    <x:row r="153">
      <x:c r="A153" s="252" t="str">
        <x:v>WS1</x:v>
      </x:c>
      <x:c r="B153" s="253" t="str">
        <x:v>Nithya06</x:v>
      </x:c>
      <x:c r="C153" s="259" t="n">
        <x:v>46077.166666666664</x:v>
      </x:c>
      <x:c r="D153" s="253" t="str">
        <x:v>Mikki</x:v>
      </x:c>
      <x:c r="E153" s="253" t="str">
        <x:v>606004</x:v>
      </x:c>
      <x:c r="F153" s="277" t="str">
        <x:v>DORMANT</x:v>
      </x:c>
    </x:row>
    <x:row r="154">
      <x:c r="A154" s="252" t="str">
        <x:v>WS1</x:v>
      </x:c>
      <x:c r="B154" s="253" t="str">
        <x:v>Jayzebel</x:v>
      </x:c>
      <x:c r="C154" s="259" t="n">
        <x:v>46077.166666666664</x:v>
      </x:c>
      <x:c r="D154" s="253" t="str">
        <x:v>Mikki</x:v>
      </x:c>
      <x:c r="E154" s="253" t="str">
        <x:v>406626</x:v>
      </x:c>
      <x:c r="F154" s="277" t="str">
        <x:v>DORMANT</x:v>
      </x:c>
    </x:row>
    <x:row r="155">
      <x:c r="A155" s="252" t="str">
        <x:v>WS1</x:v>
      </x:c>
      <x:c r="B155" s="253" t="str">
        <x:v>Chihtsung</x:v>
      </x:c>
      <x:c r="C155" s="259" t="n">
        <x:v>46083.166666666664</x:v>
      </x:c>
      <x:c r="D155" s="253" t="str">
        <x:v>Claire</x:v>
      </x:c>
      <x:c r="E155" s="253" t="str">
        <x:v>529545</x:v>
      </x:c>
      <x:c r="F155" s="277" t="str"/>
    </x:row>
    <x:row r="156">
      <x:c r="A156" s="252" t="str">
        <x:v>WS1</x:v>
      </x:c>
      <x:c r="B156" s="253" t="str">
        <x:v>Hantuperang</x:v>
      </x:c>
      <x:c r="C156" s="259" t="n">
        <x:v>46083.166666666664</x:v>
      </x:c>
      <x:c r="D156" s="253" t="str">
        <x:v>Jiahui</x:v>
      </x:c>
      <x:c r="E156" s="253" t="str">
        <x:v>363025</x:v>
      </x:c>
      <x:c r="F156" s="277" t="str"/>
    </x:row>
    <x:row r="157">
      <x:c r="A157" s="252" t="str">
        <x:v>WS1</x:v>
      </x:c>
      <x:c r="B157" s="253" t="str">
        <x:v>M0303</x:v>
      </x:c>
      <x:c r="C157" s="259" t="n">
        <x:v>46083.166666666664</x:v>
      </x:c>
      <x:c r="D157" s="253" t="str">
        <x:v>Jiahui</x:v>
      </x:c>
      <x:c r="E157" s="253" t="str">
        <x:v>1081475</x:v>
      </x:c>
      <x:c r="F157" s="277" t="str"/>
    </x:row>
    <x:row r="158">
      <x:c r="A158" s="252" t="str">
        <x:v>WS1</x:v>
      </x:c>
      <x:c r="B158" s="253" t="str">
        <x:v>millionaire1000</x:v>
      </x:c>
      <x:c r="C158" s="259" t="n">
        <x:v>46083.166666666664</x:v>
      </x:c>
      <x:c r="D158" s="253" t="str">
        <x:v>Jiahui</x:v>
      </x:c>
      <x:c r="E158" s="253" t="str">
        <x:v>323242</x:v>
      </x:c>
      <x:c r="F158" s="277" t="str"/>
    </x:row>
    <x:row r="159">
      <x:c r="A159" s="252" t="str">
        <x:v>WS1</x:v>
      </x:c>
      <x:c r="B159" s="253" t="str">
        <x:v>Aamtaro2112</x:v>
      </x:c>
      <x:c r="C159" s="259" t="n">
        <x:v>46083.166666666664</x:v>
      </x:c>
      <x:c r="D159" s="253" t="str">
        <x:v>Jiahui</x:v>
      </x:c>
      <x:c r="E159" s="253" t="str">
        <x:v>649166</x:v>
      </x:c>
      <x:c r="F159" s="277" t="str"/>
    </x:row>
    <x:row r="160">
      <x:c r="A160" s="252" t="str">
        <x:v>WS1</x:v>
      </x:c>
      <x:c r="B160" s="253" t="str">
        <x:v>0149252750peng</x:v>
      </x:c>
      <x:c r="C160" s="259" t="n">
        <x:v>46083.166666666664</x:v>
      </x:c>
      <x:c r="D160" s="253" t="str">
        <x:v>Jiahui</x:v>
      </x:c>
      <x:c r="E160" s="253" t="str">
        <x:v>481528</x:v>
      </x:c>
      <x:c r="F160" s="277" t="str"/>
    </x:row>
    <x:row r="161">
      <x:c r="A161" s="252" t="str">
        <x:v>WS1</x:v>
      </x:c>
      <x:c r="B161" s="253" t="str">
        <x:v>mk981007</x:v>
      </x:c>
      <x:c r="C161" s="259" t="n">
        <x:v>46083.166666666664</x:v>
      </x:c>
      <x:c r="D161" s="253" t="str">
        <x:v>Jiahui</x:v>
      </x:c>
      <x:c r="E161" s="253" t="str">
        <x:v>1189450</x:v>
      </x:c>
      <x:c r="F161" s="277" t="str"/>
    </x:row>
    <x:row r="162">
      <x:c r="A162" s="252" t="str">
        <x:v>WS1</x:v>
      </x:c>
      <x:c r="B162" s="253" t="str">
        <x:v>jackjmbu</x:v>
      </x:c>
      <x:c r="C162" s="259" t="n">
        <x:v>46083.166666666664</x:v>
      </x:c>
      <x:c r="D162" s="253" t="str">
        <x:v>Jiahui</x:v>
      </x:c>
      <x:c r="E162" s="253" t="str">
        <x:v>605222</x:v>
      </x:c>
      <x:c r="F162" s="277" t="str">
        <x:v>(MID) - VM_DEP600_GET200_5X</x:v>
      </x:c>
    </x:row>
    <x:row r="163">
      <x:c r="A163" s="252" t="str">
        <x:v>WS1</x:v>
      </x:c>
      <x:c r="B163" s="253" t="str">
        <x:v>cincan85</x:v>
      </x:c>
      <x:c r="C163" s="259" t="n">
        <x:v>46083.166666666664</x:v>
      </x:c>
      <x:c r="D163" s="253" t="str">
        <x:v>Jiahui</x:v>
      </x:c>
      <x:c r="E163" s="253" t="str">
        <x:v>654629</x:v>
      </x:c>
      <x:c r="F163" s="277" t="str"/>
    </x:row>
    <x:row r="164">
      <x:c r="A164" s="252" t="str">
        <x:v>WS1</x:v>
      </x:c>
      <x:c r="B164" s="253" t="str">
        <x:v>Luckypot22</x:v>
      </x:c>
      <x:c r="C164" s="259" t="n">
        <x:v>46083.166666666664</x:v>
      </x:c>
      <x:c r="D164" s="253" t="str">
        <x:v>Jiahui</x:v>
      </x:c>
      <x:c r="E164" s="253" t="str">
        <x:v>425957</x:v>
      </x:c>
      <x:c r="F164" s="277" t="str"/>
    </x:row>
    <x:row r="165">
      <x:c r="A165" s="252" t="str">
        <x:v>WS1</x:v>
      </x:c>
      <x:c r="B165" s="253" t="str">
        <x:v>GhostMan69</x:v>
      </x:c>
      <x:c r="C165" s="259" t="n">
        <x:v>46090.166666666664</x:v>
      </x:c>
      <x:c r="D165" s="253" t="str">
        <x:v>Sheena</x:v>
      </x:c>
      <x:c r="E165" s="253" t="str">
        <x:v>30155</x:v>
      </x:c>
      <x:c r="F165" s="277" t="str">
        <x:v>BONUS HUNTER</x:v>
      </x:c>
    </x:row>
    <x:row r="166">
      <x:c r="A166" s="252" t="str">
        <x:v>WS1</x:v>
      </x:c>
      <x:c r="B166" s="253" t="str">
        <x:v>Shelby1</x:v>
      </x:c>
      <x:c r="C166" s="259" t="n">
        <x:v>46090.166666666664</x:v>
      </x:c>
      <x:c r="D166" s="253" t="str">
        <x:v>zhen</x:v>
      </x:c>
      <x:c r="E166" s="253" t="str">
        <x:v>239635</x:v>
      </x:c>
      <x:c r="F166" s="277" t="str"/>
    </x:row>
    <x:row r="167">
      <x:c r="A167" s="252" t="str">
        <x:v>WS1</x:v>
      </x:c>
      <x:c r="B167" s="253" t="str">
        <x:v>Andy089</x:v>
      </x:c>
      <x:c r="C167" s="259" t="n">
        <x:v>46090.166666666664</x:v>
      </x:c>
      <x:c r="D167" s="253" t="str">
        <x:v>zhen</x:v>
      </x:c>
      <x:c r="E167" s="253" t="str">
        <x:v>185699</x:v>
      </x:c>
      <x:c r="F167" s="277" t="str"/>
    </x:row>
    <x:row r="168">
      <x:c r="A168" s="252" t="str">
        <x:v>WS1</x:v>
      </x:c>
      <x:c r="B168" s="253" t="str">
        <x:v>Athurson</x:v>
      </x:c>
      <x:c r="C168" s="259" t="n">
        <x:v>46090.166666666664</x:v>
      </x:c>
      <x:c r="D168" s="253" t="str">
        <x:v>zhen</x:v>
      </x:c>
      <x:c r="E168" s="253" t="str">
        <x:v>145495</x:v>
      </x:c>
      <x:c r="F168" s="277" t="str">
        <x:v>FT_VM_FC_VARIABLE_5X - MYR 1288</x:v>
      </x:c>
    </x:row>
    <x:row r="169">
      <x:c r="A169" s="252" t="str">
        <x:v>WS1</x:v>
      </x:c>
      <x:c r="B169" s="253" t="str">
        <x:v>Patsha24</x:v>
      </x:c>
      <x:c r="C169" s="259" t="n">
        <x:v>46090.166666666664</x:v>
      </x:c>
      <x:c r="D169" s="253" t="str">
        <x:v>zhen</x:v>
      </x:c>
      <x:c r="E169" s="253" t="str">
        <x:v>201156</x:v>
      </x:c>
      <x:c r="F169" s="277" t="str">
        <x:v>FT_VM_FC_VARIABLE_5X - MYR 1288</x:v>
      </x:c>
    </x:row>
    <x:row r="170">
      <x:c r="A170" s="252" t="str">
        <x:v>WS1</x:v>
      </x:c>
      <x:c r="B170" s="253" t="str">
        <x:v>MOGAN2501</x:v>
      </x:c>
      <x:c r="C170" s="259" t="n">
        <x:v>46090.166666666664</x:v>
      </x:c>
      <x:c r="D170" s="253" t="str">
        <x:v>zhen</x:v>
      </x:c>
      <x:c r="E170" s="253" t="str">
        <x:v>169860</x:v>
      </x:c>
      <x:c r="F170" s="277" t="str"/>
    </x:row>
    <x:row r="171">
      <x:c r="A171" s="252" t="str">
        <x:v>WS1</x:v>
      </x:c>
      <x:c r="B171" s="253" t="str">
        <x:v>Vellatexas</x:v>
      </x:c>
      <x:c r="C171" s="259" t="n">
        <x:v>46090.166666666664</x:v>
      </x:c>
      <x:c r="D171" s="253" t="str">
        <x:v>zhen</x:v>
      </x:c>
      <x:c r="E171" s="253" t="str">
        <x:v>568212</x:v>
      </x:c>
      <x:c r="F171" s="277" t="str">
        <x:v>FT_VM_DEP1000_GET500_5X</x:v>
      </x:c>
    </x:row>
    <x:row r="172">
      <x:c r="A172" s="252" t="str">
        <x:v>WS1</x:v>
      </x:c>
      <x:c r="B172" s="253" t="str">
        <x:v>megatnippon</x:v>
      </x:c>
      <x:c r="C172" s="259" t="n">
        <x:v>46090.166666666664</x:v>
      </x:c>
      <x:c r="D172" s="253" t="str">
        <x:v>zhen</x:v>
      </x:c>
      <x:c r="E172" s="253" t="str">
        <x:v>603910</x:v>
      </x:c>
      <x:c r="F172" s="277" t="str"/>
    </x:row>
    <x:row r="173">
      <x:c r="A173" s="252" t="str">
        <x:v>WS1</x:v>
      </x:c>
      <x:c r="B173" s="253" t="str">
        <x:v>Mohan5283</x:v>
      </x:c>
      <x:c r="C173" s="259" t="n">
        <x:v>46090.166666666664</x:v>
      </x:c>
      <x:c r="D173" s="253" t="str">
        <x:v>zhen</x:v>
      </x:c>
      <x:c r="E173" s="253" t="str">
        <x:v>558227</x:v>
      </x:c>
      <x:c r="F173" s="277" t="str">
        <x:v>FT_VM_DEP1000_GET500_5X</x:v>
      </x:c>
    </x:row>
    <x:row r="174">
      <x:c r="A174" s="252" t="str">
        <x:v>WS1</x:v>
      </x:c>
      <x:c r="B174" s="253" t="str">
        <x:v>mie02</x:v>
      </x:c>
      <x:c r="C174" s="259" t="n">
        <x:v>46090.166666666664</x:v>
      </x:c>
      <x:c r="D174" s="253" t="str">
        <x:v>zhen</x:v>
      </x:c>
      <x:c r="E174" s="253" t="str">
        <x:v>528897</x:v>
      </x:c>
      <x:c r="F174" s="277" t="str"/>
    </x:row>
    <x:row r="175">
      <x:c r="A175" s="252" t="str">
        <x:v>WS1</x:v>
      </x:c>
      <x:c r="B175" s="253" t="str">
        <x:v>aaaaakk22</x:v>
      </x:c>
      <x:c r="C175" s="259" t="n">
        <x:v>46090.166666666664</x:v>
      </x:c>
      <x:c r="D175" s="253" t="str">
        <x:v>zhen</x:v>
      </x:c>
      <x:c r="E175" s="253" t="str">
        <x:v>670803</x:v>
      </x:c>
      <x:c r="F175" s="277" t="str">
        <x:v>FT_VM_DEP1000_GET500_5X</x:v>
      </x:c>
    </x:row>
    <x:row r="176">
      <x:c r="A176" s="252" t="str">
        <x:v>WS1</x:v>
      </x:c>
      <x:c r="B176" s="253" t="str">
        <x:v>Alanloon82</x:v>
      </x:c>
      <x:c r="C176" s="259" t="n">
        <x:v>46090.166666666664</x:v>
      </x:c>
      <x:c r="D176" s="253" t="str">
        <x:v>zhen</x:v>
      </x:c>
      <x:c r="E176" s="253" t="str">
        <x:v>216828</x:v>
      </x:c>
      <x:c r="F176" s="277" t="str"/>
    </x:row>
    <x:row r="177">
      <x:c r="A177" s="252" t="str">
        <x:v>WS1</x:v>
      </x:c>
      <x:c r="B177" s="253" t="str">
        <x:v>koon65</x:v>
      </x:c>
      <x:c r="C177" s="259" t="n">
        <x:v>46090.166666666664</x:v>
      </x:c>
      <x:c r="D177" s="253" t="str">
        <x:v>zhen</x:v>
      </x:c>
      <x:c r="E177" s="253" t="str">
        <x:v>443729</x:v>
      </x:c>
      <x:c r="F177" s="277" t="str"/>
    </x:row>
    <x:row r="178">
      <x:c r="A178" s="252" t="str">
        <x:v>WS1</x:v>
      </x:c>
      <x:c r="B178" s="253" t="str">
        <x:v>Vodka74838e8</x:v>
      </x:c>
      <x:c r="C178" s="259" t="n">
        <x:v>46090.166666666664</x:v>
      </x:c>
      <x:c r="D178" s="253" t="str">
        <x:v>zhen</x:v>
      </x:c>
      <x:c r="E178" s="253" t="str">
        <x:v>266564</x:v>
      </x:c>
      <x:c r="F178" s="277" t="str">
        <x:v>FT_VM_DEP1000_GET500_5X</x:v>
      </x:c>
    </x:row>
    <x:row r="179">
      <x:c r="A179" s="252" t="str">
        <x:v>WS1</x:v>
      </x:c>
      <x:c r="B179" s="253" t="str">
        <x:v>Andy3287</x:v>
      </x:c>
      <x:c r="C179" s="259" t="n">
        <x:v>46090.166666666664</x:v>
      </x:c>
      <x:c r="D179" s="253" t="str">
        <x:v>zhen</x:v>
      </x:c>
      <x:c r="E179" s="253" t="str">
        <x:v>452171</x:v>
      </x:c>
      <x:c r="F179" s="277" t="str"/>
    </x:row>
    <x:row r="180">
      <x:c r="A180" s="252" t="str">
        <x:v>WS1</x:v>
      </x:c>
      <x:c r="B180" s="253" t="str">
        <x:v>Samys</x:v>
      </x:c>
      <x:c r="C180" s="259" t="n">
        <x:v>46090.166666666664</x:v>
      </x:c>
      <x:c r="D180" s="253" t="str">
        <x:v>zhen</x:v>
      </x:c>
      <x:c r="E180" s="253" t="str">
        <x:v>114339</x:v>
      </x:c>
      <x:c r="F180" s="277" t="str"/>
    </x:row>
    <x:row r="181">
      <x:c r="A181" s="252" t="str">
        <x:v>WS1</x:v>
      </x:c>
      <x:c r="B181" s="253" t="str">
        <x:v>norhaza</x:v>
      </x:c>
      <x:c r="C181" s="259" t="n">
        <x:v>46090.166666666664</x:v>
      </x:c>
      <x:c r="D181" s="253" t="str">
        <x:v>zhen</x:v>
      </x:c>
      <x:c r="E181" s="253" t="str">
        <x:v>490833</x:v>
      </x:c>
      <x:c r="F181" s="277" t="str"/>
    </x:row>
    <x:row r="182">
      <x:c r="A182" s="252" t="str">
        <x:v>WS1</x:v>
      </x:c>
      <x:c r="B182" s="253" t="str">
        <x:v>thanioruvan360</x:v>
      </x:c>
      <x:c r="C182" s="259" t="n">
        <x:v>46090.166666666664</x:v>
      </x:c>
      <x:c r="D182" s="253" t="str">
        <x:v>zhen</x:v>
      </x:c>
      <x:c r="E182" s="253" t="str">
        <x:v>575445</x:v>
      </x:c>
      <x:c r="F182" s="277" t="str">
        <x:v>FT_VM_FC_VARIABLE_8X - MYR 1088</x:v>
      </x:c>
    </x:row>
    <x:row r="183">
      <x:c r="A183" s="252" t="str">
        <x:v>WS1</x:v>
      </x:c>
      <x:c r="B183" s="253" t="str">
        <x:v>CCPP10</x:v>
      </x:c>
      <x:c r="C183" s="259" t="n">
        <x:v>46090.166666666664</x:v>
      </x:c>
      <x:c r="D183" s="253" t="str">
        <x:v>zhen</x:v>
      </x:c>
      <x:c r="E183" s="253" t="str">
        <x:v>291167</x:v>
      </x:c>
      <x:c r="F183" s="277" t="str"/>
    </x:row>
    <x:row r="184">
      <x:c r="A184" s="252" t="str">
        <x:v>WS1</x:v>
      </x:c>
      <x:c r="B184" s="253" t="str">
        <x:v>Hasanking888</x:v>
      </x:c>
      <x:c r="C184" s="259" t="n">
        <x:v>46090.166666666664</x:v>
      </x:c>
      <x:c r="D184" s="253" t="str">
        <x:v>zhen</x:v>
      </x:c>
      <x:c r="E184" s="253" t="str">
        <x:v>277760</x:v>
      </x:c>
      <x:c r="F184" s="277" t="str"/>
    </x:row>
    <x:row r="185">
      <x:c r="A185" s="252" t="str">
        <x:v>WS1</x:v>
      </x:c>
      <x:c r="B185" s="253" t="str">
        <x:v>Pdno7</x:v>
      </x:c>
      <x:c r="C185" s="259" t="n">
        <x:v>46090.166666666664</x:v>
      </x:c>
      <x:c r="D185" s="253" t="str">
        <x:v>zhen</x:v>
      </x:c>
      <x:c r="E185" s="253" t="str">
        <x:v>189759</x:v>
      </x:c>
      <x:c r="F185" s="277" t="str"/>
    </x:row>
    <x:row r="186">
      <x:c r="A186" s="252" t="str">
        <x:v>WS1</x:v>
      </x:c>
      <x:c r="B186" s="253" t="str">
        <x:v>adelinelim77</x:v>
      </x:c>
      <x:c r="C186" s="259" t="n">
        <x:v>46090.166666666664</x:v>
      </x:c>
      <x:c r="D186" s="253" t="str">
        <x:v>zhen</x:v>
      </x:c>
      <x:c r="E186" s="253" t="str">
        <x:v>198331</x:v>
      </x:c>
      <x:c r="F186" s="277" t="str"/>
    </x:row>
    <x:row r="187">
      <x:c r="A187" s="252" t="str">
        <x:v>WS1</x:v>
      </x:c>
      <x:c r="B187" s="253" t="str">
        <x:v>doris1223</x:v>
      </x:c>
      <x:c r="C187" s="259" t="n">
        <x:v>46090.166666666664</x:v>
      </x:c>
      <x:c r="D187" s="253" t="str">
        <x:v>zhen</x:v>
      </x:c>
      <x:c r="E187" s="253" t="str">
        <x:v>674076</x:v>
      </x:c>
      <x:c r="F187" s="277" t="str"/>
    </x:row>
    <x:row r="188">
      <x:c r="A188" s="252" t="str">
        <x:v>WS1</x:v>
      </x:c>
      <x:c r="B188" s="253" t="str">
        <x:v>me22on</x:v>
      </x:c>
      <x:c r="C188" s="259" t="n">
        <x:v>46090.166666666664</x:v>
      </x:c>
      <x:c r="D188" s="253" t="str">
        <x:v>zhen</x:v>
      </x:c>
      <x:c r="E188" s="253" t="str">
        <x:v>323438</x:v>
      </x:c>
      <x:c r="F188" s="277" t="str"/>
    </x:row>
    <x:row r="189">
      <x:c r="A189" s="252" t="str">
        <x:v>WS1</x:v>
      </x:c>
      <x:c r="B189" s="253" t="str">
        <x:v>FishHunter</x:v>
      </x:c>
      <x:c r="C189" s="259" t="n">
        <x:v>46090.166666666664</x:v>
      </x:c>
      <x:c r="D189" s="253" t="str">
        <x:v>zhen</x:v>
      </x:c>
      <x:c r="E189" s="253" t="str">
        <x:v>2555</x:v>
      </x:c>
      <x:c r="F189" s="277" t="str"/>
    </x:row>
    <x:row r="190">
      <x:c r="A190" s="252" t="str">
        <x:v>WS1</x:v>
      </x:c>
      <x:c r="B190" s="253" t="str">
        <x:v>Rizuanraflis</x:v>
      </x:c>
      <x:c r="C190" s="259" t="n">
        <x:v>46090.166666666664</x:v>
      </x:c>
      <x:c r="D190" s="253" t="str">
        <x:v>zhen</x:v>
      </x:c>
      <x:c r="E190" s="253" t="str">
        <x:v>573440</x:v>
      </x:c>
      <x:c r="F190" s="277" t="str"/>
    </x:row>
    <x:row r="191">
      <x:c r="A191" s="252" t="str">
        <x:v>WS1</x:v>
      </x:c>
      <x:c r="B191" s="253" t="str">
        <x:v>renz45</x:v>
      </x:c>
      <x:c r="C191" s="259" t="n">
        <x:v>46090.166666666664</x:v>
      </x:c>
      <x:c r="D191" s="253" t="str">
        <x:v>zhen</x:v>
      </x:c>
      <x:c r="E191" s="253" t="str">
        <x:v>428603</x:v>
      </x:c>
      <x:c r="F191" s="277" t="str">
        <x:v>FT_VM_DEP1000_GET500_5X</x:v>
      </x:c>
    </x:row>
    <x:row r="192">
      <x:c r="A192" s="252" t="str">
        <x:v>WS1</x:v>
      </x:c>
      <x:c r="B192" s="253" t="str">
        <x:v>Komeng121</x:v>
      </x:c>
      <x:c r="C192" s="259" t="n">
        <x:v>46090.166666666664</x:v>
      </x:c>
      <x:c r="D192" s="253" t="str">
        <x:v>zhen</x:v>
      </x:c>
      <x:c r="E192" s="253" t="str">
        <x:v>624448</x:v>
      </x:c>
      <x:c r="F192" s="277" t="str"/>
    </x:row>
    <x:row r="193">
      <x:c r="A193" s="252" t="str">
        <x:v>WS1</x:v>
      </x:c>
      <x:c r="B193" s="253" t="str">
        <x:v>Narenrajveer</x:v>
      </x:c>
      <x:c r="C193" s="259" t="n">
        <x:v>46090.166666666664</x:v>
      </x:c>
      <x:c r="D193" s="253" t="str">
        <x:v>zhen</x:v>
      </x:c>
      <x:c r="E193" s="253" t="str">
        <x:v>277189</x:v>
      </x:c>
      <x:c r="F193" s="277" t="str"/>
    </x:row>
    <x:row r="194">
      <x:c r="A194" s="252" t="str">
        <x:v>WS1</x:v>
      </x:c>
      <x:c r="B194" s="253" t="str">
        <x:v>Mphd1234</x:v>
      </x:c>
      <x:c r="C194" s="259" t="n">
        <x:v>46090.166666666664</x:v>
      </x:c>
      <x:c r="D194" s="253" t="str">
        <x:v>zhen</x:v>
      </x:c>
      <x:c r="E194" s="253" t="str">
        <x:v>69850</x:v>
      </x:c>
      <x:c r="F194" s="277" t="str"/>
    </x:row>
    <x:row r="195">
      <x:c r="A195" s="252" t="str">
        <x:v>WS1</x:v>
      </x:c>
      <x:c r="B195" s="253" t="str">
        <x:v>paedtaiko</x:v>
      </x:c>
      <x:c r="C195" s="259" t="n">
        <x:v>46090.166666666664</x:v>
      </x:c>
      <x:c r="D195" s="253" t="str">
        <x:v>zhen</x:v>
      </x:c>
      <x:c r="E195" s="253" t="str">
        <x:v>633209</x:v>
      </x:c>
      <x:c r="F195" s="277" t="str">
        <x:v>FT_VM_FC_VARIABLE_5X - MYR 1088</x:v>
      </x:c>
    </x:row>
    <x:row r="196">
      <x:c r="A196" s="252" t="str">
        <x:v>WS1</x:v>
      </x:c>
      <x:c r="B196" s="253" t="str">
        <x:v>Vithya31</x:v>
      </x:c>
      <x:c r="C196" s="259" t="n">
        <x:v>46090.166666666664</x:v>
      </x:c>
      <x:c r="D196" s="253" t="str">
        <x:v>zhen</x:v>
      </x:c>
      <x:c r="E196" s="253" t="str">
        <x:v>48929</x:v>
      </x:c>
      <x:c r="F196" s="277" t="str"/>
    </x:row>
    <x:row r="197">
      <x:c r="A197" s="252" t="str">
        <x:v>WS1</x:v>
      </x:c>
      <x:c r="B197" s="253" t="str">
        <x:v>Ahtee337</x:v>
      </x:c>
      <x:c r="C197" s="259" t="n">
        <x:v>46090.166666666664</x:v>
      </x:c>
      <x:c r="D197" s="253" t="str">
        <x:v>zhen</x:v>
      </x:c>
      <x:c r="E197" s="253" t="str">
        <x:v>535906</x:v>
      </x:c>
      <x:c r="F197" s="277" t="str">
        <x:v>FT_VM_DEP1000_GET500_5X</x:v>
      </x:c>
    </x:row>
    <x:row r="198">
      <x:c r="A198" s="252" t="str">
        <x:v>WS1</x:v>
      </x:c>
      <x:c r="B198" s="253" t="str">
        <x:v>novelgg</x:v>
      </x:c>
      <x:c r="C198" s="259" t="n">
        <x:v>46090.166666666664</x:v>
      </x:c>
      <x:c r="D198" s="253" t="str">
        <x:v>zhen</x:v>
      </x:c>
      <x:c r="E198" s="253" t="str">
        <x:v>708921</x:v>
      </x:c>
      <x:c r="F198" s="277" t="str"/>
    </x:row>
    <x:row r="199">
      <x:c r="A199" s="252" t="str">
        <x:v>WS1</x:v>
      </x:c>
      <x:c r="B199" s="253" t="str">
        <x:v>Lanlobe</x:v>
      </x:c>
      <x:c r="C199" s="259" t="n">
        <x:v>46090.166666666664</x:v>
      </x:c>
      <x:c r="D199" s="253" t="str">
        <x:v>zhen</x:v>
      </x:c>
      <x:c r="E199" s="253" t="str">
        <x:v>823430</x:v>
      </x:c>
      <x:c r="F199" s="277" t="str"/>
    </x:row>
    <x:row r="200">
      <x:c r="A200" s="252" t="str">
        <x:v>WS1</x:v>
      </x:c>
      <x:c r="B200" s="253" t="str">
        <x:v>yongsoon</x:v>
      </x:c>
      <x:c r="C200" s="259" t="n">
        <x:v>46090.166666666664</x:v>
      </x:c>
      <x:c r="D200" s="253" t="str">
        <x:v>zhen</x:v>
      </x:c>
      <x:c r="E200" s="253" t="str">
        <x:v>531637</x:v>
      </x:c>
      <x:c r="F200" s="277" t="str">
        <x:v>FT_VM_DEP1000_GET800_2X</x:v>
      </x:c>
    </x:row>
    <x:row r="201">
      <x:c r="A201" s="252" t="str">
        <x:v>WS1</x:v>
      </x:c>
      <x:c r="B201" s="253" t="str">
        <x:v>Han1993han</x:v>
      </x:c>
      <x:c r="C201" s="259" t="n">
        <x:v>46090.166666666664</x:v>
      </x:c>
      <x:c r="D201" s="253" t="str">
        <x:v>zhen</x:v>
      </x:c>
      <x:c r="E201" s="253" t="str">
        <x:v>940393</x:v>
      </x:c>
      <x:c r="F201" s="277" t="str"/>
    </x:row>
    <x:row r="202">
      <x:c r="A202" s="252" t="str">
        <x:v>WS1</x:v>
      </x:c>
      <x:c r="B202" s="253" t="str">
        <x:v>Leevin10</x:v>
      </x:c>
      <x:c r="C202" s="259" t="n">
        <x:v>46090.166666666664</x:v>
      </x:c>
      <x:c r="D202" s="253" t="str">
        <x:v>zhen</x:v>
      </x:c>
      <x:c r="E202" s="253" t="str">
        <x:v>139342</x:v>
      </x:c>
      <x:c r="F202" s="277" t="str">
        <x:v>FT_VM_DEP1000_GET500_5X</x:v>
      </x:c>
    </x:row>
    <x:row r="203">
      <x:c r="A203" s="252" t="str">
        <x:v>WS1</x:v>
      </x:c>
      <x:c r="B203" s="253" t="str">
        <x:v>Chai5977</x:v>
      </x:c>
      <x:c r="C203" s="259" t="n">
        <x:v>46090.166666666664</x:v>
      </x:c>
      <x:c r="D203" s="253" t="str">
        <x:v>zhen</x:v>
      </x:c>
      <x:c r="E203" s="253" t="str">
        <x:v>675442</x:v>
      </x:c>
      <x:c r="F203" s="277" t="str">
        <x:v>BONUS HUNTER</x:v>
      </x:c>
    </x:row>
    <x:row r="204">
      <x:c r="A204" s="252" t="str">
        <x:v>WS1</x:v>
      </x:c>
      <x:c r="B204" s="253" t="str">
        <x:v>Nani45</x:v>
      </x:c>
      <x:c r="C204" s="259" t="n">
        <x:v>46090.166666666664</x:v>
      </x:c>
      <x:c r="D204" s="253" t="str">
        <x:v>zhen</x:v>
      </x:c>
      <x:c r="E204" s="253" t="str">
        <x:v>820317</x:v>
      </x:c>
      <x:c r="F204" s="277" t="str">
        <x:v>FT_VM_DEP1000_GET500_2X</x:v>
      </x:c>
    </x:row>
    <x:row r="205">
      <x:c r="A205" s="252" t="str">
        <x:v>WS1</x:v>
      </x:c>
      <x:c r="B205" s="253" t="str">
        <x:v>Yemmie93</x:v>
      </x:c>
      <x:c r="C205" s="259" t="n">
        <x:v>46090.166666666664</x:v>
      </x:c>
      <x:c r="D205" s="253" t="str">
        <x:v>zhen</x:v>
      </x:c>
      <x:c r="E205" s="253" t="str">
        <x:v>443126</x:v>
      </x:c>
      <x:c r="F205" s="277" t="str"/>
    </x:row>
    <x:row r="206">
      <x:c r="A206" s="252" t="str">
        <x:v>WS1</x:v>
      </x:c>
      <x:c r="B206" s="253" t="str">
        <x:v>anacondaiguana</x:v>
      </x:c>
      <x:c r="C206" s="259" t="n">
        <x:v>46090.166666666664</x:v>
      </x:c>
      <x:c r="D206" s="253" t="str">
        <x:v>zhen</x:v>
      </x:c>
      <x:c r="E206" s="253" t="str">
        <x:v>444648</x:v>
      </x:c>
      <x:c r="F206" s="277" t="str">
        <x:v>FT_VM_DEP1000_GET500_5X</x:v>
      </x:c>
    </x:row>
    <x:row r="207">
      <x:c r="A207" s="252" t="str">
        <x:v>WS1</x:v>
      </x:c>
      <x:c r="B207" s="253" t="str">
        <x:v>ahjun1988</x:v>
      </x:c>
      <x:c r="C207" s="259" t="n">
        <x:v>46090.166666666664</x:v>
      </x:c>
      <x:c r="D207" s="253" t="str">
        <x:v>zhen</x:v>
      </x:c>
      <x:c r="E207" s="253" t="str">
        <x:v>563122</x:v>
      </x:c>
      <x:c r="F207" s="277" t="str">
        <x:v>FT_VM_DEP800_GET400_1X</x:v>
      </x:c>
    </x:row>
    <x:row r="208">
      <x:c r="A208" s="252" t="str">
        <x:v>WS1</x:v>
      </x:c>
      <x:c r="B208" s="253" t="str">
        <x:v>Mads89</x:v>
      </x:c>
      <x:c r="C208" s="259" t="n">
        <x:v>46090.166666666664</x:v>
      </x:c>
      <x:c r="D208" s="253" t="str">
        <x:v>zhen</x:v>
      </x:c>
      <x:c r="E208" s="253" t="str">
        <x:v>69845</x:v>
      </x:c>
      <x:c r="F208" s="277" t="str"/>
    </x:row>
    <x:row r="209">
      <x:c r="A209" s="252" t="str">
        <x:v>WS1</x:v>
      </x:c>
      <x:c r="B209" s="253" t="str">
        <x:v>Aimiii</x:v>
      </x:c>
      <x:c r="C209" s="259" t="n">
        <x:v>46090.166666666664</x:v>
      </x:c>
      <x:c r="D209" s="253" t="str">
        <x:v>zhen</x:v>
      </x:c>
      <x:c r="E209" s="253" t="str">
        <x:v>700295</x:v>
      </x:c>
      <x:c r="F209" s="277" t="str"/>
    </x:row>
    <x:row r="210">
      <x:c r="A210" s="252" t="str">
        <x:v>WS1</x:v>
      </x:c>
      <x:c r="B210" s="253" t="str">
        <x:v>tatapi12</x:v>
      </x:c>
      <x:c r="C210" s="259" t="n">
        <x:v>46090.166666666664</x:v>
      </x:c>
      <x:c r="D210" s="253" t="str">
        <x:v>zhen</x:v>
      </x:c>
      <x:c r="E210" s="253" t="str">
        <x:v>650483</x:v>
      </x:c>
      <x:c r="F210" s="277" t="str">
        <x:v>FT_VM_DEP1000_GET500_1X</x:v>
      </x:c>
    </x:row>
    <x:row r="211">
      <x:c r="A211" s="252" t="str">
        <x:v>WS1</x:v>
      </x:c>
      <x:c r="B211" s="253" t="str">
        <x:v>cindy520</x:v>
      </x:c>
      <x:c r="C211" s="259" t="n">
        <x:v>46090.166666666664</x:v>
      </x:c>
      <x:c r="D211" s="253" t="str">
        <x:v>zhen</x:v>
      </x:c>
      <x:c r="E211" s="253" t="str">
        <x:v>652495</x:v>
      </x:c>
      <x:c r="F211" s="277" t="str"/>
    </x:row>
    <x:row r="212">
      <x:c r="A212" s="252" t="str">
        <x:v>WS1</x:v>
      </x:c>
      <x:c r="B212" s="253" t="str">
        <x:v>Najmin92</x:v>
      </x:c>
      <x:c r="C212" s="259" t="n">
        <x:v>46090.166666666664</x:v>
      </x:c>
      <x:c r="D212" s="253" t="str">
        <x:v>zhen</x:v>
      </x:c>
      <x:c r="E212" s="253" t="str">
        <x:v>655168</x:v>
      </x:c>
      <x:c r="F212" s="277" t="str"/>
    </x:row>
    <x:row r="213">
      <x:c r="A213" s="252" t="str">
        <x:v>WS1</x:v>
      </x:c>
      <x:c r="B213" s="253" t="str">
        <x:v>pasarikhwan</x:v>
      </x:c>
      <x:c r="C213" s="259" t="n">
        <x:v>46090.166666666664</x:v>
      </x:c>
      <x:c r="D213" s="253" t="str">
        <x:v>zhen</x:v>
      </x:c>
      <x:c r="E213" s="253" t="str">
        <x:v>1119875</x:v>
      </x:c>
      <x:c r="F213" s="277" t="str">
        <x:v>FT_VM_DEP600_GET200_5X</x:v>
      </x:c>
    </x:row>
    <x:row r="214">
      <x:c r="A214" s="252" t="str">
        <x:v>WS1</x:v>
      </x:c>
      <x:c r="B214" s="253" t="str">
        <x:v>Chia2140</x:v>
      </x:c>
      <x:c r="C214" s="259" t="n">
        <x:v>46090.166666666664</x:v>
      </x:c>
      <x:c r="D214" s="253" t="str">
        <x:v>zhen</x:v>
      </x:c>
      <x:c r="E214" s="253" t="str">
        <x:v>1121379</x:v>
      </x:c>
      <x:c r="F214" s="277" t="str"/>
    </x:row>
    <x:row r="215">
      <x:c r="A215" s="252" t="str">
        <x:v>WS1</x:v>
      </x:c>
      <x:c r="B215" s="253" t="str">
        <x:v>Rizal666</x:v>
      </x:c>
      <x:c r="C215" s="259" t="n">
        <x:v>46090.166666666664</x:v>
      </x:c>
      <x:c r="D215" s="253" t="str">
        <x:v>zhen</x:v>
      </x:c>
      <x:c r="E215" s="253" t="str">
        <x:v>1124596</x:v>
      </x:c>
      <x:c r="F215" s="277" t="str">
        <x:v>FT_VM_DEP700_GET300_2X</x:v>
      </x:c>
    </x:row>
    <x:row r="216">
      <x:c r="A216" s="252" t="str">
        <x:v>WS1</x:v>
      </x:c>
      <x:c r="B216" s="253" t="str">
        <x:v>DOM1975</x:v>
      </x:c>
      <x:c r="C216" s="259" t="n">
        <x:v>46090.166666666664</x:v>
      </x:c>
      <x:c r="D216" s="253" t="str">
        <x:v>zhen</x:v>
      </x:c>
      <x:c r="E216" s="253" t="str">
        <x:v>797301</x:v>
      </x:c>
      <x:c r="F216" s="277" t="str">
        <x:v>FT_VM_DEP800_GET400_1X</x:v>
      </x:c>
    </x:row>
    <x:row r="217">
      <x:c r="A217" s="252" t="str">
        <x:v>WS1</x:v>
      </x:c>
      <x:c r="B217" s="253" t="str">
        <x:v>nafey87</x:v>
      </x:c>
      <x:c r="C217" s="259" t="n">
        <x:v>46090.166666666664</x:v>
      </x:c>
      <x:c r="D217" s="253" t="str">
        <x:v>zhen</x:v>
      </x:c>
      <x:c r="E217" s="253" t="str">
        <x:v>65712</x:v>
      </x:c>
      <x:c r="F217" s="277" t="str">
        <x:v>FT_VM_DEP1000_GET700_2X</x:v>
      </x:c>
    </x:row>
    <x:row r="218">
      <x:c r="A218" s="252" t="str">
        <x:v>WS1</x:v>
      </x:c>
      <x:c r="B218" s="253" t="str">
        <x:v>Zrhor97</x:v>
      </x:c>
      <x:c r="C218" s="259" t="n">
        <x:v>46090.166666666664</x:v>
      </x:c>
      <x:c r="D218" s="253" t="str">
        <x:v>zhen</x:v>
      </x:c>
      <x:c r="E218" s="253" t="str">
        <x:v>658600</x:v>
      </x:c>
      <x:c r="F218" s="277" t="str"/>
    </x:row>
    <x:row r="219">
      <x:c r="A219" s="252" t="str">
        <x:v>WS1</x:v>
      </x:c>
      <x:c r="B219" s="253" t="str">
        <x:v>Ric1126</x:v>
      </x:c>
      <x:c r="C219" s="259" t="n">
        <x:v>46090.166666666664</x:v>
      </x:c>
      <x:c r="D219" s="253" t="str">
        <x:v>zhen</x:v>
      </x:c>
      <x:c r="E219" s="253" t="str">
        <x:v>659862</x:v>
      </x:c>
      <x:c r="F219" s="277" t="str"/>
    </x:row>
    <x:row r="220">
      <x:c r="A220" s="252" t="str">
        <x:v>WS1</x:v>
      </x:c>
      <x:c r="B220" s="253" t="str">
        <x:v>Morlinmai</x:v>
      </x:c>
      <x:c r="C220" s="259" t="n">
        <x:v>46090.166666666664</x:v>
      </x:c>
      <x:c r="D220" s="253" t="str">
        <x:v>zhen</x:v>
      </x:c>
      <x:c r="E220" s="253" t="str">
        <x:v>659943</x:v>
      </x:c>
      <x:c r="F220" s="277" t="str">
        <x:v>FT_VM_DEP600_GET200_5X</x:v>
      </x:c>
    </x:row>
    <x:row r="221">
      <x:c r="A221" s="252" t="str">
        <x:v>WS1</x:v>
      </x:c>
      <x:c r="B221" s="253" t="str">
        <x:v>bunny88</x:v>
      </x:c>
      <x:c r="C221" s="259" t="n">
        <x:v>46090.166666666664</x:v>
      </x:c>
      <x:c r="D221" s="253" t="str">
        <x:v>zhen</x:v>
      </x:c>
      <x:c r="E221" s="253" t="str">
        <x:v>662132</x:v>
      </x:c>
      <x:c r="F221" s="277" t="str">
        <x:v>FT_VM_DEP1000_GET500_2X</x:v>
      </x:c>
    </x:row>
    <x:row r="222">
      <x:c r="A222" s="252" t="str">
        <x:v>WS1</x:v>
      </x:c>
      <x:c r="B222" s="253" t="str">
        <x:v>Dino8284</x:v>
      </x:c>
      <x:c r="C222" s="259" t="n">
        <x:v>46090.166666666664</x:v>
      </x:c>
      <x:c r="D222" s="253" t="str">
        <x:v>zhen</x:v>
      </x:c>
      <x:c r="E222" s="253" t="str">
        <x:v>264351</x:v>
      </x:c>
      <x:c r="F222" s="277" t="str">
        <x:v>FT_VM_DEP1000_GET500_5X</x:v>
      </x:c>
    </x:row>
    <x:row r="223">
      <x:c r="A223" s="252" t="str">
        <x:v>WS1</x:v>
      </x:c>
      <x:c r="B223" s="253" t="str">
        <x:v>chanhounam2</x:v>
      </x:c>
      <x:c r="C223" s="259" t="n">
        <x:v>46090.166666666664</x:v>
      </x:c>
      <x:c r="D223" s="253" t="str">
        <x:v>zhen</x:v>
      </x:c>
      <x:c r="E223" s="253" t="str">
        <x:v>463680</x:v>
      </x:c>
      <x:c r="F223" s="277" t="str"/>
    </x:row>
    <x:row r="224">
      <x:c r="A224" s="252" t="str">
        <x:v>WS1</x:v>
      </x:c>
      <x:c r="B224" s="253" t="str">
        <x:v>Singa85</x:v>
      </x:c>
      <x:c r="C224" s="259" t="n">
        <x:v>46090.166666666664</x:v>
      </x:c>
      <x:c r="D224" s="253" t="str">
        <x:v>zhen</x:v>
      </x:c>
      <x:c r="E224" s="253" t="str">
        <x:v>974935</x:v>
      </x:c>
      <x:c r="F224" s="277" t="str">
        <x:v>DORMANT</x:v>
      </x:c>
    </x:row>
    <x:row r="225">
      <x:c r="A225" s="252" t="str">
        <x:v>WS1</x:v>
      </x:c>
      <x:c r="B225" s="253" t="str">
        <x:v>windywindy</x:v>
      </x:c>
      <x:c r="C225" s="259" t="n">
        <x:v>46090.166666666664</x:v>
      </x:c>
      <x:c r="D225" s="253" t="str">
        <x:v>zhen</x:v>
      </x:c>
      <x:c r="E225" s="253" t="str">
        <x:v>1155209</x:v>
      </x:c>
      <x:c r="F225" s="277" t="str"/>
    </x:row>
    <x:row r="226">
      <x:c r="A226" s="252" t="str">
        <x:v>WS1</x:v>
      </x:c>
      <x:c r="B226" s="253" t="str">
        <x:v>Shamsyarin83</x:v>
      </x:c>
      <x:c r="C226" s="259" t="n">
        <x:v>46090.166666666664</x:v>
      </x:c>
      <x:c r="D226" s="253" t="str">
        <x:v>zhen</x:v>
      </x:c>
      <x:c r="E226" s="253" t="str">
        <x:v>332085</x:v>
      </x:c>
      <x:c r="F226" s="277" t="str"/>
    </x:row>
    <x:row r="227">
      <x:c r="A227" s="252" t="str">
        <x:v>WS1</x:v>
      </x:c>
      <x:c r="B227" s="253" t="str">
        <x:v>Asron1122</x:v>
      </x:c>
      <x:c r="C227" s="259" t="n">
        <x:v>46090.166666666664</x:v>
      </x:c>
      <x:c r="D227" s="253" t="str">
        <x:v>zhen</x:v>
      </x:c>
      <x:c r="E227" s="253" t="str">
        <x:v>124019</x:v>
      </x:c>
      <x:c r="F227" s="277" t="str"/>
    </x:row>
    <x:row r="228">
      <x:c r="A228" s="252" t="str">
        <x:v>WS1</x:v>
      </x:c>
      <x:c r="B228" s="253" t="str">
        <x:v>JIMMYHAU</x:v>
      </x:c>
      <x:c r="C228" s="259" t="n">
        <x:v>46090.166666666664</x:v>
      </x:c>
      <x:c r="D228" s="253" t="str">
        <x:v>zhen</x:v>
      </x:c>
      <x:c r="E228" s="253" t="str">
        <x:v>1083728</x:v>
      </x:c>
      <x:c r="F228" s="277" t="str"/>
    </x:row>
    <x:row r="229">
      <x:c r="A229" s="252" t="str">
        <x:v>WS1</x:v>
      </x:c>
      <x:c r="B229" s="253" t="str">
        <x:v>Jems2212</x:v>
      </x:c>
      <x:c r="C229" s="259" t="n">
        <x:v>46090.166666666664</x:v>
      </x:c>
      <x:c r="D229" s="253" t="str">
        <x:v>zhen</x:v>
      </x:c>
      <x:c r="E229" s="253" t="str">
        <x:v>1154282</x:v>
      </x:c>
      <x:c r="F229" s="277" t="str"/>
    </x:row>
    <x:row r="230">
      <x:c r="A230" s="252" t="str">
        <x:v>WS1</x:v>
      </x:c>
      <x:c r="B230" s="253" t="str">
        <x:v>Vfx7855</x:v>
      </x:c>
      <x:c r="C230" s="259" t="n">
        <x:v>46090.166666666664</x:v>
      </x:c>
      <x:c r="D230" s="253" t="str">
        <x:v>zhen</x:v>
      </x:c>
      <x:c r="E230" s="253" t="str">
        <x:v>1186145</x:v>
      </x:c>
      <x:c r="F230" s="277" t="str"/>
    </x:row>
    <x:row r="231">
      <x:c r="A231" s="252" t="str">
        <x:v>WS1</x:v>
      </x:c>
      <x:c r="B231" s="253" t="str">
        <x:v>Simba</x:v>
      </x:c>
      <x:c r="C231" s="259" t="n">
        <x:v>46090.166666666664</x:v>
      </x:c>
      <x:c r="D231" s="253" t="str">
        <x:v>zhen</x:v>
      </x:c>
      <x:c r="E231" s="253" t="str">
        <x:v>521932</x:v>
      </x:c>
      <x:c r="F231" s="277" t="str"/>
    </x:row>
    <x:row r="232">
      <x:c r="A232" s="252" t="str">
        <x:v>WS1</x:v>
      </x:c>
      <x:c r="B232" s="253" t="str">
        <x:v>basant28</x:v>
      </x:c>
      <x:c r="C232" s="259" t="n">
        <x:v>46090.166666666664</x:v>
      </x:c>
      <x:c r="D232" s="253" t="str">
        <x:v>Serene</x:v>
      </x:c>
      <x:c r="E232" s="253" t="str">
        <x:v>410086</x:v>
      </x:c>
      <x:c r="F232" s="277" t="str">
        <x:v>DORMANT</x:v>
      </x:c>
    </x:row>
    <x:row r="233">
      <x:c r="A233" s="252" t="str">
        <x:v>WS1</x:v>
      </x:c>
      <x:c r="B233" s="253" t="str">
        <x:v>Greatwolf</x:v>
      </x:c>
      <x:c r="C233" s="259" t="n">
        <x:v>46090.166666666664</x:v>
      </x:c>
      <x:c r="D233" s="253" t="str">
        <x:v>Serene</x:v>
      </x:c>
      <x:c r="E233" s="253" t="str">
        <x:v>256230</x:v>
      </x:c>
      <x:c r="F233" s="277" t="str">
        <x:v>DORMANT</x:v>
      </x:c>
    </x:row>
    <x:row r="234">
      <x:c r="A234" s="252" t="str">
        <x:v>WS1</x:v>
      </x:c>
      <x:c r="B234" s="253" t="str">
        <x:v>Lunlun587998</x:v>
      </x:c>
      <x:c r="C234" s="259" t="n">
        <x:v>46090.166666666664</x:v>
      </x:c>
      <x:c r="D234" s="253" t="str">
        <x:v>Serene</x:v>
      </x:c>
      <x:c r="E234" s="253" t="str">
        <x:v>979675</x:v>
      </x:c>
      <x:c r="F234" s="277" t="str">
        <x:v>FT_VM_FC_VARIABLE_8X - MYR 1088</x:v>
      </x:c>
    </x:row>
    <x:row r="235">
      <x:c r="A235" s="252" t="str">
        <x:v>WS1</x:v>
      </x:c>
      <x:c r="B235" s="253" t="str">
        <x:v>pausam20</x:v>
      </x:c>
      <x:c r="C235" s="259" t="n">
        <x:v>46090.166666666664</x:v>
      </x:c>
      <x:c r="D235" s="253" t="str">
        <x:v>Serene</x:v>
      </x:c>
      <x:c r="E235" s="253" t="str">
        <x:v>566638</x:v>
      </x:c>
      <x:c r="F235" s="277" t="str"/>
    </x:row>
    <x:row r="236">
      <x:c r="A236" s="252" t="str">
        <x:v>WS1</x:v>
      </x:c>
      <x:c r="B236" s="253" t="str">
        <x:v>Jordanjj</x:v>
      </x:c>
      <x:c r="C236" s="259" t="n">
        <x:v>46090.166666666664</x:v>
      </x:c>
      <x:c r="D236" s="253" t="str">
        <x:v>Serene</x:v>
      </x:c>
      <x:c r="E236" s="253" t="str">
        <x:v>462333</x:v>
      </x:c>
      <x:c r="F236" s="277" t="str">
        <x:v>DORMANT</x:v>
      </x:c>
    </x:row>
    <x:row r="237">
      <x:c r="A237" s="252" t="str">
        <x:v>WS1</x:v>
      </x:c>
      <x:c r="B237" s="253" t="str">
        <x:v>Riddick92</x:v>
      </x:c>
      <x:c r="C237" s="259" t="n">
        <x:v>46090.166666666664</x:v>
      </x:c>
      <x:c r="D237" s="253" t="str">
        <x:v>Serene</x:v>
      </x:c>
      <x:c r="E237" s="253" t="str">
        <x:v>524889</x:v>
      </x:c>
      <x:c r="F237" s="277" t="str"/>
    </x:row>
    <x:row r="238">
      <x:c r="A238" s="252" t="str">
        <x:v>WS1</x:v>
      </x:c>
      <x:c r="B238" s="253" t="str">
        <x:v>Alex52100</x:v>
      </x:c>
      <x:c r="C238" s="259" t="n">
        <x:v>46090.166666666664</x:v>
      </x:c>
      <x:c r="D238" s="253" t="str">
        <x:v>Serene</x:v>
      </x:c>
      <x:c r="E238" s="253" t="str">
        <x:v>1040864</x:v>
      </x:c>
      <x:c r="F238" s="277" t="str">
        <x:v>FT_VM_DEP1000_GET500_5X</x:v>
      </x:c>
    </x:row>
    <x:row r="239">
      <x:c r="A239" s="252" t="str">
        <x:v>WS1</x:v>
      </x:c>
      <x:c r="B239" s="253" t="str">
        <x:v>Ajanajan</x:v>
      </x:c>
      <x:c r="C239" s="259" t="n">
        <x:v>46090.166666666664</x:v>
      </x:c>
      <x:c r="D239" s="253" t="str">
        <x:v>Serene</x:v>
      </x:c>
      <x:c r="E239" s="253" t="str">
        <x:v>652146</x:v>
      </x:c>
      <x:c r="F239" s="277" t="str">
        <x:v>DORMANT</x:v>
      </x:c>
    </x:row>
    <x:row r="240">
      <x:c r="A240" s="252" t="str">
        <x:v>WS1</x:v>
      </x:c>
      <x:c r="B240" s="253" t="str">
        <x:v>Ongmali</x:v>
      </x:c>
      <x:c r="C240" s="259" t="n">
        <x:v>46090.166666666664</x:v>
      </x:c>
      <x:c r="D240" s="253" t="str">
        <x:v>Serene</x:v>
      </x:c>
      <x:c r="E240" s="253" t="str">
        <x:v>123083</x:v>
      </x:c>
      <x:c r="F240" s="277" t="str"/>
    </x:row>
    <x:row r="241">
      <x:c r="A241" s="252" t="str">
        <x:v>WS1</x:v>
      </x:c>
      <x:c r="B241" s="253" t="str">
        <x:v>Ivy888</x:v>
      </x:c>
      <x:c r="C241" s="259" t="n">
        <x:v>46090.166666666664</x:v>
      </x:c>
      <x:c r="D241" s="253" t="str">
        <x:v>Serene</x:v>
      </x:c>
      <x:c r="E241" s="253" t="str">
        <x:v>99083</x:v>
      </x:c>
      <x:c r="F241" s="277" t="str"/>
    </x:row>
    <x:row r="242">
      <x:c r="A242" s="252" t="str">
        <x:v>WS1</x:v>
      </x:c>
      <x:c r="B242" s="253" t="str">
        <x:v>Lisalisa8282</x:v>
      </x:c>
      <x:c r="C242" s="259" t="n">
        <x:v>46090.166666666664</x:v>
      </x:c>
      <x:c r="D242" s="253" t="str">
        <x:v>Serene</x:v>
      </x:c>
      <x:c r="E242" s="253" t="str">
        <x:v>235185</x:v>
      </x:c>
      <x:c r="F242" s="277" t="str">
        <x:v>FT_VM_DEP1000_GET500_5X</x:v>
      </x:c>
    </x:row>
    <x:row r="243">
      <x:c r="A243" s="252" t="str">
        <x:v>WS1</x:v>
      </x:c>
      <x:c r="B243" s="253" t="str">
        <x:v>Ashley78</x:v>
      </x:c>
      <x:c r="C243" s="259" t="n">
        <x:v>46090.166666666664</x:v>
      </x:c>
      <x:c r="D243" s="253" t="str">
        <x:v>Serene</x:v>
      </x:c>
      <x:c r="E243" s="253" t="str">
        <x:v>223527</x:v>
      </x:c>
      <x:c r="F243" s="277" t="str">
        <x:v>FT_VM_DEP1000_GET500_5X</x:v>
      </x:c>
    </x:row>
    <x:row r="244">
      <x:c r="A244" s="252" t="str">
        <x:v>WS1</x:v>
      </x:c>
      <x:c r="B244" s="253" t="str">
        <x:v>Joker1603</x:v>
      </x:c>
      <x:c r="C244" s="259" t="n">
        <x:v>46090.166666666664</x:v>
      </x:c>
      <x:c r="D244" s="253" t="str">
        <x:v>Serene</x:v>
      </x:c>
      <x:c r="E244" s="253" t="str">
        <x:v>64201</x:v>
      </x:c>
      <x:c r="F244" s="277" t="str"/>
    </x:row>
    <x:row r="245">
      <x:c r="A245" s="252" t="str">
        <x:v>WS1</x:v>
      </x:c>
      <x:c r="B245" s="253" t="str">
        <x:v>Pepperclips86</x:v>
      </x:c>
      <x:c r="C245" s="259" t="n">
        <x:v>46090.166666666664</x:v>
      </x:c>
      <x:c r="D245" s="253" t="str">
        <x:v>Serene</x:v>
      </x:c>
      <x:c r="E245" s="253" t="str">
        <x:v>311340</x:v>
      </x:c>
      <x:c r="F245" s="277" t="str">
        <x:v>DORMANT</x:v>
      </x:c>
    </x:row>
    <x:row r="246">
      <x:c r="A246" s="252" t="str">
        <x:v>WS1</x:v>
      </x:c>
      <x:c r="B246" s="253" t="str">
        <x:v>Tmnet456</x:v>
      </x:c>
      <x:c r="C246" s="259" t="n">
        <x:v>46090.166666666664</x:v>
      </x:c>
      <x:c r="D246" s="253" t="str">
        <x:v>Serene</x:v>
      </x:c>
      <x:c r="E246" s="253" t="str">
        <x:v>412740</x:v>
      </x:c>
      <x:c r="F246" s="277" t="str"/>
    </x:row>
    <x:row r="247">
      <x:c r="A247" s="252" t="str">
        <x:v>WS1</x:v>
      </x:c>
      <x:c r="B247" s="253" t="str">
        <x:v>MichelleTan1</x:v>
      </x:c>
      <x:c r="C247" s="259" t="n">
        <x:v>46090.166666666664</x:v>
      </x:c>
      <x:c r="D247" s="253" t="str">
        <x:v>Serene</x:v>
      </x:c>
      <x:c r="E247" s="253" t="str">
        <x:v>56984</x:v>
      </x:c>
      <x:c r="F247" s="277" t="str">
        <x:v>FT_VM_DEP1000_GET500_5X</x:v>
      </x:c>
    </x:row>
    <x:row r="248">
      <x:c r="A248" s="252" t="str">
        <x:v>WS1</x:v>
      </x:c>
      <x:c r="B248" s="253" t="str">
        <x:v>lwc666</x:v>
      </x:c>
      <x:c r="C248" s="259" t="n">
        <x:v>46090.166666666664</x:v>
      </x:c>
      <x:c r="D248" s="253" t="str">
        <x:v>Serene</x:v>
      </x:c>
      <x:c r="E248" s="253" t="str">
        <x:v>312334</x:v>
      </x:c>
      <x:c r="F248" s="277" t="str">
        <x:v>FT_VM_DEP1000_GET800_2X</x:v>
      </x:c>
    </x:row>
    <x:row r="249">
      <x:c r="A249" s="252" t="str">
        <x:v>WS1</x:v>
      </x:c>
      <x:c r="B249" s="253" t="str">
        <x:v>888huat</x:v>
      </x:c>
      <x:c r="C249" s="259" t="n">
        <x:v>46090.166666666664</x:v>
      </x:c>
      <x:c r="D249" s="253" t="str">
        <x:v>Serene</x:v>
      </x:c>
      <x:c r="E249" s="253" t="str">
        <x:v>366576</x:v>
      </x:c>
      <x:c r="F249" s="277" t="str">
        <x:v>FT_VM_DEP1000_GET900_1X</x:v>
      </x:c>
    </x:row>
    <x:row r="250">
      <x:c r="A250" s="252" t="str">
        <x:v>WS1</x:v>
      </x:c>
      <x:c r="B250" s="253" t="str">
        <x:v>Angpau</x:v>
      </x:c>
      <x:c r="C250" s="259" t="n">
        <x:v>46090.166666666664</x:v>
      </x:c>
      <x:c r="D250" s="253" t="str">
        <x:v>Serene</x:v>
      </x:c>
      <x:c r="E250" s="253" t="str">
        <x:v>156156</x:v>
      </x:c>
      <x:c r="F250" s="277" t="str">
        <x:v>DORMANT</x:v>
      </x:c>
    </x:row>
    <x:row r="251">
      <x:c r="A251" s="252" t="str">
        <x:v>WS1</x:v>
      </x:c>
      <x:c r="B251" s="253" t="str">
        <x:v>Thonny</x:v>
      </x:c>
      <x:c r="C251" s="259" t="n">
        <x:v>46090.166666666664</x:v>
      </x:c>
      <x:c r="D251" s="253" t="str">
        <x:v>Serene</x:v>
      </x:c>
      <x:c r="E251" s="253" t="str">
        <x:v>188094</x:v>
      </x:c>
      <x:c r="F251" s="277" t="str">
        <x:v>DORMANT</x:v>
      </x:c>
    </x:row>
    <x:row r="252">
      <x:c r="A252" s="252" t="str">
        <x:v>WS1</x:v>
      </x:c>
      <x:c r="B252" s="253" t="str">
        <x:v>David1980</x:v>
      </x:c>
      <x:c r="C252" s="259" t="n">
        <x:v>46090.166666666664</x:v>
      </x:c>
      <x:c r="D252" s="253" t="str">
        <x:v>Serene</x:v>
      </x:c>
      <x:c r="E252" s="253" t="str">
        <x:v>88414</x:v>
      </x:c>
      <x:c r="F252" s="277" t="str">
        <x:v>FT_VM_DEP1000_GET500_5X</x:v>
      </x:c>
    </x:row>
    <x:row r="253">
      <x:c r="A253" s="252" t="str">
        <x:v>WS1</x:v>
      </x:c>
      <x:c r="B253" s="253" t="str">
        <x:v>0173507830fadly</x:v>
      </x:c>
      <x:c r="C253" s="259" t="n">
        <x:v>46090.166666666664</x:v>
      </x:c>
      <x:c r="D253" s="253" t="str">
        <x:v>Serene</x:v>
      </x:c>
      <x:c r="E253" s="253" t="str">
        <x:v>537180</x:v>
      </x:c>
      <x:c r="F253" s="277" t="str"/>
    </x:row>
    <x:row r="254">
      <x:c r="A254" s="252" t="str">
        <x:v>WS1</x:v>
      </x:c>
      <x:c r="B254" s="253" t="str">
        <x:v>caanho8833</x:v>
      </x:c>
      <x:c r="C254" s="259" t="n">
        <x:v>46090.166666666664</x:v>
      </x:c>
      <x:c r="D254" s="253" t="str">
        <x:v>Serene</x:v>
      </x:c>
      <x:c r="E254" s="253" t="str">
        <x:v>182912</x:v>
      </x:c>
      <x:c r="F254" s="277" t="str"/>
    </x:row>
    <x:row r="255">
      <x:c r="A255" s="252" t="str">
        <x:v>WS1</x:v>
      </x:c>
      <x:c r="B255" s="253" t="str">
        <x:v>WWW512</x:v>
      </x:c>
      <x:c r="C255" s="259" t="n">
        <x:v>46090.166666666664</x:v>
      </x:c>
      <x:c r="D255" s="253" t="str">
        <x:v>Serene</x:v>
      </x:c>
      <x:c r="E255" s="253" t="str">
        <x:v>744742</x:v>
      </x:c>
      <x:c r="F255" s="277" t="str"/>
    </x:row>
    <x:row r="256">
      <x:c r="A256" s="252" t="str">
        <x:v>WS1</x:v>
      </x:c>
      <x:c r="B256" s="253" t="str">
        <x:v>El5689</x:v>
      </x:c>
      <x:c r="C256" s="259" t="n">
        <x:v>46090.166666666664</x:v>
      </x:c>
      <x:c r="D256" s="253" t="str">
        <x:v>Serene</x:v>
      </x:c>
      <x:c r="E256" s="253" t="str">
        <x:v>256651</x:v>
      </x:c>
      <x:c r="F256" s="277" t="str"/>
    </x:row>
    <x:row r="257">
      <x:c r="A257" s="252" t="str">
        <x:v>WS1</x:v>
      </x:c>
      <x:c r="B257" s="253" t="str">
        <x:v>Lulu1994</x:v>
      </x:c>
      <x:c r="C257" s="259" t="n">
        <x:v>46090.166666666664</x:v>
      </x:c>
      <x:c r="D257" s="253" t="str">
        <x:v>Serene</x:v>
      </x:c>
      <x:c r="E257" s="253" t="str">
        <x:v>659670</x:v>
      </x:c>
      <x:c r="F257" s="277" t="str"/>
    </x:row>
    <x:row r="258">
      <x:c r="A258" s="252" t="str">
        <x:v>WS1</x:v>
      </x:c>
      <x:c r="B258" s="253" t="str">
        <x:v>Davif</x:v>
      </x:c>
      <x:c r="C258" s="259" t="n">
        <x:v>46090.166666666664</x:v>
      </x:c>
      <x:c r="D258" s="253" t="str">
        <x:v>Serene</x:v>
      </x:c>
      <x:c r="E258" s="253" t="str">
        <x:v>36347</x:v>
      </x:c>
      <x:c r="F258" s="277" t="str"/>
    </x:row>
    <x:row r="259">
      <x:c r="A259" s="252" t="str">
        <x:v>WS1</x:v>
      </x:c>
      <x:c r="B259" s="253" t="str">
        <x:v>Towkey</x:v>
      </x:c>
      <x:c r="C259" s="259" t="n">
        <x:v>46090.166666666664</x:v>
      </x:c>
      <x:c r="D259" s="253" t="str">
        <x:v>Serene</x:v>
      </x:c>
      <x:c r="E259" s="253" t="str">
        <x:v>607976</x:v>
      </x:c>
      <x:c r="F259" s="277" t="str">
        <x:v>(MID) - VM_DEP600_GET200_5X</x:v>
      </x:c>
    </x:row>
    <x:row r="260">
      <x:c r="A260" s="252" t="str">
        <x:v>WS1</x:v>
      </x:c>
      <x:c r="B260" s="253" t="str">
        <x:v>boy1987</x:v>
      </x:c>
      <x:c r="C260" s="259" t="n">
        <x:v>46090.166666666664</x:v>
      </x:c>
      <x:c r="D260" s="253" t="str">
        <x:v>Serene</x:v>
      </x:c>
      <x:c r="E260" s="253" t="str">
        <x:v>613527</x:v>
      </x:c>
      <x:c r="F260" s="277" t="str">
        <x:v>FT_VM_DEP1000_GET500_5X</x:v>
      </x:c>
    </x:row>
    <x:row r="261">
      <x:c r="A261" s="252" t="str">
        <x:v>WS1</x:v>
      </x:c>
      <x:c r="B261" s="253" t="str">
        <x:v>Awang5607</x:v>
      </x:c>
      <x:c r="C261" s="259" t="n">
        <x:v>46090.166666666664</x:v>
      </x:c>
      <x:c r="D261" s="253" t="str">
        <x:v>Serene</x:v>
      </x:c>
      <x:c r="E261" s="253" t="str">
        <x:v>87368</x:v>
      </x:c>
      <x:c r="F261" s="277" t="str"/>
    </x:row>
    <x:row r="262">
      <x:c r="A262" s="252" t="str">
        <x:v>WS1</x:v>
      </x:c>
      <x:c r="B262" s="253" t="str">
        <x:v>phantomx10294</x:v>
      </x:c>
      <x:c r="C262" s="259" t="n">
        <x:v>46090.166666666664</x:v>
      </x:c>
      <x:c r="D262" s="253" t="str">
        <x:v>Serene</x:v>
      </x:c>
      <x:c r="E262" s="253" t="str">
        <x:v>112072</x:v>
      </x:c>
      <x:c r="F262" s="277" t="str"/>
    </x:row>
    <x:row r="263">
      <x:c r="A263" s="252" t="str">
        <x:v>WS1</x:v>
      </x:c>
      <x:c r="B263" s="253" t="str">
        <x:v>Arn3077</x:v>
      </x:c>
      <x:c r="C263" s="259" t="n">
        <x:v>46090.166666666664</x:v>
      </x:c>
      <x:c r="D263" s="253" t="str">
        <x:v>Serene</x:v>
      </x:c>
      <x:c r="E263" s="253" t="str">
        <x:v>150566</x:v>
      </x:c>
      <x:c r="F263" s="277" t="str"/>
    </x:row>
    <x:row r="264">
      <x:c r="A264" s="252" t="str">
        <x:v>WS1</x:v>
      </x:c>
      <x:c r="B264" s="253" t="str">
        <x:v>Gom777</x:v>
      </x:c>
      <x:c r="C264" s="259" t="n">
        <x:v>46090.166666666664</x:v>
      </x:c>
      <x:c r="D264" s="253" t="str">
        <x:v>Serene</x:v>
      </x:c>
      <x:c r="E264" s="253" t="str">
        <x:v>425874</x:v>
      </x:c>
      <x:c r="F264" s="277" t="str"/>
    </x:row>
    <x:row r="265">
      <x:c r="A265" s="252" t="str">
        <x:v>WS1</x:v>
      </x:c>
      <x:c r="B265" s="253" t="str">
        <x:v>Bas1818</x:v>
      </x:c>
      <x:c r="C265" s="259" t="n">
        <x:v>46090.166666666664</x:v>
      </x:c>
      <x:c r="D265" s="253" t="str">
        <x:v>Serene</x:v>
      </x:c>
      <x:c r="E265" s="253" t="str">
        <x:v>264705</x:v>
      </x:c>
      <x:c r="F265" s="277" t="str"/>
    </x:row>
    <x:row r="266">
      <x:c r="A266" s="252" t="str">
        <x:v>WS1</x:v>
      </x:c>
      <x:c r="B266" s="253" t="str">
        <x:v>Jackkrish</x:v>
      </x:c>
      <x:c r="C266" s="259" t="n">
        <x:v>46090.166666666664</x:v>
      </x:c>
      <x:c r="D266" s="253" t="str">
        <x:v>Serene</x:v>
      </x:c>
      <x:c r="E266" s="253" t="str">
        <x:v>225155</x:v>
      </x:c>
      <x:c r="F266" s="277" t="str"/>
    </x:row>
    <x:row r="267">
      <x:c r="A267" s="252" t="str">
        <x:v>WS1</x:v>
      </x:c>
      <x:c r="B267" s="253" t="str">
        <x:v>Rie55</x:v>
      </x:c>
      <x:c r="C267" s="259" t="n">
        <x:v>46090.166666666664</x:v>
      </x:c>
      <x:c r="D267" s="253" t="str">
        <x:v>Serene</x:v>
      </x:c>
      <x:c r="E267" s="253" t="str">
        <x:v>21994</x:v>
      </x:c>
      <x:c r="F267" s="277" t="str"/>
    </x:row>
    <x:row r="268">
      <x:c r="A268" s="252" t="str">
        <x:v>WS1</x:v>
      </x:c>
      <x:c r="B268" s="253" t="str">
        <x:v>desmond6772</x:v>
      </x:c>
      <x:c r="C268" s="259" t="n">
        <x:v>46090.166666666664</x:v>
      </x:c>
      <x:c r="D268" s="253" t="str">
        <x:v>Serene</x:v>
      </x:c>
      <x:c r="E268" s="253" t="str">
        <x:v>435194</x:v>
      </x:c>
      <x:c r="F268" s="277" t="str"/>
    </x:row>
    <x:row r="269">
      <x:c r="A269" s="252" t="str">
        <x:v>WS1</x:v>
      </x:c>
      <x:c r="B269" s="253" t="str">
        <x:v>GG5596</x:v>
      </x:c>
      <x:c r="C269" s="259" t="n">
        <x:v>46090.166666666664</x:v>
      </x:c>
      <x:c r="D269" s="253" t="str">
        <x:v>Serene</x:v>
      </x:c>
      <x:c r="E269" s="253" t="str">
        <x:v>410898</x:v>
      </x:c>
      <x:c r="F269" s="277" t="str"/>
    </x:row>
    <x:row r="270">
      <x:c r="A270" s="252" t="str">
        <x:v>WS1</x:v>
      </x:c>
      <x:c r="B270" s="253" t="str">
        <x:v>Nyklan</x:v>
      </x:c>
      <x:c r="C270" s="259" t="n">
        <x:v>46090.166666666664</x:v>
      </x:c>
      <x:c r="D270" s="253" t="str">
        <x:v>Serene</x:v>
      </x:c>
      <x:c r="E270" s="253" t="str">
        <x:v>672064</x:v>
      </x:c>
      <x:c r="F270" s="277" t="str"/>
    </x:row>
    <x:row r="271">
      <x:c r="A271" s="252" t="str">
        <x:v>WS1</x:v>
      </x:c>
      <x:c r="B271" s="253" t="str">
        <x:v>Dcan1976</x:v>
      </x:c>
      <x:c r="C271" s="259" t="n">
        <x:v>46090.166666666664</x:v>
      </x:c>
      <x:c r="D271" s="253" t="str">
        <x:v>Serene</x:v>
      </x:c>
      <x:c r="E271" s="253" t="str">
        <x:v>355461</x:v>
      </x:c>
      <x:c r="F271" s="277" t="str"/>
    </x:row>
    <x:row r="272">
      <x:c r="A272" s="252" t="str">
        <x:v>WS1</x:v>
      </x:c>
      <x:c r="B272" s="253" t="str">
        <x:v>Marcus8687</x:v>
      </x:c>
      <x:c r="C272" s="259" t="n">
        <x:v>46090.166666666664</x:v>
      </x:c>
      <x:c r="D272" s="253" t="str">
        <x:v>Serene</x:v>
      </x:c>
      <x:c r="E272" s="253" t="str">
        <x:v>1549</x:v>
      </x:c>
      <x:c r="F272" s="277" t="str"/>
    </x:row>
    <x:row r="273">
      <x:c r="A273" s="252" t="str">
        <x:v>WS1</x:v>
      </x:c>
      <x:c r="B273" s="253" t="str">
        <x:v>Alan84</x:v>
      </x:c>
      <x:c r="C273" s="259" t="n">
        <x:v>46090.166666666664</x:v>
      </x:c>
      <x:c r="D273" s="253" t="str">
        <x:v>Serene</x:v>
      </x:c>
      <x:c r="E273" s="253" t="str">
        <x:v>81871</x:v>
      </x:c>
      <x:c r="F273" s="277" t="str"/>
    </x:row>
    <x:row r="274">
      <x:c r="A274" s="252" t="str">
        <x:v>WS1</x:v>
      </x:c>
      <x:c r="B274" s="253" t="str">
        <x:v>Waganzi2001</x:v>
      </x:c>
      <x:c r="C274" s="259" t="n">
        <x:v>46090.166666666664</x:v>
      </x:c>
      <x:c r="D274" s="253" t="str">
        <x:v>Serene</x:v>
      </x:c>
      <x:c r="E274" s="253" t="str">
        <x:v>465293</x:v>
      </x:c>
      <x:c r="F274" s="277" t="str"/>
    </x:row>
    <x:row r="275">
      <x:c r="A275" s="252" t="str">
        <x:v>WS1</x:v>
      </x:c>
      <x:c r="B275" s="253" t="str">
        <x:v>Pehengguan</x:v>
      </x:c>
      <x:c r="C275" s="259" t="n">
        <x:v>46090.166666666664</x:v>
      </x:c>
      <x:c r="D275" s="253" t="str">
        <x:v>Serene</x:v>
      </x:c>
      <x:c r="E275" s="253" t="str">
        <x:v>662629</x:v>
      </x:c>
      <x:c r="F275" s="277" t="str"/>
    </x:row>
    <x:row r="276">
      <x:c r="A276" s="252" t="str">
        <x:v>WS1</x:v>
      </x:c>
      <x:c r="B276" s="253" t="str">
        <x:v>Mamba09</x:v>
      </x:c>
      <x:c r="C276" s="259" t="n">
        <x:v>46090.166666666664</x:v>
      </x:c>
      <x:c r="D276" s="253" t="str">
        <x:v>Serene</x:v>
      </x:c>
      <x:c r="E276" s="253" t="str">
        <x:v>598766</x:v>
      </x:c>
      <x:c r="F276" s="277" t="str"/>
    </x:row>
    <x:row r="277">
      <x:c r="A277" s="252" t="str">
        <x:v>WS1</x:v>
      </x:c>
      <x:c r="B277" s="253" t="str">
        <x:v>fiezeen83</x:v>
      </x:c>
      <x:c r="C277" s="259" t="n">
        <x:v>46090.166666666664</x:v>
      </x:c>
      <x:c r="D277" s="253" t="str">
        <x:v>Serene</x:v>
      </x:c>
      <x:c r="E277" s="253" t="str">
        <x:v>425039</x:v>
      </x:c>
      <x:c r="F277" s="277" t="str">
        <x:v>FT_VM_DEP1000_GET800_2X</x:v>
      </x:c>
    </x:row>
    <x:row r="278">
      <x:c r="A278" s="252" t="str">
        <x:v>WS1</x:v>
      </x:c>
      <x:c r="B278" s="253" t="str">
        <x:v>Jebat8</x:v>
      </x:c>
      <x:c r="C278" s="259" t="n">
        <x:v>46090.166666666664</x:v>
      </x:c>
      <x:c r="D278" s="253" t="str">
        <x:v>Serene</x:v>
      </x:c>
      <x:c r="E278" s="253" t="str">
        <x:v>557564</x:v>
      </x:c>
      <x:c r="F278" s="277" t="str"/>
    </x:row>
    <x:row r="279">
      <x:c r="A279" s="252" t="str">
        <x:v>WS1</x:v>
      </x:c>
      <x:c r="B279" s="253" t="str">
        <x:v>Ayie22</x:v>
      </x:c>
      <x:c r="C279" s="259" t="n">
        <x:v>46090.166666666664</x:v>
      </x:c>
      <x:c r="D279" s="253" t="str">
        <x:v>Serene</x:v>
      </x:c>
      <x:c r="E279" s="253" t="str">
        <x:v>21760</x:v>
      </x:c>
      <x:c r="F279" s="277" t="str"/>
    </x:row>
    <x:row r="280">
      <x:c r="A280" s="252" t="str">
        <x:v>WS1</x:v>
      </x:c>
      <x:c r="B280" s="253" t="str">
        <x:v>luahockbee</x:v>
      </x:c>
      <x:c r="C280" s="259" t="n">
        <x:v>46090.166666666664</x:v>
      </x:c>
      <x:c r="D280" s="253" t="str">
        <x:v>Serene</x:v>
      </x:c>
      <x:c r="E280" s="253" t="str">
        <x:v>88463</x:v>
      </x:c>
      <x:c r="F280" s="277" t="str"/>
    </x:row>
    <x:row r="281">
      <x:c r="A281" s="252" t="str">
        <x:v>WS1</x:v>
      </x:c>
      <x:c r="B281" s="253" t="str">
        <x:v>Laksh</x:v>
      </x:c>
      <x:c r="C281" s="259" t="n">
        <x:v>46090.166666666664</x:v>
      </x:c>
      <x:c r="D281" s="253" t="str">
        <x:v>Serene</x:v>
      </x:c>
      <x:c r="E281" s="253" t="str">
        <x:v>508702</x:v>
      </x:c>
      <x:c r="F281" s="277" t="str">
        <x:v>FT_VM_DEP1000_GET800_2X</x:v>
      </x:c>
    </x:row>
    <x:row r="282">
      <x:c r="A282" s="252" t="str">
        <x:v>WS1</x:v>
      </x:c>
      <x:c r="B282" s="253" t="str">
        <x:v>Luckychoong</x:v>
      </x:c>
      <x:c r="C282" s="259" t="n">
        <x:v>46090.166666666664</x:v>
      </x:c>
      <x:c r="D282" s="253" t="str">
        <x:v>Serene</x:v>
      </x:c>
      <x:c r="E282" s="253" t="str">
        <x:v>629153</x:v>
      </x:c>
      <x:c r="F282" s="277" t="str"/>
    </x:row>
    <x:row r="283">
      <x:c r="A283" s="252" t="str">
        <x:v>WS1</x:v>
      </x:c>
      <x:c r="B283" s="253" t="str">
        <x:v>muss1127</x:v>
      </x:c>
      <x:c r="C283" s="259" t="n">
        <x:v>46090.166666666664</x:v>
      </x:c>
      <x:c r="D283" s="253" t="str">
        <x:v>Serene</x:v>
      </x:c>
      <x:c r="E283" s="253" t="str">
        <x:v>303429</x:v>
      </x:c>
      <x:c r="F283" s="277" t="str"/>
    </x:row>
    <x:row r="284">
      <x:c r="A284" s="252" t="str">
        <x:v>WS1</x:v>
      </x:c>
      <x:c r="B284" s="253" t="str">
        <x:v>Jayteoh</x:v>
      </x:c>
      <x:c r="C284" s="259" t="n">
        <x:v>46090.166666666664</x:v>
      </x:c>
      <x:c r="D284" s="253" t="str">
        <x:v>Serene</x:v>
      </x:c>
      <x:c r="E284" s="253" t="str">
        <x:v>662763</x:v>
      </x:c>
      <x:c r="F284" s="277" t="str"/>
    </x:row>
    <x:row r="285">
      <x:c r="A285" s="252" t="str">
        <x:v>WS1</x:v>
      </x:c>
      <x:c r="B285" s="253" t="str">
        <x:v>Peyjai</x:v>
      </x:c>
      <x:c r="C285" s="259" t="n">
        <x:v>46090.166666666664</x:v>
      </x:c>
      <x:c r="D285" s="253" t="str">
        <x:v>Serene</x:v>
      </x:c>
      <x:c r="E285" s="253" t="str">
        <x:v>167271</x:v>
      </x:c>
      <x:c r="F285" s="277" t="str"/>
    </x:row>
    <x:row r="286">
      <x:c r="A286" s="252" t="str">
        <x:v>WS1</x:v>
      </x:c>
      <x:c r="B286" s="253" t="str">
        <x:v>Ehcays</x:v>
      </x:c>
      <x:c r="C286" s="259" t="n">
        <x:v>46090.166666666664</x:v>
      </x:c>
      <x:c r="D286" s="253" t="str">
        <x:v>Serene</x:v>
      </x:c>
      <x:c r="E286" s="253" t="str">
        <x:v>567766</x:v>
      </x:c>
      <x:c r="F286" s="277" t="str">
        <x:v>FT_VM_DEP1000_GET500_2X</x:v>
      </x:c>
    </x:row>
    <x:row r="287">
      <x:c r="A287" s="252" t="str">
        <x:v>WS1</x:v>
      </x:c>
      <x:c r="B287" s="253" t="str">
        <x:v>masscomm4121</x:v>
      </x:c>
      <x:c r="C287" s="259" t="n">
        <x:v>46090.166666666664</x:v>
      </x:c>
      <x:c r="D287" s="253" t="str">
        <x:v>Serene</x:v>
      </x:c>
      <x:c r="E287" s="253" t="str">
        <x:v>1439</x:v>
      </x:c>
      <x:c r="F287" s="277" t="str"/>
    </x:row>
    <x:row r="288">
      <x:c r="A288" s="252" t="str">
        <x:v>WS1</x:v>
      </x:c>
      <x:c r="B288" s="253" t="str">
        <x:v>king7886</x:v>
      </x:c>
      <x:c r="C288" s="259" t="n">
        <x:v>46090.166666666664</x:v>
      </x:c>
      <x:c r="D288" s="253" t="str">
        <x:v>Serene</x:v>
      </x:c>
      <x:c r="E288" s="253" t="str">
        <x:v>660081</x:v>
      </x:c>
      <x:c r="F288" s="277" t="str"/>
    </x:row>
    <x:row r="289">
      <x:c r="A289" s="252" t="str">
        <x:v>WS1</x:v>
      </x:c>
      <x:c r="B289" s="253" t="str">
        <x:v>zahrul66</x:v>
      </x:c>
      <x:c r="C289" s="259" t="n">
        <x:v>46090.166666666664</x:v>
      </x:c>
      <x:c r="D289" s="253" t="str">
        <x:v>Serene</x:v>
      </x:c>
      <x:c r="E289" s="253" t="str">
        <x:v>128511</x:v>
      </x:c>
      <x:c r="F289" s="277" t="str"/>
    </x:row>
    <x:row r="290">
      <x:c r="A290" s="252" t="str">
        <x:v>WS1</x:v>
      </x:c>
      <x:c r="B290" s="253" t="str">
        <x:v>Terrencelai</x:v>
      </x:c>
      <x:c r="C290" s="259" t="n">
        <x:v>46090.166666666664</x:v>
      </x:c>
      <x:c r="D290" s="253" t="str">
        <x:v>Serene</x:v>
      </x:c>
      <x:c r="E290" s="253" t="str">
        <x:v>140381</x:v>
      </x:c>
      <x:c r="F290" s="277" t="str"/>
    </x:row>
    <x:row r="291">
      <x:c r="A291" s="252" t="str">
        <x:v>WS1</x:v>
      </x:c>
      <x:c r="B291" s="253" t="str">
        <x:v>Komi787</x:v>
      </x:c>
      <x:c r="C291" s="259" t="n">
        <x:v>46090.166666666664</x:v>
      </x:c>
      <x:c r="D291" s="253" t="str">
        <x:v>Serene</x:v>
      </x:c>
      <x:c r="E291" s="253" t="str">
        <x:v>694849</x:v>
      </x:c>
      <x:c r="F291" s="277" t="str">
        <x:v>FT_VM_DEP1000_GET500_2X</x:v>
      </x:c>
    </x:row>
    <x:row r="292">
      <x:c r="A292" s="252" t="str">
        <x:v>WS1</x:v>
      </x:c>
      <x:c r="B292" s="253" t="str">
        <x:v>Tay0424</x:v>
      </x:c>
      <x:c r="C292" s="259" t="n">
        <x:v>46090.166666666664</x:v>
      </x:c>
      <x:c r="D292" s="253" t="str">
        <x:v>Serene</x:v>
      </x:c>
      <x:c r="E292" s="253" t="str">
        <x:v>444505</x:v>
      </x:c>
      <x:c r="F292" s="277" t="str"/>
    </x:row>
    <x:row r="293">
      <x:c r="A293" s="252" t="str">
        <x:v>WS1</x:v>
      </x:c>
      <x:c r="B293" s="253" t="str">
        <x:v>lily168</x:v>
      </x:c>
      <x:c r="C293" s="259" t="n">
        <x:v>46090.166666666664</x:v>
      </x:c>
      <x:c r="D293" s="253" t="str">
        <x:v>Serene</x:v>
      </x:c>
      <x:c r="E293" s="253" t="str">
        <x:v>446438</x:v>
      </x:c>
      <x:c r="F293" s="277" t="str"/>
    </x:row>
    <x:row r="294">
      <x:c r="A294" s="252" t="str">
        <x:v>WS1</x:v>
      </x:c>
      <x:c r="B294" s="253" t="str">
        <x:v>Prasad23</x:v>
      </x:c>
      <x:c r="C294" s="259" t="n">
        <x:v>46090.166666666664</x:v>
      </x:c>
      <x:c r="D294" s="253" t="str">
        <x:v>Serene</x:v>
      </x:c>
      <x:c r="E294" s="253" t="str">
        <x:v>565086</x:v>
      </x:c>
      <x:c r="F294" s="277" t="str">
        <x:v>FT_VM_DEP1000_GET500_2X</x:v>
      </x:c>
    </x:row>
    <x:row r="295">
      <x:c r="A295" s="252" t="str">
        <x:v>WS1</x:v>
      </x:c>
      <x:c r="B295" s="253" t="str">
        <x:v>Krulyen86</x:v>
      </x:c>
      <x:c r="C295" s="259" t="n">
        <x:v>46090.166666666664</x:v>
      </x:c>
      <x:c r="D295" s="253" t="str">
        <x:v>Serene</x:v>
      </x:c>
      <x:c r="E295" s="253" t="str">
        <x:v>479308</x:v>
      </x:c>
      <x:c r="F295" s="277" t="str">
        <x:v>FT_VM_DEP600_GET200_5X</x:v>
      </x:c>
    </x:row>
    <x:row r="296">
      <x:c r="A296" s="252" t="str">
        <x:v>WS1</x:v>
      </x:c>
      <x:c r="B296" s="253" t="str">
        <x:v>Boboi98</x:v>
      </x:c>
      <x:c r="C296" s="259" t="n">
        <x:v>46090.166666666664</x:v>
      </x:c>
      <x:c r="D296" s="253" t="str">
        <x:v>Serene</x:v>
      </x:c>
      <x:c r="E296" s="253" t="str">
        <x:v>527612</x:v>
      </x:c>
      <x:c r="F296" s="277" t="str">
        <x:v>FT_VM_DEP1000_GET500_5X</x:v>
      </x:c>
    </x:row>
    <x:row r="297">
      <x:c r="A297" s="252" t="str">
        <x:v>WS1</x:v>
      </x:c>
      <x:c r="B297" s="253" t="str">
        <x:v>Luckanut007</x:v>
      </x:c>
      <x:c r="C297" s="259" t="n">
        <x:v>46090.166666666664</x:v>
      </x:c>
      <x:c r="D297" s="253" t="str">
        <x:v>Serene</x:v>
      </x:c>
      <x:c r="E297" s="253" t="str">
        <x:v>157630</x:v>
      </x:c>
      <x:c r="F297" s="277" t="str">
        <x:v>FT_VM_DEP1000_GET500_5X</x:v>
      </x:c>
    </x:row>
    <x:row r="298">
      <x:c r="A298" s="252" t="str">
        <x:v>WS1</x:v>
      </x:c>
      <x:c r="B298" s="253" t="str">
        <x:v>Soul7492</x:v>
      </x:c>
      <x:c r="C298" s="259" t="n">
        <x:v>46090.166666666664</x:v>
      </x:c>
      <x:c r="D298" s="253" t="str">
        <x:v>Serene</x:v>
      </x:c>
      <x:c r="E298" s="253" t="str">
        <x:v>289447</x:v>
      </x:c>
      <x:c r="F298" s="277" t="str"/>
    </x:row>
    <x:row r="299">
      <x:c r="A299" s="252" t="str">
        <x:v>WS1</x:v>
      </x:c>
      <x:c r="B299" s="253" t="str">
        <x:v>tchen92</x:v>
      </x:c>
      <x:c r="C299" s="259" t="n">
        <x:v>46090.166666666664</x:v>
      </x:c>
      <x:c r="D299" s="253" t="str">
        <x:v>Serene</x:v>
      </x:c>
      <x:c r="E299" s="253" t="str">
        <x:v>1061698</x:v>
      </x:c>
      <x:c r="F299" s="277" t="str"/>
    </x:row>
    <x:row r="300">
      <x:c r="A300" s="252" t="str">
        <x:v>WS1</x:v>
      </x:c>
      <x:c r="B300" s="253" t="str">
        <x:v>Freys88</x:v>
      </x:c>
      <x:c r="C300" s="259" t="n">
        <x:v>46090.166666666664</x:v>
      </x:c>
      <x:c r="D300" s="253" t="str">
        <x:v>Serene</x:v>
      </x:c>
      <x:c r="E300" s="253" t="str">
        <x:v>649317</x:v>
      </x:c>
      <x:c r="F300" s="277" t="str"/>
    </x:row>
    <x:row r="301">
      <x:c r="A301" s="252" t="str">
        <x:v>WS1</x:v>
      </x:c>
      <x:c r="B301" s="253" t="str">
        <x:v>Redberry7</x:v>
      </x:c>
      <x:c r="C301" s="259" t="n">
        <x:v>46090.166666666664</x:v>
      </x:c>
      <x:c r="D301" s="253" t="str">
        <x:v>Serene</x:v>
      </x:c>
      <x:c r="E301" s="253" t="str">
        <x:v>649828</x:v>
      </x:c>
      <x:c r="F301" s="277" t="str">
        <x:v>FT_VM_DEP1000_GET500_5X</x:v>
      </x:c>
    </x:row>
    <x:row r="302">
      <x:c r="A302" s="252" t="str">
        <x:v>WS1</x:v>
      </x:c>
      <x:c r="B302" s="253" t="str">
        <x:v>Jacobscrackers</x:v>
      </x:c>
      <x:c r="C302" s="259" t="n">
        <x:v>46090.166666666664</x:v>
      </x:c>
      <x:c r="D302" s="253" t="str">
        <x:v>Serene</x:v>
      </x:c>
      <x:c r="E302" s="253" t="str">
        <x:v>649846</x:v>
      </x:c>
      <x:c r="F302" s="277" t="str"/>
    </x:row>
    <x:row r="303">
      <x:c r="A303" s="252" t="str">
        <x:v>WS1</x:v>
      </x:c>
      <x:c r="B303" s="253" t="str">
        <x:v>Darels93</x:v>
      </x:c>
      <x:c r="C303" s="259" t="n">
        <x:v>46090.166666666664</x:v>
      </x:c>
      <x:c r="D303" s="253" t="str">
        <x:v>Serene</x:v>
      </x:c>
      <x:c r="E303" s="253" t="str">
        <x:v>650847</x:v>
      </x:c>
      <x:c r="F303" s="277" t="str"/>
    </x:row>
    <x:row r="304">
      <x:c r="A304" s="252" t="str">
        <x:v>WS1</x:v>
      </x:c>
      <x:c r="B304" s="253" t="str">
        <x:v>Meenion9603</x:v>
      </x:c>
      <x:c r="C304" s="259" t="n">
        <x:v>46090.166666666664</x:v>
      </x:c>
      <x:c r="D304" s="253" t="str">
        <x:v>Serene</x:v>
      </x:c>
      <x:c r="E304" s="253" t="str">
        <x:v>651576</x:v>
      </x:c>
      <x:c r="F304" s="277" t="str"/>
    </x:row>
    <x:row r="305">
      <x:c r="A305" s="252" t="str">
        <x:v>WS1</x:v>
      </x:c>
      <x:c r="B305" s="253" t="str">
        <x:v>Suman16</x:v>
      </x:c>
      <x:c r="C305" s="259" t="n">
        <x:v>46090.166666666664</x:v>
      </x:c>
      <x:c r="D305" s="253" t="str">
        <x:v>Serene</x:v>
      </x:c>
      <x:c r="E305" s="253" t="str">
        <x:v>656401</x:v>
      </x:c>
      <x:c r="F305" s="277" t="str"/>
    </x:row>
    <x:row r="306">
      <x:c r="A306" s="252" t="str">
        <x:v>WS1</x:v>
      </x:c>
      <x:c r="B306" s="253" t="str">
        <x:v>Vally2583</x:v>
      </x:c>
      <x:c r="C306" s="259" t="n">
        <x:v>46090.166666666664</x:v>
      </x:c>
      <x:c r="D306" s="253" t="str">
        <x:v>Serene</x:v>
      </x:c>
      <x:c r="E306" s="253" t="str">
        <x:v>112602</x:v>
      </x:c>
      <x:c r="F306" s="277" t="str"/>
    </x:row>
    <x:row r="307">
      <x:c r="A307" s="252" t="str">
        <x:v>WS1</x:v>
      </x:c>
      <x:c r="B307" s="253" t="str">
        <x:v>hou4023</x:v>
      </x:c>
      <x:c r="C307" s="259" t="n">
        <x:v>46090.166666666664</x:v>
      </x:c>
      <x:c r="D307" s="253" t="str">
        <x:v>Serene</x:v>
      </x:c>
      <x:c r="E307" s="253" t="str">
        <x:v>8000</x:v>
      </x:c>
      <x:c r="F307" s="277" t="str"/>
    </x:row>
    <x:row r="308">
      <x:c r="A308" s="252" t="str">
        <x:v>WS1</x:v>
      </x:c>
      <x:c r="B308" s="253" t="str">
        <x:v>nashriqkhaldi</x:v>
      </x:c>
      <x:c r="C308" s="259" t="n">
        <x:v>46090.166666666664</x:v>
      </x:c>
      <x:c r="D308" s="253" t="str">
        <x:v>Serene</x:v>
      </x:c>
      <x:c r="E308" s="253" t="str">
        <x:v>656630</x:v>
      </x:c>
      <x:c r="F308" s="277" t="str"/>
    </x:row>
    <x:row r="309">
      <x:c r="A309" s="252" t="str">
        <x:v>WS1</x:v>
      </x:c>
      <x:c r="B309" s="253" t="str">
        <x:v>Yologii1</x:v>
      </x:c>
      <x:c r="C309" s="259" t="n">
        <x:v>46090.166666666664</x:v>
      </x:c>
      <x:c r="D309" s="253" t="str">
        <x:v>Serene</x:v>
      </x:c>
      <x:c r="E309" s="253" t="str">
        <x:v>65752</x:v>
      </x:c>
      <x:c r="F309" s="277" t="str">
        <x:v>FT_VM_DEP1000_GET500_2X</x:v>
      </x:c>
    </x:row>
    <x:row r="310">
      <x:c r="A310" s="252" t="str">
        <x:v>WS1</x:v>
      </x:c>
      <x:c r="B310" s="253" t="str">
        <x:v>Kavinraj04</x:v>
      </x:c>
      <x:c r="C310" s="259" t="n">
        <x:v>46090.166666666664</x:v>
      </x:c>
      <x:c r="D310" s="253" t="str">
        <x:v>Serene</x:v>
      </x:c>
      <x:c r="E310" s="253" t="str">
        <x:v>660654</x:v>
      </x:c>
      <x:c r="F310" s="277" t="str"/>
    </x:row>
    <x:row r="311">
      <x:c r="A311" s="252" t="str">
        <x:v>WS1</x:v>
      </x:c>
      <x:c r="B311" s="253" t="str">
        <x:v>Minpiece</x:v>
      </x:c>
      <x:c r="C311" s="259" t="n">
        <x:v>46090.166666666664</x:v>
      </x:c>
      <x:c r="D311" s="253" t="str">
        <x:v>Serene</x:v>
      </x:c>
      <x:c r="E311" s="253" t="str">
        <x:v>662318</x:v>
      </x:c>
      <x:c r="F311" s="277" t="str"/>
    </x:row>
    <x:row r="312">
      <x:c r="A312" s="252" t="str">
        <x:v>WS1</x:v>
      </x:c>
      <x:c r="B312" s="253" t="str">
        <x:v>Visron333</x:v>
      </x:c>
      <x:c r="C312" s="259" t="n">
        <x:v>46090.166666666664</x:v>
      </x:c>
      <x:c r="D312" s="253" t="str">
        <x:v>Serene</x:v>
      </x:c>
      <x:c r="E312" s="253" t="str">
        <x:v>663213</x:v>
      </x:c>
      <x:c r="F312" s="277" t="str">
        <x:v>FT_VM_DEP800_GET400_2X</x:v>
      </x:c>
    </x:row>
    <x:row r="313">
      <x:c r="A313" s="252" t="str">
        <x:v>WS1</x:v>
      </x:c>
      <x:c r="B313" s="253" t="str">
        <x:v>Emihardy</x:v>
      </x:c>
      <x:c r="C313" s="259" t="n">
        <x:v>46090.166666666664</x:v>
      </x:c>
      <x:c r="D313" s="253" t="str">
        <x:v>Serene</x:v>
      </x:c>
      <x:c r="E313" s="253" t="str">
        <x:v>751285</x:v>
      </x:c>
      <x:c r="F313" s="277" t="str"/>
    </x:row>
    <x:row r="314">
      <x:c r="A314" s="252" t="str">
        <x:v>WS1</x:v>
      </x:c>
      <x:c r="B314" s="253" t="str">
        <x:v>Pk1234</x:v>
      </x:c>
      <x:c r="C314" s="259" t="n">
        <x:v>46090.166666666664</x:v>
      </x:c>
      <x:c r="D314" s="253" t="str">
        <x:v>Serene</x:v>
      </x:c>
      <x:c r="E314" s="253" t="str">
        <x:v>965845</x:v>
      </x:c>
      <x:c r="F314" s="277" t="str"/>
    </x:row>
    <x:row r="315">
      <x:c r="A315" s="252" t="str">
        <x:v>WS1</x:v>
      </x:c>
      <x:c r="B315" s="253" t="str">
        <x:v>siong98</x:v>
      </x:c>
      <x:c r="C315" s="259" t="n">
        <x:v>46090.166666666664</x:v>
      </x:c>
      <x:c r="D315" s="253" t="str">
        <x:v>Serene</x:v>
      </x:c>
      <x:c r="E315" s="253" t="str">
        <x:v>890589</x:v>
      </x:c>
      <x:c r="F315" s="277" t="str"/>
    </x:row>
    <x:row r="316">
      <x:c r="A316" s="252" t="str">
        <x:v>WS1</x:v>
      </x:c>
      <x:c r="B316" s="253" t="str">
        <x:v>ielle88</x:v>
      </x:c>
      <x:c r="C316" s="259" t="n">
        <x:v>46090.166666666664</x:v>
      </x:c>
      <x:c r="D316" s="253" t="str">
        <x:v>Serene</x:v>
      </x:c>
      <x:c r="E316" s="253" t="str">
        <x:v>1038053</x:v>
      </x:c>
      <x:c r="F316" s="277" t="str"/>
    </x:row>
    <x:row r="317">
      <x:c r="A317" s="252" t="str">
        <x:v>WS1</x:v>
      </x:c>
      <x:c r="B317" s="253" t="str">
        <x:v>yan3118</x:v>
      </x:c>
      <x:c r="C317" s="259" t="n">
        <x:v>46090.166666666664</x:v>
      </x:c>
      <x:c r="D317" s="253" t="str">
        <x:v>Serene</x:v>
      </x:c>
      <x:c r="E317" s="253" t="str">
        <x:v>807112</x:v>
      </x:c>
      <x:c r="F317" s="277" t="str"/>
    </x:row>
    <x:row r="318">
      <x:c r="A318" s="252" t="str">
        <x:v>WS1</x:v>
      </x:c>
      <x:c r="B318" s="253" t="str">
        <x:v>Azmannakusan</x:v>
      </x:c>
      <x:c r="C318" s="259" t="n">
        <x:v>46090.166666666664</x:v>
      </x:c>
      <x:c r="D318" s="253" t="str">
        <x:v>Serene</x:v>
      </x:c>
      <x:c r="E318" s="253" t="str">
        <x:v>594343</x:v>
      </x:c>
      <x:c r="F318" s="277" t="str"/>
    </x:row>
    <x:row r="319">
      <x:c r="A319" s="252" t="str">
        <x:v>WS1</x:v>
      </x:c>
      <x:c r="B319" s="253" t="str">
        <x:v>Za8833</x:v>
      </x:c>
      <x:c r="C319" s="259" t="n">
        <x:v>46090.166666666664</x:v>
      </x:c>
      <x:c r="D319" s="253" t="str">
        <x:v>Serene</x:v>
      </x:c>
      <x:c r="E319" s="253" t="str">
        <x:v>161245</x:v>
      </x:c>
      <x:c r="F319" s="277" t="str"/>
    </x:row>
    <x:row r="320">
      <x:c r="A320" s="252" t="str">
        <x:v>WS1</x:v>
      </x:c>
      <x:c r="B320" s="253" t="str">
        <x:v>James2609</x:v>
      </x:c>
      <x:c r="C320" s="259" t="n">
        <x:v>46090.166666666664</x:v>
      </x:c>
      <x:c r="D320" s="253" t="str">
        <x:v>Serene</x:v>
      </x:c>
      <x:c r="E320" s="253" t="str">
        <x:v>563446</x:v>
      </x:c>
      <x:c r="F320" s="277" t="str">
        <x:v>FT_VM_DEP700_GET300_2X</x:v>
      </x:c>
    </x:row>
    <x:row r="321">
      <x:c r="A321" s="252" t="str">
        <x:v>WS1</x:v>
      </x:c>
      <x:c r="B321" s="253" t="str">
        <x:v>Kadir0361</x:v>
      </x:c>
      <x:c r="C321" s="259" t="n">
        <x:v>46090.166666666664</x:v>
      </x:c>
      <x:c r="D321" s="253" t="str">
        <x:v>Serene</x:v>
      </x:c>
      <x:c r="E321" s="253" t="str">
        <x:v>773122</x:v>
      </x:c>
      <x:c r="F321" s="277" t="str">
        <x:v>FT_VM_DEP700_GET300_2X</x:v>
      </x:c>
    </x:row>
    <x:row r="322">
      <x:c r="A322" s="252" t="str">
        <x:v>WS1</x:v>
      </x:c>
      <x:c r="B322" s="253" t="str">
        <x:v>Lin00</x:v>
      </x:c>
      <x:c r="C322" s="259" t="n">
        <x:v>46090.166666666664</x:v>
      </x:c>
      <x:c r="D322" s="253" t="str">
        <x:v>Serene</x:v>
      </x:c>
      <x:c r="E322" s="253" t="str">
        <x:v>1144343</x:v>
      </x:c>
      <x:c r="F322" s="277" t="str"/>
    </x:row>
    <x:row r="323">
      <x:c r="A323" s="252" t="str">
        <x:v>WS1</x:v>
      </x:c>
      <x:c r="B323" s="253" t="str">
        <x:v>wanpine97</x:v>
      </x:c>
      <x:c r="C323" s="259" t="n">
        <x:v>46090.166666666664</x:v>
      </x:c>
      <x:c r="D323" s="253" t="str">
        <x:v>Serene</x:v>
      </x:c>
      <x:c r="E323" s="253" t="str">
        <x:v>789390</x:v>
      </x:c>
      <x:c r="F323" s="277" t="str">
        <x:v>FT_VM_DEP600_GET200_5X</x:v>
      </x:c>
    </x:row>
    <x:row r="324">
      <x:c r="A324" s="252" t="str">
        <x:v>WS1</x:v>
      </x:c>
      <x:c r="B324" s="253" t="str">
        <x:v>V33n06</x:v>
      </x:c>
      <x:c r="C324" s="259" t="n">
        <x:v>46090.166666666664</x:v>
      </x:c>
      <x:c r="D324" s="253" t="str">
        <x:v>Serene</x:v>
      </x:c>
      <x:c r="E324" s="253" t="str">
        <x:v>173100</x:v>
      </x:c>
      <x:c r="F324" s="277" t="str">
        <x:v>FT_VM_DEP700_GET300_2X</x:v>
      </x:c>
    </x:row>
    <x:row r="325">
      <x:c r="A325" s="252" t="str">
        <x:v>WS1</x:v>
      </x:c>
      <x:c r="B325" s="253" t="str">
        <x:v>hbk960309</x:v>
      </x:c>
      <x:c r="C325" s="259" t="n">
        <x:v>46090.166666666664</x:v>
      </x:c>
      <x:c r="D325" s="253" t="str">
        <x:v>Serene</x:v>
      </x:c>
      <x:c r="E325" s="253" t="str">
        <x:v>997788</x:v>
      </x:c>
      <x:c r="F325" s="277" t="str"/>
    </x:row>
    <x:row r="326">
      <x:c r="A326" s="252" t="str">
        <x:v>WS1</x:v>
      </x:c>
      <x:c r="B326" s="253" t="str">
        <x:v>Suduk1234</x:v>
      </x:c>
      <x:c r="C326" s="259" t="n">
        <x:v>46090.166666666664</x:v>
      </x:c>
      <x:c r="D326" s="253" t="str">
        <x:v>Serene</x:v>
      </x:c>
      <x:c r="E326" s="253" t="str">
        <x:v>526617</x:v>
      </x:c>
      <x:c r="F326" s="277" t="str"/>
    </x:row>
    <x:row r="327">
      <x:c r="A327" s="252" t="str">
        <x:v>WS1</x:v>
      </x:c>
      <x:c r="B327" s="253" t="str">
        <x:v>Kspro</x:v>
      </x:c>
      <x:c r="C327" s="259" t="n">
        <x:v>46090.166666666664</x:v>
      </x:c>
      <x:c r="D327" s="253" t="str">
        <x:v>Serene</x:v>
      </x:c>
      <x:c r="E327" s="253" t="str">
        <x:v>813028</x:v>
      </x:c>
      <x:c r="F327" s="277" t="str">
        <x:v>FT_VM_DEP1000_GET700_2X</x:v>
      </x:c>
    </x:row>
    <x:row r="328">
      <x:c r="A328" s="252" t="str">
        <x:v>WS1</x:v>
      </x:c>
      <x:c r="B328" s="253" t="str">
        <x:v>PIJUN1234</x:v>
      </x:c>
      <x:c r="C328" s="259" t="n">
        <x:v>46090.166666666664</x:v>
      </x:c>
      <x:c r="D328" s="253" t="str">
        <x:v>Serene</x:v>
      </x:c>
      <x:c r="E328" s="253" t="str">
        <x:v>520820</x:v>
      </x:c>
      <x:c r="F328" s="277" t="str"/>
    </x:row>
    <x:row r="329">
      <x:c r="A329" s="252" t="str">
        <x:v>WS1</x:v>
      </x:c>
      <x:c r="B329" s="253" t="str">
        <x:v>Hantu321</x:v>
      </x:c>
      <x:c r="C329" s="259" t="n">
        <x:v>46090.166666666664</x:v>
      </x:c>
      <x:c r="D329" s="253" t="str">
        <x:v>Serene</x:v>
      </x:c>
      <x:c r="E329" s="253" t="str">
        <x:v>525492</x:v>
      </x:c>
      <x:c r="F329" s="277" t="str"/>
    </x:row>
    <x:row r="330">
      <x:c r="A330" s="252" t="str">
        <x:v>WS1</x:v>
      </x:c>
      <x:c r="B330" s="253" t="str">
        <x:v>nano82</x:v>
      </x:c>
      <x:c r="C330" s="259" t="n">
        <x:v>46090.166666666664</x:v>
      </x:c>
      <x:c r="D330" s="253" t="str">
        <x:v>Serene</x:v>
      </x:c>
      <x:c r="E330" s="253" t="str">
        <x:v>73078</x:v>
      </x:c>
      <x:c r="F330" s="277" t="str"/>
    </x:row>
    <x:row r="331">
      <x:c r="A331" s="252" t="str">
        <x:v>WS1</x:v>
      </x:c>
      <x:c r="B331" s="253" t="str">
        <x:v>Rainz6609</x:v>
      </x:c>
      <x:c r="C331" s="259" t="n">
        <x:v>46090.166666666664</x:v>
      </x:c>
      <x:c r="D331" s="253" t="str">
        <x:v>Serene</x:v>
      </x:c>
      <x:c r="E331" s="253" t="str">
        <x:v>890278</x:v>
      </x:c>
      <x:c r="F331" s="277" t="str">
        <x:v>FT_VM_DEP1000_GET500_2X</x:v>
      </x:c>
    </x:row>
    <x:row r="332">
      <x:c r="A332" s="252" t="str">
        <x:v>WS1</x:v>
      </x:c>
      <x:c r="B332" s="253" t="str">
        <x:v>ruuuubs11794</x:v>
      </x:c>
      <x:c r="C332" s="259" t="n">
        <x:v>46090.166666666664</x:v>
      </x:c>
      <x:c r="D332" s="253" t="str">
        <x:v>Serene</x:v>
      </x:c>
      <x:c r="E332" s="253" t="str">
        <x:v>158024</x:v>
      </x:c>
      <x:c r="F332" s="277" t="str"/>
    </x:row>
    <x:row r="333">
      <x:c r="A333" s="252" t="str">
        <x:v>WS1</x:v>
      </x:c>
      <x:c r="B333" s="253" t="str">
        <x:v>Royloh1288</x:v>
      </x:c>
      <x:c r="C333" s="259" t="n">
        <x:v>46090.166666666664</x:v>
      </x:c>
      <x:c r="D333" s="253" t="str">
        <x:v>Jiahui</x:v>
      </x:c>
      <x:c r="E333" s="253" t="str">
        <x:v>442581</x:v>
      </x:c>
      <x:c r="F333" s="277" t="str"/>
    </x:row>
    <x:row r="334">
      <x:c r="A334" s="252" t="str">
        <x:v>WS1</x:v>
      </x:c>
      <x:c r="B334" s="253" t="str">
        <x:v>zhanghua92</x:v>
      </x:c>
      <x:c r="C334" s="259" t="n">
        <x:v>46090.166666666664</x:v>
      </x:c>
      <x:c r="D334" s="253" t="str">
        <x:v>Jiahui</x:v>
      </x:c>
      <x:c r="E334" s="253" t="str">
        <x:v>197349</x:v>
      </x:c>
      <x:c r="F334" s="277" t="str"/>
    </x:row>
    <x:row r="335">
      <x:c r="A335" s="252" t="str">
        <x:v>WS1</x:v>
      </x:c>
      <x:c r="B335" s="253" t="str">
        <x:v>randy1972</x:v>
      </x:c>
      <x:c r="C335" s="259" t="n">
        <x:v>46090.166666666664</x:v>
      </x:c>
      <x:c r="D335" s="253" t="str">
        <x:v>Jiahui</x:v>
      </x:c>
      <x:c r="E335" s="253" t="str">
        <x:v>437965</x:v>
      </x:c>
      <x:c r="F335" s="277" t="str">
        <x:v>BONUS HUNTER</x:v>
      </x:c>
    </x:row>
    <x:row r="336">
      <x:c r="A336" s="252" t="str">
        <x:v>WS1</x:v>
      </x:c>
      <x:c r="B336" s="253" t="str">
        <x:v>MingLong90</x:v>
      </x:c>
      <x:c r="C336" s="259" t="n">
        <x:v>46090.166666666664</x:v>
      </x:c>
      <x:c r="D336" s="253" t="str">
        <x:v>Jiahui</x:v>
      </x:c>
      <x:c r="E336" s="253" t="str">
        <x:v>196313</x:v>
      </x:c>
      <x:c r="F336" s="277" t="str"/>
    </x:row>
    <x:row r="337">
      <x:c r="A337" s="252" t="str">
        <x:v>WS1</x:v>
      </x:c>
      <x:c r="B337" s="253" t="str">
        <x:v>johnptyew</x:v>
      </x:c>
      <x:c r="C337" s="259" t="n">
        <x:v>46090.166666666664</x:v>
      </x:c>
      <x:c r="D337" s="253" t="str">
        <x:v>Jiahui</x:v>
      </x:c>
      <x:c r="E337" s="253" t="str">
        <x:v>560542</x:v>
      </x:c>
      <x:c r="F337" s="277" t="str"/>
    </x:row>
    <x:row r="338">
      <x:c r="A338" s="252" t="str">
        <x:v>WS1</x:v>
      </x:c>
      <x:c r="B338" s="253" t="str">
        <x:v>Tiger999</x:v>
      </x:c>
      <x:c r="C338" s="259" t="n">
        <x:v>46090.166666666664</x:v>
      </x:c>
      <x:c r="D338" s="253" t="str">
        <x:v>Jiahui</x:v>
      </x:c>
      <x:c r="E338" s="253" t="str">
        <x:v>1069551</x:v>
      </x:c>
      <x:c r="F338" s="277" t="str"/>
    </x:row>
    <x:row r="339">
      <x:c r="A339" s="252" t="str">
        <x:v>WS1</x:v>
      </x:c>
      <x:c r="B339" s="253" t="str">
        <x:v>Tsaefen5147</x:v>
      </x:c>
      <x:c r="C339" s="259" t="n">
        <x:v>46090.166666666664</x:v>
      </x:c>
      <x:c r="D339" s="253" t="str">
        <x:v>Jiahui</x:v>
      </x:c>
      <x:c r="E339" s="253" t="str">
        <x:v>445686</x:v>
      </x:c>
      <x:c r="F339" s="277" t="str"/>
    </x:row>
    <x:row r="340">
      <x:c r="A340" s="252" t="str">
        <x:v>WS1</x:v>
      </x:c>
      <x:c r="B340" s="253" t="str">
        <x:v>Horseyhorse</x:v>
      </x:c>
      <x:c r="C340" s="259" t="n">
        <x:v>46090.166666666664</x:v>
      </x:c>
      <x:c r="D340" s="253" t="str">
        <x:v>Jiahui</x:v>
      </x:c>
      <x:c r="E340" s="253" t="str">
        <x:v>524614</x:v>
      </x:c>
      <x:c r="F340" s="277" t="str"/>
    </x:row>
    <x:row r="341">
      <x:c r="A341" s="252" t="str">
        <x:v>WS1</x:v>
      </x:c>
      <x:c r="B341" s="253" t="str">
        <x:v>Daniel233</x:v>
      </x:c>
      <x:c r="C341" s="259" t="n">
        <x:v>46090.166666666664</x:v>
      </x:c>
      <x:c r="D341" s="253" t="str">
        <x:v>Jiahui</x:v>
      </x:c>
      <x:c r="E341" s="253" t="str">
        <x:v>436059</x:v>
      </x:c>
      <x:c r="F341" s="277" t="str">
        <x:v>FT_VM_DEP1000_GET500_5X</x:v>
      </x:c>
    </x:row>
    <x:row r="342">
      <x:c r="A342" s="252" t="str">
        <x:v>WS1</x:v>
      </x:c>
      <x:c r="B342" s="253" t="str">
        <x:v>calvin322</x:v>
      </x:c>
      <x:c r="C342" s="259" t="n">
        <x:v>46090.166666666664</x:v>
      </x:c>
      <x:c r="D342" s="253" t="str">
        <x:v>Jiahui</x:v>
      </x:c>
      <x:c r="E342" s="253" t="str">
        <x:v>406955</x:v>
      </x:c>
      <x:c r="F342" s="277" t="str"/>
    </x:row>
    <x:row r="343">
      <x:c r="A343" s="252" t="str">
        <x:v>WS1</x:v>
      </x:c>
      <x:c r="B343" s="253" t="str">
        <x:v>detomaso</x:v>
      </x:c>
      <x:c r="C343" s="259" t="n">
        <x:v>46090.166666666664</x:v>
      </x:c>
      <x:c r="D343" s="253" t="str">
        <x:v>Jiahui</x:v>
      </x:c>
      <x:c r="E343" s="253" t="str">
        <x:v>330397</x:v>
      </x:c>
      <x:c r="F343" s="277" t="str"/>
    </x:row>
    <x:row r="344">
      <x:c r="A344" s="252" t="str">
        <x:v>WS1</x:v>
      </x:c>
      <x:c r="B344" s="253" t="str">
        <x:v>Wkr365066</x:v>
      </x:c>
      <x:c r="C344" s="259" t="n">
        <x:v>46090.166666666664</x:v>
      </x:c>
      <x:c r="D344" s="253" t="str">
        <x:v>Jiahui</x:v>
      </x:c>
      <x:c r="E344" s="253" t="str">
        <x:v>65606</x:v>
      </x:c>
      <x:c r="F344" s="277" t="str">
        <x:v>FT_VM_DEP1000_GET500_5X</x:v>
      </x:c>
    </x:row>
    <x:row r="345">
      <x:c r="A345" s="252" t="str">
        <x:v>WS1</x:v>
      </x:c>
      <x:c r="B345" s="253" t="str">
        <x:v>7686AC</x:v>
      </x:c>
      <x:c r="C345" s="259" t="n">
        <x:v>46090.166666666664</x:v>
      </x:c>
      <x:c r="D345" s="253" t="str">
        <x:v>Jiahui</x:v>
      </x:c>
      <x:c r="E345" s="253" t="str">
        <x:v>584340</x:v>
      </x:c>
      <x:c r="F345" s="277" t="str"/>
    </x:row>
    <x:row r="346">
      <x:c r="A346" s="252" t="str">
        <x:v>WS1</x:v>
      </x:c>
      <x:c r="B346" s="253" t="str">
        <x:v>Joseph1976</x:v>
      </x:c>
      <x:c r="C346" s="259" t="n">
        <x:v>46090.166666666664</x:v>
      </x:c>
      <x:c r="D346" s="253" t="str">
        <x:v>Jiahui</x:v>
      </x:c>
      <x:c r="E346" s="253" t="str">
        <x:v>990611</x:v>
      </x:c>
      <x:c r="F346" s="277" t="str"/>
    </x:row>
    <x:row r="347">
      <x:c r="A347" s="252" t="str">
        <x:v>WS1</x:v>
      </x:c>
      <x:c r="B347" s="253" t="str">
        <x:v>Con3400</x:v>
      </x:c>
      <x:c r="C347" s="259" t="n">
        <x:v>46090.166666666664</x:v>
      </x:c>
      <x:c r="D347" s="253" t="str">
        <x:v>Jiahui</x:v>
      </x:c>
      <x:c r="E347" s="253" t="str">
        <x:v>445031</x:v>
      </x:c>
      <x:c r="F347" s="277" t="str"/>
    </x:row>
    <x:row r="348">
      <x:c r="A348" s="252" t="str">
        <x:v>WS1</x:v>
      </x:c>
      <x:c r="B348" s="253" t="str">
        <x:v>Kartoon97</x:v>
      </x:c>
      <x:c r="C348" s="259" t="n">
        <x:v>46090.166666666664</x:v>
      </x:c>
      <x:c r="D348" s="253" t="str">
        <x:v>Jiahui</x:v>
      </x:c>
      <x:c r="E348" s="253" t="str">
        <x:v>529740</x:v>
      </x:c>
      <x:c r="F348" s="277" t="str"/>
    </x:row>
    <x:row r="349">
      <x:c r="A349" s="252" t="str">
        <x:v>WS1</x:v>
      </x:c>
      <x:c r="B349" s="253" t="str">
        <x:v>Peter525</x:v>
      </x:c>
      <x:c r="C349" s="259" t="n">
        <x:v>46090.166666666664</x:v>
      </x:c>
      <x:c r="D349" s="253" t="str">
        <x:v>Jiahui</x:v>
      </x:c>
      <x:c r="E349" s="253" t="str">
        <x:v>240355</x:v>
      </x:c>
      <x:c r="F349" s="277" t="str"/>
    </x:row>
    <x:row r="350">
      <x:c r="A350" s="252" t="str">
        <x:v>WS1</x:v>
      </x:c>
      <x:c r="B350" s="253" t="str">
        <x:v>gogogo</x:v>
      </x:c>
      <x:c r="C350" s="259" t="n">
        <x:v>46090.166666666664</x:v>
      </x:c>
      <x:c r="D350" s="253" t="str">
        <x:v>Jiahui</x:v>
      </x:c>
      <x:c r="E350" s="253" t="str">
        <x:v>254878</x:v>
      </x:c>
      <x:c r="F350" s="277" t="str"/>
    </x:row>
    <x:row r="351">
      <x:c r="A351" s="252" t="str">
        <x:v>WS1</x:v>
      </x:c>
      <x:c r="B351" s="253" t="str">
        <x:v>Masked</x:v>
      </x:c>
      <x:c r="C351" s="259" t="n">
        <x:v>46090.166666666664</x:v>
      </x:c>
      <x:c r="D351" s="253" t="str">
        <x:v>Sheena</x:v>
      </x:c>
      <x:c r="E351" s="253" t="str">
        <x:v>207669</x:v>
      </x:c>
      <x:c r="F351" s="277" t="str"/>
    </x:row>
    <x:row r="352">
      <x:c r="A352" s="252" t="str">
        <x:v>WS1</x:v>
      </x:c>
      <x:c r="B352" s="253" t="str">
        <x:v>Goutthee13</x:v>
      </x:c>
      <x:c r="C352" s="259" t="n">
        <x:v>46090.166666666664</x:v>
      </x:c>
      <x:c r="D352" s="253" t="str">
        <x:v>Sheena</x:v>
      </x:c>
      <x:c r="E352" s="253" t="str">
        <x:v>512299</x:v>
      </x:c>
      <x:c r="F352" s="277" t="str">
        <x:v>FT_VM_DEP1000_GET500_5X</x:v>
      </x:c>
    </x:row>
    <x:row r="353">
      <x:c r="A353" s="252" t="str">
        <x:v>WS1</x:v>
      </x:c>
      <x:c r="B353" s="253" t="str">
        <x:v>Kavin31</x:v>
      </x:c>
      <x:c r="C353" s="259" t="n">
        <x:v>46090.166666666664</x:v>
      </x:c>
      <x:c r="D353" s="253" t="str">
        <x:v>Sheena</x:v>
      </x:c>
      <x:c r="E353" s="253" t="str">
        <x:v>986687</x:v>
      </x:c>
      <x:c r="F353" s="277" t="str">
        <x:v>FT_VM_DEP1000_GET500_5X</x:v>
      </x:c>
    </x:row>
    <x:row r="354">
      <x:c r="A354" s="252" t="str">
        <x:v>WS1</x:v>
      </x:c>
      <x:c r="B354" s="253" t="str">
        <x:v>Samreet</x:v>
      </x:c>
      <x:c r="C354" s="259" t="n">
        <x:v>46090.166666666664</x:v>
      </x:c>
      <x:c r="D354" s="253" t="str">
        <x:v>Sheena</x:v>
      </x:c>
      <x:c r="E354" s="253" t="str">
        <x:v>659098</x:v>
      </x:c>
      <x:c r="F354" s="277" t="str">
        <x:v>FT_VM_DEP1000_GET500_5X</x:v>
      </x:c>
    </x:row>
    <x:row r="355">
      <x:c r="A355" s="252" t="str">
        <x:v>WS1</x:v>
      </x:c>
      <x:c r="B355" s="253" t="str">
        <x:v>ESR1980</x:v>
      </x:c>
      <x:c r="C355" s="259" t="n">
        <x:v>46090.166666666664</x:v>
      </x:c>
      <x:c r="D355" s="253" t="str">
        <x:v>Sheena</x:v>
      </x:c>
      <x:c r="E355" s="253" t="str">
        <x:v>111833</x:v>
      </x:c>
      <x:c r="F355" s="277" t="str">
        <x:v>FT_VM_DEP1000_GET500_5X</x:v>
      </x:c>
    </x:row>
    <x:row r="356">
      <x:c r="A356" s="252" t="str">
        <x:v>WS1</x:v>
      </x:c>
      <x:c r="B356" s="253" t="str">
        <x:v>Bengal75</x:v>
      </x:c>
      <x:c r="C356" s="259" t="n">
        <x:v>46090.166666666664</x:v>
      </x:c>
      <x:c r="D356" s="253" t="str">
        <x:v>Sheena</x:v>
      </x:c>
      <x:c r="E356" s="253" t="str">
        <x:v>183055</x:v>
      </x:c>
      <x:c r="F356" s="277" t="str"/>
    </x:row>
    <x:row r="357">
      <x:c r="A357" s="252" t="str">
        <x:v>WS1</x:v>
      </x:c>
      <x:c r="B357" s="253" t="str">
        <x:v>UMBcham</x:v>
      </x:c>
      <x:c r="C357" s="259" t="n">
        <x:v>46090.166666666664</x:v>
      </x:c>
      <x:c r="D357" s="253" t="str">
        <x:v>Sheena</x:v>
      </x:c>
      <x:c r="E357" s="253" t="str">
        <x:v>638267</x:v>
      </x:c>
      <x:c r="F357" s="277" t="str"/>
    </x:row>
    <x:row r="358">
      <x:c r="A358" s="252" t="str">
        <x:v>WS1</x:v>
      </x:c>
      <x:c r="B358" s="253" t="str">
        <x:v>LIMFONGYAW</x:v>
      </x:c>
      <x:c r="C358" s="259" t="n">
        <x:v>46090.166666666664</x:v>
      </x:c>
      <x:c r="D358" s="253" t="str">
        <x:v>Sheena</x:v>
      </x:c>
      <x:c r="E358" s="253" t="str">
        <x:v>761196</x:v>
      </x:c>
      <x:c r="F358" s="277" t="str">
        <x:v>FT_VM_DEP600_GET200_5X</x:v>
      </x:c>
    </x:row>
    <x:row r="359">
      <x:c r="A359" s="252" t="str">
        <x:v>WS1</x:v>
      </x:c>
      <x:c r="B359" s="253" t="str">
        <x:v>Selva030487</x:v>
      </x:c>
      <x:c r="C359" s="259" t="n">
        <x:v>46090.166666666664</x:v>
      </x:c>
      <x:c r="D359" s="253" t="str">
        <x:v>Sheena</x:v>
      </x:c>
      <x:c r="E359" s="253" t="str">
        <x:v>444377</x:v>
      </x:c>
      <x:c r="F359" s="277" t="str"/>
    </x:row>
    <x:row r="360">
      <x:c r="A360" s="252" t="str">
        <x:v>WS1</x:v>
      </x:c>
      <x:c r="B360" s="253" t="str">
        <x:v>Kamaldave69</x:v>
      </x:c>
      <x:c r="C360" s="259" t="n">
        <x:v>46090.166666666664</x:v>
      </x:c>
      <x:c r="D360" s="253" t="str">
        <x:v>Sheena</x:v>
      </x:c>
      <x:c r="E360" s="253" t="str">
        <x:v>557614</x:v>
      </x:c>
      <x:c r="F360" s="277" t="str"/>
    </x:row>
    <x:row r="361">
      <x:c r="A361" s="252" t="str">
        <x:v>WS1</x:v>
      </x:c>
      <x:c r="B361" s="253" t="str">
        <x:v>Mahendraj</x:v>
      </x:c>
      <x:c r="C361" s="259" t="n">
        <x:v>46090.166666666664</x:v>
      </x:c>
      <x:c r="D361" s="253" t="str">
        <x:v>Sheena</x:v>
      </x:c>
      <x:c r="E361" s="253" t="str">
        <x:v>476126</x:v>
      </x:c>
      <x:c r="F361" s="277" t="str"/>
    </x:row>
    <x:row r="362">
      <x:c r="A362" s="252" t="str">
        <x:v>WS1</x:v>
      </x:c>
      <x:c r="B362" s="253" t="str">
        <x:v>Shah0194918585</x:v>
      </x:c>
      <x:c r="C362" s="259" t="n">
        <x:v>46090.166666666664</x:v>
      </x:c>
      <x:c r="D362" s="253" t="str">
        <x:v>Jiahui</x:v>
      </x:c>
      <x:c r="E362" s="253" t="str">
        <x:v>443859</x:v>
      </x:c>
      <x:c r="F362" s="277" t="str"/>
    </x:row>
    <x:row r="363">
      <x:c r="A363" s="252" t="str">
        <x:v>WS1</x:v>
      </x:c>
      <x:c r="B363" s="253" t="str">
        <x:v>Engkudaim</x:v>
      </x:c>
      <x:c r="C363" s="259" t="n">
        <x:v>46090.166666666664</x:v>
      </x:c>
      <x:c r="D363" s="253" t="str">
        <x:v>Jiahui</x:v>
      </x:c>
      <x:c r="E363" s="253" t="str">
        <x:v>444362</x:v>
      </x:c>
      <x:c r="F363" s="277" t="str">
        <x:v>FT_VM_DEP600_GET200_5X</x:v>
      </x:c>
    </x:row>
    <x:row r="364">
      <x:c r="A364" s="252" t="str">
        <x:v>WS1</x:v>
      </x:c>
      <x:c r="B364" s="253" t="str">
        <x:v>fadzlan90</x:v>
      </x:c>
      <x:c r="C364" s="259" t="n">
        <x:v>46090.166666666664</x:v>
      </x:c>
      <x:c r="D364" s="253" t="str">
        <x:v>Jiahui</x:v>
      </x:c>
      <x:c r="E364" s="253" t="str">
        <x:v>18225</x:v>
      </x:c>
      <x:c r="F364" s="277" t="str">
        <x:v>FT_VM_DEP1000_GET500_5X</x:v>
      </x:c>
    </x:row>
    <x:row r="365">
      <x:c r="A365" s="252" t="str">
        <x:v>WS1</x:v>
      </x:c>
      <x:c r="B365" s="253" t="str">
        <x:v>beberexa94</x:v>
      </x:c>
      <x:c r="C365" s="259" t="n">
        <x:v>46090.166666666664</x:v>
      </x:c>
      <x:c r="D365" s="253" t="str">
        <x:v>Jiahui</x:v>
      </x:c>
      <x:c r="E365" s="253" t="str">
        <x:v>186619</x:v>
      </x:c>
      <x:c r="F365" s="277" t="str"/>
    </x:row>
    <x:row r="366">
      <x:c r="A366" s="252" t="str">
        <x:v>WS1</x:v>
      </x:c>
      <x:c r="B366" s="253" t="str">
        <x:v>Alvkw</x:v>
      </x:c>
      <x:c r="C366" s="259" t="n">
        <x:v>46090.166666666664</x:v>
      </x:c>
      <x:c r="D366" s="253" t="str">
        <x:v>Jiahui</x:v>
      </x:c>
      <x:c r="E366" s="253" t="str">
        <x:v>560648</x:v>
      </x:c>
      <x:c r="F366" s="277" t="str"/>
    </x:row>
    <x:row r="367">
      <x:c r="A367" s="252" t="str">
        <x:v>WS1</x:v>
      </x:c>
      <x:c r="B367" s="253" t="str">
        <x:v>Syahircaed</x:v>
      </x:c>
      <x:c r="C367" s="259" t="n">
        <x:v>46090.166666666664</x:v>
      </x:c>
      <x:c r="D367" s="253" t="str">
        <x:v>Jiahui</x:v>
      </x:c>
      <x:c r="E367" s="253" t="str">
        <x:v>561140</x:v>
      </x:c>
      <x:c r="F367" s="277" t="str"/>
    </x:row>
    <x:row r="368">
      <x:c r="A368" s="252" t="str">
        <x:v>WS1</x:v>
      </x:c>
      <x:c r="B368" s="253" t="str">
        <x:v>Jamilminhat92</x:v>
      </x:c>
      <x:c r="C368" s="259" t="n">
        <x:v>46090.166666666664</x:v>
      </x:c>
      <x:c r="D368" s="253" t="str">
        <x:v>Jiahui</x:v>
      </x:c>
      <x:c r="E368" s="253" t="str">
        <x:v>561579</x:v>
      </x:c>
      <x:c r="F368" s="277" t="str"/>
    </x:row>
    <x:row r="369">
      <x:c r="A369" s="252" t="str">
        <x:v>WS1</x:v>
      </x:c>
      <x:c r="B369" s="253" t="str">
        <x:v>Jamponn</x:v>
      </x:c>
      <x:c r="C369" s="259" t="n">
        <x:v>46090.166666666664</x:v>
      </x:c>
      <x:c r="D369" s="253" t="str">
        <x:v>Jiahui</x:v>
      </x:c>
      <x:c r="E369" s="253" t="str">
        <x:v>561841</x:v>
      </x:c>
      <x:c r="F369" s="277" t="str">
        <x:v>FT_VM_DEP800_GET400_2X</x:v>
      </x:c>
    </x:row>
    <x:row r="370">
      <x:c r="A370" s="252" t="str">
        <x:v>WS1</x:v>
      </x:c>
      <x:c r="B370" s="253" t="str">
        <x:v>Waran93</x:v>
      </x:c>
      <x:c r="C370" s="259" t="n">
        <x:v>46090.166666666664</x:v>
      </x:c>
      <x:c r="D370" s="253" t="str">
        <x:v>Jiahui</x:v>
      </x:c>
      <x:c r="E370" s="253" t="str">
        <x:v>481274</x:v>
      </x:c>
      <x:c r="F370" s="277" t="str"/>
    </x:row>
    <x:row r="371">
      <x:c r="A371" s="252" t="str">
        <x:v>WS1</x:v>
      </x:c>
      <x:c r="B371" s="253" t="str">
        <x:v>Richel89</x:v>
      </x:c>
      <x:c r="C371" s="259" t="n">
        <x:v>46090.166666666664</x:v>
      </x:c>
      <x:c r="D371" s="253" t="str">
        <x:v>Jiahui</x:v>
      </x:c>
      <x:c r="E371" s="253" t="str">
        <x:v>523045</x:v>
      </x:c>
      <x:c r="F371" s="277" t="str">
        <x:v>FT_VM_DEP600_GET200_5X</x:v>
      </x:c>
    </x:row>
    <x:row r="372">
      <x:c r="A372" s="252" t="str">
        <x:v>WS1</x:v>
      </x:c>
      <x:c r="B372" s="253" t="str">
        <x:v>Zack1234</x:v>
      </x:c>
      <x:c r="C372" s="259" t="n">
        <x:v>46090.166666666664</x:v>
      </x:c>
      <x:c r="D372" s="253" t="str">
        <x:v>Jiahui</x:v>
      </x:c>
      <x:c r="E372" s="253" t="str">
        <x:v>526603</x:v>
      </x:c>
      <x:c r="F372" s="277" t="str"/>
    </x:row>
    <x:row r="373">
      <x:c r="A373" s="252" t="str">
        <x:v>WS1</x:v>
      </x:c>
      <x:c r="B373" s="253" t="str">
        <x:v>Weither88</x:v>
      </x:c>
      <x:c r="C373" s="259" t="n">
        <x:v>46090.166666666664</x:v>
      </x:c>
      <x:c r="D373" s="253" t="str">
        <x:v>Jiahui</x:v>
      </x:c>
      <x:c r="E373" s="253" t="str">
        <x:v>528082</x:v>
      </x:c>
      <x:c r="F373" s="277" t="str"/>
    </x:row>
    <x:row r="374">
      <x:c r="A374" s="252" t="str">
        <x:v>WS1</x:v>
      </x:c>
      <x:c r="B374" s="253" t="str">
        <x:v>Lepat3365</x:v>
      </x:c>
      <x:c r="C374" s="259" t="n">
        <x:v>46090.166666666664</x:v>
      </x:c>
      <x:c r="D374" s="253" t="str">
        <x:v>Jiahui</x:v>
      </x:c>
      <x:c r="E374" s="253" t="str">
        <x:v>16185</x:v>
      </x:c>
      <x:c r="F374" s="277" t="str"/>
    </x:row>
    <x:row r="375">
      <x:c r="A375" s="252" t="str">
        <x:v>WS1</x:v>
      </x:c>
      <x:c r="B375" s="253" t="str">
        <x:v>Boy69</x:v>
      </x:c>
      <x:c r="C375" s="259" t="n">
        <x:v>46090.166666666664</x:v>
      </x:c>
      <x:c r="D375" s="253" t="str">
        <x:v>Jiahui</x:v>
      </x:c>
      <x:c r="E375" s="253" t="str">
        <x:v>168097</x:v>
      </x:c>
      <x:c r="F375" s="277" t="str"/>
    </x:row>
    <x:row r="376">
      <x:c r="A376" s="252" t="str">
        <x:v>WS1</x:v>
      </x:c>
      <x:c r="B376" s="253" t="str">
        <x:v>clorox</x:v>
      </x:c>
      <x:c r="C376" s="259" t="n">
        <x:v>46090.166666666664</x:v>
      </x:c>
      <x:c r="D376" s="253" t="str">
        <x:v>Jiahui</x:v>
      </x:c>
      <x:c r="E376" s="253" t="str">
        <x:v>694101</x:v>
      </x:c>
      <x:c r="F376" s="277" t="str"/>
    </x:row>
    <x:row r="377">
      <x:c r="A377" s="252" t="str">
        <x:v>WS1</x:v>
      </x:c>
      <x:c r="B377" s="253" t="str">
        <x:v>Darma22</x:v>
      </x:c>
      <x:c r="C377" s="259" t="n">
        <x:v>46090.166666666664</x:v>
      </x:c>
      <x:c r="D377" s="253" t="str">
        <x:v>Jiahui</x:v>
      </x:c>
      <x:c r="E377" s="253" t="str">
        <x:v>697781</x:v>
      </x:c>
      <x:c r="F377" s="277" t="str">
        <x:v>FT_VM_DEP600_GET200_5X</x:v>
      </x:c>
    </x:row>
    <x:row r="378">
      <x:c r="A378" s="252" t="str">
        <x:v>WS1</x:v>
      </x:c>
      <x:c r="B378" s="253" t="str">
        <x:v>BadBoy6969</x:v>
      </x:c>
      <x:c r="C378" s="259" t="n">
        <x:v>46090.166666666664</x:v>
      </x:c>
      <x:c r="D378" s="253" t="str">
        <x:v>Jiahui</x:v>
      </x:c>
      <x:c r="E378" s="253" t="str">
        <x:v>697798</x:v>
      </x:c>
      <x:c r="F378" s="277" t="str"/>
    </x:row>
    <x:row r="379">
      <x:c r="A379" s="252" t="str">
        <x:v>WS1</x:v>
      </x:c>
      <x:c r="B379" s="253" t="str">
        <x:v>baoying3221</x:v>
      </x:c>
      <x:c r="C379" s="259" t="n">
        <x:v>46090.166666666664</x:v>
      </x:c>
      <x:c r="D379" s="253" t="str">
        <x:v>Jiahui</x:v>
      </x:c>
      <x:c r="E379" s="253" t="str">
        <x:v>698206</x:v>
      </x:c>
      <x:c r="F379" s="277" t="str">
        <x:v>FT_VM_DEP600_GET200_5X</x:v>
      </x:c>
    </x:row>
    <x:row r="380">
      <x:c r="A380" s="252" t="str">
        <x:v>WS1</x:v>
      </x:c>
      <x:c r="B380" s="253" t="str">
        <x:v>GTchung47</x:v>
      </x:c>
      <x:c r="C380" s="259" t="n">
        <x:v>46090.166666666664</x:v>
      </x:c>
      <x:c r="D380" s="253" t="str">
        <x:v>Jiahui</x:v>
      </x:c>
      <x:c r="E380" s="253" t="str">
        <x:v>1059344</x:v>
      </x:c>
      <x:c r="F380" s="277" t="str"/>
    </x:row>
    <x:row r="381">
      <x:c r="A381" s="252" t="str">
        <x:v>WS1</x:v>
      </x:c>
      <x:c r="B381" s="253" t="str">
        <x:v>Butchoy85</x:v>
      </x:c>
      <x:c r="C381" s="259" t="n">
        <x:v>46090.166666666664</x:v>
      </x:c>
      <x:c r="D381" s="253" t="str">
        <x:v>Jiahui</x:v>
      </x:c>
      <x:c r="E381" s="253" t="str">
        <x:v>1060946</x:v>
      </x:c>
      <x:c r="F381" s="277" t="str"/>
    </x:row>
    <x:row r="382">
      <x:c r="A382" s="252" t="str">
        <x:v>WS1</x:v>
      </x:c>
      <x:c r="B382" s="253" t="str">
        <x:v>Naveen31</x:v>
      </x:c>
      <x:c r="C382" s="259" t="n">
        <x:v>46090.166666666664</x:v>
      </x:c>
      <x:c r="D382" s="253" t="str">
        <x:v>Jiahui</x:v>
      </x:c>
      <x:c r="E382" s="253" t="str">
        <x:v>1064088</x:v>
      </x:c>
      <x:c r="F382" s="277" t="str"/>
    </x:row>
    <x:row r="383">
      <x:c r="A383" s="252" t="str">
        <x:v>WS1</x:v>
      </x:c>
      <x:c r="B383" s="253" t="str">
        <x:v>Goyang</x:v>
      </x:c>
      <x:c r="C383" s="259" t="n">
        <x:v>46090.166666666664</x:v>
      </x:c>
      <x:c r="D383" s="253" t="str">
        <x:v>Jiahui</x:v>
      </x:c>
      <x:c r="E383" s="253" t="str">
        <x:v>1064966</x:v>
      </x:c>
      <x:c r="F383" s="277" t="str"/>
    </x:row>
    <x:row r="384">
      <x:c r="A384" s="252" t="str">
        <x:v>WS1</x:v>
      </x:c>
      <x:c r="B384" s="253" t="str">
        <x:v>Azizi79</x:v>
      </x:c>
      <x:c r="C384" s="259" t="n">
        <x:v>46090.166666666664</x:v>
      </x:c>
      <x:c r="D384" s="253" t="str">
        <x:v>Jiahui</x:v>
      </x:c>
      <x:c r="E384" s="253" t="str">
        <x:v>649758</x:v>
      </x:c>
      <x:c r="F384" s="277" t="str">
        <x:v>FT_VM_DEP600_GET200_5X</x:v>
      </x:c>
    </x:row>
    <x:row r="385">
      <x:c r="A385" s="252" t="str">
        <x:v>WS1</x:v>
      </x:c>
      <x:c r="B385" s="253" t="str">
        <x:v>Zifjack</x:v>
      </x:c>
      <x:c r="C385" s="259" t="n">
        <x:v>46090.166666666664</x:v>
      </x:c>
      <x:c r="D385" s="253" t="str">
        <x:v>Jiahui</x:v>
      </x:c>
      <x:c r="E385" s="253" t="str">
        <x:v>649876</x:v>
      </x:c>
      <x:c r="F385" s="277" t="str"/>
    </x:row>
    <x:row r="386">
      <x:c r="A386" s="252" t="str">
        <x:v>WS1</x:v>
      </x:c>
      <x:c r="B386" s="253" t="str">
        <x:v>Parade</x:v>
      </x:c>
      <x:c r="C386" s="259" t="n">
        <x:v>46090.166666666664</x:v>
      </x:c>
      <x:c r="D386" s="253" t="str">
        <x:v>Jiahui</x:v>
      </x:c>
      <x:c r="E386" s="253" t="str">
        <x:v>650336</x:v>
      </x:c>
      <x:c r="F386" s="277" t="str">
        <x:v>FT_VM_DEP600_GET200_5X</x:v>
      </x:c>
    </x:row>
    <x:row r="387">
      <x:c r="A387" s="252" t="str">
        <x:v>WS1</x:v>
      </x:c>
      <x:c r="B387" s="253" t="str">
        <x:v>yuyuni</x:v>
      </x:c>
      <x:c r="C387" s="259" t="n">
        <x:v>46090.166666666664</x:v>
      </x:c>
      <x:c r="D387" s="253" t="str">
        <x:v>Jiahui</x:v>
      </x:c>
      <x:c r="E387" s="253" t="str">
        <x:v>650454</x:v>
      </x:c>
      <x:c r="F387" s="277" t="str">
        <x:v>FT_VM_DEP700_GET300_2X</x:v>
      </x:c>
    </x:row>
    <x:row r="388">
      <x:c r="A388" s="252" t="str">
        <x:v>WS1</x:v>
      </x:c>
      <x:c r="B388" s="253" t="str">
        <x:v>Achu1402</x:v>
      </x:c>
      <x:c r="C388" s="259" t="n">
        <x:v>46090.166666666664</x:v>
      </x:c>
      <x:c r="D388" s="253" t="str">
        <x:v>Jiahui</x:v>
      </x:c>
      <x:c r="E388" s="253" t="str">
        <x:v>653157</x:v>
      </x:c>
      <x:c r="F388" s="277" t="str"/>
    </x:row>
    <x:row r="389">
      <x:c r="A389" s="252" t="str">
        <x:v>WS1</x:v>
      </x:c>
      <x:c r="B389" s="253" t="str">
        <x:v>Raymond167</x:v>
      </x:c>
      <x:c r="C389" s="259" t="n">
        <x:v>46090.166666666664</x:v>
      </x:c>
      <x:c r="D389" s="253" t="str">
        <x:v>Jiahui</x:v>
      </x:c>
      <x:c r="E389" s="253" t="str">
        <x:v>653861</x:v>
      </x:c>
      <x:c r="F389" s="277" t="str"/>
    </x:row>
    <x:row r="390">
      <x:c r="A390" s="252" t="str">
        <x:v>WS1</x:v>
      </x:c>
      <x:c r="B390" s="253" t="str">
        <x:v>rose84</x:v>
      </x:c>
      <x:c r="C390" s="259" t="n">
        <x:v>46090.166666666664</x:v>
      </x:c>
      <x:c r="D390" s="253" t="str">
        <x:v>Jiahui</x:v>
      </x:c>
      <x:c r="E390" s="253" t="str">
        <x:v>654751</x:v>
      </x:c>
      <x:c r="F390" s="277" t="str"/>
    </x:row>
    <x:row r="391">
      <x:c r="A391" s="252" t="str">
        <x:v>WS1</x:v>
      </x:c>
      <x:c r="B391" s="253" t="str">
        <x:v>Pireveen</x:v>
      </x:c>
      <x:c r="C391" s="259" t="n">
        <x:v>46090.166666666664</x:v>
      </x:c>
      <x:c r="D391" s="253" t="str">
        <x:v>Jiahui</x:v>
      </x:c>
      <x:c r="E391" s="253" t="str">
        <x:v>654756</x:v>
      </x:c>
      <x:c r="F391" s="277" t="str"/>
    </x:row>
    <x:row r="392">
      <x:c r="A392" s="252" t="str">
        <x:v>WS1</x:v>
      </x:c>
      <x:c r="B392" s="253" t="str">
        <x:v>Ben6176</x:v>
      </x:c>
      <x:c r="C392" s="259" t="n">
        <x:v>46090.166666666664</x:v>
      </x:c>
      <x:c r="D392" s="253" t="str">
        <x:v>Jiahui</x:v>
      </x:c>
      <x:c r="E392" s="253" t="str">
        <x:v>654772</x:v>
      </x:c>
      <x:c r="F392" s="277" t="str">
        <x:v>FT_VM_DEP600_GET200_5X</x:v>
      </x:c>
    </x:row>
    <x:row r="393">
      <x:c r="A393" s="252" t="str">
        <x:v>WS1</x:v>
      </x:c>
      <x:c r="B393" s="253" t="str">
        <x:v>jie9200</x:v>
      </x:c>
      <x:c r="C393" s="259" t="n">
        <x:v>46090.166666666664</x:v>
      </x:c>
      <x:c r="D393" s="253" t="str">
        <x:v>Jiahui</x:v>
      </x:c>
      <x:c r="E393" s="253" t="str">
        <x:v>656766</x:v>
      </x:c>
      <x:c r="F393" s="277" t="str">
        <x:v>FT_VM_DEP1000_GET500_5X</x:v>
      </x:c>
    </x:row>
    <x:row r="394">
      <x:c r="A394" s="252" t="str">
        <x:v>WS1</x:v>
      </x:c>
      <x:c r="B394" s="253" t="str">
        <x:v>01120686152kim</x:v>
      </x:c>
      <x:c r="C394" s="259" t="n">
        <x:v>46090.166666666664</x:v>
      </x:c>
      <x:c r="D394" s="253" t="str">
        <x:v>Jiahui</x:v>
      </x:c>
      <x:c r="E394" s="253" t="str">
        <x:v>656912</x:v>
      </x:c>
      <x:c r="F394" s="277" t="str"/>
    </x:row>
    <x:row r="395">
      <x:c r="A395" s="252" t="str">
        <x:v>WS1</x:v>
      </x:c>
      <x:c r="B395" s="253" t="str">
        <x:v>Kathir29</x:v>
      </x:c>
      <x:c r="C395" s="259" t="n">
        <x:v>46090.166666666664</x:v>
      </x:c>
      <x:c r="D395" s="253" t="str">
        <x:v>Jiahui</x:v>
      </x:c>
      <x:c r="E395" s="253" t="str">
        <x:v>658023</x:v>
      </x:c>
      <x:c r="F395" s="277" t="str">
        <x:v>FT_VM_DEP600_GET200_5X</x:v>
      </x:c>
    </x:row>
    <x:row r="396">
      <x:c r="A396" s="252" t="str">
        <x:v>WS1</x:v>
      </x:c>
      <x:c r="B396" s="253" t="str">
        <x:v>Ericmolby</x:v>
      </x:c>
      <x:c r="C396" s="259" t="n">
        <x:v>46090.166666666664</x:v>
      </x:c>
      <x:c r="D396" s="253" t="str">
        <x:v>Jiahui</x:v>
      </x:c>
      <x:c r="E396" s="253" t="str">
        <x:v>659336</x:v>
      </x:c>
      <x:c r="F396" s="277" t="str"/>
    </x:row>
    <x:row r="397">
      <x:c r="A397" s="252" t="str">
        <x:v>WS1</x:v>
      </x:c>
      <x:c r="B397" s="253" t="str">
        <x:v>cymatt</x:v>
      </x:c>
      <x:c r="C397" s="259" t="n">
        <x:v>46090.166666666664</x:v>
      </x:c>
      <x:c r="D397" s="253" t="str">
        <x:v>Jiahui</x:v>
      </x:c>
      <x:c r="E397" s="253" t="str">
        <x:v>659929</x:v>
      </x:c>
      <x:c r="F397" s="277" t="str"/>
    </x:row>
    <x:row r="398">
      <x:c r="A398" s="252" t="str">
        <x:v>WS1</x:v>
      </x:c>
      <x:c r="B398" s="253" t="str">
        <x:v>SKY3188</x:v>
      </x:c>
      <x:c r="C398" s="259" t="n">
        <x:v>46090.166666666664</x:v>
      </x:c>
      <x:c r="D398" s="253" t="str">
        <x:v>Jiahui</x:v>
      </x:c>
      <x:c r="E398" s="253" t="str">
        <x:v>660545</x:v>
      </x:c>
      <x:c r="F398" s="277" t="str"/>
    </x:row>
    <x:row r="399">
      <x:c r="A399" s="252" t="str">
        <x:v>WS1</x:v>
      </x:c>
      <x:c r="B399" s="253" t="str">
        <x:v>Akk749898</x:v>
      </x:c>
      <x:c r="C399" s="259" t="n">
        <x:v>46090.166666666664</x:v>
      </x:c>
      <x:c r="D399" s="253" t="str">
        <x:v>Jiahui</x:v>
      </x:c>
      <x:c r="E399" s="253" t="str">
        <x:v>661718</x:v>
      </x:c>
      <x:c r="F399" s="277" t="str">
        <x:v>FT_VM_DEP600_GET200_5X</x:v>
      </x:c>
    </x:row>
    <x:row r="400">
      <x:c r="A400" s="252" t="str">
        <x:v>WS1</x:v>
      </x:c>
      <x:c r="B400" s="253" t="str">
        <x:v>Matt2304</x:v>
      </x:c>
      <x:c r="C400" s="259" t="n">
        <x:v>46090.166666666664</x:v>
      </x:c>
      <x:c r="D400" s="253" t="str">
        <x:v>Jiahui</x:v>
      </x:c>
      <x:c r="E400" s="253" t="str">
        <x:v>661851</x:v>
      </x:c>
      <x:c r="F400" s="277" t="str">
        <x:v>FT_VM_DEP600_GET200_5X</x:v>
      </x:c>
    </x:row>
    <x:row r="401">
      <x:c r="A401" s="252" t="str">
        <x:v>WS1</x:v>
      </x:c>
      <x:c r="B401" s="253" t="str">
        <x:v>Parthibanvrn198</x:v>
      </x:c>
      <x:c r="C401" s="259" t="n">
        <x:v>46090.166666666664</x:v>
      </x:c>
      <x:c r="D401" s="253" t="str">
        <x:v>Jiahui</x:v>
      </x:c>
      <x:c r="E401" s="253" t="str">
        <x:v>662052</x:v>
      </x:c>
      <x:c r="F401" s="277" t="str">
        <x:v>FT_VM_DEP1000_GET500_5X</x:v>
      </x:c>
    </x:row>
    <x:row r="402">
      <x:c r="A402" s="252" t="str">
        <x:v>WS1</x:v>
      </x:c>
      <x:c r="B402" s="253" t="str">
        <x:v>abgya</x:v>
      </x:c>
      <x:c r="C402" s="259" t="n">
        <x:v>46090.166666666664</x:v>
      </x:c>
      <x:c r="D402" s="253" t="str">
        <x:v>Jiahui</x:v>
      </x:c>
      <x:c r="E402" s="253" t="str">
        <x:v>748383</x:v>
      </x:c>
      <x:c r="F402" s="277" t="str">
        <x:v>FT_VM_DEP700_GET300_2X</x:v>
      </x:c>
    </x:row>
    <x:row r="403">
      <x:c r="A403" s="252" t="str">
        <x:v>WS1</x:v>
      </x:c>
      <x:c r="B403" s="253" t="str">
        <x:v>skywils86</x:v>
      </x:c>
      <x:c r="C403" s="259" t="n">
        <x:v>46090.166666666664</x:v>
      </x:c>
      <x:c r="D403" s="253" t="str">
        <x:v>Jiahui</x:v>
      </x:c>
      <x:c r="E403" s="253" t="str">
        <x:v>419386</x:v>
      </x:c>
      <x:c r="F403" s="277" t="str"/>
    </x:row>
    <x:row r="404">
      <x:c r="A404" s="252" t="str">
        <x:v>WS1</x:v>
      </x:c>
      <x:c r="B404" s="253" t="str">
        <x:v>memsi1416</x:v>
      </x:c>
      <x:c r="C404" s="259" t="n">
        <x:v>46090.166666666664</x:v>
      </x:c>
      <x:c r="D404" s="253" t="str">
        <x:v>Jiahui</x:v>
      </x:c>
      <x:c r="E404" s="253" t="str">
        <x:v>224179</x:v>
      </x:c>
      <x:c r="F404" s="277" t="str"/>
    </x:row>
    <x:row r="405">
      <x:c r="A405" s="252" t="str">
        <x:v>WS1</x:v>
      </x:c>
      <x:c r="B405" s="253" t="str">
        <x:v>Paduka97</x:v>
      </x:c>
      <x:c r="C405" s="259" t="n">
        <x:v>46090.166666666664</x:v>
      </x:c>
      <x:c r="D405" s="253" t="str">
        <x:v>Jiahui</x:v>
      </x:c>
      <x:c r="E405" s="253" t="str">
        <x:v>77770</x:v>
      </x:c>
      <x:c r="F405" s="277" t="str"/>
    </x:row>
    <x:row r="406">
      <x:c r="A406" s="252" t="str">
        <x:v>WS1</x:v>
      </x:c>
      <x:c r="B406" s="253" t="str">
        <x:v>Hewkwaiha1508</x:v>
      </x:c>
      <x:c r="C406" s="259" t="n">
        <x:v>46090.166666666664</x:v>
      </x:c>
      <x:c r="D406" s="253" t="str">
        <x:v>Jiahui</x:v>
      </x:c>
      <x:c r="E406" s="253" t="str">
        <x:v>46211</x:v>
      </x:c>
      <x:c r="F406" s="277" t="str"/>
    </x:row>
    <x:row r="407">
      <x:c r="A407" s="252" t="str">
        <x:v>WS1</x:v>
      </x:c>
      <x:c r="B407" s="253" t="str">
        <x:v>Arnold93</x:v>
      </x:c>
      <x:c r="C407" s="259" t="n">
        <x:v>46090.166666666664</x:v>
      </x:c>
      <x:c r="D407" s="253" t="str">
        <x:v>Jiahui</x:v>
      </x:c>
      <x:c r="E407" s="253" t="str">
        <x:v>610227</x:v>
      </x:c>
      <x:c r="F407" s="277" t="str"/>
    </x:row>
    <x:row r="408">
      <x:c r="A408" s="252" t="str">
        <x:v>WS1</x:v>
      </x:c>
      <x:c r="B408" s="253" t="str">
        <x:v>achelannn</x:v>
      </x:c>
      <x:c r="C408" s="259" t="n">
        <x:v>46090.166666666664</x:v>
      </x:c>
      <x:c r="D408" s="253" t="str">
        <x:v>Jiahui</x:v>
      </x:c>
      <x:c r="E408" s="253" t="str">
        <x:v>685717</x:v>
      </x:c>
      <x:c r="F408" s="277" t="str"/>
    </x:row>
    <x:row r="409">
      <x:c r="A409" s="252" t="str">
        <x:v>WS1</x:v>
      </x:c>
      <x:c r="B409" s="253" t="str">
        <x:v>dkny0621</x:v>
      </x:c>
      <x:c r="C409" s="259" t="n">
        <x:v>46090.166666666664</x:v>
      </x:c>
      <x:c r="D409" s="253" t="str">
        <x:v>Jiahui</x:v>
      </x:c>
      <x:c r="E409" s="253" t="str">
        <x:v>686441</x:v>
      </x:c>
      <x:c r="F409" s="277" t="str"/>
    </x:row>
    <x:row r="410">
      <x:c r="A410" s="252" t="str">
        <x:v>WS1</x:v>
      </x:c>
      <x:c r="B410" s="253" t="str">
        <x:v>Ld888</x:v>
      </x:c>
      <x:c r="C410" s="259" t="n">
        <x:v>46090.166666666664</x:v>
      </x:c>
      <x:c r="D410" s="253" t="str">
        <x:v>Jiahui</x:v>
      </x:c>
      <x:c r="E410" s="253" t="str">
        <x:v>690445</x:v>
      </x:c>
      <x:c r="F410" s="277" t="str"/>
    </x:row>
    <x:row r="411">
      <x:c r="A411" s="252" t="str">
        <x:v>WS1</x:v>
      </x:c>
      <x:c r="B411" s="253" t="str">
        <x:v>amir252525</x:v>
      </x:c>
      <x:c r="C411" s="259" t="n">
        <x:v>46090.166666666664</x:v>
      </x:c>
      <x:c r="D411" s="253" t="str">
        <x:v>Jiahui</x:v>
      </x:c>
      <x:c r="E411" s="253" t="str">
        <x:v>577630</x:v>
      </x:c>
      <x:c r="F411" s="277" t="str"/>
    </x:row>
    <x:row r="412">
      <x:c r="A412" s="252" t="str">
        <x:v>WS1</x:v>
      </x:c>
      <x:c r="B412" s="253" t="str">
        <x:v>nikyweiii</x:v>
      </x:c>
      <x:c r="C412" s="259" t="n">
        <x:v>46090.166666666664</x:v>
      </x:c>
      <x:c r="D412" s="253" t="str">
        <x:v>Jiahui</x:v>
      </x:c>
      <x:c r="E412" s="253" t="str">
        <x:v>653760</x:v>
      </x:c>
      <x:c r="F412" s="277" t="str">
        <x:v>FT_VM_DEP700_GET300_2X</x:v>
      </x:c>
    </x:row>
    <x:row r="413">
      <x:c r="A413" s="252" t="str">
        <x:v>WS1</x:v>
      </x:c>
      <x:c r="B413" s="253" t="str">
        <x:v>Reesh88</x:v>
      </x:c>
      <x:c r="C413" s="259" t="n">
        <x:v>46090.166666666664</x:v>
      </x:c>
      <x:c r="D413" s="253" t="str">
        <x:v>Jiahui</x:v>
      </x:c>
      <x:c r="E413" s="253" t="str">
        <x:v>72874</x:v>
      </x:c>
      <x:c r="F413" s="277" t="str"/>
    </x:row>
    <x:row r="414">
      <x:c r="A414" s="252" t="str">
        <x:v>WS1</x:v>
      </x:c>
      <x:c r="B414" s="253" t="str">
        <x:v>luciana96</x:v>
      </x:c>
      <x:c r="C414" s="259" t="n">
        <x:v>46090.166666666664</x:v>
      </x:c>
      <x:c r="D414" s="253" t="str">
        <x:v>Jiahui</x:v>
      </x:c>
      <x:c r="E414" s="253" t="str">
        <x:v>733308</x:v>
      </x:c>
      <x:c r="F414" s="277" t="str"/>
    </x:row>
    <x:row r="415">
      <x:c r="A415" s="252" t="str">
        <x:v>WS1</x:v>
      </x:c>
      <x:c r="B415" s="253" t="str">
        <x:v>Zam87</x:v>
      </x:c>
      <x:c r="C415" s="259" t="n">
        <x:v>46090.166666666664</x:v>
      </x:c>
      <x:c r="D415" s="253" t="str">
        <x:v>Jiahui</x:v>
      </x:c>
      <x:c r="E415" s="253" t="str">
        <x:v>444997</x:v>
      </x:c>
      <x:c r="F415" s="277" t="str"/>
    </x:row>
    <x:row r="416">
      <x:c r="A416" s="252" t="str">
        <x:v>WS1</x:v>
      </x:c>
      <x:c r="B416" s="253" t="str">
        <x:v>Tamoor4u2</x:v>
      </x:c>
      <x:c r="C416" s="259" t="n">
        <x:v>46090.166666666664</x:v>
      </x:c>
      <x:c r="D416" s="253" t="str">
        <x:v>Jiahui</x:v>
      </x:c>
      <x:c r="E416" s="253" t="str">
        <x:v>52425</x:v>
      </x:c>
      <x:c r="F416" s="277" t="str"/>
    </x:row>
    <x:row r="417">
      <x:c r="A417" s="252" t="str">
        <x:v>WS1</x:v>
      </x:c>
      <x:c r="B417" s="253" t="str">
        <x:v>king34</x:v>
      </x:c>
      <x:c r="C417" s="259" t="n">
        <x:v>46090.166666666664</x:v>
      </x:c>
      <x:c r="D417" s="253" t="str">
        <x:v>Jiahui</x:v>
      </x:c>
      <x:c r="E417" s="253" t="str">
        <x:v>319269</x:v>
      </x:c>
      <x:c r="F417" s="277" t="str">
        <x:v>FT_VM_DEP1000_GET500_5X</x:v>
      </x:c>
    </x:row>
    <x:row r="418">
      <x:c r="A418" s="252" t="str">
        <x:v>WS1</x:v>
      </x:c>
      <x:c r="B418" s="253" t="str">
        <x:v>sialak0825</x:v>
      </x:c>
      <x:c r="C418" s="259" t="n">
        <x:v>46090.166666666664</x:v>
      </x:c>
      <x:c r="D418" s="253" t="str">
        <x:v>Jiahui</x:v>
      </x:c>
      <x:c r="E418" s="253" t="str">
        <x:v>509419</x:v>
      </x:c>
      <x:c r="F418" s="277" t="str">
        <x:v>FT_VM_FC_VARIABLE_5X - MYR 1088</x:v>
      </x:c>
    </x:row>
    <x:row r="419">
      <x:c r="A419" s="252" t="str">
        <x:v>WS1</x:v>
      </x:c>
      <x:c r="B419" s="253" t="str">
        <x:v>Ijall</x:v>
      </x:c>
      <x:c r="C419" s="259" t="n">
        <x:v>46090.166666666664</x:v>
      </x:c>
      <x:c r="D419" s="253" t="str">
        <x:v>Jiahui</x:v>
      </x:c>
      <x:c r="E419" s="253" t="str">
        <x:v>443479</x:v>
      </x:c>
      <x:c r="F419" s="277" t="str">
        <x:v>FT_VM_DEP600_GET200_5X</x:v>
      </x:c>
    </x:row>
    <x:row r="420">
      <x:c r="A420" s="252" t="str">
        <x:v>WS1</x:v>
      </x:c>
      <x:c r="B420" s="253" t="str">
        <x:v>Frenz69</x:v>
      </x:c>
      <x:c r="C420" s="259" t="n">
        <x:v>46090.166666666664</x:v>
      </x:c>
      <x:c r="D420" s="253" t="str">
        <x:v>Jiahui</x:v>
      </x:c>
      <x:c r="E420" s="253" t="str">
        <x:v>180124</x:v>
      </x:c>
      <x:c r="F420" s="277" t="str"/>
    </x:row>
    <x:row r="421">
      <x:c r="A421" s="252" t="str">
        <x:v>WS1</x:v>
      </x:c>
      <x:c r="B421" s="253" t="str">
        <x:v>Sanee08</x:v>
      </x:c>
      <x:c r="C421" s="259" t="n">
        <x:v>46090.166666666664</x:v>
      </x:c>
      <x:c r="D421" s="253" t="str">
        <x:v>Jiahui</x:v>
      </x:c>
      <x:c r="E421" s="253" t="str">
        <x:v>182750</x:v>
      </x:c>
      <x:c r="F421" s="277" t="str"/>
    </x:row>
    <x:row r="422">
      <x:c r="A422" s="252" t="str">
        <x:v>WS1</x:v>
      </x:c>
      <x:c r="B422" s="253" t="str">
        <x:v>Zool1976</x:v>
      </x:c>
      <x:c r="C422" s="259" t="n">
        <x:v>46090.166666666664</x:v>
      </x:c>
      <x:c r="D422" s="253" t="str">
        <x:v>Jiahui</x:v>
      </x:c>
      <x:c r="E422" s="253" t="str">
        <x:v>522352</x:v>
      </x:c>
      <x:c r="F422" s="277" t="str">
        <x:v>FT_VM_DEP600_GET200_5X</x:v>
      </x:c>
    </x:row>
    <x:row r="423">
      <x:c r="A423" s="252" t="str">
        <x:v>WS1</x:v>
      </x:c>
      <x:c r="B423" s="253" t="str">
        <x:v>Dodol98</x:v>
      </x:c>
      <x:c r="C423" s="259" t="n">
        <x:v>46090.166666666664</x:v>
      </x:c>
      <x:c r="D423" s="253" t="str">
        <x:v>Jiahui</x:v>
      </x:c>
      <x:c r="E423" s="253" t="str">
        <x:v>526322</x:v>
      </x:c>
      <x:c r="F423" s="277" t="str"/>
    </x:row>
    <x:row r="424">
      <x:c r="A424" s="252" t="str">
        <x:v>WS1</x:v>
      </x:c>
      <x:c r="B424" s="253" t="str">
        <x:v>Tachan18</x:v>
      </x:c>
      <x:c r="C424" s="259" t="n">
        <x:v>46090.166666666664</x:v>
      </x:c>
      <x:c r="D424" s="253" t="str">
        <x:v>Jiahui</x:v>
      </x:c>
      <x:c r="E424" s="253" t="str">
        <x:v>526419</x:v>
      </x:c>
      <x:c r="F424" s="277" t="str">
        <x:v>FT_VM_DEP700_GET300_2X</x:v>
      </x:c>
    </x:row>
    <x:row r="425">
      <x:c r="A425" s="252" t="str">
        <x:v>WS1</x:v>
      </x:c>
      <x:c r="B425" s="253" t="str">
        <x:v>Faris88</x:v>
      </x:c>
      <x:c r="C425" s="259" t="n">
        <x:v>46090.166666666664</x:v>
      </x:c>
      <x:c r="D425" s="253" t="str">
        <x:v>Jiahui</x:v>
      </x:c>
      <x:c r="E425" s="253" t="str">
        <x:v>528262</x:v>
      </x:c>
      <x:c r="F425" s="277" t="str"/>
    </x:row>
    <x:row r="426">
      <x:c r="A426" s="252" t="str">
        <x:v>WS1</x:v>
      </x:c>
      <x:c r="B426" s="253" t="str">
        <x:v>Botak81</x:v>
      </x:c>
      <x:c r="C426" s="259" t="n">
        <x:v>46090.166666666664</x:v>
      </x:c>
      <x:c r="D426" s="253" t="str">
        <x:v>Jiahui</x:v>
      </x:c>
      <x:c r="E426" s="253" t="str">
        <x:v>529339</x:v>
      </x:c>
      <x:c r="F426" s="277" t="str">
        <x:v>FT_VM_DEP600_GET200_5X</x:v>
      </x:c>
    </x:row>
    <x:row r="427">
      <x:c r="A427" s="252" t="str">
        <x:v>WS1</x:v>
      </x:c>
      <x:c r="B427" s="253" t="str">
        <x:v>mybetnini</x:v>
      </x:c>
      <x:c r="C427" s="259" t="n">
        <x:v>46090.166666666664</x:v>
      </x:c>
      <x:c r="D427" s="253" t="str">
        <x:v>Jiahui</x:v>
      </x:c>
      <x:c r="E427" s="253" t="str">
        <x:v>159367</x:v>
      </x:c>
      <x:c r="F427" s="277" t="str">
        <x:v>FT_VM_DEP800_GET400_1X</x:v>
      </x:c>
    </x:row>
    <x:row r="428">
      <x:c r="A428" s="252" t="str">
        <x:v>WS1</x:v>
      </x:c>
      <x:c r="B428" s="253" t="str">
        <x:v>Azizburn</x:v>
      </x:c>
      <x:c r="C428" s="259" t="n">
        <x:v>46090.166666666664</x:v>
      </x:c>
      <x:c r="D428" s="253" t="str">
        <x:v>Jiahui</x:v>
      </x:c>
      <x:c r="E428" s="253" t="str">
        <x:v>605482</x:v>
      </x:c>
      <x:c r="F428" s="277" t="str"/>
    </x:row>
    <x:row r="429">
      <x:c r="A429" s="252" t="str">
        <x:v>WS1</x:v>
      </x:c>
      <x:c r="B429" s="253" t="str">
        <x:v>adib40</x:v>
      </x:c>
      <x:c r="C429" s="259" t="n">
        <x:v>46090.166666666664</x:v>
      </x:c>
      <x:c r="D429" s="253" t="str">
        <x:v>Jiahui</x:v>
      </x:c>
      <x:c r="E429" s="253" t="str">
        <x:v>10153</x:v>
      </x:c>
      <x:c r="F429" s="277" t="str"/>
    </x:row>
    <x:row r="430">
      <x:c r="A430" s="252" t="str">
        <x:v>WS1</x:v>
      </x:c>
      <x:c r="B430" s="253" t="str">
        <x:v>Xakura85</x:v>
      </x:c>
      <x:c r="C430" s="259" t="n">
        <x:v>46090.166666666664</x:v>
      </x:c>
      <x:c r="D430" s="253" t="str">
        <x:v>Jiahui</x:v>
      </x:c>
      <x:c r="E430" s="253" t="str">
        <x:v>1015547</x:v>
      </x:c>
      <x:c r="F430" s="277" t="str">
        <x:v>FT_VM_DEP600_GET200_5X</x:v>
      </x:c>
    </x:row>
    <x:row r="431">
      <x:c r="A431" s="252" t="str">
        <x:v>WS1</x:v>
      </x:c>
      <x:c r="B431" s="253" t="str">
        <x:v>Michael66</x:v>
      </x:c>
      <x:c r="C431" s="259" t="n">
        <x:v>46090.166666666664</x:v>
      </x:c>
      <x:c r="D431" s="253" t="str">
        <x:v>Jiahui</x:v>
      </x:c>
      <x:c r="E431" s="253" t="str">
        <x:v>651015</x:v>
      </x:c>
      <x:c r="F431" s="277" t="str"/>
    </x:row>
    <x:row r="432">
      <x:c r="A432" s="252" t="str">
        <x:v>WS1</x:v>
      </x:c>
      <x:c r="B432" s="253" t="str">
        <x:v>Mshafiq074</x:v>
      </x:c>
      <x:c r="C432" s="259" t="n">
        <x:v>46090.166666666664</x:v>
      </x:c>
      <x:c r="D432" s="253" t="str">
        <x:v>Jiahui</x:v>
      </x:c>
      <x:c r="E432" s="253" t="str">
        <x:v>651278</x:v>
      </x:c>
      <x:c r="F432" s="277" t="str"/>
    </x:row>
    <x:row r="433">
      <x:c r="A433" s="252" t="str">
        <x:v>WS1</x:v>
      </x:c>
      <x:c r="B433" s="253" t="str">
        <x:v>Aepul91</x:v>
      </x:c>
      <x:c r="C433" s="259" t="n">
        <x:v>46090.166666666664</x:v>
      </x:c>
      <x:c r="D433" s="253" t="str">
        <x:v>Jiahui</x:v>
      </x:c>
      <x:c r="E433" s="253" t="str">
        <x:v>651464</x:v>
      </x:c>
      <x:c r="F433" s="277" t="str">
        <x:v>FT_VM_DEP1000_GET500_5X</x:v>
      </x:c>
    </x:row>
    <x:row r="434">
      <x:c r="A434" s="252" t="str">
        <x:v>WS1</x:v>
      </x:c>
      <x:c r="B434" s="253" t="str">
        <x:v>Kiddy420</x:v>
      </x:c>
      <x:c r="C434" s="259" t="n">
        <x:v>46090.166666666664</x:v>
      </x:c>
      <x:c r="D434" s="253" t="str">
        <x:v>Jiahui</x:v>
      </x:c>
      <x:c r="E434" s="253" t="str">
        <x:v>651682</x:v>
      </x:c>
      <x:c r="F434" s="277" t="str"/>
    </x:row>
    <x:row r="435">
      <x:c r="A435" s="252" t="str">
        <x:v>WS1</x:v>
      </x:c>
      <x:c r="B435" s="253" t="str">
        <x:v>ShadyRnD</x:v>
      </x:c>
      <x:c r="C435" s="259" t="n">
        <x:v>46090.166666666664</x:v>
      </x:c>
      <x:c r="D435" s="253" t="str">
        <x:v>Jiahui</x:v>
      </x:c>
      <x:c r="E435" s="253" t="str">
        <x:v>652179</x:v>
      </x:c>
      <x:c r="F435" s="277" t="str"/>
    </x:row>
    <x:row r="436">
      <x:c r="A436" s="252" t="str">
        <x:v>WS1</x:v>
      </x:c>
      <x:c r="B436" s="253" t="str">
        <x:v>joelk88</x:v>
      </x:c>
      <x:c r="C436" s="259" t="n">
        <x:v>46090.166666666664</x:v>
      </x:c>
      <x:c r="D436" s="253" t="str">
        <x:v>Jiahui</x:v>
      </x:c>
      <x:c r="E436" s="253" t="str">
        <x:v>653611</x:v>
      </x:c>
      <x:c r="F436" s="277" t="str">
        <x:v>FT_VM_DEP800_GET400_2X</x:v>
      </x:c>
    </x:row>
    <x:row r="437">
      <x:c r="A437" s="252" t="str">
        <x:v>WS1</x:v>
      </x:c>
      <x:c r="B437" s="253" t="str">
        <x:v>Remen3118</x:v>
      </x:c>
      <x:c r="C437" s="259" t="n">
        <x:v>46090.166666666664</x:v>
      </x:c>
      <x:c r="D437" s="253" t="str">
        <x:v>Jiahui</x:v>
      </x:c>
      <x:c r="E437" s="253" t="str">
        <x:v>654599</x:v>
      </x:c>
      <x:c r="F437" s="277" t="str"/>
    </x:row>
    <x:row r="438">
      <x:c r="A438" s="252" t="str">
        <x:v>WS1</x:v>
      </x:c>
      <x:c r="B438" s="253" t="str">
        <x:v>Farhan182262</x:v>
      </x:c>
      <x:c r="C438" s="259" t="n">
        <x:v>46090.166666666664</x:v>
      </x:c>
      <x:c r="D438" s="253" t="str">
        <x:v>Jiahui</x:v>
      </x:c>
      <x:c r="E438" s="253" t="str">
        <x:v>654671</x:v>
      </x:c>
      <x:c r="F438" s="277" t="str">
        <x:v>FT_VM_DEP600_GET200_5X</x:v>
      </x:c>
    </x:row>
    <x:row r="439">
      <x:c r="A439" s="252" t="str">
        <x:v>WS1</x:v>
      </x:c>
      <x:c r="B439" s="253" t="str">
        <x:v>Sweelingwee</x:v>
      </x:c>
      <x:c r="C439" s="259" t="n">
        <x:v>46090.166666666664</x:v>
      </x:c>
      <x:c r="D439" s="253" t="str">
        <x:v>Jiahui</x:v>
      </x:c>
      <x:c r="E439" s="253" t="str">
        <x:v>654830</x:v>
      </x:c>
      <x:c r="F439" s="277" t="str"/>
    </x:row>
    <x:row r="440">
      <x:c r="A440" s="252" t="str">
        <x:v>WS1</x:v>
      </x:c>
      <x:c r="B440" s="253" t="str">
        <x:v>Jebat7736</x:v>
      </x:c>
      <x:c r="C440" s="259" t="n">
        <x:v>46090.166666666664</x:v>
      </x:c>
      <x:c r="D440" s="253" t="str">
        <x:v>Jiahui</x:v>
      </x:c>
      <x:c r="E440" s="253" t="str">
        <x:v>1120320</x:v>
      </x:c>
      <x:c r="F440" s="277" t="str"/>
    </x:row>
    <x:row r="441">
      <x:c r="A441" s="252" t="str">
        <x:v>WS1</x:v>
      </x:c>
      <x:c r="B441" s="253" t="str">
        <x:v>W9059g</x:v>
      </x:c>
      <x:c r="C441" s="259" t="n">
        <x:v>46090.166666666664</x:v>
      </x:c>
      <x:c r="D441" s="253" t="str">
        <x:v>Jiahui</x:v>
      </x:c>
      <x:c r="E441" s="253" t="str">
        <x:v>799821</x:v>
      </x:c>
      <x:c r="F441" s="277" t="str">
        <x:v>FT_VM_FC_VARIABLE_5X - MYR 888</x:v>
      </x:c>
    </x:row>
    <x:row r="442">
      <x:c r="A442" s="252" t="str">
        <x:v>WS1</x:v>
      </x:c>
      <x:c r="B442" s="253" t="str">
        <x:v>meilian1996</x:v>
      </x:c>
      <x:c r="C442" s="259" t="n">
        <x:v>46090.166666666664</x:v>
      </x:c>
      <x:c r="D442" s="253" t="str">
        <x:v>Jiahui</x:v>
      </x:c>
      <x:c r="E442" s="253" t="str">
        <x:v>8</x:v>
      </x:c>
      <x:c r="F442" s="277" t="str">
        <x:v>FT_VM_DEP1000_GET500_5X</x:v>
      </x:c>
    </x:row>
    <x:row r="443">
      <x:c r="A443" s="252" t="str">
        <x:v>WS1</x:v>
      </x:c>
      <x:c r="B443" s="253" t="str">
        <x:v>Alex3372</x:v>
      </x:c>
      <x:c r="C443" s="259" t="n">
        <x:v>46090.166666666664</x:v>
      </x:c>
      <x:c r="D443" s="253" t="str">
        <x:v>Jiahui</x:v>
      </x:c>
      <x:c r="E443" s="253" t="str">
        <x:v>658711</x:v>
      </x:c>
      <x:c r="F443" s="277" t="str"/>
    </x:row>
    <x:row r="444">
      <x:c r="A444" s="252" t="str">
        <x:v>WS1</x:v>
      </x:c>
      <x:c r="B444" s="253" t="str">
        <x:v>VJ4697</x:v>
      </x:c>
      <x:c r="C444" s="259" t="n">
        <x:v>46090.166666666664</x:v>
      </x:c>
      <x:c r="D444" s="253" t="str">
        <x:v>Jiahui</x:v>
      </x:c>
      <x:c r="E444" s="253" t="str">
        <x:v>658786</x:v>
      </x:c>
      <x:c r="F444" s="277" t="str">
        <x:v>FT_VM_DEP1000_GET500_1X</x:v>
      </x:c>
    </x:row>
    <x:row r="445">
      <x:c r="A445" s="252" t="str">
        <x:v>WS1</x:v>
      </x:c>
      <x:c r="B445" s="253" t="str">
        <x:v>Kidtwist</x:v>
      </x:c>
      <x:c r="C445" s="259" t="n">
        <x:v>46090.166666666664</x:v>
      </x:c>
      <x:c r="D445" s="253" t="str">
        <x:v>Jiahui</x:v>
      </x:c>
      <x:c r="E445" s="253" t="str">
        <x:v>663601</x:v>
      </x:c>
      <x:c r="F445" s="277" t="str">
        <x:v>FT_VM_FC_VARIABLE_5X - MYR 588</x:v>
      </x:c>
    </x:row>
    <x:row r="446">
      <x:c r="A446" s="252" t="str">
        <x:v>WS1</x:v>
      </x:c>
      <x:c r="B446" s="253" t="str">
        <x:v>Rahman08</x:v>
      </x:c>
      <x:c r="C446" s="259" t="n">
        <x:v>46090.166666666664</x:v>
      </x:c>
      <x:c r="D446" s="253" t="str">
        <x:v>Jiahui</x:v>
      </x:c>
      <x:c r="E446" s="253" t="str">
        <x:v>663821</x:v>
      </x:c>
      <x:c r="F446" s="277" t="str">
        <x:v>FT_VM_DEP700_GET300_1X</x:v>
      </x:c>
    </x:row>
    <x:row r="447">
      <x:c r="A447" s="252" t="str">
        <x:v>WS1</x:v>
      </x:c>
      <x:c r="B447" s="253" t="str">
        <x:v>Naveen13</x:v>
      </x:c>
      <x:c r="C447" s="259" t="n">
        <x:v>46090.166666666664</x:v>
      </x:c>
      <x:c r="D447" s="253" t="str">
        <x:v>Jiahui</x:v>
      </x:c>
      <x:c r="E447" s="253" t="str">
        <x:v>663945</x:v>
      </x:c>
      <x:c r="F447" s="277" t="str">
        <x:v>FT_VM_FC_VARIABLE_5X - MYR 888</x:v>
      </x:c>
    </x:row>
    <x:row r="448">
      <x:c r="A448" s="252" t="str">
        <x:v>WS1</x:v>
      </x:c>
      <x:c r="B448" s="253" t="str">
        <x:v>hussin01121631071</x:v>
      </x:c>
      <x:c r="C448" s="259" t="n">
        <x:v>46090.166666666664</x:v>
      </x:c>
      <x:c r="D448" s="253" t="str">
        <x:v>Jiahui</x:v>
      </x:c>
      <x:c r="E448" s="253" t="str">
        <x:v>96620</x:v>
      </x:c>
      <x:c r="F448" s="277" t="str">
        <x:v>FT_VM_DEP1000_GET500_5X</x:v>
      </x:c>
    </x:row>
    <x:row r="449">
      <x:c r="A449" s="252" t="str">
        <x:v>WS1</x:v>
      </x:c>
      <x:c r="B449" s="253" t="str">
        <x:v>g2ledang</x:v>
      </x:c>
      <x:c r="C449" s="259" t="n">
        <x:v>46090.166666666664</x:v>
      </x:c>
      <x:c r="D449" s="253" t="str">
        <x:v>Jiahui</x:v>
      </x:c>
      <x:c r="E449" s="253" t="str">
        <x:v>968767</x:v>
      </x:c>
      <x:c r="F449" s="277" t="str"/>
    </x:row>
    <x:row r="450">
      <x:c r="A450" s="252" t="str">
        <x:v>WS1</x:v>
      </x:c>
      <x:c r="B450" s="253" t="str">
        <x:v>Pukima888</x:v>
      </x:c>
      <x:c r="C450" s="259" t="n">
        <x:v>46090.166666666664</x:v>
      </x:c>
      <x:c r="D450" s="253" t="str">
        <x:v>Jiahui</x:v>
      </x:c>
      <x:c r="E450" s="253" t="str">
        <x:v>969610</x:v>
      </x:c>
      <x:c r="F450" s="277" t="str"/>
    </x:row>
    <x:row r="451">
      <x:c r="A451" s="252" t="str">
        <x:v>WS1</x:v>
      </x:c>
      <x:c r="B451" s="253" t="str">
        <x:v>Amieylove88</x:v>
      </x:c>
      <x:c r="C451" s="259" t="n">
        <x:v>46090.166666666664</x:v>
      </x:c>
      <x:c r="D451" s="253" t="str">
        <x:v>Elda</x:v>
      </x:c>
      <x:c r="E451" s="253" t="str">
        <x:v>179592</x:v>
      </x:c>
      <x:c r="F451" s="277" t="str">
        <x:v>DORMANT</x:v>
      </x:c>
    </x:row>
    <x:row r="452">
      <x:c r="A452" s="252" t="str">
        <x:v>WS1</x:v>
      </x:c>
      <x:c r="B452" s="253" t="str">
        <x:v>Rapijie61</x:v>
      </x:c>
      <x:c r="C452" s="259" t="n">
        <x:v>46090.166666666664</x:v>
      </x:c>
      <x:c r="D452" s="253" t="str">
        <x:v>Elda</x:v>
      </x:c>
      <x:c r="E452" s="253" t="str">
        <x:v>439225</x:v>
      </x:c>
      <x:c r="F452" s="277" t="str">
        <x:v>DORMANT</x:v>
      </x:c>
    </x:row>
    <x:row r="453">
      <x:c r="A453" s="252" t="str">
        <x:v>WS1</x:v>
      </x:c>
      <x:c r="B453" s="253" t="str">
        <x:v>ruffy67</x:v>
      </x:c>
      <x:c r="C453" s="259" t="n">
        <x:v>46090.166666666664</x:v>
      </x:c>
      <x:c r="D453" s="253" t="str">
        <x:v>Elda</x:v>
      </x:c>
      <x:c r="E453" s="253" t="str">
        <x:v>445444</x:v>
      </x:c>
      <x:c r="F453" s="277" t="str">
        <x:v>FT_VM_DEP600_GET200_5X</x:v>
      </x:c>
    </x:row>
    <x:row r="454">
      <x:c r="A454" s="252" t="str">
        <x:v>WS1</x:v>
      </x:c>
      <x:c r="B454" s="253" t="str">
        <x:v>userbet88my</x:v>
      </x:c>
      <x:c r="C454" s="259" t="n">
        <x:v>46090.166666666664</x:v>
      </x:c>
      <x:c r="D454" s="253" t="str">
        <x:v>Elda</x:v>
      </x:c>
      <x:c r="E454" s="253" t="str">
        <x:v>561316</x:v>
      </x:c>
      <x:c r="F454" s="277" t="str">
        <x:v>FT_VM_DEP1000_GET500_5X</x:v>
      </x:c>
    </x:row>
    <x:row r="455">
      <x:c r="A455" s="252" t="str">
        <x:v>WS1</x:v>
      </x:c>
      <x:c r="B455" s="253" t="str">
        <x:v>AlphaMZ1234</x:v>
      </x:c>
      <x:c r="C455" s="259" t="n">
        <x:v>46090.166666666664</x:v>
      </x:c>
      <x:c r="D455" s="253" t="str">
        <x:v>Elda</x:v>
      </x:c>
      <x:c r="E455" s="253" t="str">
        <x:v>523780</x:v>
      </x:c>
      <x:c r="F455" s="277" t="str">
        <x:v>DORMANT</x:v>
      </x:c>
    </x:row>
    <x:row r="456">
      <x:c r="A456" s="252" t="str">
        <x:v>WS1</x:v>
      </x:c>
      <x:c r="B456" s="253" t="str">
        <x:v>paul2009stam</x:v>
      </x:c>
      <x:c r="C456" s="259" t="n">
        <x:v>46090.166666666664</x:v>
      </x:c>
      <x:c r="D456" s="253" t="str">
        <x:v>Elda</x:v>
      </x:c>
      <x:c r="E456" s="253" t="str">
        <x:v>525939</x:v>
      </x:c>
      <x:c r="F456" s="277" t="str">
        <x:v>DORMANT</x:v>
      </x:c>
    </x:row>
    <x:row r="457">
      <x:c r="A457" s="252" t="str">
        <x:v>WS1</x:v>
      </x:c>
      <x:c r="B457" s="253" t="str">
        <x:v>mohdnazri86</x:v>
      </x:c>
      <x:c r="C457" s="259" t="n">
        <x:v>46090.166666666664</x:v>
      </x:c>
      <x:c r="D457" s="253" t="str">
        <x:v>Elda</x:v>
      </x:c>
      <x:c r="E457" s="253" t="str">
        <x:v>527887</x:v>
      </x:c>
      <x:c r="F457" s="277" t="str">
        <x:v>FT_VM_DEP600_GET200_5X</x:v>
      </x:c>
    </x:row>
    <x:row r="458">
      <x:c r="A458" s="252" t="str">
        <x:v>WS1</x:v>
      </x:c>
      <x:c r="B458" s="253" t="str">
        <x:v>Vevan19</x:v>
      </x:c>
      <x:c r="C458" s="259" t="n">
        <x:v>46090.166666666664</x:v>
      </x:c>
      <x:c r="D458" s="253" t="str">
        <x:v>Elda</x:v>
      </x:c>
      <x:c r="E458" s="253" t="str">
        <x:v>289490</x:v>
      </x:c>
      <x:c r="F458" s="277" t="str"/>
    </x:row>
    <x:row r="459">
      <x:c r="A459" s="252" t="str">
        <x:v>WS1</x:v>
      </x:c>
      <x:c r="B459" s="253" t="str">
        <x:v>Shimme82</x:v>
      </x:c>
      <x:c r="C459" s="259" t="n">
        <x:v>46090.166666666664</x:v>
      </x:c>
      <x:c r="D459" s="253" t="str">
        <x:v>Elda</x:v>
      </x:c>
      <x:c r="E459" s="253" t="str">
        <x:v>6952</x:v>
      </x:c>
      <x:c r="F459" s="277" t="str">
        <x:v>FT_VM_DEP1000_GET500_5X</x:v>
      </x:c>
    </x:row>
    <x:row r="460">
      <x:c r="A460" s="252" t="str">
        <x:v>WS1</x:v>
      </x:c>
      <x:c r="B460" s="253" t="str">
        <x:v>Ace1208</x:v>
      </x:c>
      <x:c r="C460" s="259" t="n">
        <x:v>46090.166666666664</x:v>
      </x:c>
      <x:c r="D460" s="253" t="str">
        <x:v>Elda</x:v>
      </x:c>
      <x:c r="E460" s="253" t="str">
        <x:v>699060</x:v>
      </x:c>
      <x:c r="F460" s="277" t="str">
        <x:v>FT_VM_DEP600_GET200_5X</x:v>
      </x:c>
    </x:row>
    <x:row r="461">
      <x:c r="A461" s="252" t="str">
        <x:v>WS1</x:v>
      </x:c>
      <x:c r="B461" s="253" t="str">
        <x:v>Fawad5341</x:v>
      </x:c>
      <x:c r="C461" s="259" t="n">
        <x:v>46090.166666666664</x:v>
      </x:c>
      <x:c r="D461" s="253" t="str">
        <x:v>Elda</x:v>
      </x:c>
      <x:c r="E461" s="253" t="str">
        <x:v>650711</x:v>
      </x:c>
      <x:c r="F461" s="277" t="str">
        <x:v>DORMANT</x:v>
      </x:c>
    </x:row>
    <x:row r="462">
      <x:c r="A462" s="252" t="str">
        <x:v>WS1</x:v>
      </x:c>
      <x:c r="B462" s="253" t="str">
        <x:v>J0003</x:v>
      </x:c>
      <x:c r="C462" s="259" t="n">
        <x:v>46090.166666666664</x:v>
      </x:c>
      <x:c r="D462" s="253" t="str">
        <x:v>Elda</x:v>
      </x:c>
      <x:c r="E462" s="253" t="str">
        <x:v>650854</x:v>
      </x:c>
      <x:c r="F462" s="277" t="str">
        <x:v>DORMANT</x:v>
      </x:c>
    </x:row>
    <x:row r="463">
      <x:c r="A463" s="252" t="str">
        <x:v>WS1</x:v>
      </x:c>
      <x:c r="B463" s="253" t="str">
        <x:v>Marley051018</x:v>
      </x:c>
      <x:c r="C463" s="259" t="n">
        <x:v>46090.166666666664</x:v>
      </x:c>
      <x:c r="D463" s="253" t="str">
        <x:v>Elda</x:v>
      </x:c>
      <x:c r="E463" s="253" t="str">
        <x:v>651033</x:v>
      </x:c>
      <x:c r="F463" s="277" t="str"/>
    </x:row>
    <x:row r="464">
      <x:c r="A464" s="252" t="str">
        <x:v>WS1</x:v>
      </x:c>
      <x:c r="B464" s="253" t="str">
        <x:v>Evanderliu</x:v>
      </x:c>
      <x:c r="C464" s="259" t="n">
        <x:v>46090.166666666664</x:v>
      </x:c>
      <x:c r="D464" s="253" t="str">
        <x:v>Elda</x:v>
      </x:c>
      <x:c r="E464" s="253" t="str">
        <x:v>1121479</x:v>
      </x:c>
      <x:c r="F464" s="277" t="str"/>
    </x:row>
    <x:row r="465">
      <x:c r="A465" s="252" t="str">
        <x:v>WS1</x:v>
      </x:c>
      <x:c r="B465" s="253" t="str">
        <x:v>Kok831</x:v>
      </x:c>
      <x:c r="C465" s="259" t="n">
        <x:v>46090.166666666664</x:v>
      </x:c>
      <x:c r="D465" s="253" t="str">
        <x:v>Elda</x:v>
      </x:c>
      <x:c r="E465" s="253" t="str">
        <x:v>801686</x:v>
      </x:c>
      <x:c r="F465" s="277" t="str"/>
    </x:row>
    <x:row r="466">
      <x:c r="A466" s="252" t="str">
        <x:v>WS1</x:v>
      </x:c>
      <x:c r="B466" s="253" t="str">
        <x:v>Kimochi77</x:v>
      </x:c>
      <x:c r="C466" s="259" t="n">
        <x:v>46090.166666666664</x:v>
      </x:c>
      <x:c r="D466" s="253" t="str">
        <x:v>Elda</x:v>
      </x:c>
      <x:c r="E466" s="253" t="str">
        <x:v>658153</x:v>
      </x:c>
      <x:c r="F466" s="277" t="str"/>
    </x:row>
    <x:row r="467">
      <x:c r="A467" s="252" t="str">
        <x:v>WS1</x:v>
      </x:c>
      <x:c r="B467" s="253" t="str">
        <x:v>Richela86</x:v>
      </x:c>
      <x:c r="C467" s="259" t="n">
        <x:v>46090.166666666664</x:v>
      </x:c>
      <x:c r="D467" s="253" t="str">
        <x:v>Elda</x:v>
      </x:c>
      <x:c r="E467" s="253" t="str">
        <x:v>102768</x:v>
      </x:c>
      <x:c r="F467" s="277" t="str">
        <x:v>FT_VM_DEP600_GET200_5X</x:v>
      </x:c>
    </x:row>
    <x:row r="468">
      <x:c r="A468" s="252" t="str">
        <x:v>WS1</x:v>
      </x:c>
      <x:c r="B468" s="253" t="str">
        <x:v>RedPool007</x:v>
      </x:c>
      <x:c r="C468" s="259" t="n">
        <x:v>46090.166666666664</x:v>
      </x:c>
      <x:c r="D468" s="253" t="str">
        <x:v>Elda</x:v>
      </x:c>
      <x:c r="E468" s="253" t="str">
        <x:v>410610</x:v>
      </x:c>
      <x:c r="F468" s="277" t="str">
        <x:v>DORMANT</x:v>
      </x:c>
    </x:row>
    <x:row r="469">
      <x:c r="A469" s="252" t="str">
        <x:v>WS1</x:v>
      </x:c>
      <x:c r="B469" s="253" t="str">
        <x:v>Arifbillah</x:v>
      </x:c>
      <x:c r="C469" s="259" t="n">
        <x:v>46090.166666666664</x:v>
      </x:c>
      <x:c r="D469" s="253" t="str">
        <x:v>Elda</x:v>
      </x:c>
      <x:c r="E469" s="253" t="str">
        <x:v>700774</x:v>
      </x:c>
      <x:c r="F469" s="277" t="str"/>
    </x:row>
    <x:row r="470">
      <x:c r="A470" s="252" t="str">
        <x:v>WS1</x:v>
      </x:c>
      <x:c r="B470" s="253" t="str">
        <x:v>Alepp68</x:v>
      </x:c>
      <x:c r="C470" s="259" t="n">
        <x:v>46090.166666666664</x:v>
      </x:c>
      <x:c r="D470" s="253" t="str">
        <x:v>Elda</x:v>
      </x:c>
      <x:c r="E470" s="253" t="str">
        <x:v>469238</x:v>
      </x:c>
      <x:c r="F470" s="277" t="str"/>
    </x:row>
    <x:row r="471">
      <x:c r="A471" s="252" t="str">
        <x:v>WS1</x:v>
      </x:c>
      <x:c r="B471" s="253" t="str">
        <x:v>huathuat</x:v>
      </x:c>
      <x:c r="C471" s="259" t="n">
        <x:v>46090.166666666664</x:v>
      </x:c>
      <x:c r="D471" s="253" t="str">
        <x:v>Elda</x:v>
      </x:c>
      <x:c r="E471" s="253" t="str">
        <x:v>163316</x:v>
      </x:c>
      <x:c r="F471" s="277" t="str">
        <x:v>FT_VM_DEP600_GET200_5X</x:v>
      </x:c>
    </x:row>
    <x:row r="472">
      <x:c r="A472" s="252" t="str">
        <x:v>WS1</x:v>
      </x:c>
      <x:c r="B472" s="253" t="str">
        <x:v>Moxss1</x:v>
      </x:c>
      <x:c r="C472" s="259" t="n">
        <x:v>46090.166666666664</x:v>
      </x:c>
      <x:c r="D472" s="253" t="str">
        <x:v>Elda</x:v>
      </x:c>
      <x:c r="E472" s="253" t="str">
        <x:v>166879</x:v>
      </x:c>
      <x:c r="F472" s="277" t="str"/>
    </x:row>
    <x:row r="473">
      <x:c r="A473" s="252" t="str">
        <x:v>WS1</x:v>
      </x:c>
      <x:c r="B473" s="253" t="str">
        <x:v>Azharkecik93</x:v>
      </x:c>
      <x:c r="C473" s="259" t="n">
        <x:v>46090.166666666664</x:v>
      </x:c>
      <x:c r="D473" s="253" t="str">
        <x:v>Elda</x:v>
      </x:c>
      <x:c r="E473" s="253" t="str">
        <x:v>1144305</x:v>
      </x:c>
      <x:c r="F473" s="277" t="str"/>
    </x:row>
    <x:row r="474">
      <x:c r="A474" s="252" t="str">
        <x:v>WS1</x:v>
      </x:c>
      <x:c r="B474" s="253" t="str">
        <x:v>601162340583</x:v>
      </x:c>
      <x:c r="C474" s="259" t="n">
        <x:v>46090.166666666664</x:v>
      </x:c>
      <x:c r="D474" s="253" t="str">
        <x:v>Elda</x:v>
      </x:c>
      <x:c r="E474" s="253" t="str">
        <x:v>425614</x:v>
      </x:c>
      <x:c r="F474" s="277" t="str"/>
    </x:row>
    <x:row r="475">
      <x:c r="A475" s="252" t="str">
        <x:v>WS1</x:v>
      </x:c>
      <x:c r="B475" s="253" t="str">
        <x:v>Oyong</x:v>
      </x:c>
      <x:c r="C475" s="259" t="n">
        <x:v>46090.166666666664</x:v>
      </x:c>
      <x:c r="D475" s="253" t="str">
        <x:v>Elda</x:v>
      </x:c>
      <x:c r="E475" s="253" t="str">
        <x:v>110996</x:v>
      </x:c>
      <x:c r="F475" s="277" t="str"/>
    </x:row>
    <x:row r="476">
      <x:c r="A476" s="252" t="str">
        <x:v>WS1</x:v>
      </x:c>
      <x:c r="B476" s="253" t="str">
        <x:v>Ongcm</x:v>
      </x:c>
      <x:c r="C476" s="259" t="n">
        <x:v>46090.166666666664</x:v>
      </x:c>
      <x:c r="D476" s="253" t="str">
        <x:v>Claire</x:v>
      </x:c>
      <x:c r="E476" s="253" t="str">
        <x:v>877524</x:v>
      </x:c>
      <x:c r="F476" s="277" t="str">
        <x:v>FT_VM_DEP1000_GET500_5X</x:v>
      </x:c>
    </x:row>
    <x:row r="477">
      <x:c r="A477" s="252" t="str">
        <x:v>WS1</x:v>
      </x:c>
      <x:c r="B477" s="253" t="str">
        <x:v>Sathis23</x:v>
      </x:c>
      <x:c r="C477" s="259" t="n">
        <x:v>46090.166666666664</x:v>
      </x:c>
      <x:c r="D477" s="253" t="str">
        <x:v>Claire</x:v>
      </x:c>
      <x:c r="E477" s="253" t="str">
        <x:v>201339</x:v>
      </x:c>
      <x:c r="F477" s="277" t="str">
        <x:v>(MID) - VM_DEP600_GET200_5X</x:v>
      </x:c>
    </x:row>
    <x:row r="478">
      <x:c r="A478" s="252" t="str">
        <x:v>WS1</x:v>
      </x:c>
      <x:c r="B478" s="253" t="str">
        <x:v>Will2</x:v>
      </x:c>
      <x:c r="C478" s="259" t="n">
        <x:v>46090.166666666664</x:v>
      </x:c>
      <x:c r="D478" s="253" t="str">
        <x:v>Claire</x:v>
      </x:c>
      <x:c r="E478" s="253" t="str">
        <x:v>332717</x:v>
      </x:c>
      <x:c r="F478" s="277" t="str">
        <x:v>DORMANT</x:v>
      </x:c>
    </x:row>
    <x:row r="479">
      <x:c r="A479" s="252" t="str">
        <x:v>WS1</x:v>
      </x:c>
      <x:c r="B479" s="253" t="str">
        <x:v>Jackers88</x:v>
      </x:c>
      <x:c r="C479" s="259" t="n">
        <x:v>46090.166666666664</x:v>
      </x:c>
      <x:c r="D479" s="253" t="str">
        <x:v>Claire</x:v>
      </x:c>
      <x:c r="E479" s="253" t="str">
        <x:v>547067</x:v>
      </x:c>
      <x:c r="F479" s="277" t="str">
        <x:v>DORMANT</x:v>
      </x:c>
    </x:row>
    <x:row r="480">
      <x:c r="A480" s="252" t="str">
        <x:v>WS1</x:v>
      </x:c>
      <x:c r="B480" s="253" t="str">
        <x:v>andrewc522</x:v>
      </x:c>
      <x:c r="C480" s="259" t="n">
        <x:v>46090.166666666664</x:v>
      </x:c>
      <x:c r="D480" s="253" t="str">
        <x:v>Claire</x:v>
      </x:c>
      <x:c r="E480" s="253" t="str">
        <x:v>164954</x:v>
      </x:c>
      <x:c r="F480" s="277" t="str">
        <x:v>FT_VM_DEP1000_GET500_5X</x:v>
      </x:c>
    </x:row>
    <x:row r="481">
      <x:c r="A481" s="252" t="str">
        <x:v>WS1</x:v>
      </x:c>
      <x:c r="B481" s="253" t="str">
        <x:v>Arthur69</x:v>
      </x:c>
      <x:c r="C481" s="259" t="n">
        <x:v>46090.166666666664</x:v>
      </x:c>
      <x:c r="D481" s="253" t="str">
        <x:v>Claire</x:v>
      </x:c>
      <x:c r="E481" s="253" t="str">
        <x:v>19516</x:v>
      </x:c>
      <x:c r="F481" s="277" t="str">
        <x:v>DORMANT</x:v>
      </x:c>
    </x:row>
    <x:row r="482">
      <x:c r="A482" s="252" t="str">
        <x:v>WS1</x:v>
      </x:c>
      <x:c r="B482" s="253" t="str">
        <x:v>bluek86</x:v>
      </x:c>
      <x:c r="C482" s="259" t="n">
        <x:v>46090.166666666664</x:v>
      </x:c>
      <x:c r="D482" s="253" t="str">
        <x:v>Claire</x:v>
      </x:c>
      <x:c r="E482" s="253" t="str">
        <x:v>129627</x:v>
      </x:c>
      <x:c r="F482" s="277" t="str">
        <x:v>DORMANT</x:v>
      </x:c>
    </x:row>
    <x:row r="483">
      <x:c r="A483" s="252" t="str">
        <x:v>WS1</x:v>
      </x:c>
      <x:c r="B483" s="253" t="str">
        <x:v>Tapa7584</x:v>
      </x:c>
      <x:c r="C483" s="259" t="n">
        <x:v>46090.166666666664</x:v>
      </x:c>
      <x:c r="D483" s="253" t="str">
        <x:v>Claire</x:v>
      </x:c>
      <x:c r="E483" s="253" t="str">
        <x:v>99822</x:v>
      </x:c>
      <x:c r="F483" s="277" t="str">
        <x:v>FT_VM_DEP1000_GET500_5X</x:v>
      </x:c>
    </x:row>
    <x:row r="484">
      <x:c r="A484" s="252" t="str">
        <x:v>WS1</x:v>
      </x:c>
      <x:c r="B484" s="253" t="str">
        <x:v>Faiz1512</x:v>
      </x:c>
      <x:c r="C484" s="259" t="n">
        <x:v>46090.166666666664</x:v>
      </x:c>
      <x:c r="D484" s="253" t="str">
        <x:v>Claire</x:v>
      </x:c>
      <x:c r="E484" s="253" t="str">
        <x:v>438044</x:v>
      </x:c>
      <x:c r="F484" s="277" t="str">
        <x:v>DORMANT</x:v>
      </x:c>
    </x:row>
    <x:row r="485">
      <x:c r="A485" s="252" t="str">
        <x:v>WS1</x:v>
      </x:c>
      <x:c r="B485" s="253" t="str">
        <x:v>Wei8888</x:v>
      </x:c>
      <x:c r="C485" s="259" t="n">
        <x:v>46090.166666666664</x:v>
      </x:c>
      <x:c r="D485" s="253" t="str">
        <x:v>Claire</x:v>
      </x:c>
      <x:c r="E485" s="253" t="str">
        <x:v>511512</x:v>
      </x:c>
      <x:c r="F485" s="277" t="str">
        <x:v>FT_VM_DEP1000_GET500_5X</x:v>
      </x:c>
    </x:row>
    <x:row r="486">
      <x:c r="A486" s="252" t="str">
        <x:v>WS1</x:v>
      </x:c>
      <x:c r="B486" s="253" t="str">
        <x:v>Thoney16</x:v>
      </x:c>
      <x:c r="C486" s="259" t="n">
        <x:v>46090.166666666664</x:v>
      </x:c>
      <x:c r="D486" s="253" t="str">
        <x:v>Claire</x:v>
      </x:c>
      <x:c r="E486" s="253" t="str">
        <x:v>537631</x:v>
      </x:c>
      <x:c r="F486" s="277" t="str">
        <x:v>DORMANT</x:v>
      </x:c>
    </x:row>
    <x:row r="487">
      <x:c r="A487" s="252" t="str">
        <x:v>WS1</x:v>
      </x:c>
      <x:c r="B487" s="253" t="str">
        <x:v>Cutmango</x:v>
      </x:c>
      <x:c r="C487" s="259" t="n">
        <x:v>46090.166666666664</x:v>
      </x:c>
      <x:c r="D487" s="253" t="str">
        <x:v>Claire</x:v>
      </x:c>
      <x:c r="E487" s="253" t="str">
        <x:v>426904</x:v>
      </x:c>
      <x:c r="F487" s="277" t="str">
        <x:v>DORMANT</x:v>
      </x:c>
    </x:row>
    <x:row r="488">
      <x:c r="A488" s="252" t="str">
        <x:v>WS1</x:v>
      </x:c>
      <x:c r="B488" s="253" t="str">
        <x:v>Jash13</x:v>
      </x:c>
      <x:c r="C488" s="259" t="n">
        <x:v>46090.166666666664</x:v>
      </x:c>
      <x:c r="D488" s="253" t="str">
        <x:v>Claire</x:v>
      </x:c>
      <x:c r="E488" s="253" t="str">
        <x:v>625642</x:v>
      </x:c>
      <x:c r="F488" s="277" t="str">
        <x:v>DORMANT</x:v>
      </x:c>
    </x:row>
    <x:row r="489">
      <x:c r="A489" s="252" t="str">
        <x:v>WS1</x:v>
      </x:c>
      <x:c r="B489" s="253" t="str">
        <x:v>Joe84</x:v>
      </x:c>
      <x:c r="C489" s="259" t="n">
        <x:v>46090.166666666664</x:v>
      </x:c>
      <x:c r="D489" s="253" t="str">
        <x:v>Claire</x:v>
      </x:c>
      <x:c r="E489" s="253" t="str">
        <x:v>714847</x:v>
      </x:c>
      <x:c r="F489" s="277" t="str"/>
    </x:row>
    <x:row r="490">
      <x:c r="A490" s="252" t="str">
        <x:v>WS1</x:v>
      </x:c>
      <x:c r="B490" s="253" t="str">
        <x:v>sawlee</x:v>
      </x:c>
      <x:c r="C490" s="259" t="n">
        <x:v>46090.166666666664</x:v>
      </x:c>
      <x:c r="D490" s="253" t="str">
        <x:v>Claire</x:v>
      </x:c>
      <x:c r="E490" s="253" t="str">
        <x:v>1185679</x:v>
      </x:c>
      <x:c r="F490" s="277" t="str">
        <x:v>DORMANT</x:v>
      </x:c>
    </x:row>
    <x:row r="491">
      <x:c r="A491" s="252" t="str">
        <x:v>WS1</x:v>
      </x:c>
      <x:c r="B491" s="253" t="str">
        <x:v>Ponnn</x:v>
      </x:c>
      <x:c r="C491" s="259" t="n">
        <x:v>46090.166666666664</x:v>
      </x:c>
      <x:c r="D491" s="253" t="str">
        <x:v>Claire</x:v>
      </x:c>
      <x:c r="E491" s="253" t="str">
        <x:v>244551</x:v>
      </x:c>
      <x:c r="F491" s="277" t="str">
        <x:v>DORMANT</x:v>
      </x:c>
    </x:row>
    <x:row r="492">
      <x:c r="A492" s="252" t="str">
        <x:v>WS1</x:v>
      </x:c>
      <x:c r="B492" s="253" t="str">
        <x:v>anasaniq267411</x:v>
      </x:c>
      <x:c r="C492" s="259" t="n">
        <x:v>46090.166666666664</x:v>
      </x:c>
      <x:c r="D492" s="253" t="str">
        <x:v>Claire</x:v>
      </x:c>
      <x:c r="E492" s="253" t="str">
        <x:v>44561</x:v>
      </x:c>
      <x:c r="F492" s="277" t="str"/>
    </x:row>
    <x:row r="493">
      <x:c r="A493" s="252" t="str">
        <x:v>WS1</x:v>
      </x:c>
      <x:c r="B493" s="253" t="str">
        <x:v>amar1811</x:v>
      </x:c>
      <x:c r="C493" s="259" t="n">
        <x:v>46090.166666666664</x:v>
      </x:c>
      <x:c r="D493" s="253" t="str">
        <x:v>Claire</x:v>
      </x:c>
      <x:c r="E493" s="253" t="str">
        <x:v>180747</x:v>
      </x:c>
      <x:c r="F493" s="277" t="str"/>
    </x:row>
    <x:row r="494">
      <x:c r="A494" s="252" t="str">
        <x:v>WS1</x:v>
      </x:c>
      <x:c r="B494" s="253" t="str">
        <x:v>Leng1219</x:v>
      </x:c>
      <x:c r="C494" s="259" t="n">
        <x:v>46090.166666666664</x:v>
      </x:c>
      <x:c r="D494" s="253" t="str">
        <x:v>Claire</x:v>
      </x:c>
      <x:c r="E494" s="253" t="str">
        <x:v>181245</x:v>
      </x:c>
      <x:c r="F494" s="277" t="str">
        <x:v>FT_VM_DEP1000_GET500_1X</x:v>
      </x:c>
    </x:row>
    <x:row r="495">
      <x:c r="A495" s="252" t="str">
        <x:v>WS1</x:v>
      </x:c>
      <x:c r="B495" s="253" t="str">
        <x:v>aril5785</x:v>
      </x:c>
      <x:c r="C495" s="259" t="n">
        <x:v>46090.166666666664</x:v>
      </x:c>
      <x:c r="D495" s="253" t="str">
        <x:v>Claire</x:v>
      </x:c>
      <x:c r="E495" s="253" t="str">
        <x:v>565058</x:v>
      </x:c>
      <x:c r="F495" s="277" t="str">
        <x:v>FT_VM_DEP1000_GET500_5X</x:v>
      </x:c>
    </x:row>
    <x:row r="496">
      <x:c r="A496" s="252" t="str">
        <x:v>WS1</x:v>
      </x:c>
      <x:c r="B496" s="253" t="str">
        <x:v>Fighter29</x:v>
      </x:c>
      <x:c r="C496" s="259" t="n">
        <x:v>46090.166666666664</x:v>
      </x:c>
      <x:c r="D496" s="253" t="str">
        <x:v>Claire</x:v>
      </x:c>
      <x:c r="E496" s="253" t="str">
        <x:v>48108</x:v>
      </x:c>
      <x:c r="F496" s="277" t="str"/>
    </x:row>
    <x:row r="497">
      <x:c r="A497" s="252" t="str">
        <x:v>WS1</x:v>
      </x:c>
      <x:c r="B497" s="253" t="str">
        <x:v>leba111</x:v>
      </x:c>
      <x:c r="C497" s="259" t="n">
        <x:v>46090.166666666664</x:v>
      </x:c>
      <x:c r="D497" s="253" t="str">
        <x:v>Claire</x:v>
      </x:c>
      <x:c r="E497" s="253" t="str">
        <x:v>522788</x:v>
      </x:c>
      <x:c r="F497" s="277" t="str">
        <x:v>FT_VM_FC_VARIABLE_5X - MYR 588</x:v>
      </x:c>
    </x:row>
    <x:row r="498">
      <x:c r="A498" s="252" t="str">
        <x:v>WS1</x:v>
      </x:c>
      <x:c r="B498" s="253" t="str">
        <x:v>Celcom88</x:v>
      </x:c>
      <x:c r="C498" s="259" t="n">
        <x:v>46090.166666666664</x:v>
      </x:c>
      <x:c r="D498" s="253" t="str">
        <x:v>Claire</x:v>
      </x:c>
      <x:c r="E498" s="253" t="str">
        <x:v>528096</x:v>
      </x:c>
      <x:c r="F498" s="277" t="str"/>
    </x:row>
    <x:row r="499">
      <x:c r="A499" s="252" t="str">
        <x:v>WS1</x:v>
      </x:c>
      <x:c r="B499" s="253" t="str">
        <x:v>Haze88</x:v>
      </x:c>
      <x:c r="C499" s="259" t="n">
        <x:v>46090.166666666664</x:v>
      </x:c>
      <x:c r="D499" s="253" t="str">
        <x:v>Claire</x:v>
      </x:c>
      <x:c r="E499" s="253" t="str">
        <x:v>28287</x:v>
      </x:c>
      <x:c r="F499" s="277" t="str">
        <x:v>FT_VM_DEP1000_GET500_5X</x:v>
      </x:c>
    </x:row>
    <x:row r="500">
      <x:c r="A500" s="252" t="str">
        <x:v>WS1</x:v>
      </x:c>
      <x:c r="B500" s="253" t="str">
        <x:v>Arelz89</x:v>
      </x:c>
      <x:c r="C500" s="259" t="n">
        <x:v>46090.166666666664</x:v>
      </x:c>
      <x:c r="D500" s="253" t="str">
        <x:v>Claire</x:v>
      </x:c>
      <x:c r="E500" s="253" t="str">
        <x:v>165474</x:v>
      </x:c>
      <x:c r="F500" s="277" t="str">
        <x:v>FT_VM_DEP800_GET400_1X</x:v>
      </x:c>
    </x:row>
    <x:row r="501">
      <x:c r="A501" s="252" t="str">
        <x:v>WS1</x:v>
      </x:c>
      <x:c r="B501" s="253" t="str">
        <x:v>Hasbi21</x:v>
      </x:c>
      <x:c r="C501" s="259" t="n">
        <x:v>46090.166666666664</x:v>
      </x:c>
      <x:c r="D501" s="253" t="str">
        <x:v>Claire</x:v>
      </x:c>
      <x:c r="E501" s="253" t="str">
        <x:v>172032</x:v>
      </x:c>
      <x:c r="F501" s="277" t="str">
        <x:v>FT_VM_DEP800_GET400_1X</x:v>
      </x:c>
    </x:row>
    <x:row r="502">
      <x:c r="A502" s="252" t="str">
        <x:v>WS1</x:v>
      </x:c>
      <x:c r="B502" s="253" t="str">
        <x:v>Casinogazer329</x:v>
      </x:c>
      <x:c r="C502" s="259" t="n">
        <x:v>46090.166666666664</x:v>
      </x:c>
      <x:c r="D502" s="253" t="str">
        <x:v>Claire</x:v>
      </x:c>
      <x:c r="E502" s="253" t="str">
        <x:v>60452</x:v>
      </x:c>
      <x:c r="F502" s="277" t="str"/>
    </x:row>
    <x:row r="503">
      <x:c r="A503" s="252" t="str">
        <x:v>WS1</x:v>
      </x:c>
      <x:c r="B503" s="253" t="str">
        <x:v>nblfrrs44</x:v>
      </x:c>
      <x:c r="C503" s="259" t="n">
        <x:v>46090.166666666664</x:v>
      </x:c>
      <x:c r="D503" s="253" t="str">
        <x:v>Claire</x:v>
      </x:c>
      <x:c r="E503" s="253" t="str">
        <x:v>696727</x:v>
      </x:c>
      <x:c r="F503" s="277" t="str"/>
    </x:row>
    <x:row r="504">
      <x:c r="A504" s="252" t="str">
        <x:v>WS1</x:v>
      </x:c>
      <x:c r="B504" s="253" t="str">
        <x:v>killer84</x:v>
      </x:c>
      <x:c r="C504" s="259" t="n">
        <x:v>46090.166666666664</x:v>
      </x:c>
      <x:c r="D504" s="253" t="str">
        <x:v>Claire</x:v>
      </x:c>
      <x:c r="E504" s="253" t="str">
        <x:v>65536</x:v>
      </x:c>
      <x:c r="F504" s="277" t="str">
        <x:v>FT_VM_DEP800_GET400_1X</x:v>
      </x:c>
    </x:row>
    <x:row r="505">
      <x:c r="A505" s="252" t="str">
        <x:v>WS1</x:v>
      </x:c>
      <x:c r="B505" s="253" t="str">
        <x:v>Arsad</x:v>
      </x:c>
      <x:c r="C505" s="259" t="n">
        <x:v>46090.166666666664</x:v>
      </x:c>
      <x:c r="D505" s="253" t="str">
        <x:v>Claire</x:v>
      </x:c>
      <x:c r="E505" s="253" t="str">
        <x:v>82259</x:v>
      </x:c>
      <x:c r="F505" s="277" t="str">
        <x:v>FT_VM_FC_VARIABLE_5X - MYR 588</x:v>
      </x:c>
    </x:row>
    <x:row r="506">
      <x:c r="A506" s="252" t="str">
        <x:v>WS1</x:v>
      </x:c>
      <x:c r="B506" s="253" t="str">
        <x:v>Allaxe88</x:v>
      </x:c>
      <x:c r="C506" s="259" t="n">
        <x:v>46090.166666666664</x:v>
      </x:c>
      <x:c r="D506" s="253" t="str">
        <x:v>Claire</x:v>
      </x:c>
      <x:c r="E506" s="253" t="str">
        <x:v>438623</x:v>
      </x:c>
      <x:c r="F506" s="277" t="str">
        <x:v>FT_VM_DEP1000_GET500_2X</x:v>
      </x:c>
    </x:row>
    <x:row r="507">
      <x:c r="A507" s="252" t="str">
        <x:v>WS1</x:v>
      </x:c>
      <x:c r="B507" s="253" t="str">
        <x:v>Rick5841</x:v>
      </x:c>
      <x:c r="C507" s="259" t="n">
        <x:v>46090.166666666664</x:v>
      </x:c>
      <x:c r="D507" s="253" t="str">
        <x:v>Claire</x:v>
      </x:c>
      <x:c r="E507" s="253" t="str">
        <x:v>687540</x:v>
      </x:c>
      <x:c r="F507" s="277" t="str">
        <x:v>FT_VM_DEP1000_GET800_1X</x:v>
      </x:c>
    </x:row>
    <x:row r="508">
      <x:c r="A508" s="252" t="str">
        <x:v>WS1</x:v>
      </x:c>
      <x:c r="B508" s="253" t="str">
        <x:v>Siangop</x:v>
      </x:c>
      <x:c r="C508" s="259" t="n">
        <x:v>46090.166666666664</x:v>
      </x:c>
      <x:c r="D508" s="253" t="str">
        <x:v>Claire</x:v>
      </x:c>
      <x:c r="E508" s="253" t="str">
        <x:v>222155</x:v>
      </x:c>
      <x:c r="F508" s="277" t="str"/>
    </x:row>
    <x:row r="509">
      <x:c r="A509" s="252" t="str">
        <x:v>WS1</x:v>
      </x:c>
      <x:c r="B509" s="253" t="str">
        <x:v>Sherry277</x:v>
      </x:c>
      <x:c r="C509" s="259" t="n">
        <x:v>46090.166666666664</x:v>
      </x:c>
      <x:c r="D509" s="253" t="str">
        <x:v>Claire</x:v>
      </x:c>
      <x:c r="E509" s="253" t="str">
        <x:v>814154</x:v>
      </x:c>
      <x:c r="F509" s="277" t="str">
        <x:v>FT_VM_DEP1000_GET700_1X</x:v>
      </x:c>
    </x:row>
    <x:row r="510">
      <x:c r="A510" s="252" t="str">
        <x:v>WS1</x:v>
      </x:c>
      <x:c r="B510" s="253" t="str">
        <x:v>Poacher88</x:v>
      </x:c>
      <x:c r="C510" s="259" t="n">
        <x:v>46090.166666666664</x:v>
      </x:c>
      <x:c r="D510" s="253" t="str">
        <x:v>Claire</x:v>
      </x:c>
      <x:c r="E510" s="253" t="str">
        <x:v>244716</x:v>
      </x:c>
      <x:c r="F510" s="277" t="str"/>
    </x:row>
    <x:row r="511">
      <x:c r="A511" s="252" t="str">
        <x:v>WS1</x:v>
      </x:c>
      <x:c r="B511" s="253" t="str">
        <x:v>Jim63999</x:v>
      </x:c>
      <x:c r="C511" s="259" t="n">
        <x:v>46090.166666666664</x:v>
      </x:c>
      <x:c r="D511" s="253" t="str">
        <x:v>Christy</x:v>
      </x:c>
      <x:c r="E511" s="253" t="str">
        <x:v>527053</x:v>
      </x:c>
      <x:c r="F511" s="277" t="str"/>
    </x:row>
    <x:row r="512">
      <x:c r="A512" s="252" t="str">
        <x:v>WS1</x:v>
      </x:c>
      <x:c r="B512" s="253" t="str">
        <x:v>Mika82</x:v>
      </x:c>
      <x:c r="C512" s="259" t="n">
        <x:v>46090.166666666664</x:v>
      </x:c>
      <x:c r="D512" s="253" t="str">
        <x:v>Christy</x:v>
      </x:c>
      <x:c r="E512" s="253" t="str">
        <x:v>663223</x:v>
      </x:c>
      <x:c r="F512" s="277" t="str"/>
    </x:row>
    <x:row r="513">
      <x:c r="A513" s="252" t="str">
        <x:v>WS1</x:v>
      </x:c>
      <x:c r="B513" s="253" t="str">
        <x:v>mdnoyon6203</x:v>
      </x:c>
      <x:c r="C513" s="259" t="n">
        <x:v>46090.166666666664</x:v>
      </x:c>
      <x:c r="D513" s="253" t="str">
        <x:v>Christy</x:v>
      </x:c>
      <x:c r="E513" s="253" t="str">
        <x:v>747278</x:v>
      </x:c>
      <x:c r="F513" s="277" t="str">
        <x:v>DORMANT</x:v>
      </x:c>
    </x:row>
    <x:row r="514">
      <x:c r="A514" s="252" t="str">
        <x:v>WS1</x:v>
      </x:c>
      <x:c r="B514" s="253" t="str">
        <x:v>Cicakman</x:v>
      </x:c>
      <x:c r="C514" s="259" t="n">
        <x:v>46090.166666666664</x:v>
      </x:c>
      <x:c r="D514" s="253" t="str">
        <x:v>Christy</x:v>
      </x:c>
      <x:c r="E514" s="253" t="str">
        <x:v>648287</x:v>
      </x:c>
      <x:c r="F514" s="277" t="str">
        <x:v>DORMANT</x:v>
      </x:c>
    </x:row>
    <x:row r="515">
      <x:c r="A515" s="252" t="str">
        <x:v>WS1</x:v>
      </x:c>
      <x:c r="B515" s="253" t="str">
        <x:v>Aries93</x:v>
      </x:c>
      <x:c r="C515" s="259" t="n">
        <x:v>46090.166666666664</x:v>
      </x:c>
      <x:c r="D515" s="253" t="str">
        <x:v>Christy</x:v>
      </x:c>
      <x:c r="E515" s="253" t="str">
        <x:v>787859</x:v>
      </x:c>
      <x:c r="F515" s="277" t="str">
        <x:v>DORMANT</x:v>
      </x:c>
    </x:row>
    <x:row r="516">
      <x:c r="A516" s="252" t="str">
        <x:v>WS1</x:v>
      </x:c>
      <x:c r="B516" s="253" t="str">
        <x:v>macucin85</x:v>
      </x:c>
      <x:c r="C516" s="259" t="n">
        <x:v>46090.166666666664</x:v>
      </x:c>
      <x:c r="D516" s="253" t="str">
        <x:v>Christy</x:v>
      </x:c>
      <x:c r="E516" s="253" t="str">
        <x:v>775411</x:v>
      </x:c>
      <x:c r="F516" s="277" t="str">
        <x:v>DORMANT</x:v>
      </x:c>
    </x:row>
    <x:row r="517">
      <x:c r="A517" s="252" t="str">
        <x:v>WS1</x:v>
      </x:c>
      <x:c r="B517" s="253" t="str">
        <x:v>Redlvf82</x:v>
      </x:c>
      <x:c r="C517" s="259" t="n">
        <x:v>46090.166666666664</x:v>
      </x:c>
      <x:c r="D517" s="253" t="str">
        <x:v>Christy</x:v>
      </x:c>
      <x:c r="E517" s="253" t="str">
        <x:v>109939</x:v>
      </x:c>
      <x:c r="F517" s="277" t="str">
        <x:v>FT_VM_DEP1000_GET500_5X</x:v>
      </x:c>
    </x:row>
    <x:row r="518">
      <x:c r="A518" s="252" t="str">
        <x:v>WS1</x:v>
      </x:c>
      <x:c r="B518" s="253" t="str">
        <x:v>Dheeya1204</x:v>
      </x:c>
      <x:c r="C518" s="259" t="n">
        <x:v>46090.166666666664</x:v>
      </x:c>
      <x:c r="D518" s="253" t="str">
        <x:v>Christy</x:v>
      </x:c>
      <x:c r="E518" s="253" t="str">
        <x:v>72878</x:v>
      </x:c>
      <x:c r="F518" s="277" t="str">
        <x:v>FT_VM_DEP1000_GET500_5X</x:v>
      </x:c>
    </x:row>
    <x:row r="519">
      <x:c r="A519" s="252" t="str">
        <x:v>WS1</x:v>
      </x:c>
      <x:c r="B519" s="253" t="str">
        <x:v>Dvd1017</x:v>
      </x:c>
      <x:c r="C519" s="259" t="n">
        <x:v>46090.166666666664</x:v>
      </x:c>
      <x:c r="D519" s="253" t="str">
        <x:v>Christy</x:v>
      </x:c>
      <x:c r="E519" s="253" t="str">
        <x:v>668025</x:v>
      </x:c>
      <x:c r="F519" s="277" t="str"/>
    </x:row>
    <x:row r="520">
      <x:c r="A520" s="252" t="str">
        <x:v>WS1</x:v>
      </x:c>
      <x:c r="B520" s="253" t="str">
        <x:v>Yet1503</x:v>
      </x:c>
      <x:c r="C520" s="259" t="n">
        <x:v>46090.166666666664</x:v>
      </x:c>
      <x:c r="D520" s="253" t="str">
        <x:v>Christy</x:v>
      </x:c>
      <x:c r="E520" s="253" t="str">
        <x:v>538310</x:v>
      </x:c>
      <x:c r="F520" s="277" t="str">
        <x:v>FT_VM_DEP600_GET200_5X</x:v>
      </x:c>
    </x:row>
    <x:row r="521">
      <x:c r="A521" s="252" t="str">
        <x:v>WS1</x:v>
      </x:c>
      <x:c r="B521" s="253" t="str">
        <x:v>Hawkloh</x:v>
      </x:c>
      <x:c r="C521" s="259" t="n">
        <x:v>46090.166666666664</x:v>
      </x:c>
      <x:c r="D521" s="253" t="str">
        <x:v>Christy</x:v>
      </x:c>
      <x:c r="E521" s="253" t="str">
        <x:v>105823</x:v>
      </x:c>
      <x:c r="F521" s="277" t="str"/>
    </x:row>
    <x:row r="522">
      <x:c r="A522" s="252" t="str">
        <x:v>WS1</x:v>
      </x:c>
      <x:c r="B522" s="253" t="str">
        <x:v>Pontos</x:v>
      </x:c>
      <x:c r="C522" s="259" t="n">
        <x:v>46090.166666666664</x:v>
      </x:c>
      <x:c r="D522" s="253" t="str">
        <x:v>Christy</x:v>
      </x:c>
      <x:c r="E522" s="253" t="str">
        <x:v>497254</x:v>
      </x:c>
      <x:c r="F522" s="277" t="str">
        <x:v>DORMANT</x:v>
      </x:c>
    </x:row>
    <x:row r="523">
      <x:c r="A523" s="252" t="str">
        <x:v>WS1</x:v>
      </x:c>
      <x:c r="B523" s="253" t="str">
        <x:v>zariff54</x:v>
      </x:c>
      <x:c r="C523" s="259" t="n">
        <x:v>46090.166666666664</x:v>
      </x:c>
      <x:c r="D523" s="253" t="str">
        <x:v>Christy</x:v>
      </x:c>
      <x:c r="E523" s="253" t="str">
        <x:v>23848</x:v>
      </x:c>
      <x:c r="F523" s="277" t="str">
        <x:v>DORMANT</x:v>
      </x:c>
    </x:row>
    <x:row r="524">
      <x:c r="A524" s="252" t="str">
        <x:v>WS1</x:v>
      </x:c>
      <x:c r="B524" s="253" t="str">
        <x:v>AUSTIN3</x:v>
      </x:c>
      <x:c r="C524" s="259" t="n">
        <x:v>46093.166666666664</x:v>
      </x:c>
      <x:c r="D524" s="253" t="str">
        <x:v>Sheena</x:v>
      </x:c>
      <x:c r="E524" s="253" t="str">
        <x:v>51499</x:v>
      </x:c>
      <x:c r="F524" s="277" t="str">
        <x:v>FT_VM_DEP600_GET200_5X</x:v>
      </x:c>
    </x:row>
    <x:row r="525">
      <x:c r="A525" s="252" t="str">
        <x:v>WS1</x:v>
      </x:c>
      <x:c r="B525" s="253" t="str">
        <x:v>betwin1234</x:v>
      </x:c>
      <x:c r="C525" s="259" t="n">
        <x:v>46097.166666666664</x:v>
      </x:c>
      <x:c r="D525" s="253" t="str">
        <x:v>Jiahui</x:v>
      </x:c>
      <x:c r="E525" s="253" t="str">
        <x:v>512535</x:v>
      </x:c>
      <x:c r="F525" s="277" t="str"/>
    </x:row>
    <x:row r="526">
      <x:c r="A526" s="252" t="str">
        <x:v>WS1</x:v>
      </x:c>
      <x:c r="B526" s="253" t="str">
        <x:v>Haris87</x:v>
      </x:c>
      <x:c r="C526" s="259" t="n">
        <x:v>46097.166666666664</x:v>
      </x:c>
      <x:c r="D526" s="253" t="str">
        <x:v>Jiahui</x:v>
      </x:c>
      <x:c r="E526" s="253" t="str">
        <x:v>471814</x:v>
      </x:c>
      <x:c r="F526" s="277" t="str"/>
    </x:row>
    <x:row r="527">
      <x:c r="A527" s="252" t="str">
        <x:v>WS1</x:v>
      </x:c>
      <x:c r="B527" s="253" t="str">
        <x:v>Tarnish5</x:v>
      </x:c>
      <x:c r="C527" s="259" t="n">
        <x:v>46097.166666666664</x:v>
      </x:c>
      <x:c r="D527" s="253" t="str">
        <x:v>Jiahui</x:v>
      </x:c>
      <x:c r="E527" s="253" t="str">
        <x:v>1185136</x:v>
      </x:c>
      <x:c r="F527" s="277" t="str"/>
    </x:row>
    <x:row r="528">
      <x:c r="A528" s="252" t="str">
        <x:v>WS1</x:v>
      </x:c>
      <x:c r="B528" s="253" t="str">
        <x:v>berg429393</x:v>
      </x:c>
      <x:c r="C528" s="259" t="n">
        <x:v>46105.166666666664</x:v>
      </x:c>
      <x:c r="D528" s="253" t="str">
        <x:v>Sheena</x:v>
      </x:c>
      <x:c r="E528" s="253" t="str">
        <x:v>780387</x:v>
      </x:c>
      <x:c r="F528" s="277" t="str"/>
    </x:row>
    <x:row r="529">
      <x:c r="A529" s="252" t="str">
        <x:v>WS1</x:v>
      </x:c>
      <x:c r="B529" s="253" t="str">
        <x:v>Apex5555</x:v>
      </x:c>
      <x:c r="C529" s="259" t="n">
        <x:v>46105.166666666664</x:v>
      </x:c>
      <x:c r="D529" s="253" t="str">
        <x:v>Sheena</x:v>
      </x:c>
      <x:c r="E529" s="253" t="str">
        <x:v>434105</x:v>
      </x:c>
      <x:c r="F529" s="277" t="str"/>
    </x:row>
    <x:row r="530">
      <x:c r="A530" s="252" t="str">
        <x:v>WS1</x:v>
      </x:c>
      <x:c r="B530" s="253" t="str">
        <x:v>Kasha07</x:v>
      </x:c>
      <x:c r="C530" s="259" t="n">
        <x:v>46105.166666666664</x:v>
      </x:c>
      <x:c r="D530" s="253" t="str">
        <x:v>Sheena</x:v>
      </x:c>
      <x:c r="E530" s="253" t="str">
        <x:v>684751</x:v>
      </x:c>
      <x:c r="F530" s="277" t="str"/>
    </x:row>
    <x:row r="531">
      <x:c r="A531" s="252" t="str">
        <x:v>WS1</x:v>
      </x:c>
      <x:c r="B531" s="253" t="str">
        <x:v>zul8484</x:v>
      </x:c>
      <x:c r="C531" s="259" t="n">
        <x:v>46105.166666666664</x:v>
      </x:c>
      <x:c r="D531" s="253" t="str">
        <x:v>Sheena</x:v>
      </x:c>
      <x:c r="E531" s="253" t="str">
        <x:v>272939</x:v>
      </x:c>
      <x:c r="F531" s="277" t="str"/>
    </x:row>
    <x:row r="532">
      <x:c r="A532" s="252" t="str">
        <x:v>WS1</x:v>
      </x:c>
      <x:c r="B532" s="253" t="str">
        <x:v>mybet1881</x:v>
      </x:c>
      <x:c r="C532" s="259" t="n">
        <x:v>46105.166666666664</x:v>
      </x:c>
      <x:c r="D532" s="253" t="str">
        <x:v>Sheena</x:v>
      </x:c>
      <x:c r="E532" s="253" t="str">
        <x:v>572270</x:v>
      </x:c>
      <x:c r="F532" s="277" t="str"/>
    </x:row>
    <x:row r="533">
      <x:c r="A533" s="252" t="str">
        <x:v>WS1</x:v>
      </x:c>
      <x:c r="B533" s="253" t="str">
        <x:v>khairulasraf89</x:v>
      </x:c>
      <x:c r="C533" s="259" t="n">
        <x:v>46105.166666666664</x:v>
      </x:c>
      <x:c r="D533" s="253" t="str">
        <x:v>Sheena</x:v>
      </x:c>
      <x:c r="E533" s="253" t="str">
        <x:v>775409</x:v>
      </x:c>
      <x:c r="F533" s="277" t="str"/>
    </x:row>
    <x:row r="534">
      <x:c r="A534" s="252" t="str">
        <x:v>WS1</x:v>
      </x:c>
      <x:c r="B534" s="253" t="str">
        <x:v>foo8888</x:v>
      </x:c>
      <x:c r="C534" s="259" t="n">
        <x:v>46105.166666666664</x:v>
      </x:c>
      <x:c r="D534" s="253" t="str">
        <x:v>Sheena</x:v>
      </x:c>
      <x:c r="E534" s="253" t="str">
        <x:v>1190941</x:v>
      </x:c>
      <x:c r="F534" s="277" t="str"/>
    </x:row>
    <x:row r="535">
      <x:c r="A535" s="252" t="str">
        <x:v>WS1</x:v>
      </x:c>
      <x:c r="B535" s="253" t="str">
        <x:v>Ammu2110</x:v>
      </x:c>
      <x:c r="C535" s="259" t="n">
        <x:v>46105.166666666664</x:v>
      </x:c>
      <x:c r="D535" s="253" t="str">
        <x:v>Sheena</x:v>
      </x:c>
      <x:c r="E535" s="253" t="str">
        <x:v>1112636</x:v>
      </x:c>
      <x:c r="F535" s="277" t="str"/>
    </x:row>
    <x:row r="536">
      <x:c r="A536" s="252" t="str">
        <x:v>WS1</x:v>
      </x:c>
      <x:c r="B536" s="253" t="str">
        <x:v>nami2787</x:v>
      </x:c>
      <x:c r="C536" s="259" t="n">
        <x:v>46105.166666666664</x:v>
      </x:c>
      <x:c r="D536" s="253" t="str">
        <x:v>Sheena</x:v>
      </x:c>
      <x:c r="E536" s="253" t="str">
        <x:v>1187032</x:v>
      </x:c>
      <x:c r="F536" s="277" t="str"/>
    </x:row>
    <x:row r="537">
      <x:c r="A537" s="252" t="str">
        <x:v>WS1</x:v>
      </x:c>
      <x:c r="B537" s="253" t="str">
        <x:v>Zai1708</x:v>
      </x:c>
      <x:c r="C537" s="259" t="n">
        <x:v>46105.166666666664</x:v>
      </x:c>
      <x:c r="D537" s="253" t="str">
        <x:v>Sheena</x:v>
      </x:c>
      <x:c r="E537" s="253" t="str">
        <x:v>677501</x:v>
      </x:c>
      <x:c r="F537" s="277" t="str"/>
    </x:row>
    <x:row r="538">
      <x:c r="A538" s="252" t="str">
        <x:v>WS1</x:v>
      </x:c>
      <x:c r="B538" s="253" t="str">
        <x:v>najmi12</x:v>
      </x:c>
      <x:c r="C538" s="259" t="n">
        <x:v>46105.166666666664</x:v>
      </x:c>
      <x:c r="D538" s="253" t="str">
        <x:v>Sheena</x:v>
      </x:c>
      <x:c r="E538" s="253" t="str">
        <x:v>930493</x:v>
      </x:c>
      <x:c r="F538" s="277" t="str"/>
    </x:row>
    <x:row r="539">
      <x:c r="A539" s="252" t="str">
        <x:v>WS1</x:v>
      </x:c>
      <x:c r="B539" s="253" t="str">
        <x:v>Mattdan</x:v>
      </x:c>
      <x:c r="C539" s="259" t="n">
        <x:v>46105.166666666664</x:v>
      </x:c>
      <x:c r="D539" s="253" t="str">
        <x:v>Sheena</x:v>
      </x:c>
      <x:c r="E539" s="253" t="str">
        <x:v>1195503</x:v>
      </x:c>
      <x:c r="F539" s="277" t="str"/>
    </x:row>
    <x:row r="540">
      <x:c r="A540" s="252" t="str">
        <x:v>WS1</x:v>
      </x:c>
      <x:c r="B540" s="253" t="str">
        <x:v>Tempoyak</x:v>
      </x:c>
      <x:c r="C540" s="259" t="n">
        <x:v>46105.166666666664</x:v>
      </x:c>
      <x:c r="D540" s="253" t="str">
        <x:v>Sheena</x:v>
      </x:c>
      <x:c r="E540" s="253" t="str">
        <x:v>704505</x:v>
      </x:c>
      <x:c r="F540" s="277" t="str"/>
    </x:row>
    <x:row r="541">
      <x:c r="A541" s="252" t="str">
        <x:v>WS1</x:v>
      </x:c>
      <x:c r="B541" s="253" t="str">
        <x:v>johnlabu32843</x:v>
      </x:c>
      <x:c r="C541" s="259" t="n">
        <x:v>46105.166666666664</x:v>
      </x:c>
      <x:c r="D541" s="253" t="str">
        <x:v>Sheena</x:v>
      </x:c>
      <x:c r="E541" s="253" t="str">
        <x:v>1201065</x:v>
      </x:c>
      <x:c r="F541" s="277" t="str"/>
    </x:row>
    <x:row r="542">
      <x:c r="A542" s="252" t="str">
        <x:v>WS1</x:v>
      </x:c>
      <x:c r="B542" s="253" t="str">
        <x:v>Terry900</x:v>
      </x:c>
      <x:c r="C542" s="259" t="n">
        <x:v>46105.166666666664</x:v>
      </x:c>
      <x:c r="D542" s="253" t="str">
        <x:v>Sheena</x:v>
      </x:c>
      <x:c r="E542" s="253" t="str">
        <x:v>1194199</x:v>
      </x:c>
      <x:c r="F542" s="277" t="str"/>
    </x:row>
    <x:row r="543">
      <x:c r="A543" s="252" t="str">
        <x:v>WS1</x:v>
      </x:c>
      <x:c r="B543" s="253" t="str">
        <x:v>mdk3747</x:v>
      </x:c>
      <x:c r="C543" s="259" t="n">
        <x:v>46105.166666666664</x:v>
      </x:c>
      <x:c r="D543" s="253" t="str">
        <x:v>Sheena</x:v>
      </x:c>
      <x:c r="E543" s="253" t="str">
        <x:v>782659</x:v>
      </x:c>
      <x:c r="F543" s="277" t="str"/>
    </x:row>
    <x:row r="544">
      <x:c r="A544" s="252" t="str">
        <x:v>WS1</x:v>
      </x:c>
      <x:c r="B544" s="253" t="str">
        <x:v>scf910403</x:v>
      </x:c>
      <x:c r="C544" s="259" t="n">
        <x:v>46105.166666666664</x:v>
      </x:c>
      <x:c r="D544" s="253" t="str">
        <x:v>Sheena</x:v>
      </x:c>
      <x:c r="E544" s="253" t="str">
        <x:v>1200397</x:v>
      </x:c>
      <x:c r="F544" s="277" t="str"/>
    </x:row>
    <x:row r="545">
      <x:c r="A545" s="252" t="str">
        <x:v>WS1</x:v>
      </x:c>
      <x:c r="B545" s="253" t="str">
        <x:v>60105663452</x:v>
      </x:c>
      <x:c r="C545" s="259" t="n">
        <x:v>46105.166666666664</x:v>
      </x:c>
      <x:c r="D545" s="253" t="str">
        <x:v>Sheena</x:v>
      </x:c>
      <x:c r="E545" s="253" t="str">
        <x:v>222565</x:v>
      </x:c>
      <x:c r="F545" s="277" t="str">
        <x:v>FT_VM_DEP1000_GET500_5X</x:v>
      </x:c>
    </x:row>
    <x:row r="546">
      <x:c r="A546" s="252" t="str">
        <x:v>WS1</x:v>
      </x:c>
      <x:c r="B546" s="253" t="str">
        <x:v>Williamkwh81</x:v>
      </x:c>
      <x:c r="C546" s="259" t="n">
        <x:v>46105.166666666664</x:v>
      </x:c>
      <x:c r="D546" s="253" t="str">
        <x:v>Sheena</x:v>
      </x:c>
      <x:c r="E546" s="253" t="str">
        <x:v>306170</x:v>
      </x:c>
      <x:c r="F546" s="277" t="str">
        <x:v>FT_VM_DEP1000_GET500_2X</x:v>
      </x:c>
    </x:row>
    <x:row r="547">
      <x:c r="A547" s="252" t="str">
        <x:v>WS1</x:v>
      </x:c>
      <x:c r="B547" s="253" t="str">
        <x:v>Regiment77</x:v>
      </x:c>
      <x:c r="C547" s="259" t="n">
        <x:v>46105.166666666664</x:v>
      </x:c>
      <x:c r="D547" s="253" t="str">
        <x:v>Sheena</x:v>
      </x:c>
      <x:c r="E547" s="253" t="str">
        <x:v>83115</x:v>
      </x:c>
      <x:c r="F547" s="277" t="str"/>
    </x:row>
    <x:row r="548">
      <x:c r="A548" s="252" t="str">
        <x:v>WS1</x:v>
      </x:c>
      <x:c r="B548" s="253" t="str">
        <x:v>bone90</x:v>
      </x:c>
      <x:c r="C548" s="259" t="n">
        <x:v>46105.166666666664</x:v>
      </x:c>
      <x:c r="D548" s="253" t="str">
        <x:v>Sheena</x:v>
      </x:c>
      <x:c r="E548" s="253" t="str">
        <x:v>14547</x:v>
      </x:c>
      <x:c r="F548" s="277" t="str"/>
    </x:row>
    <x:row r="549">
      <x:c r="A549" s="252" t="str">
        <x:v>WS1</x:v>
      </x:c>
      <x:c r="B549" s="253" t="str">
        <x:v>csn123</x:v>
      </x:c>
      <x:c r="C549" s="259" t="n">
        <x:v>46105.166666666664</x:v>
      </x:c>
      <x:c r="D549" s="253" t="str">
        <x:v>Jiahui</x:v>
      </x:c>
      <x:c r="E549" s="253" t="str">
        <x:v>839514</x:v>
      </x:c>
      <x:c r="F549" s="277" t="str"/>
    </x:row>
    <x:row r="550">
      <x:c r="A550" s="252" t="str">
        <x:v>WS1</x:v>
      </x:c>
      <x:c r="B550" s="253" t="str">
        <x:v>Galitz88</x:v>
      </x:c>
      <x:c r="C550" s="259" t="n">
        <x:v>46105.166666666664</x:v>
      </x:c>
      <x:c r="D550" s="253" t="str">
        <x:v>Jiahui</x:v>
      </x:c>
      <x:c r="E550" s="253" t="str">
        <x:v>492707</x:v>
      </x:c>
      <x:c r="F550" s="277" t="str"/>
    </x:row>
    <x:row r="551">
      <x:c r="A551" s="252" t="str">
        <x:v>WS1</x:v>
      </x:c>
      <x:c r="B551" s="253" t="str">
        <x:v>Ayep045423</x:v>
      </x:c>
      <x:c r="C551" s="259" t="n">
        <x:v>46105.166666666664</x:v>
      </x:c>
      <x:c r="D551" s="253" t="str">
        <x:v>Jiahui</x:v>
      </x:c>
      <x:c r="E551" s="253" t="str">
        <x:v>95178</x:v>
      </x:c>
      <x:c r="F551" s="277" t="str"/>
    </x:row>
    <x:row r="552">
      <x:c r="A552" s="252" t="str">
        <x:v>WS1</x:v>
      </x:c>
      <x:c r="B552" s="253" t="str">
        <x:v>Lsc7227</x:v>
      </x:c>
      <x:c r="C552" s="259" t="n">
        <x:v>46105.166666666664</x:v>
      </x:c>
      <x:c r="D552" s="253" t="str">
        <x:v>Jiahui</x:v>
      </x:c>
      <x:c r="E552" s="253" t="str">
        <x:v>23777</x:v>
      </x:c>
      <x:c r="F552" s="277" t="str"/>
    </x:row>
    <x:row r="553">
      <x:c r="A553" s="252" t="str">
        <x:v>WS1</x:v>
      </x:c>
      <x:c r="B553" s="253" t="str">
        <x:v>60137293482</x:v>
      </x:c>
      <x:c r="C553" s="259" t="n">
        <x:v>46105.166666666664</x:v>
      </x:c>
      <x:c r="D553" s="253" t="str">
        <x:v>Jiahui</x:v>
      </x:c>
      <x:c r="E553" s="253" t="str">
        <x:v>384049</x:v>
      </x:c>
      <x:c r="F553" s="277" t="str">
        <x:v>FT_VM_DEP1000_GET500_5X</x:v>
      </x:c>
    </x:row>
    <x:row r="554">
      <x:c r="A554" s="252" t="str">
        <x:v>WS1</x:v>
      </x:c>
      <x:c r="B554" s="253" t="str">
        <x:v>adam7700</x:v>
      </x:c>
      <x:c r="C554" s="259" t="n">
        <x:v>46105.166666666664</x:v>
      </x:c>
      <x:c r="D554" s="253" t="str">
        <x:v>Jiahui</x:v>
      </x:c>
      <x:c r="E554" s="253" t="str">
        <x:v>612377</x:v>
      </x:c>
      <x:c r="F554" s="277" t="str"/>
    </x:row>
    <x:row r="555">
      <x:c r="A555" s="252" t="str">
        <x:v>WS1</x:v>
      </x:c>
      <x:c r="B555" s="253" t="str">
        <x:v>Awei82</x:v>
      </x:c>
      <x:c r="C555" s="259" t="n">
        <x:v>46105.166666666664</x:v>
      </x:c>
      <x:c r="D555" s="253" t="str">
        <x:v>Jiahui</x:v>
      </x:c>
      <x:c r="E555" s="253" t="str">
        <x:v>61933</x:v>
      </x:c>
      <x:c r="F555" s="277" t="str"/>
    </x:row>
    <x:row r="556">
      <x:c r="A556" s="252" t="str">
        <x:v>WS1</x:v>
      </x:c>
      <x:c r="B556" s="253" t="str">
        <x:v>imrans91</x:v>
      </x:c>
      <x:c r="C556" s="259" t="n">
        <x:v>46105.166666666664</x:v>
      </x:c>
      <x:c r="D556" s="253" t="str">
        <x:v>Jiahui</x:v>
      </x:c>
      <x:c r="E556" s="253" t="str">
        <x:v>404329</x:v>
      </x:c>
      <x:c r="F556" s="277" t="str"/>
    </x:row>
    <x:row r="557">
      <x:c r="A557" s="252" t="str">
        <x:v>WS1</x:v>
      </x:c>
      <x:c r="B557" s="253" t="str">
        <x:v>shafiqsno90</x:v>
      </x:c>
      <x:c r="C557" s="259" t="n">
        <x:v>46105.166666666664</x:v>
      </x:c>
      <x:c r="D557" s="253" t="str">
        <x:v>Jiahui</x:v>
      </x:c>
      <x:c r="E557" s="253" t="str">
        <x:v>512555</x:v>
      </x:c>
      <x:c r="F557" s="277" t="str"/>
    </x:row>
    <x:row r="558">
      <x:c r="A558" s="252" t="str">
        <x:v>WS1</x:v>
      </x:c>
      <x:c r="B558" s="253" t="str">
        <x:v>bullah7700</x:v>
      </x:c>
      <x:c r="C558" s="259" t="n">
        <x:v>46105.166666666664</x:v>
      </x:c>
      <x:c r="D558" s="253" t="str">
        <x:v>Jiahui</x:v>
      </x:c>
      <x:c r="E558" s="253" t="str">
        <x:v>567125</x:v>
      </x:c>
      <x:c r="F558" s="277" t="str">
        <x:v>FT_VM_DEP600_GET200_5X</x:v>
      </x:c>
    </x:row>
    <x:row r="559">
      <x:c r="A559" s="252" t="str">
        <x:v>WS1</x:v>
      </x:c>
      <x:c r="B559" s="253" t="str">
        <x:v>601115181917</x:v>
      </x:c>
      <x:c r="C559" s="259" t="n">
        <x:v>46105.166666666664</x:v>
      </x:c>
      <x:c r="D559" s="253" t="str">
        <x:v>Jiahui</x:v>
      </x:c>
      <x:c r="E559" s="253" t="str">
        <x:v>333513</x:v>
      </x:c>
      <x:c r="F559" s="277" t="str"/>
    </x:row>
    <x:row r="560">
      <x:c r="A560" s="252" t="str">
        <x:v>WS1</x:v>
      </x:c>
      <x:c r="B560" s="253" t="str">
        <x:v>Apdamai</x:v>
      </x:c>
      <x:c r="C560" s="259" t="n">
        <x:v>46105.166666666664</x:v>
      </x:c>
      <x:c r="D560" s="253" t="str">
        <x:v>Jiahui</x:v>
      </x:c>
      <x:c r="E560" s="253" t="str">
        <x:v>1183226</x:v>
      </x:c>
      <x:c r="F560" s="277" t="str"/>
    </x:row>
    <x:row r="561">
      <x:c r="A561" s="252" t="str">
        <x:v>WS1</x:v>
      </x:c>
      <x:c r="B561" s="253" t="str">
        <x:v>60123847155</x:v>
      </x:c>
      <x:c r="C561" s="259" t="n">
        <x:v>46105.166666666664</x:v>
      </x:c>
      <x:c r="D561" s="253" t="str">
        <x:v>Serene</x:v>
      </x:c>
      <x:c r="E561" s="253" t="str">
        <x:v>441335</x:v>
      </x:c>
      <x:c r="F561" s="277" t="str">
        <x:v>FT_VM_DEP1000_GET500_5X</x:v>
      </x:c>
    </x:row>
    <x:row r="562">
      <x:c r="A562" s="252" t="str">
        <x:v>WS1</x:v>
      </x:c>
      <x:c r="B562" s="253" t="str">
        <x:v>Johnrambo</x:v>
      </x:c>
      <x:c r="C562" s="259" t="n">
        <x:v>46105.166666666664</x:v>
      </x:c>
      <x:c r="D562" s="253" t="str">
        <x:v>Serene</x:v>
      </x:c>
      <x:c r="E562" s="253" t="str">
        <x:v>464067</x:v>
      </x:c>
      <x:c r="F562" s="277" t="str">
        <x:v>FT_VM_DEP1000_GET500_2X</x:v>
      </x:c>
    </x:row>
    <x:row r="563">
      <x:c r="A563" s="252" t="str">
        <x:v>WS1</x:v>
      </x:c>
      <x:c r="B563" s="253" t="str">
        <x:v>WenAnn</x:v>
      </x:c>
      <x:c r="C563" s="259" t="n">
        <x:v>46105.166666666664</x:v>
      </x:c>
      <x:c r="D563" s="253" t="str">
        <x:v>Serene</x:v>
      </x:c>
      <x:c r="E563" s="253" t="str">
        <x:v>467971</x:v>
      </x:c>
      <x:c r="F563" s="277" t="str"/>
    </x:row>
    <x:row r="564">
      <x:c r="A564" s="252" t="str">
        <x:v>WS1</x:v>
      </x:c>
      <x:c r="B564" s="253" t="str">
        <x:v>Didihali</x:v>
      </x:c>
      <x:c r="C564" s="259" t="n">
        <x:v>46105.166666666664</x:v>
      </x:c>
      <x:c r="D564" s="253" t="str">
        <x:v>Serene</x:v>
      </x:c>
      <x:c r="E564" s="253" t="str">
        <x:v>808337</x:v>
      </x:c>
      <x:c r="F564" s="277" t="str"/>
    </x:row>
    <x:row r="565">
      <x:c r="A565" s="252" t="str">
        <x:v>WS1</x:v>
      </x:c>
      <x:c r="B565" s="253" t="str">
        <x:v>rmahen24</x:v>
      </x:c>
      <x:c r="C565" s="259" t="n">
        <x:v>46105.166666666664</x:v>
      </x:c>
      <x:c r="D565" s="253" t="str">
        <x:v>Serene</x:v>
      </x:c>
      <x:c r="E565" s="253" t="str">
        <x:v>9160</x:v>
      </x:c>
      <x:c r="F565" s="277" t="str">
        <x:v>FT_VM_DEP600_GET200_5X</x:v>
      </x:c>
    </x:row>
    <x:row r="566">
      <x:c r="A566" s="252" t="str">
        <x:v>WS1</x:v>
      </x:c>
      <x:c r="B566" s="253" t="str">
        <x:v>mhk12345</x:v>
      </x:c>
      <x:c r="C566" s="259" t="n">
        <x:v>46105.166666666664</x:v>
      </x:c>
      <x:c r="D566" s="253" t="str">
        <x:v>Serene</x:v>
      </x:c>
      <x:c r="E566" s="253" t="str">
        <x:v>1190662</x:v>
      </x:c>
      <x:c r="F566" s="277" t="str"/>
    </x:row>
    <x:row r="567">
      <x:c r="A567" s="252" t="str">
        <x:v>WS1</x:v>
      </x:c>
      <x:c r="B567" s="253" t="str">
        <x:v>Soot11</x:v>
      </x:c>
      <x:c r="C567" s="259" t="n">
        <x:v>46105.166666666664</x:v>
      </x:c>
      <x:c r="D567" s="253" t="str">
        <x:v>Serene</x:v>
      </x:c>
      <x:c r="E567" s="253" t="str">
        <x:v>1034698</x:v>
      </x:c>
      <x:c r="F567" s="277" t="str"/>
    </x:row>
    <x:row r="568">
      <x:c r="A568" s="252" t="str">
        <x:v>WS1</x:v>
      </x:c>
      <x:c r="B568" s="253" t="str">
        <x:v>Jobot87</x:v>
      </x:c>
      <x:c r="C568" s="259" t="n">
        <x:v>46105.166666666664</x:v>
      </x:c>
      <x:c r="D568" s="253" t="str">
        <x:v>Serene</x:v>
      </x:c>
      <x:c r="E568" s="253" t="str">
        <x:v>1194660</x:v>
      </x:c>
      <x:c r="F568" s="277" t="str"/>
    </x:row>
    <x:row r="569">
      <x:c r="A569" s="252" t="str">
        <x:v>WS1</x:v>
      </x:c>
      <x:c r="B569" s="253" t="str">
        <x:v>azlikeche2237</x:v>
      </x:c>
      <x:c r="C569" s="259" t="n">
        <x:v>46105.166666666664</x:v>
      </x:c>
      <x:c r="D569" s="253" t="str">
        <x:v>Serene</x:v>
      </x:c>
      <x:c r="E569" s="253" t="str">
        <x:v>1199745</x:v>
      </x:c>
      <x:c r="F569" s="277" t="str"/>
    </x:row>
    <x:row r="570">
      <x:c r="A570" s="252" t="str">
        <x:v>WS1</x:v>
      </x:c>
      <x:c r="B570" s="253" t="str">
        <x:v>krusty88</x:v>
      </x:c>
      <x:c r="C570" s="259" t="n">
        <x:v>46105.166666666664</x:v>
      </x:c>
      <x:c r="D570" s="253" t="str">
        <x:v>Serene</x:v>
      </x:c>
      <x:c r="E570" s="253" t="str">
        <x:v>808750</x:v>
      </x:c>
      <x:c r="F570" s="277" t="str"/>
    </x:row>
    <x:row r="571">
      <x:c r="A571" s="252" t="str">
        <x:v>WS1</x:v>
      </x:c>
      <x:c r="B571" s="253" t="str">
        <x:v>Ly230779</x:v>
      </x:c>
      <x:c r="C571" s="259" t="n">
        <x:v>46105.166666666664</x:v>
      </x:c>
      <x:c r="D571" s="253" t="str">
        <x:v>Serene</x:v>
      </x:c>
      <x:c r="E571" s="253" t="str">
        <x:v>525761</x:v>
      </x:c>
      <x:c r="F571" s="277" t="str"/>
    </x:row>
    <x:row r="572">
      <x:c r="A572" s="252" t="str">
        <x:v>WS1</x:v>
      </x:c>
      <x:c r="B572" s="253" t="str">
        <x:v>cloudywin</x:v>
      </x:c>
      <x:c r="C572" s="259" t="n">
        <x:v>46105.166666666664</x:v>
      </x:c>
      <x:c r="D572" s="253" t="str">
        <x:v>Serene</x:v>
      </x:c>
      <x:c r="E572" s="253" t="str">
        <x:v>975565</x:v>
      </x:c>
      <x:c r="F572" s="277" t="str"/>
    </x:row>
    <x:row r="573">
      <x:c r="A573" s="255" t="str">
        <x:v>WS1</x:v>
      </x:c>
      <x:c r="B573" s="256" t="str">
        <x:v>therealavd</x:v>
      </x:c>
      <x:c r="C573" s="260" t="n">
        <x:v>46111.166666666664</x:v>
      </x:c>
      <x:c r="D573" s="256" t="str">
        <x:v>Jiahui</x:v>
      </x:c>
      <x:c r="E573" s="256" t="str">
        <x:v>564822</x:v>
      </x:c>
      <x:c r="F573" s="278" t="str"/>
    </x:row>
  </x:sheetData>
  <x:mergeCells>
    <x:mergeCell ref="A1:F2"/>
  </x:mergeCells>
  <x:pageMargins left="0.7" right="0.7" top="0.75" bottom="0.75" header="0.3" footer="0.3"/>
  <x:tableParts count="1">
    <x:tablePart xmlns:r="http://schemas.openxmlformats.org/officeDocument/2006/relationships" r:id="R374350468ad74bf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 hidden="0" customWidth="1"/>
    <x:col min="2" max="2" width="29" hidden="0" customWidth="1"/>
    <x:col min="3" max="3" width="31" hidden="0" customWidth="1"/>
    <x:col min="4" max="4" width="42" hidden="0" customWidth="1"/>
    <x:col min="5" max="5" width="30" hidden="0" customWidth="1"/>
  </x:cols>
  <x:sheetData>
    <x:row r="1">
      <x:c r="A1" s="3" t="str">
        <x:v>Bonus Menu - offer code and reward-name reference</x:v>
      </x:c>
      <x:c r="B1" s="3"/>
      <x:c r="C1" s="3"/>
      <x:c r="D1" s="3"/>
      <x:c r="E1" s="3"/>
    </x:row>
    <x:row r="2">
      <x:c r="A2" s="3"/>
      <x:c r="B2" s="3"/>
      <x:c r="C2" s="3"/>
      <x:c r="D2" s="3"/>
      <x:c r="E2" s="3"/>
    </x:row>
    <x:row r="4">
      <x:c r="A4" s="133" t="str">
        <x:v>No.</x:v>
      </x:c>
      <x:c r="B4" s="133" t="str">
        <x:v>Code</x:v>
      </x:c>
      <x:c r="C4" s="133" t="str">
        <x:v>WS Code</x:v>
      </x:c>
      <x:c r="D4" s="133" t="str">
        <x:v>Bonus Name</x:v>
      </x:c>
      <x:c r="E4" s="133" t="str">
        <x:v>Remark</x:v>
      </x:c>
    </x:row>
    <x:row r="5">
      <x:c r="A5" s="249" t="n">
        <x:v>1</x:v>
      </x:c>
      <x:c r="B5" s="273" t="str">
        <x:v>VM_DEP150_GET50_2X</x:v>
      </x:c>
      <x:c r="C5" s="273" t="str">
        <x:v>FT_VM_DEP150_GET50_2X</x:v>
      </x:c>
      <x:c r="D5" s="273" t="str">
        <x:v>VM Bns - Dep150 Get50 - 2x TO</x:v>
      </x:c>
      <x:c r="E5" s="276" t="str"/>
    </x:row>
    <x:row r="6">
      <x:c r="A6" s="252" t="n">
        <x:v>2</x:v>
      </x:c>
      <x:c r="B6" s="274" t="str">
        <x:v>VM_DEP300_GET100_2X</x:v>
      </x:c>
      <x:c r="C6" s="274" t="str">
        <x:v>FT_VM_DEP300_GET100_2X</x:v>
      </x:c>
      <x:c r="D6" s="274" t="str">
        <x:v>VM Bns - Dep300 Get100 - 2x TO</x:v>
      </x:c>
      <x:c r="E6" s="277" t="str"/>
    </x:row>
    <x:row r="7">
      <x:c r="A7" s="252" t="n">
        <x:v>3</x:v>
      </x:c>
      <x:c r="B7" s="274" t="str">
        <x:v>VM_DEP600_GET200_2X</x:v>
      </x:c>
      <x:c r="C7" s="274" t="str">
        <x:v>FT_VM_DEP600_GET200_2X</x:v>
      </x:c>
      <x:c r="D7" s="274" t="str">
        <x:v>VM Bns - Dep600 Get200 - 2x TO</x:v>
      </x:c>
      <x:c r="E7" s="277" t="str"/>
    </x:row>
    <x:row r="8">
      <x:c r="A8" s="252" t="n">
        <x:v>4</x:v>
      </x:c>
      <x:c r="B8" s="274" t="str">
        <x:v>VM_DEP700_GET300_2X</x:v>
      </x:c>
      <x:c r="C8" s="274" t="str">
        <x:v>FT_VM_DEP700_GET300_2X</x:v>
      </x:c>
      <x:c r="D8" s="274" t="str">
        <x:v>VM Bns - Dep700 Get300 - 2x TO</x:v>
      </x:c>
      <x:c r="E8" s="277" t="str">
        <x:v>&lt;10K</x:v>
      </x:c>
    </x:row>
    <x:row r="9">
      <x:c r="A9" s="252" t="n">
        <x:v>5</x:v>
      </x:c>
      <x:c r="B9" s="274" t="str">
        <x:v>VM_DEP800_GET400_2X</x:v>
      </x:c>
      <x:c r="C9" s="274" t="str">
        <x:v>FT_VM_DEP800_GET400_2X</x:v>
      </x:c>
      <x:c r="D9" s="274" t="str">
        <x:v>VM Bns - Dep800 Get400 - 2x TO</x:v>
      </x:c>
      <x:c r="E9" s="277" t="str">
        <x:v>10K to 24K</x:v>
      </x:c>
    </x:row>
    <x:row r="10">
      <x:c r="A10" s="252" t="n">
        <x:v>6</x:v>
      </x:c>
      <x:c r="B10" s="274" t="str">
        <x:v>VM_DEP1000_GET500_2X</x:v>
      </x:c>
      <x:c r="C10" s="274" t="str">
        <x:v>FT_VM_DEP1000_GET500_2X</x:v>
      </x:c>
      <x:c r="D10" s="274" t="str">
        <x:v>VM Bns - Dep1000 Get500 - 2x TO</x:v>
      </x:c>
      <x:c r="E10" s="277" t="str">
        <x:v>25k to 49K</x:v>
      </x:c>
    </x:row>
    <x:row r="11">
      <x:c r="A11" s="252" t="n">
        <x:v>7</x:v>
      </x:c>
      <x:c r="B11" s="274" t="str">
        <x:v>VM_DEP1200_GET600_2X</x:v>
      </x:c>
      <x:c r="C11" s="274" t="str">
        <x:v>FT_VM_DEP1200_GET600_2X</x:v>
      </x:c>
      <x:c r="D11" s="274" t="str">
        <x:v>VM Bns - Dep1200 Get600 - 2x TO</x:v>
      </x:c>
      <x:c r="E11" s="277" t="str"/>
    </x:row>
    <x:row r="12">
      <x:c r="A12" s="252" t="n">
        <x:v>8</x:v>
      </x:c>
      <x:c r="B12" s="274" t="str">
        <x:v>VM_DEP1000_GET700_2X</x:v>
      </x:c>
      <x:c r="C12" s="274" t="str">
        <x:v>FT_VM_DEP1000_GET700_2X</x:v>
      </x:c>
      <x:c r="D12" s="274" t="str">
        <x:v>VM Bns - Dep1000 Get700 - 2x TO</x:v>
      </x:c>
      <x:c r="E12" s="277" t="str">
        <x:v>50K to 99K</x:v>
      </x:c>
    </x:row>
    <x:row r="13">
      <x:c r="A13" s="252" t="n">
        <x:v>9</x:v>
      </x:c>
      <x:c r="B13" s="274" t="str">
        <x:v>VM_DEP1000_GET800_2X</x:v>
      </x:c>
      <x:c r="C13" s="274" t="str">
        <x:v>FT_VM_DEP1000_GET800_2X</x:v>
      </x:c>
      <x:c r="D13" s="274" t="str">
        <x:v>VM Bns - Dep1000 Get800 - 2x TO</x:v>
      </x:c>
      <x:c r="E13" s="277" t="str">
        <x:v>100K to 499K</x:v>
      </x:c>
    </x:row>
    <x:row r="14">
      <x:c r="A14" s="252" t="n">
        <x:v>10</x:v>
      </x:c>
      <x:c r="B14" s="274" t="str">
        <x:v>VM_DEP1000_GET900_2X</x:v>
      </x:c>
      <x:c r="C14" s="274" t="str">
        <x:v>FT_VM_DEP1000_GET900_2X</x:v>
      </x:c>
      <x:c r="D14" s="274" t="str">
        <x:v>VM Bns - Dep1000 Get900 - 2x TO</x:v>
      </x:c>
      <x:c r="E14" s="277" t="str">
        <x:v>500K and above</x:v>
      </x:c>
    </x:row>
    <x:row r="15">
      <x:c r="A15" s="252" t="n">
        <x:v>11</x:v>
      </x:c>
      <x:c r="B15" s="274" t="str">
        <x:v>VM_DEP1000_GET1000_2X</x:v>
      </x:c>
      <x:c r="C15" s="274" t="str">
        <x:v>FT_VM_DEP1000_GET1000_2X</x:v>
      </x:c>
      <x:c r="D15" s="274" t="str">
        <x:v>VM Bns - Dep1000 Get1000 - 2x TO</x:v>
      </x:c>
      <x:c r="E15" s="277" t="str"/>
    </x:row>
    <x:row r="16">
      <x:c r="A16" s="252" t="n">
        <x:v>12</x:v>
      </x:c>
      <x:c r="B16" s="274" t="str">
        <x:v>VM_DEP150_GET50_5X</x:v>
      </x:c>
      <x:c r="C16" s="274" t="str">
        <x:v>FT_VM_DEP150_GET50_5X</x:v>
      </x:c>
      <x:c r="D16" s="274" t="str">
        <x:v>VM Bns - Dep150 Get50 - 5x TO</x:v>
      </x:c>
      <x:c r="E16" s="277" t="str"/>
    </x:row>
    <x:row r="17">
      <x:c r="A17" s="252" t="n">
        <x:v>13</x:v>
      </x:c>
      <x:c r="B17" s="274" t="str">
        <x:v>VM_DEP300_GET100_5X</x:v>
      </x:c>
      <x:c r="C17" s="274" t="str">
        <x:v>FT_VM_DEP300_GET100_5X</x:v>
      </x:c>
      <x:c r="D17" s="274" t="str">
        <x:v>VM Bns - Dep300 Get100 - 5x TO</x:v>
      </x:c>
      <x:c r="E17" s="277" t="str"/>
    </x:row>
    <x:row r="18">
      <x:c r="A18" s="252" t="n">
        <x:v>14</x:v>
      </x:c>
      <x:c r="B18" s="274" t="str">
        <x:v>VM_DEP600_GET200_5X</x:v>
      </x:c>
      <x:c r="C18" s="274" t="str">
        <x:v>FT_VM_DEP600_GET200_5X</x:v>
      </x:c>
      <x:c r="D18" s="274" t="str">
        <x:v>VM Bns - Dep600 Get200 - 5x TO</x:v>
      </x:c>
      <x:c r="E18" s="277" t="str"/>
    </x:row>
    <x:row r="19">
      <x:c r="A19" s="252" t="n">
        <x:v>25</x:v>
      </x:c>
      <x:c r="B19" s="274" t="str">
        <x:v>VM_DEP1000_GET500_5X</x:v>
      </x:c>
      <x:c r="C19" s="274" t="str">
        <x:v>FT_VM_DEP1000_GET500_5X</x:v>
      </x:c>
      <x:c r="D19" s="274" t="str">
        <x:v>VM Bns - Dep1000 Get500 - 5x TO</x:v>
      </x:c>
      <x:c r="E19" s="277" t="str"/>
    </x:row>
    <x:row r="20">
      <x:c r="A20" s="252" t="n">
        <x:v>15</x:v>
      </x:c>
      <x:c r="B20" s="274" t="str">
        <x:v>VM_DEP700_GET300_1X</x:v>
      </x:c>
      <x:c r="C20" s="274" t="str">
        <x:v>FT_VM_DEP700_GET300_1X</x:v>
      </x:c>
      <x:c r="D20" s="274" t="str">
        <x:v>VM Bns - Dep700 Get300 - 1x TO</x:v>
      </x:c>
      <x:c r="E20" s="277" t="str"/>
    </x:row>
    <x:row r="21">
      <x:c r="A21" s="252" t="n">
        <x:v>16</x:v>
      </x:c>
      <x:c r="B21" s="274" t="str">
        <x:v>VM_DEP800_GET400_1X</x:v>
      </x:c>
      <x:c r="C21" s="274" t="str">
        <x:v>FT_VM_DEP800_GET400_1X</x:v>
      </x:c>
      <x:c r="D21" s="274" t="str">
        <x:v>VM Bns - Dep800 Get400 - 1x TO</x:v>
      </x:c>
      <x:c r="E21" s="277" t="str"/>
    </x:row>
    <x:row r="22">
      <x:c r="A22" s="252" t="n">
        <x:v>17</x:v>
      </x:c>
      <x:c r="B22" s="274" t="str">
        <x:v>VM_DEP1000_GET500_1X</x:v>
      </x:c>
      <x:c r="C22" s="274" t="str">
        <x:v>FT_VM_DEP1000_GET500_1X</x:v>
      </x:c>
      <x:c r="D22" s="274" t="str">
        <x:v>VM Bns - Dep1000 Get500 - 1x TO</x:v>
      </x:c>
      <x:c r="E22" s="277" t="str"/>
    </x:row>
    <x:row r="23">
      <x:c r="A23" s="252" t="n">
        <x:v>18</x:v>
      </x:c>
      <x:c r="B23" s="274" t="str">
        <x:v>VM_DEP1200_GET600_1X</x:v>
      </x:c>
      <x:c r="C23" s="274" t="str">
        <x:v>FT_VM_DEP1200_GET600_1X</x:v>
      </x:c>
      <x:c r="D23" s="274" t="str">
        <x:v>VM Bns - Dep1200 Get600 - 1x TO</x:v>
      </x:c>
      <x:c r="E23" s="277" t="str"/>
    </x:row>
    <x:row r="24">
      <x:c r="A24" s="252" t="n">
        <x:v>19</x:v>
      </x:c>
      <x:c r="B24" s="274" t="str">
        <x:v>VM_DEP1000_GET700_1X</x:v>
      </x:c>
      <x:c r="C24" s="274" t="str">
        <x:v>FT_VM_DEP1000_GET700_1X</x:v>
      </x:c>
      <x:c r="D24" s="274" t="str">
        <x:v>VM Bns - Dep1000 Get700 - 1x TO</x:v>
      </x:c>
      <x:c r="E24" s="277" t="str"/>
    </x:row>
    <x:row r="25">
      <x:c r="A25" s="252" t="n">
        <x:v>20</x:v>
      </x:c>
      <x:c r="B25" s="274" t="str">
        <x:v>VM_DEP1000_GET800_1X</x:v>
      </x:c>
      <x:c r="C25" s="274" t="str">
        <x:v>FT_VM_DEP1000_GET800_1X</x:v>
      </x:c>
      <x:c r="D25" s="274" t="str">
        <x:v>VM Bns - Dep1000 Get800 - 1x TO</x:v>
      </x:c>
      <x:c r="E25" s="277" t="str"/>
    </x:row>
    <x:row r="26">
      <x:c r="A26" s="252" t="n">
        <x:v>21</x:v>
      </x:c>
      <x:c r="B26" s="274" t="str">
        <x:v>VM_DEP1000_GET900_1X</x:v>
      </x:c>
      <x:c r="C26" s="274" t="str">
        <x:v>FT_VM_DEP1000_GET900_1X</x:v>
      </x:c>
      <x:c r="D26" s="274" t="str">
        <x:v>VM Bns - Dep1000 Get900 - 1x TO</x:v>
      </x:c>
      <x:c r="E26" s="277" t="str"/>
    </x:row>
    <x:row r="27">
      <x:c r="A27" s="252" t="n">
        <x:v>22</x:v>
      </x:c>
      <x:c r="B27" s="274" t="str">
        <x:v>VM_DEP1000_GET1000_1X</x:v>
      </x:c>
      <x:c r="C27" s="274" t="str">
        <x:v>FT_VM_DEP1000_GET1000_1X</x:v>
      </x:c>
      <x:c r="D27" s="274" t="str">
        <x:v>VM Bns - Dep1000 Get1000 - 1x TO</x:v>
      </x:c>
      <x:c r="E27" s="277" t="str"/>
    </x:row>
    <x:row r="28">
      <x:c r="A28" s="252" t="n">
        <x:v>23</x:v>
      </x:c>
      <x:c r="B28" s="274" t="str">
        <x:v>VM_FC_VARIABLE_5X</x:v>
      </x:c>
      <x:c r="C28" s="274" t="str">
        <x:v>FT_VM_FC_VARIABLE_5X</x:v>
      </x:c>
      <x:c r="D28" s="274" t="str">
        <x:v>VM Bns - Free Credit - 5x TO</x:v>
      </x:c>
      <x:c r="E28" s="277" t="str">
        <x:v>You need to specify the FC Amount to S&amp;E</x:v>
      </x:c>
    </x:row>
    <x:row r="29">
      <x:c r="A29" s="252" t="n">
        <x:v>24</x:v>
      </x:c>
      <x:c r="B29" s="274" t="str">
        <x:v>VM_FC_VARIABLE_8X</x:v>
      </x:c>
      <x:c r="C29" s="274" t="str">
        <x:v>FT_VM_FC_VARIABLE_8X</x:v>
      </x:c>
      <x:c r="D29" s="274" t="str">
        <x:v>VM Bns - Free Credit - 8x TO</x:v>
      </x:c>
      <x:c r="E29" s="277" t="str">
        <x:v>You need to specify the FC Amount to S&amp;E</x:v>
      </x:c>
    </x:row>
    <x:row r="30">
      <x:c r="A30" s="252" t="n">
        <x:v>25</x:v>
      </x:c>
      <x:c r="B30" s="274" t="str">
        <x:v>FT_VMFC_VARIABLE_3X</x:v>
      </x:c>
      <x:c r="C30" s="274" t="str">
        <x:v>FT_VMFC_VARIABLE_3X</x:v>
      </x:c>
      <x:c r="D30" s="274" t="str">
        <x:v>VIP SPECIAL FREE CREDIT - 3x TO</x:v>
      </x:c>
      <x:c r="E30" s="277" t="str"/>
    </x:row>
    <x:row r="31">
      <x:c r="A31" s="252" t="n">
        <x:v>26</x:v>
      </x:c>
      <x:c r="B31" s="274" t="str">
        <x:v>FT_VM_REL100PCT_X1</x:v>
      </x:c>
      <x:c r="C31" s="274" t="str">
        <x:v>FT_VM_REL100PCT_X1</x:v>
      </x:c>
      <x:c r="D31" s="274" t="str">
        <x:v>100% Reload Bonus - VIP Offer</x:v>
      </x:c>
      <x:c r="E31" s="277" t="str"/>
    </x:row>
    <x:row r="32">
      <x:c r="A32" s="255" t="n">
        <x:v>25</x:v>
      </x:c>
      <x:c r="B32" s="275" t="str">
        <x:v>VM_FC_VARIABLE_2X</x:v>
      </x:c>
      <x:c r="C32" s="275" t="str">
        <x:v>FT_VMFC_VARIABLE_2X</x:v>
      </x:c>
      <x:c r="D32" s="275" t="str">
        <x:v>VM Bns - Free Credit - 8x TO</x:v>
      </x:c>
      <x:c r="E32" s="278" t="str"/>
    </x:row>
  </x:sheetData>
  <x:mergeCells>
    <x:mergeCell ref="A1:E2"/>
  </x:mergeCells>
  <x:pageMargins left="0.7" right="0.7" top="0.75" bottom="0.75" header="0.3" footer="0.3"/>
  <x:tableParts count="1">
    <x:tablePart xmlns:r="http://schemas.openxmlformats.org/officeDocument/2006/relationships" r:id="R3d53fcabf3c24a9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18" hidden="0" customWidth="1"/>
    <x:col min="3" max="3" width="18" hidden="0" customWidth="1"/>
    <x:col min="4" max="4" width="16" hidden="0" customWidth="1"/>
    <x:col min="5" max="5" width="16" hidden="0" customWidth="1"/>
    <x:col min="6" max="6" width="38" hidden="0" customWidth="1"/>
  </x:cols>
  <x:sheetData>
    <x:row r="1">
      <x:c r="A1" s="218" t="str">
        <x:v>Handler-Team Map - complete this before team-level reporting</x:v>
      </x:c>
      <x:c r="B1" s="218"/>
      <x:c r="C1" s="218"/>
      <x:c r="D1" s="218"/>
      <x:c r="E1" s="218"/>
      <x:c r="F1" s="218"/>
    </x:row>
    <x:row r="2">
      <x:c r="A2" s="218"/>
      <x:c r="B2" s="218"/>
      <x:c r="C2" s="218"/>
      <x:c r="D2" s="218"/>
      <x:c r="E2" s="218"/>
      <x:c r="F2" s="218"/>
    </x:row>
    <x:row r="3">
      <x:c r="A3" s="134"/>
      <x:c r="B3" s="134"/>
      <x:c r="C3" s="134"/>
      <x:c r="D3" s="134"/>
      <x:c r="E3" s="134"/>
      <x:c r="F3" s="134"/>
    </x:row>
    <x:row r="4">
      <x:c r="A4" s="247" t="str">
        <x:v>Enter the officially confirmed Team and TL only. The Campaign Tracker pulls these values automatically by handler name.</x:v>
      </x:c>
      <x:c r="B4" s="247"/>
      <x:c r="C4" s="247"/>
      <x:c r="D4" s="247"/>
      <x:c r="E4" s="247"/>
      <x:c r="F4" s="247"/>
    </x:row>
    <x:row r="5">
      <x:c r="A5" s="134"/>
      <x:c r="B5" s="134"/>
      <x:c r="C5" s="134"/>
      <x:c r="D5" s="134"/>
      <x:c r="E5" s="134"/>
      <x:c r="F5" s="134"/>
    </x:row>
    <x:row r="6">
      <x:c r="A6" s="133" t="str">
        <x:v>Handler Name</x:v>
      </x:c>
      <x:c r="B6" s="133" t="str">
        <x:v>Team</x:v>
      </x:c>
      <x:c r="C6" s="133" t="str">
        <x:v>TL</x:v>
      </x:c>
      <x:c r="D6" s="133" t="str">
        <x:v>Effective From</x:v>
      </x:c>
      <x:c r="E6" s="133" t="str">
        <x:v>Effective To</x:v>
      </x:c>
      <x:c r="F6" s="133" t="str">
        <x:v>Confirmation / Source</x:v>
      </x:c>
    </x:row>
    <x:row r="7">
      <x:c r="A7" s="328" t="str">
        <x:v>Christy</x:v>
      </x:c>
      <x:c r="B7" s="267" t="str"/>
      <x:c r="C7" s="267" t="str"/>
      <x:c r="D7" s="331" t="str"/>
      <x:c r="E7" s="331" t="str"/>
      <x:c r="F7" s="323" t="str">
        <x:v>Pending confirmation</x:v>
      </x:c>
    </x:row>
    <x:row r="8">
      <x:c r="A8" s="329" t="str">
        <x:v>Claire</x:v>
      </x:c>
      <x:c r="B8" s="268" t="str"/>
      <x:c r="C8" s="268" t="str"/>
      <x:c r="D8" s="332" t="str"/>
      <x:c r="E8" s="332" t="str"/>
      <x:c r="F8" s="325" t="str">
        <x:v>Pending confirmation</x:v>
      </x:c>
    </x:row>
    <x:row r="9">
      <x:c r="A9" s="329" t="str">
        <x:v>Elda</x:v>
      </x:c>
      <x:c r="B9" s="268" t="str"/>
      <x:c r="C9" s="268" t="str"/>
      <x:c r="D9" s="332" t="str"/>
      <x:c r="E9" s="332" t="str"/>
      <x:c r="F9" s="325" t="str">
        <x:v>Pending confirmation</x:v>
      </x:c>
    </x:row>
    <x:row r="10">
      <x:c r="A10" s="329" t="str">
        <x:v>Jiahui</x:v>
      </x:c>
      <x:c r="B10" s="268" t="str"/>
      <x:c r="C10" s="268" t="str"/>
      <x:c r="D10" s="332" t="str"/>
      <x:c r="E10" s="332" t="str"/>
      <x:c r="F10" s="325" t="str">
        <x:v>Pending confirmation</x:v>
      </x:c>
    </x:row>
    <x:row r="11">
      <x:c r="A11" s="329" t="str">
        <x:v>Kam</x:v>
      </x:c>
      <x:c r="B11" s="268" t="str"/>
      <x:c r="C11" s="268" t="str"/>
      <x:c r="D11" s="332" t="str"/>
      <x:c r="E11" s="332" t="str"/>
      <x:c r="F11" s="325" t="str">
        <x:v>Pending confirmation</x:v>
      </x:c>
    </x:row>
    <x:row r="12">
      <x:c r="A12" s="329" t="str">
        <x:v>Michelle</x:v>
      </x:c>
      <x:c r="B12" s="268" t="str"/>
      <x:c r="C12" s="268" t="str"/>
      <x:c r="D12" s="332" t="str"/>
      <x:c r="E12" s="332" t="str"/>
      <x:c r="F12" s="325" t="str">
        <x:v>Pending confirmation</x:v>
      </x:c>
    </x:row>
    <x:row r="13">
      <x:c r="A13" s="329" t="str">
        <x:v>Mikki</x:v>
      </x:c>
      <x:c r="B13" s="268" t="str"/>
      <x:c r="C13" s="268" t="str"/>
      <x:c r="D13" s="332" t="str"/>
      <x:c r="E13" s="332" t="str"/>
      <x:c r="F13" s="325" t="str">
        <x:v>Pending confirmation</x:v>
      </x:c>
    </x:row>
    <x:row r="14">
      <x:c r="A14" s="329" t="str">
        <x:v>Serene</x:v>
      </x:c>
      <x:c r="B14" s="268" t="str"/>
      <x:c r="C14" s="268" t="str"/>
      <x:c r="D14" s="332" t="str"/>
      <x:c r="E14" s="332" t="str"/>
      <x:c r="F14" s="325" t="str">
        <x:v>Pending confirmation</x:v>
      </x:c>
    </x:row>
    <x:row r="15">
      <x:c r="A15" s="329" t="str">
        <x:v>Sheena</x:v>
      </x:c>
      <x:c r="B15" s="268" t="str"/>
      <x:c r="C15" s="268" t="str"/>
      <x:c r="D15" s="332" t="str"/>
      <x:c r="E15" s="332" t="str"/>
      <x:c r="F15" s="325" t="str">
        <x:v>Pending confirmation</x:v>
      </x:c>
    </x:row>
    <x:row r="16">
      <x:c r="A16" s="329" t="str">
        <x:v>Tammy</x:v>
      </x:c>
      <x:c r="B16" s="268" t="str"/>
      <x:c r="C16" s="268" t="str"/>
      <x:c r="D16" s="332" t="str"/>
      <x:c r="E16" s="332" t="str"/>
      <x:c r="F16" s="325" t="str">
        <x:v>Pending confirmation</x:v>
      </x:c>
    </x:row>
    <x:row r="17">
      <x:c r="A17" s="330" t="str">
        <x:v>zhen</x:v>
      </x:c>
      <x:c r="B17" s="269" t="str"/>
      <x:c r="C17" s="269" t="str"/>
      <x:c r="D17" s="333" t="str"/>
      <x:c r="E17" s="333" t="str"/>
      <x:c r="F17" s="327" t="str">
        <x:v>Pending confirmation</x:v>
      </x:c>
    </x:row>
    <x:row r="18">
      <x:c r="A18" s="134"/>
      <x:c r="B18" s="134"/>
      <x:c r="C18" s="134"/>
      <x:c r="D18" s="134"/>
      <x:c r="E18" s="134"/>
      <x:c r="F18" s="134"/>
    </x:row>
    <x:row r="19">
      <x:c r="A19" s="186" t="str">
        <x:v>Known contacts for confirmation: Joe and Syham (VM TLs, shared codes), Szee Szee (TSM TL), and Kevin (AM TL). This note does not assign handlers to teams; obtain their formal mapping first.</x:v>
      </x:c>
      <x:c r="B19" s="186"/>
      <x:c r="C19" s="186"/>
      <x:c r="D19" s="186"/>
      <x:c r="E19" s="186"/>
      <x:c r="F19" s="186"/>
    </x:row>
    <x:row r="20">
      <x:c r="A20" s="186"/>
      <x:c r="B20" s="186"/>
      <x:c r="C20" s="186"/>
      <x:c r="D20" s="186"/>
      <x:c r="E20" s="186"/>
      <x:c r="F20" s="186"/>
    </x:row>
    <x:row r="21">
      <x:c r="A21" s="186"/>
      <x:c r="B21" s="186"/>
      <x:c r="C21" s="186"/>
      <x:c r="D21" s="186"/>
      <x:c r="E21" s="186"/>
      <x:c r="F21" s="186"/>
    </x:row>
    <x:row r="22">
      <x:c r="A22" s="186"/>
      <x:c r="B22" s="186"/>
      <x:c r="C22" s="186"/>
      <x:c r="D22" s="186"/>
      <x:c r="E22" s="186"/>
      <x:c r="F22" s="186"/>
    </x:row>
  </x:sheetData>
  <x:mergeCells>
    <x:mergeCell ref="A1:F2"/>
    <x:mergeCell ref="A4:F4"/>
    <x:mergeCell ref="A19:F2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5" hidden="0" customWidth="1"/>
    <x:col min="2" max="2" width="54" hidden="0" customWidth="1"/>
    <x:col min="3" max="3" width="54" hidden="0" customWidth="1"/>
    <x:col min="4" max="4" width="38" hidden="0" customWidth="1"/>
    <x:col min="5" max="5" width="48" hidden="0" customWidth="1"/>
  </x:cols>
  <x:sheetData>
    <x:row r="1">
      <x:c r="A1" s="218" t="str">
        <x:v>Definitions, sources and interpretation rules</x:v>
      </x:c>
      <x:c r="B1" s="218"/>
      <x:c r="C1" s="218"/>
      <x:c r="D1" s="218"/>
      <x:c r="E1" s="218"/>
    </x:row>
    <x:row r="2">
      <x:c r="A2" s="218"/>
      <x:c r="B2" s="218"/>
      <x:c r="C2" s="218"/>
      <x:c r="D2" s="218"/>
      <x:c r="E2" s="218"/>
    </x:row>
    <x:row r="3">
      <x:c r="A3" s="134"/>
      <x:c r="B3" s="134"/>
      <x:c r="C3" s="134"/>
      <x:c r="D3" s="134"/>
      <x:c r="E3" s="134"/>
    </x:row>
    <x:row r="4">
      <x:c r="A4" s="133" t="str">
        <x:v>Item</x:v>
      </x:c>
      <x:c r="B4" s="133" t="str">
        <x:v>Plain definition</x:v>
      </x:c>
      <x:c r="C4" s="133" t="str">
        <x:v>Calculation / rule</x:v>
      </x:c>
      <x:c r="D4" s="133" t="str">
        <x:v>Source</x:v>
      </x:c>
      <x:c r="E4" s="133" t="str">
        <x:v>Important caveat</x:v>
      </x:c>
    </x:row>
    <x:row r="5">
      <x:c r="A5" s="288" t="str">
        <x:v>Campaign ownership</x:v>
      </x:c>
      <x:c r="B5" s="273" t="str">
        <x:v>Promotions executes the assigned offer; the campaign source and strategy come from the requesting business teams.</x:v>
      </x:c>
      <x:c r="C5" s="273" t="str">
        <x:v>Use this workbook to track execution and outcomes, not to claim Promotions originated the campaign.</x:v>
      </x:c>
      <x:c r="D5" s="273" t="str">
        <x:v>Operating model confirmed by Promotions</x:v>
      </x:c>
      <x:c r="E5" s="276" t="str">
        <x:v>Do not score Promotions on campaign sourcing.</x:v>
      </x:c>
    </x:row>
    <x:row r="6">
      <x:c r="A6" s="289" t="str">
        <x:v>Valid offer assignment</x:v>
      </x:c>
      <x:c r="B6" s="274" t="str">
        <x:v>A WS1 assignment row with a real manual offer.</x:v>
      </x:c>
      <x:c r="C6" s="274" t="str">
        <x:v>Exclude blank offers, DORMANT labels and BONUS HUNTER labels.</x:v>
      </x:c>
      <x:c r="D6" s="274" t="str">
        <x:v>VIP Overview MYS - Team CD / HandlerAssignmentLog</x:v>
      </x:c>
      <x:c r="E6" s="277" t="str">
        <x:v>The latest valid assignment received is 2026-03-24.</x:v>
      </x:c>
    </x:row>
    <x:row r="7">
      <x:c r="A7" s="289" t="str">
        <x:v>Offer claimed</x:v>
      </x:c>
      <x:c r="B7" s="274" t="str">
        <x:v>The member received a bonus matching the exact mapped promo code.</x:v>
      </x:c>
      <x:c r="C7" s="274" t="str">
        <x:v>Valid bonus status and claim time from assignment date through day 13.</x:v>
      </x:c>
      <x:c r="D7" s="274" t="str">
        <x:v>WORKSPACE.GetBonus_ABC</x:v>
      </x:c>
      <x:c r="E7" s="277" t="str">
        <x:v>A missing exact-code match does not prove the member rejected the communication.</x:v>
      </x:c>
    </x:row>
    <x:row r="8">
      <x:c r="A8" s="289" t="str">
        <x:v>Recovered execution</x:v>
      </x:c>
      <x:c r="B8" s="274" t="str">
        <x:v>An approved or redeemed ClickHouse bonus transaction matching an exact Bonus Menu code from April to July.</x:v>
      </x:c>
      <x:c r="C8" s="274" t="str">
        <x:v>Valid WS1/MYR status and execution time from 2026-04-01 through 2026-07-23.</x:v>
      </x:c>
      <x:c r="D8" s="274" t="str">
        <x:v>WORKSPACE.GetBonus_ABC</x:v>
      </x:c>
      <x:c r="E8" s="277" t="str">
        <x:v>It proves a bonus was executed; it is not the original assignment record and contains claimers only.</x:v>
      </x:c>
    </x:row>
    <x:row r="9">
      <x:c r="A9" s="289" t="str">
        <x:v>Bonus cost</x:v>
      </x:c>
      <x:c r="B9" s="274" t="str">
        <x:v>The approved amount of the exact matched bonus claim.</x:v>
      </x:c>
      <x:c r="C9" s="274" t="str">
        <x:v>Sum ApprovedAmount for the matched claim.</x:v>
      </x:c>
      <x:c r="D9" s="274" t="str">
        <x:v>WORKSPACE.GetBonus_ABC</x:v>
      </x:c>
      <x:c r="E9" s="277" t="str">
        <x:v>Four exact claims were linked to Jan-March assignments; 1,439 April-July executions were recovered separately.</x:v>
      </x:c>
    </x:row>
    <x:row r="10">
      <x:c r="A10" s="289" t="str">
        <x:v>Reactivation eligible</x:v>
      </x:c>
      <x:c r="B10" s="274" t="str">
        <x:v>A previous depositor who had become inactive before the offer.</x:v>
      </x:c>
      <x:c r="C10" s="274" t="str">
        <x:v>Prior depositor = Yes AND approved deposits in the 30 days before assignment = MYR 0.</x:v>
      </x:c>
      <x:c r="D10" s="274" t="str">
        <x:v>WORKSPACE.Daily_GMT8_Snapshot_A</x:v>
      </x:c>
      <x:c r="E10" s="277" t="str">
        <x:v>30 days is the reporting default used here; obtain formal WS1 policy approval if required.</x:v>
      </x:c>
    </x:row>
    <x:row r="11">
      <x:c r="A11" s="289" t="str">
        <x:v>Reactivated within 7 days</x:v>
      </x:c>
      <x:c r="B11" s="274" t="str">
        <x:v>An eligible dormant member who deposited soon after the offer.</x:v>
      </x:c>
      <x:c r="C11" s="274" t="str">
        <x:v>Eligible = Yes AND approved deposit amount from day 0 to day 6 &gt; MYR 0.</x:v>
      </x:c>
      <x:c r="D11" s="274" t="str">
        <x:v>WORKSPACE.Daily_GMT8_Snapshot_A</x:v>
      </x:c>
      <x:c r="E11" s="277" t="str">
        <x:v>Primary operational response window.</x:v>
      </x:c>
    </x:row>
    <x:row r="12">
      <x:c r="A12" s="289" t="str">
        <x:v>Reactivated within 14 days</x:v>
      </x:c>
      <x:c r="B12" s="274" t="str">
        <x:v>An eligible dormant member who deposited within the broader follow-up window.</x:v>
      </x:c>
      <x:c r="C12" s="274" t="str">
        <x:v>Eligible = Yes AND approved deposit amount from day 0 to day 13 &gt; MYR 0.</x:v>
      </x:c>
      <x:c r="D12" s="274" t="str">
        <x:v>WORKSPACE.Daily_GMT8_Snapshot_A</x:v>
      </x:c>
      <x:c r="E12" s="277" t="str">
        <x:v>Secondary sensitivity view; do not combine it with the 7-day count.</x:v>
      </x:c>
    </x:row>
    <x:row r="13">
      <x:c r="A13" s="289" t="str">
        <x:v>Post-offer NGR</x:v>
      </x:c>
      <x:c r="B13" s="274" t="str">
        <x:v>NGR observed after the assignment or recovered execution anchor.</x:v>
      </x:c>
      <x:c r="C13" s="274" t="str">
        <x:v>Sum database NGR for day 0-6 or day 0-13 from the relevant anchor.</x:v>
      </x:c>
      <x:c r="D13" s="274" t="str">
        <x:v>WORKSPACE.Daily_GMT8_Snapshot_A</x:v>
      </x:c>
      <x:c r="E13" s="277" t="str">
        <x:v>Observed timing is not causal attribution.</x:v>
      </x:c>
    </x:row>
    <x:row r="14">
      <x:c r="A14" s="289" t="str">
        <x:v>Attributed NGR</x:v>
      </x:c>
      <x:c r="B14" s="274" t="str">
        <x:v>The incremental NGR that can reasonably be credited to the campaign.</x:v>
      </x:c>
      <x:c r="C14" s="274" t="str">
        <x:v>Requires an approved control/holdout or equivalent attribution method.</x:v>
      </x:c>
      <x:c r="D14" s="274" t="str">
        <x:v>Not available in current source</x:v>
      </x:c>
      <x:c r="E14" s="277" t="str">
        <x:v>Intentionally blank throughout the tracker.</x:v>
      </x:c>
    </x:row>
    <x:row r="15">
      <x:c r="A15" s="289" t="str">
        <x:v>TL / team</x:v>
      </x:c>
      <x:c r="B15" s="274" t="str">
        <x:v>The confirmed reporting owner for each handler.</x:v>
      </x:c>
      <x:c r="C15" s="274" t="str">
        <x:v>VLOOKUP from Handler-Team Map.</x:v>
      </x:c>
      <x:c r="D15" s="274" t="str">
        <x:v>Pending confirmation from relevant TLs</x:v>
      </x:c>
      <x:c r="E15" s="277" t="str">
        <x:v>Do not infer a team from promo-code prefixes.</x:v>
      </x:c>
    </x:row>
    <x:row r="16">
      <x:c r="A16" s="290" t="str">
        <x:v>Recovered handler fields</x:v>
      </x:c>
      <x:c r="B16" s="275" t="str">
        <x:v>The handler shown on the 2026-05-04 WS1 snapshot, plus the latest handler in the assignment log.</x:v>
      </x:c>
      <x:c r="C16" s="275" t="str">
        <x:v>Reference only; Team and TL still come from Handler-Team Map.</x:v>
      </x:c>
      <x:c r="D16" s="275" t="str">
        <x:v>WS1 tab and HandlerAssignmentLog</x:v>
      </x:c>
      <x:c r="E16" s="278" t="str">
        <x:v>Neither field proves who owned the member on the execution date.</x:v>
      </x:c>
    </x:row>
    <x:row r="17">
      <x:c r="A17" s="130" t="str">
        <x:v>Source links and technical scope</x:v>
      </x:c>
      <x:c r="B17" s="130"/>
      <x:c r="C17" s="130"/>
      <x:c r="D17" s="130"/>
      <x:c r="E17" s="130"/>
    </x:row>
    <x:row r="18">
      <x:c r="A18" s="288" t="str">
        <x:v>Campaign source sheet</x:v>
      </x:c>
      <x:c r="B18" s="276" t="str">
        <x:v>https://docs.google.com/spreadsheets/d/1AAMS0p_aEjiomCxWqYlhTFqbTCKaf5FNC_2zYomKGRQ/edit?gid=635785028</x:v>
      </x:c>
      <x:c r="C18" s="134"/>
      <x:c r="D18" s="134"/>
      <x:c r="E18" s="134"/>
    </x:row>
    <x:row r="19">
      <x:c r="A19" s="289" t="str">
        <x:v>ClickHouse member source</x:v>
      </x:c>
      <x:c r="B19" s="277" t="str">
        <x:v>WORKSPACE.Members_Overview_ABC</x:v>
      </x:c>
      <x:c r="C19" s="134"/>
      <x:c r="D19" s="134"/>
      <x:c r="E19" s="134"/>
    </x:row>
    <x:row r="20">
      <x:c r="A20" s="289" t="str">
        <x:v>ClickHouse bonus source</x:v>
      </x:c>
      <x:c r="B20" s="277" t="str">
        <x:v>WORKSPACE.GetBonus_ABC</x:v>
      </x:c>
      <x:c r="C20" s="134"/>
      <x:c r="D20" s="134"/>
      <x:c r="E20" s="134"/>
    </x:row>
    <x:row r="21">
      <x:c r="A21" s="290" t="str">
        <x:v>ClickHouse daily outcome source</x:v>
      </x:c>
      <x:c r="B21" s="278" t="str">
        <x:v>WORKSPACE.Daily_GMT8_Snapshot_A</x:v>
      </x:c>
      <x:c r="C21" s="134"/>
      <x:c r="D21" s="134"/>
      <x:c r="E21" s="134"/>
    </x:row>
    <x:row r="22">
      <x:c r="A22" s="134"/>
      <x:c r="B22" s="134"/>
      <x:c r="C22" s="134"/>
      <x:c r="D22" s="134"/>
      <x:c r="E22" s="134"/>
    </x:row>
    <x:row r="23">
      <x:c r="A23" s="134"/>
      <x:c r="B23" s="134"/>
      <x:c r="C23" s="134"/>
      <x:c r="D23" s="134"/>
      <x:c r="E23" s="134"/>
    </x:row>
    <x:row r="24">
      <x:c r="A24" s="209" t="str">
        <x:v>Recommended presentation wording: 'January to March is assignment-based, so we can measure offer-to-claim conversion. April to July was recovered from ClickHouse execution records: 1,439 bonuses across 592 members, costing MYR 657,328. These records prove execution and cost but do not show the members who were offered and did not claim. Deposit and NGR remain post-event observations, while attributed NGR stays blank until Analytics validates the model.'</x:v>
      </x:c>
      <x:c r="B24" s="210"/>
      <x:c r="C24" s="210"/>
      <x:c r="D24" s="210"/>
      <x:c r="E24" s="211"/>
    </x:row>
    <x:row r="25">
      <x:c r="A25" s="212"/>
      <x:c r="B25" s="213"/>
      <x:c r="C25" s="213"/>
      <x:c r="D25" s="213"/>
      <x:c r="E25" s="214"/>
    </x:row>
    <x:row r="26">
      <x:c r="A26" s="212"/>
      <x:c r="B26" s="213"/>
      <x:c r="C26" s="213"/>
      <x:c r="D26" s="213"/>
      <x:c r="E26" s="214"/>
    </x:row>
    <x:row r="27">
      <x:c r="A27" s="215"/>
      <x:c r="B27" s="216"/>
      <x:c r="C27" s="216"/>
      <x:c r="D27" s="216"/>
      <x:c r="E27" s="217"/>
    </x:row>
  </x:sheetData>
  <x:mergeCells>
    <x:mergeCell ref="A1:E2"/>
    <x:mergeCell ref="A17:E17"/>
    <x:mergeCell ref="A24:E27"/>
  </x:mergeCells>
  <x:pageMargins left="0.7" right="0.7" top="0.75" bottom="0.75" header="0.3" footer="0.3"/>
</x:worksheet>
</file>