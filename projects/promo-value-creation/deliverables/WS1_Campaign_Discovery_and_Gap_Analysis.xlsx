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3ecc5e867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d2685cbac14b1e"/>
    <x:sheet xmlns:r="http://schemas.openxmlformats.org/officeDocument/2006/relationships" name="Campaign Inventory" sheetId="2" r:id="Re4a0bec14fc14982"/>
    <x:sheet xmlns:r="http://schemas.openxmlformats.org/officeDocument/2006/relationships" name="Gap Summary" sheetId="3" r:id="R0e1ba2f795de4257"/>
    <x:sheet xmlns:r="http://schemas.openxmlformats.org/officeDocument/2006/relationships" name="Segment Map" sheetId="4" r:id="Rd8ccc4b5f0f84438"/>
    <x:sheet xmlns:r="http://schemas.openxmlformats.org/officeDocument/2006/relationships" name="Data Source Map" sheetId="5" r:id="Rd1c9dbb6165943e1"/>
    <x:sheet xmlns:r="http://schemas.openxmlformats.org/officeDocument/2006/relationships" name="Action Tracker" sheetId="6" r:id="Reecd4e408b294cf7"/>
    <x:sheet xmlns:r="http://schemas.openxmlformats.org/officeDocument/2006/relationships" name="Lists" sheetId="7" r:id="R75ef1200068a4ba5"/>
  </x:sheets>
  <x:definedNames>
    <x:definedName name="Brands">'Lists'!$A$2:$A$2</x:definedName>
    <x:definedName name="CampaignSources">'Lists'!$B$2:$B$8</x:definedName>
    <x:definedName name="CampaignCategories">'Lists'!$C$2:$C$12</x:definedName>
    <x:definedName name="CampaignStatuses">'Lists'!$D$2:$D$9</x:definedName>
    <x:definedName name="Frequencies">'Lists'!$E$2:$E$10</x:definedName>
    <x:definedName name="ObjectiveClarityStatuses">'Lists'!$F$2:$F$5</x:definedName>
    <x:definedName name="SegmentClarityStatuses">'Lists'!$G$2:$G$6</x:definedName>
    <x:definedName name="DataAvailabilityStatuses">'Lists'!$H$2:$H$6</x:definedName>
    <x:definedName name="GapSeverities">'Lists'!$I$2:$I$6</x:definedName>
    <x:definedName name="ClarificationStatuses">'Lists'!$J$2:$J$7</x:definedName>
    <x:definedName name="RecommendedActions">'Lists'!$K$2:$K$14</x:definedName>
    <x:definedName name="DeliveryChannels">'Lists'!$L$2:$L$12</x:definedName>
    <x:definedName name="QCStatuses">'Lists'!$M$2:$M$7</x:definedName>
    <x:definedName name="OwnerGroups">'Lists'!$N$2:$N$9</x:definedName>
    <x:definedName name="Priorities">'Lists'!$O$2:$O$5</x:definedName>
    <x:definedName name="ActionStatuses">'Lists'!$P$2:$P$7</x:definedName>
    <x:definedName name="BonusTypes">'Lists'!$Q$2:$Q$10</x:definedName>
    <x:definedName name="Currencies">'Lists'!$R$2:$R$6</x:definedName>
    <x:definedName name="Products">'Lists'!$S$2:$S$9</x:definedName>
    <x:definedName name="VIPTiers">'Lists'!$T$2:$T$9</x:definedName>
    <x:definedName name="PlayerActivityStatuses">'Lists'!$U$2:$U$8</x:definedName>
    <x:definedName name="YesNoUnknown">'Lists'!$V$2:$V$4</x:definedName>
    <x:definedName name="RecurringStatuses">'Lists'!$W$2:$W$4</x:definedName>
    <x:definedName name="ObjectiveSources">'Lists'!$X$2:$X$6</x:definedName>
    <x:definedName name="MechanicGapStatuses">'Lists'!$Y$2:$Y$6</x:definedName>
    <x:definedName name="MeasurementStatuses">'Lists'!$Z$2:$Z$5</x:definedName>
    <x:definedName name="DataQualityStatuses">'Lists'!$AA$2:$AA$6</x:definedName>
    <x:definedName name="DataMapStatuses">'Lists'!$AB$2:$AB$7</x:definedName>
    <x:definedName name="AccessStatuses">'Lists'!$AC$2:$AC$5</x:definedName>
    <x:definedName name="OverlapRisks">'Lists'!$AD$2:$AD$6</x:definedName>
    <x:definedName name="FilterAllBrands">'Lists'!$AE$2:$AE$3</x:definedName>
    <x:definedName name="ReadyThreshold">'Lists'!$AH$2:$AH$2</x:definedName>
    <x:definedName name="PartialThreshold">'Lists'!$AH$3:$AH$3</x:definedName>
    <x:definedName name="FilterCategories">'Lists'!$AI$2:$AI$13</x:definedName>
    <x:definedName name="FilterSources">'Lists'!$AJ$2:$AJ$9</x:definedName>
    <x:definedName name="FilterOwners">'Lists'!$AK$2:$AK$10</x:definedName>
    <x:definedName name="FilterSeverities">'Lists'!$AL$2:$AL$7</x:definedName>
    <x:definedName name="FilterStatuses">'Lists'!$AM$2:$AM$10</x:definedName>
  </x:definedNames>
</x:workbook>
</file>

<file path=xl/comments1.xml><?xml version="1.0" encoding="utf-8"?>
<x:comments xmlns:x="http://schemas.openxmlformats.org/spreadsheetml/2006/main">
  <x:authors>
    <x:author>User</x:author>
  </x:authors>
  <x:commentList>
    <x:comment ref="BG6" authorId="0">
      <x:text>
        <x:r>
          <x:t>Calculated from objective, expected behaviour, success measure and planned target.</x:t>
        </x:r>
      </x:text>
    </x:comment>
    <x:comment ref="BH6" authorId="0">
      <x:text>
        <x:r>
          <x:t>Calculated from target segment, actual criteria, at least one player/behaviour criterion, and exclusions.</x:t>
        </x:r>
      </x:text>
    </x:comment>
    <x:comment ref="BI6" authorId="0">
      <x:text>
        <x:r>
          <x:t>Available=1, Partial=0.5 for claim, promo cost, deposit, NGR and reactivation data, plus a named data owner.</x:t>
        </x:r>
      </x:text>
    </x:comment>
    <x:comment ref="BJ6" authorId="0">
      <x:text>
        <x:r>
          <x:t>Uses editable thresholds stored on the hidden Lists tab; blocked when both campaign owner and data owner are missing.</x:t>
        </x:r>
      </x:text>
    </x:comment>
    <x:comment ref="BP6" authorId="0">
      <x:text>
        <x:r>
          <x:t>Flag when campaigns target similar players with similar mechanics or timing.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&quot;%&quot;"/>
  </x:numFmts>
  <x:fonts count="13">
    <x:font>
      <x:sz val="11"/>
      <x:color theme="1"/>
      <x:name val="Calibri"/>
    </x:font>
    <x:font>
      <x:b/>
      <x:color rgb="FFFFFFFF"/>
    </x:font>
    <x:font>
      <x:b/>
      <x:sz val="20"/>
      <x:color rgb="FFFFFFFF"/>
      <x:name val="Aptos Display"/>
    </x:font>
    <x:font>
      <x:i/>
      <x:sz val="10"/>
      <x:color rgb="FF252A34"/>
      <x:name val="Aptos"/>
    </x:font>
    <x:font>
      <x:b/>
      <x:sz val="13"/>
      <x:color rgb="FF172033"/>
      <x:name val="Aptos"/>
    </x:font>
    <x:font>
      <x:b/>
      <x:sz val="10"/>
      <x:color rgb="FFFFFFFF"/>
      <x:name val="Aptos"/>
    </x:font>
    <x:font>
      <x:b/>
      <x:color rgb="FFBF9440"/>
    </x:font>
    <x:font>
      <x:b/>
      <x:color rgb="FF8A5E12"/>
    </x:font>
    <x:font>
      <x:b/>
      <x:color rgb="FF252A34"/>
    </x:font>
    <x:font>
      <x:b/>
      <x:sz val="9"/>
      <x:color rgb="FFFFFFFF"/>
      <x:name val="Aptos"/>
    </x:font>
    <x:font>
      <x:sz val="9"/>
      <x:color rgb="FF252A34"/>
      <x:name val="Aptos"/>
    </x:font>
    <x:font>
      <x:b/>
      <x:sz val="9"/>
      <x:color rgb="FF252A34"/>
      <x:name val="Aptos"/>
    </x:font>
    <x:font>
      <x:b/>
      <x:sz val="17"/>
      <x:color rgb="FF172033"/>
      <x:name val="Aptos Display"/>
    </x:font>
  </x:fonts>
  <x:fills count="13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0DC"/>
      </x:patternFill>
    </x:fill>
    <x:fill>
      <x:patternFill patternType="solid">
        <x:fgColor rgb="FFBF9440"/>
      </x:patternFill>
    </x:fill>
    <x:fill>
      <x:patternFill patternType="solid">
        <x:fgColor rgb="FFFFF0CE"/>
      </x:patternFill>
    </x:fill>
    <x:fill>
      <x:patternFill patternType="solid">
        <x:fgColor rgb="FFFFFFFF"/>
      </x:patternFill>
    </x:fill>
    <x:fill>
      <x:patternFill patternType="solid">
        <x:fgColor rgb="FFFFF9E8"/>
      </x:patternFill>
    </x:fill>
    <x:fill>
      <x:patternFill patternType="solid">
        <x:fgColor rgb="FFEAF1F7"/>
      </x:patternFill>
    </x:fill>
    <x:fill>
      <x:patternFill patternType="solid">
        <x:fgColor rgb="FFF9DEDC"/>
      </x:patternFill>
    </x:fill>
    <x:fill>
      <x:patternFill patternType="solid">
        <x:fgColor rgb="FFFCE7C8"/>
      </x:patternFill>
    </x:fill>
    <x:fill>
      <x:patternFill patternType="solid">
        <x:fgColor rgb="FFDFF0E5"/>
      </x:patternFill>
    </x:fill>
    <x:fill>
      <x:patternFill patternType="solid">
        <x:fgColor rgb="FFECEEF2"/>
      </x:patternFill>
    </x:fill>
  </x:fills>
  <x:borders count="3">
    <x:border/>
    <x:border>
      <x:bottom style="thin">
        <x:color rgb="FFD9DEE7"/>
      </x:bottom>
    </x:border>
    <x:border>
      <x:bottom style="medium">
        <x:color rgb="FFBF944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2" fillId="2" borderId="0" xfId="0" applyAlignment="1">
      <x:alignment vertical="center"/>
    </x:xf>
    <x:xf numFmtId="0" fontId="3" fillId="3" borderId="0" xfId="0" applyAlignment="1">
      <x:alignment vertical="center" wrapText="1"/>
    </x:xf>
    <x:xf numFmtId="0" fontId="4" fillId="3" borderId="0" xfId="0" applyAlignment="1">
      <x:alignment horizontal="center" vertical="center" wrapText="1"/>
    </x:xf>
    <x:xf numFmtId="0" fontId="5" fillId="4" borderId="0" xfId="0" applyAlignment="1">
      <x:alignment vertical="center"/>
    </x:xf>
    <x:xf numFmtId="0" fontId="6" fillId="0" borderId="0" xfId="0"/>
    <x:xf numFmtId="0" fontId="0" fillId="0" borderId="1" xfId="0" applyAlignment="1">
      <x:alignment wrapText="1"/>
    </x:xf>
    <x:xf numFmtId="0" fontId="7" fillId="5" borderId="0" xfId="0" applyAlignment="1">
      <x:alignment vertical="center" wrapText="1"/>
    </x:xf>
    <x:xf numFmtId="0" fontId="8" fillId="3" borderId="1" xfId="0"/>
    <x:xf numFmtId="0" fontId="0" fillId="6" borderId="1" xfId="0" applyAlignment="1">
      <x:alignment wrapText="1"/>
    </x:xf>
    <x:xf numFmtId="0" fontId="0" fillId="7" borderId="0" xfId="0"/>
    <x:xf numFmtId="0" fontId="0" fillId="8" borderId="0" xfId="0"/>
    <x:xf numFmtId="0" fontId="0" fillId="9" borderId="0" xfId="0"/>
    <x:xf numFmtId="0" fontId="0" fillId="10" borderId="0" xfId="0"/>
    <x:xf numFmtId="0" fontId="0" fillId="11" borderId="0" xfId="0"/>
    <x:xf numFmtId="0" fontId="1" fillId="4" borderId="0" xfId="0" applyAlignment="1">
      <x:alignment horizontal="center"/>
    </x:xf>
    <x:xf numFmtId="0" fontId="9" fillId="2" borderId="2" xfId="0" applyAlignment="1">
      <x:alignment vertical="center" wrapText="1"/>
    </x:xf>
    <x:xf numFmtId="0" fontId="10" fillId="7" borderId="1" xfId="0" applyAlignment="1">
      <x:alignment vertical="top" wrapText="1"/>
    </x:xf>
    <x:xf numFmtId="0" fontId="10" fillId="10" borderId="1" xfId="0" applyAlignment="1">
      <x:alignment vertical="top" wrapText="1"/>
    </x:xf>
    <x:xf numFmtId="164" fontId="10" fillId="7" borderId="1" xfId="0" applyAlignment="1">
      <x:alignment vertical="top" wrapText="1"/>
    </x:xf>
    <x:xf numFmtId="165" fontId="10" fillId="7" borderId="1" xfId="0" applyAlignment="1">
      <x:alignment vertical="top" wrapText="1"/>
    </x:xf>
    <x:xf numFmtId="4" fontId="10" fillId="7" borderId="1" xfId="0" applyAlignment="1">
      <x:alignment vertical="top" wrapText="1"/>
    </x:xf>
    <x:xf numFmtId="0" fontId="10" fillId="8" borderId="1" xfId="0" applyAlignment="1">
      <x:alignment vertical="top" wrapText="1"/>
    </x:xf>
    <x:xf numFmtId="9" fontId="10" fillId="8" borderId="1" xfId="0" applyAlignment="1">
      <x:alignment vertical="top" wrapText="1"/>
    </x:xf>
    <x:xf numFmtId="0" fontId="8" fillId="0" borderId="0" xfId="0"/>
    <x:xf numFmtId="0" fontId="11" fillId="12" borderId="0" xfId="0" applyAlignment="1">
      <x:alignment horizontal="center" vertical="center" wrapText="1"/>
    </x:xf>
    <x:xf numFmtId="1" fontId="12" fillId="6" borderId="0" xfId="0" applyAlignment="1">
      <x:alignment horizontal="center" vertical="center"/>
    </x:xf>
    <x:xf numFmtId="164" fontId="10" fillId="10" borderId="1" xfId="0" applyAlignment="1">
      <x:alignment vertical="top" wrapText="1"/>
    </x:xf>
    <x:xf numFmtId="9" fontId="12" fillId="6" borderId="0" xfId="0" applyAlignment="1">
      <x:alignment horizontal="center" vertical="center"/>
    </x:xf>
    <x:xf numFmtId="0" fontId="1" fillId="2" borderId="0" xfId="0"/>
    <x:xf numFmtId="9" fontId="0" fillId="0" borderId="0" xfId="0"/>
  </x:cellXfs>
  <x:cellStyles count="1">
    <x:cellStyle name="Normal" xfId="0"/>
  </x:cellStyles>
  <x:dxfs count="6">
    <x:dxf>
      <x:font>
        <x:b/>
        <x:color rgb="00A33A32"/>
      </x:font>
      <x:fill>
        <x:patternFill>
          <x:bgColor rgb="00F9DEDC"/>
        </x:patternFill>
      </x:fill>
    </x:dxf>
    <x:dxf>
      <x:font>
        <x:b/>
        <x:color rgb="008A5E12"/>
      </x:font>
      <x:fill>
        <x:patternFill>
          <x:bgColor rgb="00FFF0CE"/>
        </x:patternFill>
      </x:fill>
    </x:dxf>
    <x:dxf>
      <x:fill>
        <x:patternFill>
          <x:bgColor rgb="00F9DEDC"/>
        </x:patternFill>
      </x:fill>
    </x:dxf>
    <x:dxf>
      <x:font>
        <x:b/>
        <x:color rgb="0028623D"/>
      </x:font>
      <x:fill>
        <x:patternFill>
          <x:bgColor rgb="00DFF0E5"/>
        </x:patternFill>
      </x:fill>
    </x:dxf>
    <x:dxf>
      <x:fill>
        <x:patternFill>
          <x:bgColor rgb="00FFF0CE"/>
        </x:patternFill>
      </x:fill>
    </x:dxf>
    <x:dxf>
      <x:fill>
        <x:patternFill>
          <x:bgColor rgb="00DFF0E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6bf3cd3e944f8" /><Relationship Type="http://schemas.openxmlformats.org/officeDocument/2006/relationships/theme" Target="/xl/theme/theme1.xml" Id="R29e8f83cd0554517" /><Relationship Type="http://schemas.openxmlformats.org/officeDocument/2006/relationships/sharedStrings" Target="/xl/sharedStrings.xml" Id="Ra40803fa120d4a82" /><Relationship Type="http://schemas.openxmlformats.org/officeDocument/2006/relationships/worksheet" Target="/xl/worksheets/sheet1.xml" Id="Rbdd2685cbac14b1e" /><Relationship Type="http://schemas.openxmlformats.org/officeDocument/2006/relationships/worksheet" Target="/xl/worksheets/sheet2.xml" Id="Re4a0bec14fc14982" /><Relationship Type="http://schemas.openxmlformats.org/officeDocument/2006/relationships/worksheet" Target="/xl/worksheets/sheet3.xml" Id="R0e1ba2f795de4257" /><Relationship Type="http://schemas.openxmlformats.org/officeDocument/2006/relationships/worksheet" Target="/xl/worksheets/sheet4.xml" Id="Rd8ccc4b5f0f84438" /><Relationship Type="http://schemas.openxmlformats.org/officeDocument/2006/relationships/worksheet" Target="/xl/worksheets/sheet5.xml" Id="Rd1c9dbb6165943e1" /><Relationship Type="http://schemas.openxmlformats.org/officeDocument/2006/relationships/worksheet" Target="/xl/worksheets/sheet6.xml" Id="Reecd4e408b294cf7" /><Relationship Type="http://schemas.openxmlformats.org/officeDocument/2006/relationships/worksheet" Target="/xl/worksheets/sheet7.xml" Id="R75ef1200068a4ba5" /><Relationship Type="http://schemas.microsoft.com/office/2017/10/relationships/person" Target="/xl/persons/person.xml" Id="Re8dbe9e2566c4e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e7cf6c42dd475e" /><Relationship Type="http://schemas.openxmlformats.org/officeDocument/2006/relationships/chart" Target="/xl/drawings/charts/chart2.xml" Id="Rbbc33bbe5a314e0a" /><Relationship Type="http://schemas.openxmlformats.org/officeDocument/2006/relationships/chart" Target="/xl/drawings/charts/chart3.xml" Id="R445c5e51a4c44278" /><Relationship Type="http://schemas.openxmlformats.org/officeDocument/2006/relationships/chart" Target="/xl/drawings/charts/chart4.xml" Id="R83fb9f9dfdfc4083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Campaigns by category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'Gap Summary'!AB2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'Gap Summary'!$AA$3:$AA$13</c:f>
              <c:strCache>
                <c:ptCount val="0"/>
              </c:strCache>
            </c:strRef>
          </c:cat>
          <c:val>
            <c:numRef>
              <c:f>'Gap Summary'!$AB$3:$AB$13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Campaign count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Objective clarity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'Gap Summary'!AE2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'Gap Summary'!$AD$3:$AD$6</c:f>
              <c:strCache>
                <c:ptCount val="0"/>
              </c:strCache>
            </c:strRef>
          </c:cat>
          <c:val>
            <c:numRef>
              <c:f>'Gap Summary'!$AE$3:$AE$6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Campaign count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3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Segment clarity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'Gap Summary'!AH2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'Gap Summary'!$AG$3:$AG$7</c:f>
              <c:strCache>
                <c:ptCount val="0"/>
              </c:strCache>
            </c:strRef>
          </c:cat>
          <c:val>
            <c:numRef>
              <c:f>'Gap Summary'!$AH$3:$AH$7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Campaign count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4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Measurement readiness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'Gap Summary'!AK2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'Gap Summary'!$AJ$3:$AJ$6</c:f>
              <c:strCache>
                <c:ptCount val="0"/>
              </c:strCache>
            </c:strRef>
          </c:cat>
          <c:val>
            <c:numRef>
              <c:f>'Gap Summary'!$AK$3:$AK$6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Campaign count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27</xdr:row>
      <xdr:rowOff>0</xdr:rowOff>
    </xdr:from>
    <xdr:ext cx="5040000" cy="2592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e7cf6c42dd475e"/>
        </a:graphicData>
      </a:graphic>
    </xdr:graphicFrame>
    <xdr:clientData/>
  </xdr:oneCellAnchor>
  <xdr:oneCellAnchor>
    <xdr:from>
      <xdr:col>9</xdr:col>
      <xdr:colOff>0</xdr:colOff>
      <xdr:row>27</xdr:row>
      <xdr:rowOff>0</xdr:rowOff>
    </xdr:from>
    <xdr:ext cx="5040000" cy="2592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c33bbe5a314e0a"/>
        </a:graphicData>
      </a:graphic>
    </xdr:graphicFrame>
    <xdr:clientData/>
  </xdr:oneCellAnchor>
  <xdr:oneCellAnchor>
    <xdr:from>
      <xdr:col>0</xdr:col>
      <xdr:colOff>0</xdr:colOff>
      <xdr:row>44</xdr:row>
      <xdr:rowOff>0</xdr:rowOff>
    </xdr:from>
    <xdr:ext cx="5040000" cy="2592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5c5e51a4c44278"/>
        </a:graphicData>
      </a:graphic>
    </xdr:graphicFrame>
    <xdr:clientData/>
  </xdr:oneCellAnchor>
  <xdr:oneCellAnchor>
    <xdr:from>
      <xdr:col>9</xdr:col>
      <xdr:colOff>0</xdr:colOff>
      <xdr:row>44</xdr:row>
      <xdr:rowOff>0</xdr:rowOff>
    </xdr:from>
    <xdr:ext cx="5040000" cy="2592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fb9f9dfdfc4083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User" id="{34B3E1F0-C00E-9168-0334-EBEFBAB02020}"/>
</xltc:personList>
</file>

<file path=xl/tables/table1.xml><?xml version="1.0" encoding="utf-8"?>
<x:table xmlns:x="http://schemas.openxmlformats.org/spreadsheetml/2006/main" id="1" name="tblCampaignInventory" displayName="tblCampaignInventory" ref="A6:BV306" headerRowCount="1">
  <x:autoFilter ref="A6:BV306"/>
  <x:tableColumns count="74">
    <x:tableColumn id="1" name="Campaign ID"/>
    <x:tableColumn id="2" name="Brand"/>
    <x:tableColumn id="3" name="Campaign name"/>
    <x:tableColumn id="4" name="Campaign source"/>
    <x:tableColumn id="5" name="Requesting stakeholder or team"/>
    <x:tableColumn id="6" name="Campaign owner"/>
    <x:tableColumn id="7" name="Promo PIC"/>
    <x:tableColumn id="8" name="Campaign status"/>
    <x:tableColumn id="9" name="Campaign start date"/>
    <x:tableColumn id="10" name="Campaign end date"/>
    <x:tableColumn id="11" name="Frequency"/>
    <x:tableColumn id="12" name="Last reviewed date"/>
    <x:tableColumn id="13" name="Campaign category"/>
    <x:tableColumn id="14" name="Stated campaign objective"/>
    <x:tableColumn id="15" name="Objective source"/>
    <x:tableColumn id="16" name="Objective clarity"/>
    <x:tableColumn id="17" name="Expected player behaviour"/>
    <x:tableColumn id="18" name="Planned success measure"/>
    <x:tableColumn id="19" name="Planned target"/>
    <x:tableColumn id="20" name="Business reason for campaign"/>
    <x:tableColumn id="21" name="Stated target segment"/>
    <x:tableColumn id="22" name="Actual segment criteria"/>
    <x:tableColumn id="23" name="Player activity status"/>
    <x:tableColumn id="24" name="Inactive-day criteria"/>
    <x:tableColumn id="25" name="Deposit-level criteria"/>
    <x:tableColumn id="26" name="VIP-tier criteria"/>
    <x:tableColumn id="27" name="Product-behaviour criteria"/>
    <x:tableColumn id="28" name="Source product"/>
    <x:tableColumn id="29" name="Target product"/>
    <x:tableColumn id="30" name="Geographic or currency segment"/>
    <x:tableColumn id="31" name="Exclusion criteria"/>
    <x:tableColumn id="32" name="Estimated targeted players"/>
    <x:tableColumn id="33" name="Segment clarity"/>
    <x:tableColumn id="34" name="Bonus type"/>
    <x:tableColumn id="35" name="Bonus percentage"/>
    <x:tableColumn id="36" name="Minimum deposit"/>
    <x:tableColumn id="37" name="Maximum bonus cap"/>
    <x:tableColumn id="38" name="Turnover requirement"/>
    <x:tableColumn id="39" name="Maximum claims per player"/>
    <x:tableColumn id="40" name="Campaign budget"/>
    <x:tableColumn id="41" name="Currency"/>
    <x:tableColumn id="42" name="Delivery channel"/>
    <x:tableColumn id="43" name="Promo code"/>
    <x:tableColumn id="44" name="Recurring or one-time"/>
    <x:tableColumn id="45" name="Abuse control"/>
    <x:tableColumn id="46" name="QC status"/>
    <x:tableColumn id="47" name="Result data available"/>
    <x:tableColumn id="48" name="Claim data available"/>
    <x:tableColumn id="49" name="Promo-cost data available"/>
    <x:tableColumn id="50" name="Deposit data available"/>
    <x:tableColumn id="51" name="NGR data available"/>
    <x:tableColumn id="52" name="Reactivation data available"/>
    <x:tableColumn id="53" name="Cross-product data available"/>
    <x:tableColumn id="54" name="Post-campaign behaviour available"/>
    <x:tableColumn id="55" name="Data source"/>
    <x:tableColumn id="56" name="Data owner"/>
    <x:tableColumn id="57" name="Data last updated"/>
    <x:tableColumn id="58" name="Measurement readiness"/>
    <x:tableColumn id="59" name="Objective completeness score"/>
    <x:tableColumn id="60" name="Segment completeness score"/>
    <x:tableColumn id="61" name="Measurement readiness score"/>
    <x:tableColumn id="62" name="Overall readiness"/>
    <x:tableColumn id="63" name="Objective gap"/>
    <x:tableColumn id="64" name="Segment gap"/>
    <x:tableColumn id="65" name="Mechanic gap"/>
    <x:tableColumn id="66" name="Ownership gap"/>
    <x:tableColumn id="67" name="Data gap"/>
    <x:tableColumn id="68" name="Duplicate or overlap risk"/>
    <x:tableColumn id="69" name="Main gap category"/>
    <x:tableColumn id="70" name="Gap severity"/>
    <x:tableColumn id="71" name="Recommended next action"/>
    <x:tableColumn id="72" name="Clarification required from"/>
    <x:tableColumn id="73" name="Clarification status"/>
    <x:tableColumn id="7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GapSummary" displayName="tblGapSummary" ref="A12:F25" headerRowCount="1">
  <x:autoFilter ref="A12:F25"/>
  <x:tableColumns count="6">
    <x:tableColumn id="1" name="Gap category"/>
    <x:tableColumn id="2" name="Number of campaigns"/>
    <x:tableColumn id="3" name="Percentage of campaigns"/>
    <x:tableColumn id="4" name="Example campaign"/>
    <x:tableColumn id="5" name="Business impact"/>
    <x:tableColumn id="6" name="Recommended respon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riorityCampaigns" displayName="tblPriorityCampaigns" ref="H12:Q24" headerRowCount="1">
  <x:autoFilter ref="H12:Q24"/>
  <x:tableColumns count="10">
    <x:tableColumn id="8" name="Campaign ID"/>
    <x:tableColumn id="9" name="Campaign name"/>
    <x:tableColumn id="10" name="Campaign category"/>
    <x:tableColumn id="11" name="Main gap"/>
    <x:tableColumn id="12" name="Severity"/>
    <x:tableColumn id="13" name="Business impact"/>
    <x:tableColumn id="14" name="Required clarification"/>
    <x:tableColumn id="15" name="PIC"/>
    <x:tableColumn id="16" name="Due date"/>
    <x:tableColumn id="1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SegmentMap" displayName="tblSegmentMap" ref="A5:W105" headerRowCount="1">
  <x:autoFilter ref="A5:W105"/>
  <x:tableColumns count="23">
    <x:tableColumn id="1" name="Segment ID"/>
    <x:tableColumn id="2" name="Segment name"/>
    <x:tableColumn id="3" name="Segment description"/>
    <x:tableColumn id="4" name="Player activity status"/>
    <x:tableColumn id="5" name="Inactive-day range"/>
    <x:tableColumn id="6" name="Deposit range"/>
    <x:tableColumn id="7" name="VIP tier"/>
    <x:tableColumn id="8" name="Primary product"/>
    <x:tableColumn id="9" name="Secondary product"/>
    <x:tableColumn id="10" name="Player behaviour"/>
    <x:tableColumn id="11" name="Exclusion criteria"/>
    <x:tableColumn id="12" name="Campaigns using this segment"/>
    <x:tableColumn id="13" name="Number of campaigns"/>
    <x:tableColumn id="14" name="Campaign categories used"/>
    <x:tableColumn id="15" name="Main objective"/>
    <x:tableColumn id="16" name="Segment owner"/>
    <x:tableColumn id="17" name="Data source"/>
    <x:tableColumn id="18" name="Segment currently available"/>
    <x:tableColumn id="19" name="Segment clarity"/>
    <x:tableColumn id="20" name="Overlap risk"/>
    <x:tableColumn id="21" name="Missing segment opportunity"/>
    <x:tableColumn id="22" name="Recommended action"/>
    <x:tableColumn id="2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DataSourceMap" displayName="tblDataSourceMap" ref="A7:R107" headerRowCount="1">
  <x:autoFilter ref="A7:R107"/>
  <x:tableColumns count="18">
    <x:tableColumn id="1" name="Data field"/>
    <x:tableColumn id="2" name="Business definition"/>
    <x:tableColumn id="3" name="Why it is needed"/>
    <x:tableColumn id="4" name="Primary owner"/>
    <x:tableColumn id="5" name="Supporting owner"/>
    <x:tableColumn id="6" name="Likely system or source"/>
    <x:tableColumn id="7" name="Available now"/>
    <x:tableColumn id="8" name="Access available"/>
    <x:tableColumn id="9" name="Extraction method"/>
    <x:tableColumn id="10" name="Update frequency"/>
    <x:tableColumn id="11" name="Data quality"/>
    <x:tableColumn id="12" name="Current status"/>
    <x:tableColumn id="13" name="Request date"/>
    <x:tableColumn id="14" name="Request sent to"/>
    <x:tableColumn id="15" name="Expected response date"/>
    <x:tableColumn id="16" name="Blocker"/>
    <x:tableColumn id="17" name="Next action"/>
    <x:tableColumn id="1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ActionTracker" displayName="tblActionTracker" ref="A7:R107" headerRowCount="1">
  <x:autoFilter ref="A7:R107"/>
  <x:tableColumns count="18">
    <x:tableColumn id="1" name="Action ID"/>
    <x:tableColumn id="2" name="Campaign ID"/>
    <x:tableColumn id="3" name="Campaign name"/>
    <x:tableColumn id="4" name="Gap category"/>
    <x:tableColumn id="5" name="Issue"/>
    <x:tableColumn id="6" name="Required action"/>
    <x:tableColumn id="7" name="Information required"/>
    <x:tableColumn id="8" name="Request to"/>
    <x:tableColumn id="9" name="PIC"/>
    <x:tableColumn id="10" name="Priority"/>
    <x:tableColumn id="11" name="Start date"/>
    <x:tableColumn id="12" name="Due date"/>
    <x:tableColumn id="13" name="Status"/>
    <x:tableColumn id="14" name="Response received"/>
    <x:tableColumn id="15" name="Resolution"/>
    <x:tableColumn id="16" name="Follow-up required"/>
    <x:tableColumn id="17" name="Last updated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6cc254365734fcb" /><Relationship Type="http://schemas.openxmlformats.org/officeDocument/2006/relationships/vmlDrawing" Target="/xl/drawings/vmldrawing.vml" Id="R00639e8239b34d1b" /><Relationship Type="http://schemas.openxmlformats.org/officeDocument/2006/relationships/table" Target="/xl/tables/table1.xml" Id="Rd6b8dd81aad045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d38d9deaa4b436d" /><Relationship Type="http://schemas.openxmlformats.org/officeDocument/2006/relationships/table" Target="/xl/tables/table2.xml" Id="Rdc111ff59f254237" /><Relationship Type="http://schemas.openxmlformats.org/officeDocument/2006/relationships/table" Target="/xl/tables/table3.xml" Id="Rbc11982329e845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77b31801fb848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c5c314c9614d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2685ea66dba40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7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</x:cols>
  <x:sheetData>
    <x:row r="1" ht="34" customHeight="1">
      <x:c r="A1" s="1" t="inlineStr">
        <x:is>
          <x:t xml:space="preserve">WS1 Campaign Discovery &amp; Gap Analysis</x:t>
        </x:is>
      </x:c>
    </x:row>
    <x:row r="2" ht="30" customHeight="1">
      <x:c r="A2" s="2" t="str">
        <x:v>Working workbook updated with real WS1 evidence observed from 2026-01-01 to 2026-07-23. Jan–Mar records are assignment-based; Apr–Jul records are approved bonus executions.</x:v>
      </x:c>
    </x:row>
    <x:row r="4">
      <x:c r="A4" s="3" t="inlineStr">
        <x:is>
          <x:t xml:space="preserve">This workbook is for campaign discovery and gap analysis only. It is not yet the final Promotion Performance Report.</x:t>
        </x:is>
      </x:c>
    </x:row>
    <x:row r="5"/>
    <x:row r="7" ht="22" customHeight="1">
      <x:c r="A7" s="4" t="inlineStr">
        <x:is>
          <x:t xml:space="preserve">RECOMMENDED WORKFLOW</x:t>
        </x:is>
      </x:c>
    </x:row>
    <x:row r="8">
      <x:c r="A8" s="5" t="n">
        <x:v>1</x:v>
      </x:c>
      <x:c r="B8" s="6" t="inlineStr">
        <x:is>
          <x:t xml:space="preserve">Collect all active and recently completed WS1 campaigns.</x:t>
        </x:is>
      </x:c>
    </x:row>
    <x:row r="9">
      <x:c r="A9" s="5" t="n">
        <x:v>2</x:v>
      </x:c>
      <x:c r="B9" s="6" t="inlineStr">
        <x:is>
          <x:t xml:space="preserve">Confirm the campaign source and owner.</x:t>
        </x:is>
      </x:c>
    </x:row>
    <x:row r="10">
      <x:c r="A10" s="5" t="n">
        <x:v>3</x:v>
      </x:c>
      <x:c r="B10" s="6" t="inlineStr">
        <x:is>
          <x:t xml:space="preserve">Confirm the original campaign objective.</x:t>
        </x:is>
      </x:c>
    </x:row>
    <x:row r="11">
      <x:c r="A11" s="5" t="n">
        <x:v>4</x:v>
      </x:c>
      <x:c r="B11" s="6" t="inlineStr">
        <x:is>
          <x:t xml:space="preserve">Confirm the intended target segment.</x:t>
        </x:is>
      </x:c>
    </x:row>
    <x:row r="12">
      <x:c r="A12" s="5" t="n">
        <x:v>5</x:v>
      </x:c>
      <x:c r="B12" s="6" t="inlineStr">
        <x:is>
          <x:t xml:space="preserve">Document the actual segment-selection criteria.</x:t>
        </x:is>
      </x:c>
    </x:row>
    <x:row r="13">
      <x:c r="A13" s="5" t="n">
        <x:v>6</x:v>
      </x:c>
      <x:c r="B13" s="6" t="inlineStr">
        <x:is>
          <x:t xml:space="preserve">Record the campaign mechanic, timing and channel.</x:t>
        </x:is>
      </x:c>
    </x:row>
    <x:row r="14">
      <x:c r="A14" s="5" t="n">
        <x:v>7</x:v>
      </x:c>
      <x:c r="B14" s="6" t="inlineStr">
        <x:is>
          <x:t xml:space="preserve">Record what result data is available.</x:t>
        </x:is>
      </x:c>
    </x:row>
    <x:row r="15">
      <x:c r="A15" s="5" t="n">
        <x:v>8</x:v>
      </x:c>
      <x:c r="B15" s="6" t="inlineStr">
        <x:is>
          <x:t xml:space="preserve">Identify gaps.</x:t>
        </x:is>
      </x:c>
    </x:row>
    <x:row r="16">
      <x:c r="A16" s="5" t="n">
        <x:v>9</x:v>
      </x:c>
      <x:c r="B16" s="6" t="inlineStr">
        <x:is>
          <x:t xml:space="preserve">Assign clarification actions.</x:t>
        </x:is>
      </x:c>
    </x:row>
    <x:row r="17">
      <x:c r="A17" s="5" t="n">
        <x:v>10</x:v>
      </x:c>
      <x:c r="B17" s="6" t="inlineStr">
        <x:is>
          <x:t xml:space="preserve">Select suitable campaigns for future performance analysis.</x:t>
        </x:is>
      </x:c>
    </x:row>
    <x:row r="19" ht="22" customHeight="1">
      <x:c r="A19" s="4" t="inlineStr">
        <x:is>
          <x:t xml:space="preserve">POSSIBLE INFORMATION SOURCES</x:t>
        </x:is>
      </x:c>
    </x:row>
    <x:row r="20">
      <x:c r="A20" t="str">
        <x:v>•</x:v>
      </x:c>
      <x:c r="B20" t="str">
        <x:v>VIP Overview assignment log</x:v>
      </x:c>
      <x:c r="D20" s="7" t="str">
        <x:v>Working rule: VM weekly promotions are classified as Retention until the source team confirms a different objective. Observed dates are evidence dates, not confirmed campaign schedules.</x:v>
      </x:c>
    </x:row>
    <x:row r="21">
      <x:c r="A21" t="str">
        <x:v>•</x:v>
      </x:c>
      <x:c r="B21" t="str">
        <x:v>WS1 Bonus Menu</x:v>
      </x:c>
    </x:row>
    <x:row r="22">
      <x:c r="A22" t="str">
        <x:v>•</x:v>
      </x:c>
      <x:c r="B22" t="str">
        <x:v>CSIR ClickHouse extracts</x:v>
      </x:c>
    </x:row>
    <x:row r="23">
      <x:c r="A23" t="str">
        <x:v>•</x:v>
      </x:c>
      <x:c r="B23" t="str">
        <x:v>Team-lead confirmation</x:v>
      </x:c>
    </x:row>
    <x:row r="24">
      <x:c r="A24" t="str">
        <x:v>•</x:v>
      </x:c>
      <x:c r="B24" t="str">
        <x:v>Stakeholder / Sales brief</x:v>
      </x:c>
    </x:row>
    <x:row r="25">
      <x:c r="A25" t="str">
        <x:v>•</x:v>
      </x:c>
      <x:c r="B25" t="str">
        <x:v>CK Analytics validation</x:v>
      </x:c>
    </x:row>
    <x:row r="27" ht="22" customHeight="1">
      <x:c r="A27" s="4" t="inlineStr">
        <x:is>
          <x:t xml:space="preserve">KEY DEFINITIONS</x:t>
        </x:is>
      </x:c>
    </x:row>
    <x:row r="28">
      <x:c r="A28" s="8" t="inlineStr">
        <x:is>
          <x:t xml:space="preserve">Campaign objective</x:t>
        </x:is>
      </x:c>
      <x:c r="B28" s="9" t="inlineStr">
        <x:is>
          <x:t xml:space="preserve">The specific business outcome the campaign is intended to support.</x:t>
        </x:is>
      </x:c>
    </x:row>
    <x:row r="29">
      <x:c r="A29" s="8" t="inlineStr">
        <x:is>
          <x:t xml:space="preserve">Target segment</x:t>
        </x:is>
      </x:c>
      <x:c r="B29" s="9" t="inlineStr">
        <x:is>
          <x:t xml:space="preserve">The player group the campaign is intended to reach.</x:t>
        </x:is>
      </x:c>
    </x:row>
    <x:row r="30">
      <x:c r="A30" s="8" t="inlineStr">
        <x:is>
          <x:t xml:space="preserve">Segment criteria</x:t>
        </x:is>
      </x:c>
      <x:c r="B30" s="9" t="inlineStr">
        <x:is>
          <x:t xml:space="preserve">The actual rules used to select eligible players.</x:t>
        </x:is>
      </x:c>
    </x:row>
    <x:row r="31">
      <x:c r="A31" s="8" t="inlineStr">
        <x:is>
          <x:t xml:space="preserve">Acquisition</x:t>
        </x:is>
      </x:c>
      <x:c r="B31" s="9" t="inlineStr">
        <x:is>
          <x:t xml:space="preserve">Campaigns intended to bring in new players or first depositors.</x:t>
        </x:is>
      </x:c>
    </x:row>
    <x:row r="32">
      <x:c r="A32" s="8" t="inlineStr">
        <x:is>
          <x:t xml:space="preserve">Retention</x:t>
        </x:is>
      </x:c>
      <x:c r="B32" s="9" t="inlineStr">
        <x:is>
          <x:t xml:space="preserve">Campaigns intended to keep existing active players engaged.</x:t>
        </x:is>
      </x:c>
    </x:row>
    <x:row r="33">
      <x:c r="A33" s="8" t="inlineStr">
        <x:is>
          <x:t xml:space="preserve">Reactivation</x:t>
        </x:is>
      </x:c>
      <x:c r="B33" s="9" t="inlineStr">
        <x:is>
          <x:t xml:space="preserve">Campaigns intended to bring inactive or lapsed players back.</x:t>
        </x:is>
      </x:c>
    </x:row>
    <x:row r="34">
      <x:c r="A34" s="8" t="inlineStr">
        <x:is>
          <x:t xml:space="preserve">Cross-product</x:t>
        </x:is>
      </x:c>
      <x:c r="B34" s="9" t="inlineStr">
        <x:is>
          <x:t xml:space="preserve">Campaigns intended to move players from one product to another.</x:t>
        </x:is>
      </x:c>
    </x:row>
    <x:row r="35">
      <x:c r="A35" s="8" t="inlineStr">
        <x:is>
          <x:t xml:space="preserve">VIP progression</x:t>
        </x:is>
      </x:c>
      <x:c r="B35" s="9" t="inlineStr">
        <x:is>
          <x:t xml:space="preserve">Campaigns intended to support movement to a higher value or VIP tier.</x:t>
        </x:is>
      </x:c>
    </x:row>
    <x:row r="36">
      <x:c r="A36" s="8" t="inlineStr">
        <x:is>
          <x:t xml:space="preserve">Campaign source</x:t>
        </x:is>
      </x:c>
      <x:c r="B36" s="9" t="inlineStr">
        <x:is>
          <x:t xml:space="preserve">The team or stakeholder that initiated the campaign.</x:t>
        </x:is>
      </x:c>
    </x:row>
    <x:row r="37">
      <x:c r="A37" s="8" t="inlineStr">
        <x:is>
          <x:t xml:space="preserve">Success measure</x:t>
        </x:is>
      </x:c>
      <x:c r="B37" s="9" t="inlineStr">
        <x:is>
          <x:t xml:space="preserve">The metric that will show whether the campaign achieved its objective.</x:t>
        </x:is>
      </x:c>
    </x:row>
    <x:row r="38">
      <x:c r="A38" s="8" t="inlineStr">
        <x:is>
          <x:t xml:space="preserve">Data availability</x:t>
        </x:is>
      </x:c>
      <x:c r="B38" s="9" t="inlineStr">
        <x:is>
          <x:t xml:space="preserve">Whether the information needed for analysis exists and can be accessed.</x:t>
        </x:is>
      </x:c>
    </x:row>
    <x:row r="39">
      <x:c r="A39" s="8" t="inlineStr">
        <x:is>
          <x:t xml:space="preserve">Objective clarity</x:t>
        </x:is>
      </x:c>
      <x:c r="B39" s="9" t="inlineStr">
        <x:is>
          <x:t xml:space="preserve">How clearly the campaign purpose is documented.</x:t>
        </x:is>
      </x:c>
    </x:row>
    <x:row r="40">
      <x:c r="A40" s="8" t="inlineStr">
        <x:is>
          <x:t xml:space="preserve">Segment clarity</x:t>
        </x:is>
      </x:c>
      <x:c r="B40" s="9" t="inlineStr">
        <x:is>
          <x:t xml:space="preserve">How clearly the target group and selection rules are documented.</x:t>
        </x:is>
      </x:c>
    </x:row>
    <x:row r="41">
      <x:c r="A41" s="8" t="inlineStr">
        <x:is>
          <x:t xml:space="preserve">Measurement readiness</x:t>
        </x:is>
      </x:c>
      <x:c r="B41" s="9" t="inlineStr">
        <x:is>
          <x:t xml:space="preserve">Whether sufficient result data and ownership exist for analysis.</x:t>
        </x:is>
      </x:c>
    </x:row>
    <x:row r="42">
      <x:c r="A42" s="8" t="inlineStr">
        <x:is>
          <x:t xml:space="preserve">Campaign overlap</x:t>
        </x:is>
      </x:c>
      <x:c r="B42" s="9" t="inlineStr">
        <x:is>
          <x:t xml:space="preserve">Two or more campaigns targeting similar players with similar mechanics.</x:t>
        </x:is>
      </x:c>
    </x:row>
    <x:row r="43">
      <x:c r="A43" s="8" t="inlineStr">
        <x:is>
          <x:t xml:space="preserve">Gap severity</x:t>
        </x:is>
      </x:c>
      <x:c r="B43" s="9" t="inlineStr">
        <x:is>
          <x:t xml:space="preserve">The urgency and likely business impact of missing or unclear information.</x:t>
        </x:is>
      </x:c>
    </x:row>
    <x:row r="45" ht="22" customHeight="1">
      <x:c r="A45" s="4" t="inlineStr">
        <x:is>
          <x:t xml:space="preserve">COLOUR KEY</x:t>
        </x:is>
      </x:c>
    </x:row>
    <x:row r="46">
      <x:c r="A46" t="inlineStr">
        <x:is>
          <x:t xml:space="preserve">Manual input</x:t>
        </x:is>
      </x:c>
      <x:c r="B46" s="10"/>
    </x:row>
    <x:row r="47">
      <x:c r="A47" t="inlineStr">
        <x:is>
          <x:t xml:space="preserve">Calculated field</x:t>
        </x:is>
      </x:c>
      <x:c r="B47" s="11"/>
    </x:row>
    <x:row r="48">
      <x:c r="A48" t="inlineStr">
        <x:is>
          <x:t xml:space="preserve">Missing / urgent</x:t>
        </x:is>
      </x:c>
      <x:c r="B48" s="12"/>
    </x:row>
    <x:row r="49">
      <x:c r="A49" t="inlineStr">
        <x:is>
          <x:t xml:space="preserve">External confirmation</x:t>
        </x:is>
      </x:c>
      <x:c r="B49" s="13"/>
    </x:row>
    <x:row r="50">
      <x:c r="A50" t="inlineStr">
        <x:is>
          <x:t xml:space="preserve">Ready / complete</x:t>
        </x:is>
      </x:c>
      <x:c r="B50" s="14"/>
    </x:row>
  </x:sheetData>
  <x:mergeCells>
    <x:mergeCell ref="B40:H40"/>
    <x:mergeCell ref="B9:H9"/>
    <x:mergeCell ref="B30:H30"/>
    <x:mergeCell ref="B15:H15"/>
    <x:mergeCell ref="B33:H33"/>
    <x:mergeCell ref="A1:H1"/>
    <x:mergeCell ref="A45:H45"/>
    <x:mergeCell ref="B37:H37"/>
    <x:mergeCell ref="B36:H36"/>
    <x:mergeCell ref="B32:H32"/>
    <x:mergeCell ref="A4:H5"/>
    <x:mergeCell ref="B41:H41"/>
    <x:mergeCell ref="A7:H7"/>
    <x:mergeCell ref="B35:H35"/>
    <x:mergeCell ref="B16:H16"/>
    <x:mergeCell ref="A27:H27"/>
    <x:mergeCell ref="B31:H31"/>
    <x:mergeCell ref="D20:H25"/>
    <x:mergeCell ref="A2:H2"/>
    <x:mergeCell ref="B43:H43"/>
    <x:mergeCell ref="B12:H12"/>
    <x:mergeCell ref="B39:H39"/>
    <x:mergeCell ref="B11:H11"/>
    <x:mergeCell ref="B42:H42"/>
    <x:mergeCell ref="B8:H8"/>
    <x:mergeCell ref="B14:H14"/>
    <x:mergeCell ref="B17:H17"/>
    <x:mergeCell ref="B13:H13"/>
    <x:mergeCell ref="B38:H38"/>
    <x:mergeCell ref="A19:H19"/>
    <x:mergeCell ref="B29:H29"/>
    <x:mergeCell ref="B10:H10"/>
    <x:mergeCell ref="B34:H34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24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24" customWidth="1"/>
    <x:col min="15" max="15" width="16" customWidth="1"/>
    <x:col min="16" max="16" width="16" customWidth="1"/>
    <x:col min="17" max="17" width="24" customWidth="1"/>
    <x:col min="18" max="18" width="16" customWidth="1"/>
    <x:col min="19" max="19" width="16" customWidth="1"/>
    <x:col min="20" max="20" width="24" customWidth="1"/>
    <x:col min="21" max="21" width="24" customWidth="1"/>
    <x:col min="22" max="22" width="24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24" customWidth="1"/>
    <x:col min="28" max="28" width="16" customWidth="1"/>
    <x:col min="29" max="29" width="16" customWidth="1"/>
    <x:col min="30" max="30" width="16" customWidth="1"/>
    <x:col min="31" max="31" width="24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4" customWidth="1"/>
    <x:col min="42" max="42" width="16" customWidth="1"/>
    <x:col min="43" max="43" width="28" hidden="0" customWidth="1"/>
    <x:col min="44" max="44" width="16" customWidth="1"/>
    <x:col min="45" max="45" width="24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  <x:col min="52" max="52" width="16" customWidth="1"/>
    <x:col min="53" max="53" width="16" customWidth="1"/>
    <x:col min="54" max="54" width="16" customWidth="1"/>
    <x:col min="55" max="55" width="16" customWidth="1"/>
    <x:col min="56" max="56" width="16" customWidth="1"/>
    <x:col min="57" max="57" width="16" customWidth="1"/>
    <x:col min="58" max="58" width="16" customWidth="1"/>
    <x:col min="59" max="59" width="16" customWidth="1"/>
    <x:col min="60" max="60" width="16" customWidth="1"/>
    <x:col min="61" max="61" width="16" customWidth="1"/>
    <x:col min="62" max="62" width="16" customWidth="1"/>
    <x:col min="63" max="63" width="24" customWidth="1"/>
    <x:col min="64" max="64" width="24" customWidth="1"/>
    <x:col min="65" max="65" width="16" customWidth="1"/>
    <x:col min="66" max="66" width="16" customWidth="1"/>
    <x:col min="67" max="67" width="24" customWidth="1"/>
    <x:col min="68" max="68" width="16" customWidth="1"/>
    <x:col min="69" max="69" width="16" customWidth="1"/>
    <x:col min="70" max="70" width="16" customWidth="1"/>
    <x:col min="71" max="71" width="24" customWidth="1"/>
    <x:col min="72" max="72" width="16" customWidth="1"/>
    <x:col min="73" max="73" width="16" customWidth="1"/>
    <x:col min="74" max="74" width="38" hidden="0" customWidth="1"/>
  </x:cols>
  <x:sheetData>
    <x:row r="1" ht="34" customHeight="1">
      <x:c r="A1" s="1" t="inlineStr">
        <x:is>
          <x:t xml:space="preserve">WS1 Campaign Inventory</x:t>
        </x:is>
      </x:c>
    </x:row>
    <x:row r="2" ht="30" customHeight="1">
      <x:c r="A2" s="2" t="str">
        <x:v>Real WS1 promo-code evidence loaded. Yellow cells need business confirmation; blue cells calculate readiness. Apr–Jul executions do not provide an assignment denominator.</x:v>
      </x:c>
    </x:row>
    <x:row r="4">
      <x:c r="A4" s="15" t="inlineStr">
        <x:is>
          <x:t xml:space="preserve">IDENTIFICATION</x:t>
        </x:is>
      </x:c>
      <x:c r="M4" s="15" t="inlineStr">
        <x:is>
          <x:t xml:space="preserve">CAMPAIGN STRATEGY</x:t>
        </x:is>
      </x:c>
      <x:c r="U4" s="15" t="inlineStr">
        <x:is>
          <x:t xml:space="preserve">TARGET SEGMENT</x:t>
        </x:is>
      </x:c>
      <x:c r="AH4" s="15" t="inlineStr">
        <x:is>
          <x:t xml:space="preserve">CAMPAIGN MECHANIC</x:t>
        </x:is>
      </x:c>
      <x:c r="AU4" s="15" t="inlineStr">
        <x:is>
          <x:t xml:space="preserve">MEASUREMENT</x:t>
        </x:is>
      </x:c>
      <x:c r="BG4" s="15" t="inlineStr">
        <x:is>
          <x:t xml:space="preserve">CALCULATED READINESS</x:t>
        </x:is>
      </x:c>
      <x:c r="BK4" s="15" t="inlineStr">
        <x:is>
          <x:t xml:space="preserve">GAP ANALYSIS</x:t>
        </x:is>
      </x:c>
    </x:row>
    <x:row r="6" ht="42" customHeight="1">
      <x:c r="A6" s="16" t="inlineStr">
        <x:is>
          <x:t xml:space="preserve">Campaign ID</x:t>
        </x:is>
      </x:c>
      <x:c r="B6" s="16" t="inlineStr">
        <x:is>
          <x:t xml:space="preserve">Brand</x:t>
        </x:is>
      </x:c>
      <x:c r="C6" s="16" t="inlineStr">
        <x:is>
          <x:t xml:space="preserve">Campaign name</x:t>
        </x:is>
      </x:c>
      <x:c r="D6" s="16" t="inlineStr">
        <x:is>
          <x:t xml:space="preserve">Campaign source</x:t>
        </x:is>
      </x:c>
      <x:c r="E6" s="16" t="inlineStr">
        <x:is>
          <x:t xml:space="preserve">Requesting stakeholder or team</x:t>
        </x:is>
      </x:c>
      <x:c r="F6" s="16" t="inlineStr">
        <x:is>
          <x:t xml:space="preserve">Campaign owner</x:t>
        </x:is>
      </x:c>
      <x:c r="G6" s="16" t="inlineStr">
        <x:is>
          <x:t xml:space="preserve">Promo PIC</x:t>
        </x:is>
      </x:c>
      <x:c r="H6" s="16" t="inlineStr">
        <x:is>
          <x:t xml:space="preserve">Campaign status</x:t>
        </x:is>
      </x:c>
      <x:c r="I6" s="16" t="inlineStr">
        <x:is>
          <x:t xml:space="preserve">Campaign start date</x:t>
        </x:is>
      </x:c>
      <x:c r="J6" s="16" t="inlineStr">
        <x:is>
          <x:t xml:space="preserve">Campaign end date</x:t>
        </x:is>
      </x:c>
      <x:c r="K6" s="16" t="inlineStr">
        <x:is>
          <x:t xml:space="preserve">Frequency</x:t>
        </x:is>
      </x:c>
      <x:c r="L6" s="16" t="inlineStr">
        <x:is>
          <x:t xml:space="preserve">Last reviewed date</x:t>
        </x:is>
      </x:c>
      <x:c r="M6" s="16" t="inlineStr">
        <x:is>
          <x:t xml:space="preserve">Campaign category</x:t>
        </x:is>
      </x:c>
      <x:c r="N6" s="16" t="inlineStr">
        <x:is>
          <x:t xml:space="preserve">Stated campaign objective</x:t>
        </x:is>
      </x:c>
      <x:c r="O6" s="16" t="inlineStr">
        <x:is>
          <x:t xml:space="preserve">Objective source</x:t>
        </x:is>
      </x:c>
      <x:c r="P6" s="16" t="inlineStr">
        <x:is>
          <x:t xml:space="preserve">Objective clarity</x:t>
        </x:is>
      </x:c>
      <x:c r="Q6" s="16" t="inlineStr">
        <x:is>
          <x:t xml:space="preserve">Expected player behaviour</x:t>
        </x:is>
      </x:c>
      <x:c r="R6" s="16" t="inlineStr">
        <x:is>
          <x:t xml:space="preserve">Planned success measure</x:t>
        </x:is>
      </x:c>
      <x:c r="S6" s="16" t="inlineStr">
        <x:is>
          <x:t xml:space="preserve">Planned target</x:t>
        </x:is>
      </x:c>
      <x:c r="T6" s="16" t="inlineStr">
        <x:is>
          <x:t xml:space="preserve">Business reason for campaign</x:t>
        </x:is>
      </x:c>
      <x:c r="U6" s="16" t="inlineStr">
        <x:is>
          <x:t xml:space="preserve">Stated target segment</x:t>
        </x:is>
      </x:c>
      <x:c r="V6" s="16" t="inlineStr">
        <x:is>
          <x:t xml:space="preserve">Actual segment criteria</x:t>
        </x:is>
      </x:c>
      <x:c r="W6" s="16" t="inlineStr">
        <x:is>
          <x:t xml:space="preserve">Player activity status</x:t>
        </x:is>
      </x:c>
      <x:c r="X6" s="16" t="inlineStr">
        <x:is>
          <x:t xml:space="preserve">Inactive-day criteria</x:t>
        </x:is>
      </x:c>
      <x:c r="Y6" s="16" t="inlineStr">
        <x:is>
          <x:t xml:space="preserve">Deposit-level criteria</x:t>
        </x:is>
      </x:c>
      <x:c r="Z6" s="16" t="inlineStr">
        <x:is>
          <x:t xml:space="preserve">VIP-tier criteria</x:t>
        </x:is>
      </x:c>
      <x:c r="AA6" s="16" t="inlineStr">
        <x:is>
          <x:t xml:space="preserve">Product-behaviour criteria</x:t>
        </x:is>
      </x:c>
      <x:c r="AB6" s="16" t="inlineStr">
        <x:is>
          <x:t xml:space="preserve">Source product</x:t>
        </x:is>
      </x:c>
      <x:c r="AC6" s="16" t="inlineStr">
        <x:is>
          <x:t xml:space="preserve">Target product</x:t>
        </x:is>
      </x:c>
      <x:c r="AD6" s="16" t="inlineStr">
        <x:is>
          <x:t xml:space="preserve">Geographic or currency segment</x:t>
        </x:is>
      </x:c>
      <x:c r="AE6" s="16" t="inlineStr">
        <x:is>
          <x:t xml:space="preserve">Exclusion criteria</x:t>
        </x:is>
      </x:c>
      <x:c r="AF6" s="16" t="inlineStr">
        <x:is>
          <x:t xml:space="preserve">Estimated targeted players</x:t>
        </x:is>
      </x:c>
      <x:c r="AG6" s="16" t="inlineStr">
        <x:is>
          <x:t xml:space="preserve">Segment clarity</x:t>
        </x:is>
      </x:c>
      <x:c r="AH6" s="16" t="inlineStr">
        <x:is>
          <x:t xml:space="preserve">Bonus type</x:t>
        </x:is>
      </x:c>
      <x:c r="AI6" s="16" t="inlineStr">
        <x:is>
          <x:t xml:space="preserve">Bonus percentage</x:t>
        </x:is>
      </x:c>
      <x:c r="AJ6" s="16" t="inlineStr">
        <x:is>
          <x:t xml:space="preserve">Minimum deposit</x:t>
        </x:is>
      </x:c>
      <x:c r="AK6" s="16" t="inlineStr">
        <x:is>
          <x:t xml:space="preserve">Maximum bonus cap</x:t>
        </x:is>
      </x:c>
      <x:c r="AL6" s="16" t="inlineStr">
        <x:is>
          <x:t xml:space="preserve">Turnover requirement</x:t>
        </x:is>
      </x:c>
      <x:c r="AM6" s="16" t="inlineStr">
        <x:is>
          <x:t xml:space="preserve">Maximum claims per player</x:t>
        </x:is>
      </x:c>
      <x:c r="AN6" s="16" t="inlineStr">
        <x:is>
          <x:t xml:space="preserve">Campaign budget</x:t>
        </x:is>
      </x:c>
      <x:c r="AO6" s="16" t="inlineStr">
        <x:is>
          <x:t xml:space="preserve">Currency</x:t>
        </x:is>
      </x:c>
      <x:c r="AP6" s="16" t="inlineStr">
        <x:is>
          <x:t xml:space="preserve">Delivery channel</x:t>
        </x:is>
      </x:c>
      <x:c r="AQ6" s="16" t="inlineStr">
        <x:is>
          <x:t xml:space="preserve">Promo code</x:t>
        </x:is>
      </x:c>
      <x:c r="AR6" s="16" t="inlineStr">
        <x:is>
          <x:t xml:space="preserve">Recurring or one-time</x:t>
        </x:is>
      </x:c>
      <x:c r="AS6" s="16" t="inlineStr">
        <x:is>
          <x:t xml:space="preserve">Abuse control</x:t>
        </x:is>
      </x:c>
      <x:c r="AT6" s="16" t="inlineStr">
        <x:is>
          <x:t xml:space="preserve">QC status</x:t>
        </x:is>
      </x:c>
      <x:c r="AU6" s="16" t="inlineStr">
        <x:is>
          <x:t xml:space="preserve">Result data available</x:t>
        </x:is>
      </x:c>
      <x:c r="AV6" s="16" t="inlineStr">
        <x:is>
          <x:t xml:space="preserve">Claim data available</x:t>
        </x:is>
      </x:c>
      <x:c r="AW6" s="16" t="inlineStr">
        <x:is>
          <x:t xml:space="preserve">Promo-cost data available</x:t>
        </x:is>
      </x:c>
      <x:c r="AX6" s="16" t="inlineStr">
        <x:is>
          <x:t xml:space="preserve">Deposit data available</x:t>
        </x:is>
      </x:c>
      <x:c r="AY6" s="16" t="inlineStr">
        <x:is>
          <x:t xml:space="preserve">NGR data available</x:t>
        </x:is>
      </x:c>
      <x:c r="AZ6" s="16" t="inlineStr">
        <x:is>
          <x:t xml:space="preserve">Reactivation data available</x:t>
        </x:is>
      </x:c>
      <x:c r="BA6" s="16" t="inlineStr">
        <x:is>
          <x:t xml:space="preserve">Cross-product data available</x:t>
        </x:is>
      </x:c>
      <x:c r="BB6" s="16" t="inlineStr">
        <x:is>
          <x:t xml:space="preserve">Post-campaign behaviour available</x:t>
        </x:is>
      </x:c>
      <x:c r="BC6" s="16" t="inlineStr">
        <x:is>
          <x:t xml:space="preserve">Data source</x:t>
        </x:is>
      </x:c>
      <x:c r="BD6" s="16" t="inlineStr">
        <x:is>
          <x:t xml:space="preserve">Data owner</x:t>
        </x:is>
      </x:c>
      <x:c r="BE6" s="16" t="inlineStr">
        <x:is>
          <x:t xml:space="preserve">Data last updated</x:t>
        </x:is>
      </x:c>
      <x:c r="BF6" s="16" t="inlineStr">
        <x:is>
          <x:t xml:space="preserve">Measurement readiness</x:t>
        </x:is>
      </x:c>
      <x:c r="BG6" s="16" t="inlineStr">
        <x:is>
          <x:t xml:space="preserve">Objective completeness score</x:t>
        </x:is>
      </x:c>
      <x:c r="BH6" s="16" t="inlineStr">
        <x:is>
          <x:t xml:space="preserve">Segment completeness score</x:t>
        </x:is>
      </x:c>
      <x:c r="BI6" s="16" t="inlineStr">
        <x:is>
          <x:t xml:space="preserve">Measurement readiness score</x:t>
        </x:is>
      </x:c>
      <x:c r="BJ6" s="16" t="inlineStr">
        <x:is>
          <x:t xml:space="preserve">Overall readiness</x:t>
        </x:is>
      </x:c>
      <x:c r="BK6" s="16" t="inlineStr">
        <x:is>
          <x:t xml:space="preserve">Objective gap</x:t>
        </x:is>
      </x:c>
      <x:c r="BL6" s="16" t="inlineStr">
        <x:is>
          <x:t xml:space="preserve">Segment gap</x:t>
        </x:is>
      </x:c>
      <x:c r="BM6" s="16" t="inlineStr">
        <x:is>
          <x:t xml:space="preserve">Mechanic gap</x:t>
        </x:is>
      </x:c>
      <x:c r="BN6" s="16" t="inlineStr">
        <x:is>
          <x:t xml:space="preserve">Ownership gap</x:t>
        </x:is>
      </x:c>
      <x:c r="BO6" s="16" t="inlineStr">
        <x:is>
          <x:t xml:space="preserve">Data gap</x:t>
        </x:is>
      </x:c>
      <x:c r="BP6" s="16" t="inlineStr">
        <x:is>
          <x:t xml:space="preserve">Duplicate or overlap risk</x:t>
        </x:is>
      </x:c>
      <x:c r="BQ6" s="16" t="inlineStr">
        <x:is>
          <x:t xml:space="preserve">Main gap category</x:t>
        </x:is>
      </x:c>
      <x:c r="BR6" s="16" t="inlineStr">
        <x:is>
          <x:t xml:space="preserve">Gap severity</x:t>
        </x:is>
      </x:c>
      <x:c r="BS6" s="16" t="inlineStr">
        <x:is>
          <x:t xml:space="preserve">Recommended next action</x:t>
        </x:is>
      </x:c>
      <x:c r="BT6" s="16" t="inlineStr">
        <x:is>
          <x:t xml:space="preserve">Clarification required from</x:t>
        </x:is>
      </x:c>
      <x:c r="BU6" s="16" t="inlineStr">
        <x:is>
          <x:t xml:space="preserve">Clarification status</x:t>
        </x:is>
      </x:c>
      <x:c r="BV6" s="16" t="inlineStr">
        <x:is>
          <x:t xml:space="preserve">Notes</x:t>
        </x:is>
      </x:c>
    </x:row>
    <x:row r="7" ht="60" customHeight="1">
      <x:c r="A7" s="17" t="str">
        <x:v>WS1-VM-001</x:v>
      </x:c>
      <x:c r="B7" s="17" t="str">
        <x:v>WS1</x:v>
      </x:c>
      <x:c r="C7" s="17" t="str">
        <x:v>VM Bns - Dep1000 Get1000 - 1x TO</x:v>
      </x:c>
      <x:c r="D7" s="17" t="str">
        <x:v>VIP VM</x:v>
      </x:c>
      <x:c r="E7" s="18" t="str">
        <x:v>VIP</x:v>
      </x:c>
      <x:c r="F7" s="18"/>
      <x:c r="G7" s="17" t="str">
        <x:v>Promotion</x:v>
      </x:c>
      <x:c r="H7" s="17" t="str">
        <x:v>Unknown</x:v>
      </x:c>
      <x:c r="I7" s="19" t="n">
        <x:v>46113</x:v>
      </x:c>
      <x:c r="J7" s="19" t="n">
        <x:v>46223</x:v>
      </x:c>
      <x:c r="K7" s="17" t="str">
        <x:v>Unknown</x:v>
      </x:c>
      <x:c r="L7" s="19" t="n">
        <x:v>46226</x:v>
      </x:c>
      <x:c r="M7" s="17" t="str">
        <x:v>Retention</x:v>
      </x:c>
      <x:c r="N7" s="18"/>
      <x:c r="O7" s="18" t="str">
        <x:v>Not Documented</x:v>
      </x:c>
      <x:c r="P7" s="17" t="str">
        <x:v>Not Provided</x:v>
      </x:c>
      <x:c r="Q7" s="17" t="str">
        <x:v>Make a qualifying deposit and use the assigned VM reward</x:v>
      </x:c>
      <x:c r="R7" s="17"/>
      <x:c r="S7" s="17"/>
      <x:c r="T7" s="17"/>
      <x:c r="U7" s="18" t="str">
        <x:v>VM-managed players</x:v>
      </x:c>
      <x:c r="V7" s="18"/>
      <x:c r="W7" s="17" t="str">
        <x:v>Unknown</x:v>
      </x:c>
      <x:c r="X7" s="17"/>
      <x:c r="Y7" s="17"/>
      <x:c r="Z7" s="17"/>
      <x:c r="AA7" s="17"/>
      <x:c r="AB7" s="17"/>
      <x:c r="AC7" s="17"/>
      <x:c r="AD7" s="17" t="str">
        <x:v>MYR</x:v>
      </x:c>
      <x:c r="AE7" s="17"/>
      <x:c r="AF7" s="17"/>
      <x:c r="AG7" s="17" t="str">
        <x:v>Not Provided</x:v>
      </x:c>
      <x:c r="AH7" s="17" t="str">
        <x:v>Deposit Bonus</x:v>
      </x:c>
      <x:c r="AI7" s="20"/>
      <x:c r="AJ7" s="21" t="n">
        <x:v>1000</x:v>
      </x:c>
      <x:c r="AK7" s="21" t="n">
        <x:v>1000</x:v>
      </x:c>
      <x:c r="AL7" s="17" t="str">
        <x:v>1x bonus</x:v>
      </x:c>
      <x:c r="AM7" s="17"/>
      <x:c r="AN7" s="21"/>
      <x:c r="AO7" s="17" t="str">
        <x:v>MYR</x:v>
      </x:c>
      <x:c r="AP7" s="17"/>
      <x:c r="AQ7" s="17" t="str">
        <x:v>FT_VM_DEP1000_GET1000_1X</x:v>
      </x:c>
      <x:c r="AR7" s="17" t="str">
        <x:v>Unknown</x:v>
      </x:c>
      <x:c r="AS7" s="17"/>
      <x:c r="AT7" s="17" t="str">
        <x:v>Unknown</x:v>
      </x:c>
      <x:c r="AU7" s="18" t="str">
        <x:v>Partial</x:v>
      </x:c>
      <x:c r="AV7" s="17" t="str">
        <x:v>Available</x:v>
      </x:c>
      <x:c r="AW7" s="17" t="str">
        <x:v>Available</x:v>
      </x:c>
      <x:c r="AX7" s="17" t="str">
        <x:v>Available</x:v>
      </x:c>
      <x:c r="AY7" s="17" t="str">
        <x:v>Not Available</x:v>
      </x:c>
      <x:c r="AZ7" s="17" t="str">
        <x:v>Partial</x:v>
      </x:c>
      <x:c r="BA7" s="17" t="str">
        <x:v>Not Available</x:v>
      </x:c>
      <x:c r="BB7" s="17" t="str">
        <x:v>Partial</x:v>
      </x:c>
      <x:c r="BC7" s="18" t="str">
        <x:v>VIP Overview MYS – Team CD; Bonus Menu; CSIR ClickHouse</x:v>
      </x:c>
      <x:c r="BD7" s="18" t="str">
        <x:v>CK Analytics</x:v>
      </x:c>
      <x:c r="BE7" s="19" t="n">
        <x:v>46226</x:v>
      </x:c>
      <x:c r="BF7" s="22" t="str">
        <x:f>IF(A7="","",IF(BI7&gt;=ReadyThreshold,"Ready",IF(BI7&gt;=PartialThreshold,"Partial","Not Ready")))</x:f>
        <x:v>Partial</x:v>
      </x:c>
      <x:c r="BG7" s="23" t="n">
        <x:f>IF(A7="","",COUNTA(N7,Q7,R7,S7)/4)</x:f>
        <x:v>0.25</x:v>
      </x:c>
      <x:c r="BH7" s="23" t="n">
        <x:f>IF(A7="","",(COUNTA(U7,V7,AE7)+IF(COUNTA(W7,X7,Y7,Z7,AA7)&gt;0,1,0))/4)</x:f>
        <x:v>0.5</x:v>
      </x:c>
      <x:c r="BI7" s="23" t="n">
        <x:f>IF(A7="","",(COUNTIF(AV7:AZ7,"Available")+0.5*COUNTIF(AV7:AZ7,"Partial")+IF(BD7&lt;&gt;"",1,0))/6)</x:f>
        <x:v>0.75</x:v>
      </x:c>
      <x:c r="BJ7" s="22" t="str">
        <x:f>IF(A7="","",IF(AND(F7="",BD7=""),"Blocked",IF(AND(BG7&gt;=ReadyThreshold,BH7&gt;=ReadyThreshold,BI7&gt;=ReadyThreshold),"Ready for Analysis",IF(AVERAGE(BG7,BH7,BI7)&gt;=PartialThreshold,"Partially Ready","Discovery Required"))))</x:f>
        <x:v>Partially Ready</x:v>
      </x:c>
      <x:c r="BK7" s="17" t="str">
        <x:v>Original campaign objective and success target were not supplied.</x:v>
      </x:c>
      <x:c r="BL7" s="17" t="str">
        <x:v>Actual player-selection criteria were not supplied.</x:v>
      </x:c>
      <x:c r="BM7" s="17" t="str">
        <x:v>High cap requires review</x:v>
      </x:c>
      <x:c r="BN7" s="17" t="str">
        <x:v>Accountable campaign owner and requesting brief are not confirmed.</x:v>
      </x:c>
      <x:c r="BO7" s="17" t="str">
        <x:v>Apr–Jul executions are available, but offer assignments and the target denominator are missing.</x:v>
      </x:c>
      <x:c r="BP7" s="17" t="str">
        <x:v>None</x:v>
      </x:c>
      <x:c r="BQ7" s="17" t="str">
        <x:v>Campaign owner unclear</x:v>
      </x:c>
      <x:c r="BR7" s="17" t="str">
        <x:v>High</x:v>
      </x:c>
      <x:c r="BS7" s="17" t="str">
        <x:v>Confirm Campaign Owner</x:v>
      </x:c>
      <x:c r="BT7" s="18" t="str">
        <x:v>VIP</x:v>
      </x:c>
      <x:c r="BU7" s="17" t="str">
        <x:v>Not Started</x:v>
      </x:c>
      <x:c r="BV7" s="17" t="str">
        <x:v>Observed 2026-04-01–2026-07-20. Jan–Mar: no assignment row. Apr–Jul: 38 executions / 20 members / MYR 38,000 bonus cost. Schedule and owner unconfirmed; NGR excluded.</x:v>
      </x:c>
    </x:row>
    <x:row r="8" ht="60" customHeight="1">
      <x:c r="A8" s="17" t="str">
        <x:v>WS1-VM-002</x:v>
      </x:c>
      <x:c r="B8" s="17" t="str">
        <x:v>WS1</x:v>
      </x:c>
      <x:c r="C8" s="17" t="str">
        <x:v>VM Bns - Dep1000 Get1000 - 2x TO</x:v>
      </x:c>
      <x:c r="D8" s="17" t="str">
        <x:v>VIP VM</x:v>
      </x:c>
      <x:c r="E8" s="18" t="str">
        <x:v>VIP</x:v>
      </x:c>
      <x:c r="F8" s="18"/>
      <x:c r="G8" s="17" t="str">
        <x:v>Promotion</x:v>
      </x:c>
      <x:c r="H8" s="17" t="str">
        <x:v>Unknown</x:v>
      </x:c>
      <x:c r="I8" s="19" t="n">
        <x:v>46113</x:v>
      </x:c>
      <x:c r="J8" s="19" t="n">
        <x:v>46223</x:v>
      </x:c>
      <x:c r="K8" s="17" t="str">
        <x:v>Unknown</x:v>
      </x:c>
      <x:c r="L8" s="19" t="n">
        <x:v>46226</x:v>
      </x:c>
      <x:c r="M8" s="17" t="str">
        <x:v>Retention</x:v>
      </x:c>
      <x:c r="N8" s="18"/>
      <x:c r="O8" s="18" t="str">
        <x:v>Not Documented</x:v>
      </x:c>
      <x:c r="P8" s="17" t="str">
        <x:v>Not Provided</x:v>
      </x:c>
      <x:c r="Q8" s="17" t="str">
        <x:v>Make a qualifying deposit and use the assigned VM reward</x:v>
      </x:c>
      <x:c r="R8" s="17"/>
      <x:c r="S8" s="17"/>
      <x:c r="T8" s="17"/>
      <x:c r="U8" s="18" t="str">
        <x:v>VM-managed players</x:v>
      </x:c>
      <x:c r="V8" s="18"/>
      <x:c r="W8" s="17" t="str">
        <x:v>Unknown</x:v>
      </x:c>
      <x:c r="X8" s="17"/>
      <x:c r="Y8" s="17"/>
      <x:c r="Z8" s="17"/>
      <x:c r="AA8" s="17"/>
      <x:c r="AB8" s="17"/>
      <x:c r="AC8" s="17"/>
      <x:c r="AD8" s="17" t="str">
        <x:v>MYR</x:v>
      </x:c>
      <x:c r="AE8" s="17"/>
      <x:c r="AF8" s="17"/>
      <x:c r="AG8" s="17" t="str">
        <x:v>Not Provided</x:v>
      </x:c>
      <x:c r="AH8" s="17" t="str">
        <x:v>Deposit Bonus</x:v>
      </x:c>
      <x:c r="AI8" s="20"/>
      <x:c r="AJ8" s="21" t="n">
        <x:v>1000</x:v>
      </x:c>
      <x:c r="AK8" s="21" t="n">
        <x:v>1000</x:v>
      </x:c>
      <x:c r="AL8" s="17" t="str">
        <x:v>2x bonus</x:v>
      </x:c>
      <x:c r="AM8" s="17"/>
      <x:c r="AN8" s="21"/>
      <x:c r="AO8" s="17" t="str">
        <x:v>MYR</x:v>
      </x:c>
      <x:c r="AP8" s="17"/>
      <x:c r="AQ8" s="17" t="str">
        <x:v>FT_VM_DEP1000_GET1000_2X</x:v>
      </x:c>
      <x:c r="AR8" s="17" t="str">
        <x:v>Unknown</x:v>
      </x:c>
      <x:c r="AS8" s="17"/>
      <x:c r="AT8" s="17" t="str">
        <x:v>Unknown</x:v>
      </x:c>
      <x:c r="AU8" s="18" t="str">
        <x:v>Partial</x:v>
      </x:c>
      <x:c r="AV8" s="17" t="str">
        <x:v>Available</x:v>
      </x:c>
      <x:c r="AW8" s="17" t="str">
        <x:v>Available</x:v>
      </x:c>
      <x:c r="AX8" s="17" t="str">
        <x:v>Available</x:v>
      </x:c>
      <x:c r="AY8" s="17" t="str">
        <x:v>Not Available</x:v>
      </x:c>
      <x:c r="AZ8" s="17" t="str">
        <x:v>Partial</x:v>
      </x:c>
      <x:c r="BA8" s="17" t="str">
        <x:v>Not Available</x:v>
      </x:c>
      <x:c r="BB8" s="17" t="str">
        <x:v>Partial</x:v>
      </x:c>
      <x:c r="BC8" s="18" t="str">
        <x:v>VIP Overview MYS – Team CD; Bonus Menu; CSIR ClickHouse</x:v>
      </x:c>
      <x:c r="BD8" s="18" t="str">
        <x:v>CK Analytics</x:v>
      </x:c>
      <x:c r="BE8" s="19" t="n">
        <x:v>46226</x:v>
      </x:c>
      <x:c r="BF8" s="22" t="str">
        <x:f>IF(A8="","",IF(BI8&gt;=ReadyThreshold,"Ready",IF(BI8&gt;=PartialThreshold,"Partial","Not Ready")))</x:f>
        <x:v>Partial</x:v>
      </x:c>
      <x:c r="BG8" s="23" t="n">
        <x:f>IF(A8="","",COUNTA(N8,Q8,R8,S8)/4)</x:f>
        <x:v>0.25</x:v>
      </x:c>
      <x:c r="BH8" s="23" t="n">
        <x:f>IF(A8="","",(COUNTA(U8,V8,AE8)+IF(COUNTA(W8,X8,Y8,Z8,AA8)&gt;0,1,0))/4)</x:f>
        <x:v>0.5</x:v>
      </x:c>
      <x:c r="BI8" s="23" t="n">
        <x:f>IF(A8="","",(COUNTIF(AV8:AZ8,"Available")+0.5*COUNTIF(AV8:AZ8,"Partial")+IF(BD8&lt;&gt;"",1,0))/6)</x:f>
        <x:v>0.75</x:v>
      </x:c>
      <x:c r="BJ8" s="22" t="str">
        <x:f>IF(A8="","",IF(AND(F8="",BD8=""),"Blocked",IF(AND(BG8&gt;=ReadyThreshold,BH8&gt;=ReadyThreshold,BI8&gt;=ReadyThreshold),"Ready for Analysis",IF(AVERAGE(BG8,BH8,BI8)&gt;=PartialThreshold,"Partially Ready","Discovery Required"))))</x:f>
        <x:v>Partially Ready</x:v>
      </x:c>
      <x:c r="BK8" s="17" t="str">
        <x:v>Original campaign objective and success target were not supplied.</x:v>
      </x:c>
      <x:c r="BL8" s="17" t="str">
        <x:v>Actual player-selection criteria were not supplied.</x:v>
      </x:c>
      <x:c r="BM8" s="17" t="str">
        <x:v>High cap requires review</x:v>
      </x:c>
      <x:c r="BN8" s="17" t="str">
        <x:v>Accountable campaign owner and requesting brief are not confirmed.</x:v>
      </x:c>
      <x:c r="BO8" s="17" t="str">
        <x:v>Apr–Jul executions are available, but offer assignments and the target denominator are missing.</x:v>
      </x:c>
      <x:c r="BP8" s="17" t="str">
        <x:v>None</x:v>
      </x:c>
      <x:c r="BQ8" s="17" t="str">
        <x:v>Campaign owner unclear</x:v>
      </x:c>
      <x:c r="BR8" s="17" t="str">
        <x:v>High</x:v>
      </x:c>
      <x:c r="BS8" s="17" t="str">
        <x:v>Confirm Campaign Owner</x:v>
      </x:c>
      <x:c r="BT8" s="18" t="str">
        <x:v>VIP</x:v>
      </x:c>
      <x:c r="BU8" s="17" t="str">
        <x:v>Not Started</x:v>
      </x:c>
      <x:c r="BV8" s="17" t="str">
        <x:v>Observed 2026-04-01–2026-07-20. Jan–Mar: no assignment row. Apr–Jul: 30 executions / 10 members / MYR 30,000 bonus cost. Schedule and owner unconfirmed; NGR excluded.</x:v>
      </x:c>
    </x:row>
    <x:row r="9" ht="60" customHeight="1">
      <x:c r="A9" s="17" t="str">
        <x:v>WS1-VM-003</x:v>
      </x:c>
      <x:c r="B9" s="17" t="str">
        <x:v>WS1</x:v>
      </x:c>
      <x:c r="C9" s="17" t="str">
        <x:v>VM Bns - Dep1000 Get500 - 1x TO</x:v>
      </x:c>
      <x:c r="D9" s="17" t="str">
        <x:v>VIP VM</x:v>
      </x:c>
      <x:c r="E9" s="18" t="str">
        <x:v>VIP</x:v>
      </x:c>
      <x:c r="F9" s="18"/>
      <x:c r="G9" s="17" t="str">
        <x:v>Promotion</x:v>
      </x:c>
      <x:c r="H9" s="17" t="str">
        <x:v>Unknown</x:v>
      </x:c>
      <x:c r="I9" s="19" t="n">
        <x:v>46077</x:v>
      </x:c>
      <x:c r="J9" s="19" t="n">
        <x:v>46224</x:v>
      </x:c>
      <x:c r="K9" s="17" t="str">
        <x:v>Weekly</x:v>
      </x:c>
      <x:c r="L9" s="19" t="n">
        <x:v>46226</x:v>
      </x:c>
      <x:c r="M9" s="17" t="str">
        <x:v>Retention</x:v>
      </x:c>
      <x:c r="N9" s="18"/>
      <x:c r="O9" s="18" t="str">
        <x:v>Not Documented</x:v>
      </x:c>
      <x:c r="P9" s="17" t="str">
        <x:v>Not Provided</x:v>
      </x:c>
      <x:c r="Q9" s="17" t="str">
        <x:v>Make a qualifying deposit and use the assigned VM reward</x:v>
      </x:c>
      <x:c r="R9" s="17"/>
      <x:c r="S9" s="17"/>
      <x:c r="T9" s="17"/>
      <x:c r="U9" s="18" t="str">
        <x:v>VM-managed players</x:v>
      </x:c>
      <x:c r="V9" s="18"/>
      <x:c r="W9" s="17" t="str">
        <x:v>Unknown</x:v>
      </x:c>
      <x:c r="X9" s="17"/>
      <x:c r="Y9" s="17"/>
      <x:c r="Z9" s="17"/>
      <x:c r="AA9" s="17"/>
      <x:c r="AB9" s="17"/>
      <x:c r="AC9" s="17"/>
      <x:c r="AD9" s="17" t="str">
        <x:v>MYR</x:v>
      </x:c>
      <x:c r="AE9" s="17"/>
      <x:c r="AF9" s="17" t="n">
        <x:v>5</x:v>
      </x:c>
      <x:c r="AG9" s="17" t="str">
        <x:v>Not Provided</x:v>
      </x:c>
      <x:c r="AH9" s="17" t="str">
        <x:v>Deposit Bonus</x:v>
      </x:c>
      <x:c r="AI9" s="20"/>
      <x:c r="AJ9" s="21" t="n">
        <x:v>1000</x:v>
      </x:c>
      <x:c r="AK9" s="21" t="n">
        <x:v>500</x:v>
      </x:c>
      <x:c r="AL9" s="17" t="str">
        <x:v>1x bonus</x:v>
      </x:c>
      <x:c r="AM9" s="17"/>
      <x:c r="AN9" s="21"/>
      <x:c r="AO9" s="17" t="str">
        <x:v>MYR</x:v>
      </x:c>
      <x:c r="AP9" s="17"/>
      <x:c r="AQ9" s="17" t="str">
        <x:v>FT_VM_DEP1000_GET500_1X</x:v>
      </x:c>
      <x:c r="AR9" s="17" t="str">
        <x:v>Recurring</x:v>
      </x:c>
      <x:c r="AS9" s="17"/>
      <x:c r="AT9" s="17" t="str">
        <x:v>Unknown</x:v>
      </x:c>
      <x:c r="AU9" s="18" t="str">
        <x:v>Partial</x:v>
      </x:c>
      <x:c r="AV9" s="17" t="str">
        <x:v>Available</x:v>
      </x:c>
      <x:c r="AW9" s="17" t="str">
        <x:v>Available</x:v>
      </x:c>
      <x:c r="AX9" s="17" t="str">
        <x:v>Available</x:v>
      </x:c>
      <x:c r="AY9" s="17" t="str">
        <x:v>Not Available</x:v>
      </x:c>
      <x:c r="AZ9" s="17" t="str">
        <x:v>Partial</x:v>
      </x:c>
      <x:c r="BA9" s="17" t="str">
        <x:v>Not Available</x:v>
      </x:c>
      <x:c r="BB9" s="17" t="str">
        <x:v>Partial</x:v>
      </x:c>
      <x:c r="BC9" s="18" t="str">
        <x:v>VIP Overview MYS – Team CD; Bonus Menu; CSIR ClickHouse</x:v>
      </x:c>
      <x:c r="BD9" s="18" t="str">
        <x:v>CK Analytics</x:v>
      </x:c>
      <x:c r="BE9" s="19" t="n">
        <x:v>46226</x:v>
      </x:c>
      <x:c r="BF9" s="22" t="str">
        <x:f>IF(A9="","",IF(BI9&gt;=ReadyThreshold,"Ready",IF(BI9&gt;=PartialThreshold,"Partial","Not Ready")))</x:f>
        <x:v>Partial</x:v>
      </x:c>
      <x:c r="BG9" s="23" t="n">
        <x:f>IF(A9="","",COUNTA(N9,Q9,R9,S9)/4)</x:f>
        <x:v>0.25</x:v>
      </x:c>
      <x:c r="BH9" s="23" t="n">
        <x:f>IF(A9="","",(COUNTA(U9,V9,AE9)+IF(COUNTA(W9,X9,Y9,Z9,AA9)&gt;0,1,0))/4)</x:f>
        <x:v>0.5</x:v>
      </x:c>
      <x:c r="BI9" s="23" t="n">
        <x:f>IF(A9="","",(COUNTIF(AV9:AZ9,"Available")+0.5*COUNTIF(AV9:AZ9,"Partial")+IF(BD9&lt;&gt;"",1,0))/6)</x:f>
        <x:v>0.75</x:v>
      </x:c>
      <x:c r="BJ9" s="22" t="str">
        <x:f>IF(A9="","",IF(AND(F9="",BD9=""),"Blocked",IF(AND(BG9&gt;=ReadyThreshold,BH9&gt;=ReadyThreshold,BI9&gt;=ReadyThreshold),"Ready for Analysis",IF(AVERAGE(BG9,BH9,BI9)&gt;=PartialThreshold,"Partially Ready","Discovery Required"))))</x:f>
        <x:v>Partially Ready</x:v>
      </x:c>
      <x:c r="BK9" s="17" t="str">
        <x:v>Original campaign objective and success target were not supplied.</x:v>
      </x:c>
      <x:c r="BL9" s="17" t="str">
        <x:v>Actual player-selection criteria were not supplied.</x:v>
      </x:c>
      <x:c r="BM9" s="17" t="str">
        <x:v>None</x:v>
      </x:c>
      <x:c r="BN9" s="17" t="str">
        <x:v>Accountable campaign owner and requesting brief are not confirmed.</x:v>
      </x:c>
      <x:c r="BO9" s="17" t="str">
        <x:v>Jan–Mar assignments and Apr–Jul executions are available in separate windows; no full-period conversion denominator.</x:v>
      </x:c>
      <x:c r="BP9" s="17" t="str">
        <x:v>None</x:v>
      </x:c>
      <x:c r="BQ9" s="17" t="str">
        <x:v>Objective unclear</x:v>
      </x:c>
      <x:c r="BR9" s="17" t="str">
        <x:v>High</x:v>
      </x:c>
      <x:c r="BS9" s="17" t="str">
        <x:v>Confirm Objective</x:v>
      </x:c>
      <x:c r="BT9" s="18" t="str">
        <x:v>VIP</x:v>
      </x:c>
      <x:c r="BU9" s="17" t="str">
        <x:v>Not Started</x:v>
      </x:c>
      <x:c r="BV9" s="17" t="str">
        <x:v>Observed 2026-02-24–2026-07-21. Jan–Mar: 5 assignments / 5 members / 0 matched claims. Apr–Jul: 91 executions / 82 members / MYR 45,500 bonus cost. Schedule and owner unconfirmed; NGR excluded.</x:v>
      </x:c>
    </x:row>
    <x:row r="10" ht="60" customHeight="1">
      <x:c r="A10" s="17" t="str">
        <x:v>WS1-VM-004</x:v>
      </x:c>
      <x:c r="B10" s="17" t="str">
        <x:v>WS1</x:v>
      </x:c>
      <x:c r="C10" s="17" t="str">
        <x:v>VM Bns - Dep1000 Get500 - 2x TO</x:v>
      </x:c>
      <x:c r="D10" s="17" t="str">
        <x:v>VIP VM</x:v>
      </x:c>
      <x:c r="E10" s="18" t="str">
        <x:v>VIP</x:v>
      </x:c>
      <x:c r="F10" s="18"/>
      <x:c r="G10" s="17" t="str">
        <x:v>Promotion</x:v>
      </x:c>
      <x:c r="H10" s="17" t="str">
        <x:v>Unknown</x:v>
      </x:c>
      <x:c r="I10" s="19" t="n">
        <x:v>46090</x:v>
      </x:c>
      <x:c r="J10" s="19" t="n">
        <x:v>46224</x:v>
      </x:c>
      <x:c r="K10" s="17" t="str">
        <x:v>Weekly</x:v>
      </x:c>
      <x:c r="L10" s="19" t="n">
        <x:v>46226</x:v>
      </x:c>
      <x:c r="M10" s="17" t="str">
        <x:v>Retention</x:v>
      </x:c>
      <x:c r="N10" s="18"/>
      <x:c r="O10" s="18" t="str">
        <x:v>Not Documented</x:v>
      </x:c>
      <x:c r="P10" s="17" t="str">
        <x:v>Not Provided</x:v>
      </x:c>
      <x:c r="Q10" s="17" t="str">
        <x:v>Make a qualifying deposit and use the assigned VM reward</x:v>
      </x:c>
      <x:c r="R10" s="17"/>
      <x:c r="S10" s="17"/>
      <x:c r="T10" s="17"/>
      <x:c r="U10" s="18" t="str">
        <x:v>VM value band: 25k to 49K</x:v>
      </x:c>
      <x:c r="V10" s="18"/>
      <x:c r="W10" s="17" t="str">
        <x:v>Unknown</x:v>
      </x:c>
      <x:c r="X10" s="17"/>
      <x:c r="Y10" s="17"/>
      <x:c r="Z10" s="17"/>
      <x:c r="AA10" s="17"/>
      <x:c r="AB10" s="17"/>
      <x:c r="AC10" s="17"/>
      <x:c r="AD10" s="17" t="str">
        <x:v>MYR</x:v>
      </x:c>
      <x:c r="AE10" s="17"/>
      <x:c r="AF10" s="17" t="n">
        <x:v>10</x:v>
      </x:c>
      <x:c r="AG10" s="17" t="str">
        <x:v>Partly Clear</x:v>
      </x:c>
      <x:c r="AH10" s="17" t="str">
        <x:v>Deposit Bonus</x:v>
      </x:c>
      <x:c r="AI10" s="20"/>
      <x:c r="AJ10" s="21" t="n">
        <x:v>1000</x:v>
      </x:c>
      <x:c r="AK10" s="21" t="n">
        <x:v>500</x:v>
      </x:c>
      <x:c r="AL10" s="17" t="str">
        <x:v>2x bonus</x:v>
      </x:c>
      <x:c r="AM10" s="17"/>
      <x:c r="AN10" s="21"/>
      <x:c r="AO10" s="17" t="str">
        <x:v>MYR</x:v>
      </x:c>
      <x:c r="AP10" s="17"/>
      <x:c r="AQ10" s="17" t="str">
        <x:v>FT_VM_DEP1000_GET500_2X</x:v>
      </x:c>
      <x:c r="AR10" s="17" t="str">
        <x:v>Recurring</x:v>
      </x:c>
      <x:c r="AS10" s="17"/>
      <x:c r="AT10" s="17" t="str">
        <x:v>Unknown</x:v>
      </x:c>
      <x:c r="AU10" s="18" t="str">
        <x:v>Partial</x:v>
      </x:c>
      <x:c r="AV10" s="17" t="str">
        <x:v>Available</x:v>
      </x:c>
      <x:c r="AW10" s="17" t="str">
        <x:v>Available</x:v>
      </x:c>
      <x:c r="AX10" s="17" t="str">
        <x:v>Available</x:v>
      </x:c>
      <x:c r="AY10" s="17" t="str">
        <x:v>Not Available</x:v>
      </x:c>
      <x:c r="AZ10" s="17" t="str">
        <x:v>Partial</x:v>
      </x:c>
      <x:c r="BA10" s="17" t="str">
        <x:v>Not Available</x:v>
      </x:c>
      <x:c r="BB10" s="17" t="str">
        <x:v>Partial</x:v>
      </x:c>
      <x:c r="BC10" s="18" t="str">
        <x:v>VIP Overview MYS – Team CD; Bonus Menu; CSIR ClickHouse</x:v>
      </x:c>
      <x:c r="BD10" s="18" t="str">
        <x:v>CK Analytics</x:v>
      </x:c>
      <x:c r="BE10" s="19" t="n">
        <x:v>46226</x:v>
      </x:c>
      <x:c r="BF10" s="22" t="str">
        <x:f>IF(A10="","",IF(BI10&gt;=ReadyThreshold,"Ready",IF(BI10&gt;=PartialThreshold,"Partial","Not Ready")))</x:f>
        <x:v>Partial</x:v>
      </x:c>
      <x:c r="BG10" s="23" t="n">
        <x:f>IF(A10="","",COUNTA(N10,Q10,R10,S10)/4)</x:f>
        <x:v>0.25</x:v>
      </x:c>
      <x:c r="BH10" s="23" t="n">
        <x:f>IF(A10="","",(COUNTA(U10,V10,AE10)+IF(COUNTA(W10,X10,Y10,Z10,AA10)&gt;0,1,0))/4)</x:f>
        <x:v>0.5</x:v>
      </x:c>
      <x:c r="BI10" s="23" t="n">
        <x:f>IF(A10="","",(COUNTIF(AV10:AZ10,"Available")+0.5*COUNTIF(AV10:AZ10,"Partial")+IF(BD10&lt;&gt;"",1,0))/6)</x:f>
        <x:v>0.75</x:v>
      </x:c>
      <x:c r="BJ10" s="22" t="str">
        <x:f>IF(A10="","",IF(AND(F10="",BD10=""),"Blocked",IF(AND(BG10&gt;=ReadyThreshold,BH10&gt;=ReadyThreshold,BI10&gt;=ReadyThreshold),"Ready for Analysis",IF(AVERAGE(BG10,BH10,BI10)&gt;=PartialThreshold,"Partially Ready","Discovery Required"))))</x:f>
        <x:v>Partially Ready</x:v>
      </x:c>
      <x:c r="BK10" s="17" t="str">
        <x:v>Original campaign objective and success target were not supplied.</x:v>
      </x:c>
      <x:c r="BL10" s="17" t="str">
        <x:v>Bonus Menu shows “25k to 49K”, but the metric, lookback period and selection rule are not defined.</x:v>
      </x:c>
      <x:c r="BM10" s="17" t="str">
        <x:v>None</x:v>
      </x:c>
      <x:c r="BN10" s="17" t="str">
        <x:v>Accountable campaign owner and requesting brief are not confirmed.</x:v>
      </x:c>
      <x:c r="BO10" s="17" t="str">
        <x:v>Jan–Mar assignments and Apr–Jul executions are available in separate windows; no full-period conversion denominator.</x:v>
      </x:c>
      <x:c r="BP10" s="17" t="str">
        <x:v>None</x:v>
      </x:c>
      <x:c r="BQ10" s="17" t="str">
        <x:v>Segment criteria missing</x:v>
      </x:c>
      <x:c r="BR10" s="17" t="str">
        <x:v>High</x:v>
      </x:c>
      <x:c r="BS10" s="17" t="str">
        <x:v>Define Segment Criteria</x:v>
      </x:c>
      <x:c r="BT10" s="18" t="str">
        <x:v>VIP</x:v>
      </x:c>
      <x:c r="BU10" s="17" t="str">
        <x:v>Not Started</x:v>
      </x:c>
      <x:c r="BV10" s="17" t="str">
        <x:v>Observed 2026-03-09–2026-07-21. Jan–Mar: 10 assignments / 10 members / 1 matched claims. Apr–Jul: 34 executions / 27 members / MYR 17,000 bonus cost. Schedule and owner unconfirmed; NGR excluded.</x:v>
      </x:c>
    </x:row>
    <x:row r="11" ht="60" customHeight="1">
      <x:c r="A11" s="17" t="str">
        <x:v>WS1-VM-005</x:v>
      </x:c>
      <x:c r="B11" s="17" t="str">
        <x:v>WS1</x:v>
      </x:c>
      <x:c r="C11" s="17" t="str">
        <x:v>VM Bns - Dep1000 Get500 - 5x TO</x:v>
      </x:c>
      <x:c r="D11" s="17" t="str">
        <x:v>VIP VM</x:v>
      </x:c>
      <x:c r="E11" s="18" t="str">
        <x:v>VIP</x:v>
      </x:c>
      <x:c r="F11" s="18"/>
      <x:c r="G11" s="17" t="str">
        <x:v>Promotion</x:v>
      </x:c>
      <x:c r="H11" s="17" t="str">
        <x:v>Unknown</x:v>
      </x:c>
      <x:c r="I11" s="19" t="n">
        <x:v>46077</x:v>
      </x:c>
      <x:c r="J11" s="19" t="n">
        <x:v>46226</x:v>
      </x:c>
      <x:c r="K11" s="17" t="str">
        <x:v>Weekly</x:v>
      </x:c>
      <x:c r="L11" s="19" t="n">
        <x:v>46226</x:v>
      </x:c>
      <x:c r="M11" s="17" t="str">
        <x:v>Retention</x:v>
      </x:c>
      <x:c r="N11" s="18"/>
      <x:c r="O11" s="18" t="str">
        <x:v>Not Documented</x:v>
      </x:c>
      <x:c r="P11" s="17" t="str">
        <x:v>Not Provided</x:v>
      </x:c>
      <x:c r="Q11" s="17" t="str">
        <x:v>Make a qualifying deposit and use the assigned VM reward</x:v>
      </x:c>
      <x:c r="R11" s="17"/>
      <x:c r="S11" s="17"/>
      <x:c r="T11" s="17"/>
      <x:c r="U11" s="18" t="str">
        <x:v>VM-managed players</x:v>
      </x:c>
      <x:c r="V11" s="18"/>
      <x:c r="W11" s="17" t="str">
        <x:v>Unknown</x:v>
      </x:c>
      <x:c r="X11" s="17"/>
      <x:c r="Y11" s="17"/>
      <x:c r="Z11" s="17"/>
      <x:c r="AA11" s="17"/>
      <x:c r="AB11" s="17"/>
      <x:c r="AC11" s="17"/>
      <x:c r="AD11" s="17" t="str">
        <x:v>MYR</x:v>
      </x:c>
      <x:c r="AE11" s="17"/>
      <x:c r="AF11" s="17" t="n">
        <x:v>48</x:v>
      </x:c>
      <x:c r="AG11" s="17" t="str">
        <x:v>Not Provided</x:v>
      </x:c>
      <x:c r="AH11" s="17" t="str">
        <x:v>Deposit Bonus</x:v>
      </x:c>
      <x:c r="AI11" s="20"/>
      <x:c r="AJ11" s="21" t="n">
        <x:v>1000</x:v>
      </x:c>
      <x:c r="AK11" s="21" t="n">
        <x:v>500</x:v>
      </x:c>
      <x:c r="AL11" s="17" t="str">
        <x:v>5x bonus</x:v>
      </x:c>
      <x:c r="AM11" s="17"/>
      <x:c r="AN11" s="21"/>
      <x:c r="AO11" s="17" t="str">
        <x:v>MYR</x:v>
      </x:c>
      <x:c r="AP11" s="17"/>
      <x:c r="AQ11" s="17" t="str">
        <x:v>FT_VM_DEP1000_GET500_5X</x:v>
      </x:c>
      <x:c r="AR11" s="17" t="str">
        <x:v>Recurring</x:v>
      </x:c>
      <x:c r="AS11" s="17"/>
      <x:c r="AT11" s="17" t="str">
        <x:v>Unknown</x:v>
      </x:c>
      <x:c r="AU11" s="18" t="str">
        <x:v>Partial</x:v>
      </x:c>
      <x:c r="AV11" s="17" t="str">
        <x:v>Available</x:v>
      </x:c>
      <x:c r="AW11" s="17" t="str">
        <x:v>Available</x:v>
      </x:c>
      <x:c r="AX11" s="17" t="str">
        <x:v>Available</x:v>
      </x:c>
      <x:c r="AY11" s="17" t="str">
        <x:v>Not Available</x:v>
      </x:c>
      <x:c r="AZ11" s="17" t="str">
        <x:v>Partial</x:v>
      </x:c>
      <x:c r="BA11" s="17" t="str">
        <x:v>Not Available</x:v>
      </x:c>
      <x:c r="BB11" s="17" t="str">
        <x:v>Partial</x:v>
      </x:c>
      <x:c r="BC11" s="18" t="str">
        <x:v>VIP Overview MYS – Team CD; Bonus Menu; CSIR ClickHouse</x:v>
      </x:c>
      <x:c r="BD11" s="18" t="str">
        <x:v>CK Analytics</x:v>
      </x:c>
      <x:c r="BE11" s="19" t="n">
        <x:v>46226</x:v>
      </x:c>
      <x:c r="BF11" s="22" t="str">
        <x:f>IF(A11="","",IF(BI11&gt;=ReadyThreshold,"Ready",IF(BI11&gt;=PartialThreshold,"Partial","Not Ready")))</x:f>
        <x:v>Partial</x:v>
      </x:c>
      <x:c r="BG11" s="23" t="n">
        <x:f>IF(A11="","",COUNTA(N11,Q11,R11,S11)/4)</x:f>
        <x:v>0.25</x:v>
      </x:c>
      <x:c r="BH11" s="23" t="n">
        <x:f>IF(A11="","",(COUNTA(U11,V11,AE11)+IF(COUNTA(W11,X11,Y11,Z11,AA11)&gt;0,1,0))/4)</x:f>
        <x:v>0.5</x:v>
      </x:c>
      <x:c r="BI11" s="23" t="n">
        <x:f>IF(A11="","",(COUNTIF(AV11:AZ11,"Available")+0.5*COUNTIF(AV11:AZ11,"Partial")+IF(BD11&lt;&gt;"",1,0))/6)</x:f>
        <x:v>0.75</x:v>
      </x:c>
      <x:c r="BJ11" s="22" t="str">
        <x:f>IF(A11="","",IF(AND(F11="",BD11=""),"Blocked",IF(AND(BG11&gt;=ReadyThreshold,BH11&gt;=ReadyThreshold,BI11&gt;=ReadyThreshold),"Ready for Analysis",IF(AVERAGE(BG11,BH11,BI11)&gt;=PartialThreshold,"Partially Ready","Discovery Required"))))</x:f>
        <x:v>Partially Ready</x:v>
      </x:c>
      <x:c r="BK11" s="17" t="str">
        <x:v>Original campaign objective and success target were not supplied.</x:v>
      </x:c>
      <x:c r="BL11" s="17" t="str">
        <x:v>Actual player-selection criteria were not supplied.</x:v>
      </x:c>
      <x:c r="BM11" s="17" t="str">
        <x:v>None</x:v>
      </x:c>
      <x:c r="BN11" s="17" t="str">
        <x:v>Accountable campaign owner and requesting brief are not confirmed.</x:v>
      </x:c>
      <x:c r="BO11" s="17" t="str">
        <x:v>Jan–Mar assignments and Apr–Jul executions are available in separate windows; no full-period conversion denominator.</x:v>
      </x:c>
      <x:c r="BP11" s="17" t="str">
        <x:v>None</x:v>
      </x:c>
      <x:c r="BQ11" s="17" t="str">
        <x:v>Objective unclear</x:v>
      </x:c>
      <x:c r="BR11" s="17" t="str">
        <x:v>High</x:v>
      </x:c>
      <x:c r="BS11" s="17" t="str">
        <x:v>Confirm Objective</x:v>
      </x:c>
      <x:c r="BT11" s="18" t="str">
        <x:v>VIP</x:v>
      </x:c>
      <x:c r="BU11" s="17" t="str">
        <x:v>Not Started</x:v>
      </x:c>
      <x:c r="BV11" s="17" t="str">
        <x:v>Observed 2026-02-24–2026-07-23. Jan–Mar: 48 assignments / 48 members / 1 matched claims. Apr–Jul: 357 executions / 140 members / MYR 178,500 bonus cost. Schedule and owner unconfirmed; NGR excluded.</x:v>
      </x:c>
    </x:row>
    <x:row r="12" ht="60" customHeight="1">
      <x:c r="A12" s="17" t="str">
        <x:v>WS1-VM-006</x:v>
      </x:c>
      <x:c r="B12" s="17" t="str">
        <x:v>WS1</x:v>
      </x:c>
      <x:c r="C12" s="17" t="str">
        <x:v>VM Bns - Dep1000 Get700 - 1x TO</x:v>
      </x:c>
      <x:c r="D12" s="17" t="str">
        <x:v>VIP VM</x:v>
      </x:c>
      <x:c r="E12" s="18" t="str">
        <x:v>VIP</x:v>
      </x:c>
      <x:c r="F12" s="18"/>
      <x:c r="G12" s="17" t="str">
        <x:v>Promotion</x:v>
      </x:c>
      <x:c r="H12" s="17" t="str">
        <x:v>Unknown</x:v>
      </x:c>
      <x:c r="I12" s="19" t="n">
        <x:v>46090</x:v>
      </x:c>
      <x:c r="J12" s="19" t="n">
        <x:v>46217</x:v>
      </x:c>
      <x:c r="K12" s="17" t="str">
        <x:v>Weekly</x:v>
      </x:c>
      <x:c r="L12" s="19" t="n">
        <x:v>46226</x:v>
      </x:c>
      <x:c r="M12" s="17" t="str">
        <x:v>Retention</x:v>
      </x:c>
      <x:c r="N12" s="18"/>
      <x:c r="O12" s="18" t="str">
        <x:v>Not Documented</x:v>
      </x:c>
      <x:c r="P12" s="17" t="str">
        <x:v>Not Provided</x:v>
      </x:c>
      <x:c r="Q12" s="17" t="str">
        <x:v>Make a qualifying deposit and use the assigned VM reward</x:v>
      </x:c>
      <x:c r="R12" s="17"/>
      <x:c r="S12" s="17"/>
      <x:c r="T12" s="17"/>
      <x:c r="U12" s="18" t="str">
        <x:v>VM-managed players</x:v>
      </x:c>
      <x:c r="V12" s="18"/>
      <x:c r="W12" s="17" t="str">
        <x:v>Unknown</x:v>
      </x:c>
      <x:c r="X12" s="17"/>
      <x:c r="Y12" s="17"/>
      <x:c r="Z12" s="17"/>
      <x:c r="AA12" s="17"/>
      <x:c r="AB12" s="17"/>
      <x:c r="AC12" s="17"/>
      <x:c r="AD12" s="17" t="str">
        <x:v>MYR</x:v>
      </x:c>
      <x:c r="AE12" s="17"/>
      <x:c r="AF12" s="17" t="n">
        <x:v>1</x:v>
      </x:c>
      <x:c r="AG12" s="17" t="str">
        <x:v>Not Provided</x:v>
      </x:c>
      <x:c r="AH12" s="17" t="str">
        <x:v>Deposit Bonus</x:v>
      </x:c>
      <x:c r="AI12" s="20"/>
      <x:c r="AJ12" s="21" t="n">
        <x:v>1000</x:v>
      </x:c>
      <x:c r="AK12" s="21" t="n">
        <x:v>700</x:v>
      </x:c>
      <x:c r="AL12" s="17" t="str">
        <x:v>1x bonus</x:v>
      </x:c>
      <x:c r="AM12" s="17"/>
      <x:c r="AN12" s="21"/>
      <x:c r="AO12" s="17" t="str">
        <x:v>MYR</x:v>
      </x:c>
      <x:c r="AP12" s="17"/>
      <x:c r="AQ12" s="17" t="str">
        <x:v>FT_VM_DEP1000_GET700_1X</x:v>
      </x:c>
      <x:c r="AR12" s="17" t="str">
        <x:v>Recurring</x:v>
      </x:c>
      <x:c r="AS12" s="17"/>
      <x:c r="AT12" s="17" t="str">
        <x:v>Unknown</x:v>
      </x:c>
      <x:c r="AU12" s="18" t="str">
        <x:v>Partial</x:v>
      </x:c>
      <x:c r="AV12" s="17" t="str">
        <x:v>Available</x:v>
      </x:c>
      <x:c r="AW12" s="17" t="str">
        <x:v>Available</x:v>
      </x:c>
      <x:c r="AX12" s="17" t="str">
        <x:v>Available</x:v>
      </x:c>
      <x:c r="AY12" s="17" t="str">
        <x:v>Not Available</x:v>
      </x:c>
      <x:c r="AZ12" s="17" t="str">
        <x:v>Partial</x:v>
      </x:c>
      <x:c r="BA12" s="17" t="str">
        <x:v>Not Available</x:v>
      </x:c>
      <x:c r="BB12" s="17" t="str">
        <x:v>Partial</x:v>
      </x:c>
      <x:c r="BC12" s="18" t="str">
        <x:v>VIP Overview MYS – Team CD; Bonus Menu; CSIR ClickHouse</x:v>
      </x:c>
      <x:c r="BD12" s="18" t="str">
        <x:v>CK Analytics</x:v>
      </x:c>
      <x:c r="BE12" s="19" t="n">
        <x:v>46226</x:v>
      </x:c>
      <x:c r="BF12" s="22" t="str">
        <x:f>IF(A12="","",IF(BI12&gt;=ReadyThreshold,"Ready",IF(BI12&gt;=PartialThreshold,"Partial","Not Ready")))</x:f>
        <x:v>Partial</x:v>
      </x:c>
      <x:c r="BG12" s="23" t="n">
        <x:f>IF(A12="","",COUNTA(N12,Q12,R12,S12)/4)</x:f>
        <x:v>0.25</x:v>
      </x:c>
      <x:c r="BH12" s="23" t="n">
        <x:f>IF(A12="","",(COUNTA(U12,V12,AE12)+IF(COUNTA(W12,X12,Y12,Z12,AA12)&gt;0,1,0))/4)</x:f>
        <x:v>0.5</x:v>
      </x:c>
      <x:c r="BI12" s="23" t="n">
        <x:f>IF(A12="","",(COUNTIF(AV12:AZ12,"Available")+0.5*COUNTIF(AV12:AZ12,"Partial")+IF(BD12&lt;&gt;"",1,0))/6)</x:f>
        <x:v>0.75</x:v>
      </x:c>
      <x:c r="BJ12" s="22" t="str">
        <x:f>IF(A12="","",IF(AND(F12="",BD12=""),"Blocked",IF(AND(BG12&gt;=ReadyThreshold,BH12&gt;=ReadyThreshold,BI12&gt;=ReadyThreshold),"Ready for Analysis",IF(AVERAGE(BG12,BH12,BI12)&gt;=PartialThreshold,"Partially Ready","Discovery Required"))))</x:f>
        <x:v>Partially Ready</x:v>
      </x:c>
      <x:c r="BK12" s="17" t="str">
        <x:v>Original campaign objective and success target were not supplied.</x:v>
      </x:c>
      <x:c r="BL12" s="17" t="str">
        <x:v>Actual player-selection criteria were not supplied.</x:v>
      </x:c>
      <x:c r="BM12" s="17" t="str">
        <x:v>None</x:v>
      </x:c>
      <x:c r="BN12" s="17" t="str">
        <x:v>Accountable campaign owner and requesting brief are not confirmed.</x:v>
      </x:c>
      <x:c r="BO12" s="17" t="str">
        <x:v>Jan–Mar assignments and Apr–Jul executions are available in separate windows; no full-period conversion denominator.</x:v>
      </x:c>
      <x:c r="BP12" s="17" t="str">
        <x:v>None</x:v>
      </x:c>
      <x:c r="BQ12" s="17" t="str">
        <x:v>Objective unclear</x:v>
      </x:c>
      <x:c r="BR12" s="17" t="str">
        <x:v>High</x:v>
      </x:c>
      <x:c r="BS12" s="17" t="str">
        <x:v>Confirm Objective</x:v>
      </x:c>
      <x:c r="BT12" s="18" t="str">
        <x:v>VIP</x:v>
      </x:c>
      <x:c r="BU12" s="17" t="str">
        <x:v>Not Started</x:v>
      </x:c>
      <x:c r="BV12" s="17" t="str">
        <x:v>Observed 2026-03-09–2026-07-14. Jan–Mar: 1 assignments / 1 members / 0 matched claims. Apr–Jul: 26 executions / 21 members / MYR 18,200 bonus cost. Schedule and owner unconfirmed; NGR excluded.</x:v>
      </x:c>
    </x:row>
    <x:row r="13" ht="60" customHeight="1">
      <x:c r="A13" s="17" t="str">
        <x:v>WS1-VM-007</x:v>
      </x:c>
      <x:c r="B13" s="17" t="str">
        <x:v>WS1</x:v>
      </x:c>
      <x:c r="C13" s="17" t="str">
        <x:v>VM Bns - Dep1000 Get700 - 2x TO</x:v>
      </x:c>
      <x:c r="D13" s="17" t="str">
        <x:v>VIP VM</x:v>
      </x:c>
      <x:c r="E13" s="18" t="str">
        <x:v>VIP</x:v>
      </x:c>
      <x:c r="F13" s="18"/>
      <x:c r="G13" s="17" t="str">
        <x:v>Promotion</x:v>
      </x:c>
      <x:c r="H13" s="17" t="str">
        <x:v>Unknown</x:v>
      </x:c>
      <x:c r="I13" s="19" t="n">
        <x:v>46077</x:v>
      </x:c>
      <x:c r="J13" s="19" t="n">
        <x:v>46225</x:v>
      </x:c>
      <x:c r="K13" s="17" t="str">
        <x:v>Weekly</x:v>
      </x:c>
      <x:c r="L13" s="19" t="n">
        <x:v>46226</x:v>
      </x:c>
      <x:c r="M13" s="17" t="str">
        <x:v>Retention</x:v>
      </x:c>
      <x:c r="N13" s="18"/>
      <x:c r="O13" s="18" t="str">
        <x:v>Not Documented</x:v>
      </x:c>
      <x:c r="P13" s="17" t="str">
        <x:v>Not Provided</x:v>
      </x:c>
      <x:c r="Q13" s="17" t="str">
        <x:v>Make a qualifying deposit and use the assigned VM reward</x:v>
      </x:c>
      <x:c r="R13" s="17"/>
      <x:c r="S13" s="17"/>
      <x:c r="T13" s="17"/>
      <x:c r="U13" s="18" t="str">
        <x:v>VM value band: 50K to 99K</x:v>
      </x:c>
      <x:c r="V13" s="18"/>
      <x:c r="W13" s="17" t="str">
        <x:v>Unknown</x:v>
      </x:c>
      <x:c r="X13" s="17"/>
      <x:c r="Y13" s="17"/>
      <x:c r="Z13" s="17"/>
      <x:c r="AA13" s="17"/>
      <x:c r="AB13" s="17"/>
      <x:c r="AC13" s="17"/>
      <x:c r="AD13" s="17" t="str">
        <x:v>MYR</x:v>
      </x:c>
      <x:c r="AE13" s="17"/>
      <x:c r="AF13" s="17" t="n">
        <x:v>3</x:v>
      </x:c>
      <x:c r="AG13" s="17" t="str">
        <x:v>Partly Clear</x:v>
      </x:c>
      <x:c r="AH13" s="17" t="str">
        <x:v>Deposit Bonus</x:v>
      </x:c>
      <x:c r="AI13" s="20"/>
      <x:c r="AJ13" s="21" t="n">
        <x:v>1000</x:v>
      </x:c>
      <x:c r="AK13" s="21" t="n">
        <x:v>700</x:v>
      </x:c>
      <x:c r="AL13" s="17" t="str">
        <x:v>2x bonus</x:v>
      </x:c>
      <x:c r="AM13" s="17"/>
      <x:c r="AN13" s="21"/>
      <x:c r="AO13" s="17" t="str">
        <x:v>MYR</x:v>
      </x:c>
      <x:c r="AP13" s="17"/>
      <x:c r="AQ13" s="17" t="str">
        <x:v>FT_VM_DEP1000_GET700_2X</x:v>
      </x:c>
      <x:c r="AR13" s="17" t="str">
        <x:v>Recurring</x:v>
      </x:c>
      <x:c r="AS13" s="17"/>
      <x:c r="AT13" s="17" t="str">
        <x:v>Unknown</x:v>
      </x:c>
      <x:c r="AU13" s="18" t="str">
        <x:v>Partial</x:v>
      </x:c>
      <x:c r="AV13" s="17" t="str">
        <x:v>Available</x:v>
      </x:c>
      <x:c r="AW13" s="17" t="str">
        <x:v>Available</x:v>
      </x:c>
      <x:c r="AX13" s="17" t="str">
        <x:v>Available</x:v>
      </x:c>
      <x:c r="AY13" s="17" t="str">
        <x:v>Not Available</x:v>
      </x:c>
      <x:c r="AZ13" s="17" t="str">
        <x:v>Partial</x:v>
      </x:c>
      <x:c r="BA13" s="17" t="str">
        <x:v>Not Available</x:v>
      </x:c>
      <x:c r="BB13" s="17" t="str">
        <x:v>Partial</x:v>
      </x:c>
      <x:c r="BC13" s="18" t="str">
        <x:v>VIP Overview MYS – Team CD; Bonus Menu; CSIR ClickHouse</x:v>
      </x:c>
      <x:c r="BD13" s="18" t="str">
        <x:v>CK Analytics</x:v>
      </x:c>
      <x:c r="BE13" s="19" t="n">
        <x:v>46226</x:v>
      </x:c>
      <x:c r="BF13" s="22" t="str">
        <x:f>IF(A13="","",IF(BI13&gt;=ReadyThreshold,"Ready",IF(BI13&gt;=PartialThreshold,"Partial","Not Ready")))</x:f>
        <x:v>Partial</x:v>
      </x:c>
      <x:c r="BG13" s="23" t="n">
        <x:f>IF(A13="","",COUNTA(N13,Q13,R13,S13)/4)</x:f>
        <x:v>0.25</x:v>
      </x:c>
      <x:c r="BH13" s="23" t="n">
        <x:f>IF(A13="","",(COUNTA(U13,V13,AE13)+IF(COUNTA(W13,X13,Y13,Z13,AA13)&gt;0,1,0))/4)</x:f>
        <x:v>0.5</x:v>
      </x:c>
      <x:c r="BI13" s="23" t="n">
        <x:f>IF(A13="","",(COUNTIF(AV13:AZ13,"Available")+0.5*COUNTIF(AV13:AZ13,"Partial")+IF(BD13&lt;&gt;"",1,0))/6)</x:f>
        <x:v>0.75</x:v>
      </x:c>
      <x:c r="BJ13" s="22" t="str">
        <x:f>IF(A13="","",IF(AND(F13="",BD13=""),"Blocked",IF(AND(BG13&gt;=ReadyThreshold,BH13&gt;=ReadyThreshold,BI13&gt;=ReadyThreshold),"Ready for Analysis",IF(AVERAGE(BG13,BH13,BI13)&gt;=PartialThreshold,"Partially Ready","Discovery Required"))))</x:f>
        <x:v>Partially Ready</x:v>
      </x:c>
      <x:c r="BK13" s="17" t="str">
        <x:v>Original campaign objective and success target were not supplied.</x:v>
      </x:c>
      <x:c r="BL13" s="17" t="str">
        <x:v>Bonus Menu shows “50K to 99K”, but the metric, lookback period and selection rule are not defined.</x:v>
      </x:c>
      <x:c r="BM13" s="17" t="str">
        <x:v>None</x:v>
      </x:c>
      <x:c r="BN13" s="17" t="str">
        <x:v>Accountable campaign owner and requesting brief are not confirmed.</x:v>
      </x:c>
      <x:c r="BO13" s="17" t="str">
        <x:v>Jan–Mar assignments and Apr–Jul executions are available in separate windows; no full-period conversion denominator.</x:v>
      </x:c>
      <x:c r="BP13" s="17" t="str">
        <x:v>None</x:v>
      </x:c>
      <x:c r="BQ13" s="17" t="str">
        <x:v>Segment criteria missing</x:v>
      </x:c>
      <x:c r="BR13" s="17" t="str">
        <x:v>High</x:v>
      </x:c>
      <x:c r="BS13" s="17" t="str">
        <x:v>Define Segment Criteria</x:v>
      </x:c>
      <x:c r="BT13" s="18" t="str">
        <x:v>VIP</x:v>
      </x:c>
      <x:c r="BU13" s="17" t="str">
        <x:v>Not Started</x:v>
      </x:c>
      <x:c r="BV13" s="17" t="str">
        <x:v>Observed 2026-02-24–2026-07-22. Jan–Mar: 3 assignments / 3 members / 0 matched claims. Apr–Jul: 34 executions / 25 members / MYR 23,800 bonus cost. Schedule and owner unconfirmed; NGR excluded.</x:v>
      </x:c>
    </x:row>
    <x:row r="14" ht="60" customHeight="1">
      <x:c r="A14" s="17" t="str">
        <x:v>WS1-VM-008</x:v>
      </x:c>
      <x:c r="B14" s="17" t="str">
        <x:v>WS1</x:v>
      </x:c>
      <x:c r="C14" s="17" t="str">
        <x:v>VM Bns - Dep1000 Get800 - 1x TO</x:v>
      </x:c>
      <x:c r="D14" s="17" t="str">
        <x:v>VIP VM</x:v>
      </x:c>
      <x:c r="E14" s="18" t="str">
        <x:v>VIP</x:v>
      </x:c>
      <x:c r="F14" s="18"/>
      <x:c r="G14" s="17" t="str">
        <x:v>Promotion</x:v>
      </x:c>
      <x:c r="H14" s="17" t="str">
        <x:v>Unknown</x:v>
      </x:c>
      <x:c r="I14" s="19" t="n">
        <x:v>46077</x:v>
      </x:c>
      <x:c r="J14" s="19" t="n">
        <x:v>46224</x:v>
      </x:c>
      <x:c r="K14" s="17" t="str">
        <x:v>Weekly</x:v>
      </x:c>
      <x:c r="L14" s="19" t="n">
        <x:v>46226</x:v>
      </x:c>
      <x:c r="M14" s="17" t="str">
        <x:v>Retention</x:v>
      </x:c>
      <x:c r="N14" s="18"/>
      <x:c r="O14" s="18" t="str">
        <x:v>Not Documented</x:v>
      </x:c>
      <x:c r="P14" s="17" t="str">
        <x:v>Not Provided</x:v>
      </x:c>
      <x:c r="Q14" s="17" t="str">
        <x:v>Make a qualifying deposit and use the assigned VM reward</x:v>
      </x:c>
      <x:c r="R14" s="17"/>
      <x:c r="S14" s="17"/>
      <x:c r="T14" s="17"/>
      <x:c r="U14" s="18" t="str">
        <x:v>VM-managed players</x:v>
      </x:c>
      <x:c r="V14" s="18"/>
      <x:c r="W14" s="17" t="str">
        <x:v>Unknown</x:v>
      </x:c>
      <x:c r="X14" s="17"/>
      <x:c r="Y14" s="17"/>
      <x:c r="Z14" s="17"/>
      <x:c r="AA14" s="17"/>
      <x:c r="AB14" s="17"/>
      <x:c r="AC14" s="17"/>
      <x:c r="AD14" s="17" t="str">
        <x:v>MYR</x:v>
      </x:c>
      <x:c r="AE14" s="17"/>
      <x:c r="AF14" s="17" t="n">
        <x:v>2</x:v>
      </x:c>
      <x:c r="AG14" s="17" t="str">
        <x:v>Not Provided</x:v>
      </x:c>
      <x:c r="AH14" s="17" t="str">
        <x:v>Deposit Bonus</x:v>
      </x:c>
      <x:c r="AI14" s="20"/>
      <x:c r="AJ14" s="21" t="n">
        <x:v>1000</x:v>
      </x:c>
      <x:c r="AK14" s="21" t="n">
        <x:v>800</x:v>
      </x:c>
      <x:c r="AL14" s="17" t="str">
        <x:v>1x bonus</x:v>
      </x:c>
      <x:c r="AM14" s="17"/>
      <x:c r="AN14" s="21"/>
      <x:c r="AO14" s="17" t="str">
        <x:v>MYR</x:v>
      </x:c>
      <x:c r="AP14" s="17"/>
      <x:c r="AQ14" s="17" t="str">
        <x:v>FT_VM_DEP1000_GET800_1X</x:v>
      </x:c>
      <x:c r="AR14" s="17" t="str">
        <x:v>Recurring</x:v>
      </x:c>
      <x:c r="AS14" s="17"/>
      <x:c r="AT14" s="17" t="str">
        <x:v>Unknown</x:v>
      </x:c>
      <x:c r="AU14" s="18" t="str">
        <x:v>Partial</x:v>
      </x:c>
      <x:c r="AV14" s="17" t="str">
        <x:v>Available</x:v>
      </x:c>
      <x:c r="AW14" s="17" t="str">
        <x:v>Available</x:v>
      </x:c>
      <x:c r="AX14" s="17" t="str">
        <x:v>Available</x:v>
      </x:c>
      <x:c r="AY14" s="17" t="str">
        <x:v>Not Available</x:v>
      </x:c>
      <x:c r="AZ14" s="17" t="str">
        <x:v>Partial</x:v>
      </x:c>
      <x:c r="BA14" s="17" t="str">
        <x:v>Not Available</x:v>
      </x:c>
      <x:c r="BB14" s="17" t="str">
        <x:v>Partial</x:v>
      </x:c>
      <x:c r="BC14" s="18" t="str">
        <x:v>VIP Overview MYS – Team CD; Bonus Menu; CSIR ClickHouse</x:v>
      </x:c>
      <x:c r="BD14" s="18" t="str">
        <x:v>CK Analytics</x:v>
      </x:c>
      <x:c r="BE14" s="19" t="n">
        <x:v>46226</x:v>
      </x:c>
      <x:c r="BF14" s="22" t="str">
        <x:f>IF(A14="","",IF(BI14&gt;=ReadyThreshold,"Ready",IF(BI14&gt;=PartialThreshold,"Partial","Not Ready")))</x:f>
        <x:v>Partial</x:v>
      </x:c>
      <x:c r="BG14" s="23" t="n">
        <x:f>IF(A14="","",COUNTA(N14,Q14,R14,S14)/4)</x:f>
        <x:v>0.25</x:v>
      </x:c>
      <x:c r="BH14" s="23" t="n">
        <x:f>IF(A14="","",(COUNTA(U14,V14,AE14)+IF(COUNTA(W14,X14,Y14,Z14,AA14)&gt;0,1,0))/4)</x:f>
        <x:v>0.5</x:v>
      </x:c>
      <x:c r="BI14" s="23" t="n">
        <x:f>IF(A14="","",(COUNTIF(AV14:AZ14,"Available")+0.5*COUNTIF(AV14:AZ14,"Partial")+IF(BD14&lt;&gt;"",1,0))/6)</x:f>
        <x:v>0.75</x:v>
      </x:c>
      <x:c r="BJ14" s="22" t="str">
        <x:f>IF(A14="","",IF(AND(F14="",BD14=""),"Blocked",IF(AND(BG14&gt;=ReadyThreshold,BH14&gt;=ReadyThreshold,BI14&gt;=ReadyThreshold),"Ready for Analysis",IF(AVERAGE(BG14,BH14,BI14)&gt;=PartialThreshold,"Partially Ready","Discovery Required"))))</x:f>
        <x:v>Partially Ready</x:v>
      </x:c>
      <x:c r="BK14" s="17" t="str">
        <x:v>Original campaign objective and success target were not supplied.</x:v>
      </x:c>
      <x:c r="BL14" s="17" t="str">
        <x:v>Actual player-selection criteria were not supplied.</x:v>
      </x:c>
      <x:c r="BM14" s="17" t="str">
        <x:v>High cap requires review</x:v>
      </x:c>
      <x:c r="BN14" s="17" t="str">
        <x:v>Accountable campaign owner and requesting brief are not confirmed.</x:v>
      </x:c>
      <x:c r="BO14" s="17" t="str">
        <x:v>Jan–Mar assignments and Apr–Jul executions are available in separate windows; no full-period conversion denominator.</x:v>
      </x:c>
      <x:c r="BP14" s="17" t="str">
        <x:v>None</x:v>
      </x:c>
      <x:c r="BQ14" s="17" t="str">
        <x:v>Objective unclear</x:v>
      </x:c>
      <x:c r="BR14" s="17" t="str">
        <x:v>High</x:v>
      </x:c>
      <x:c r="BS14" s="17" t="str">
        <x:v>Confirm Objective</x:v>
      </x:c>
      <x:c r="BT14" s="18" t="str">
        <x:v>VIP</x:v>
      </x:c>
      <x:c r="BU14" s="17" t="str">
        <x:v>Not Started</x:v>
      </x:c>
      <x:c r="BV14" s="17" t="str">
        <x:v>Observed 2026-02-24–2026-07-21. Jan–Mar: 2 assignments / 2 members / 0 matched claims. Apr–Jul: 24 executions / 18 members / MYR 19,200 bonus cost. Schedule and owner unconfirmed; NGR excluded.</x:v>
      </x:c>
    </x:row>
    <x:row r="15" ht="60" customHeight="1">
      <x:c r="A15" s="17" t="str">
        <x:v>WS1-VM-009</x:v>
      </x:c>
      <x:c r="B15" s="17" t="str">
        <x:v>WS1</x:v>
      </x:c>
      <x:c r="C15" s="17" t="str">
        <x:v>VM Bns - Dep1000 Get800 - 2x TO</x:v>
      </x:c>
      <x:c r="D15" s="17" t="str">
        <x:v>VIP VM</x:v>
      </x:c>
      <x:c r="E15" s="18" t="str">
        <x:v>VIP</x:v>
      </x:c>
      <x:c r="F15" s="18"/>
      <x:c r="G15" s="17" t="str">
        <x:v>Promotion</x:v>
      </x:c>
      <x:c r="H15" s="17" t="str">
        <x:v>Unknown</x:v>
      </x:c>
      <x:c r="I15" s="19" t="n">
        <x:v>46090</x:v>
      </x:c>
      <x:c r="J15" s="19" t="n">
        <x:v>46224</x:v>
      </x:c>
      <x:c r="K15" s="17" t="str">
        <x:v>Weekly</x:v>
      </x:c>
      <x:c r="L15" s="19" t="n">
        <x:v>46226</x:v>
      </x:c>
      <x:c r="M15" s="17" t="str">
        <x:v>Retention</x:v>
      </x:c>
      <x:c r="N15" s="18"/>
      <x:c r="O15" s="18" t="str">
        <x:v>Not Documented</x:v>
      </x:c>
      <x:c r="P15" s="17" t="str">
        <x:v>Not Provided</x:v>
      </x:c>
      <x:c r="Q15" s="17" t="str">
        <x:v>Make a qualifying deposit and use the assigned VM reward</x:v>
      </x:c>
      <x:c r="R15" s="17"/>
      <x:c r="S15" s="17"/>
      <x:c r="T15" s="17"/>
      <x:c r="U15" s="18" t="str">
        <x:v>VM value band: 100K to 499K</x:v>
      </x:c>
      <x:c r="V15" s="18"/>
      <x:c r="W15" s="17" t="str">
        <x:v>Unknown</x:v>
      </x:c>
      <x:c r="X15" s="17"/>
      <x:c r="Y15" s="17"/>
      <x:c r="Z15" s="17"/>
      <x:c r="AA15" s="17"/>
      <x:c r="AB15" s="17"/>
      <x:c r="AC15" s="17"/>
      <x:c r="AD15" s="17" t="str">
        <x:v>MYR</x:v>
      </x:c>
      <x:c r="AE15" s="17"/>
      <x:c r="AF15" s="17" t="n">
        <x:v>4</x:v>
      </x:c>
      <x:c r="AG15" s="17" t="str">
        <x:v>Partly Clear</x:v>
      </x:c>
      <x:c r="AH15" s="17" t="str">
        <x:v>Deposit Bonus</x:v>
      </x:c>
      <x:c r="AI15" s="20"/>
      <x:c r="AJ15" s="21" t="n">
        <x:v>1000</x:v>
      </x:c>
      <x:c r="AK15" s="21" t="n">
        <x:v>800</x:v>
      </x:c>
      <x:c r="AL15" s="17" t="str">
        <x:v>2x bonus</x:v>
      </x:c>
      <x:c r="AM15" s="17"/>
      <x:c r="AN15" s="21"/>
      <x:c r="AO15" s="17" t="str">
        <x:v>MYR</x:v>
      </x:c>
      <x:c r="AP15" s="17"/>
      <x:c r="AQ15" s="17" t="str">
        <x:v>FT_VM_DEP1000_GET800_2X</x:v>
      </x:c>
      <x:c r="AR15" s="17" t="str">
        <x:v>Recurring</x:v>
      </x:c>
      <x:c r="AS15" s="17"/>
      <x:c r="AT15" s="17" t="str">
        <x:v>Unknown</x:v>
      </x:c>
      <x:c r="AU15" s="18" t="str">
        <x:v>Partial</x:v>
      </x:c>
      <x:c r="AV15" s="17" t="str">
        <x:v>Available</x:v>
      </x:c>
      <x:c r="AW15" s="17" t="str">
        <x:v>Available</x:v>
      </x:c>
      <x:c r="AX15" s="17" t="str">
        <x:v>Available</x:v>
      </x:c>
      <x:c r="AY15" s="17" t="str">
        <x:v>Not Available</x:v>
      </x:c>
      <x:c r="AZ15" s="17" t="str">
        <x:v>Partial</x:v>
      </x:c>
      <x:c r="BA15" s="17" t="str">
        <x:v>Not Available</x:v>
      </x:c>
      <x:c r="BB15" s="17" t="str">
        <x:v>Partial</x:v>
      </x:c>
      <x:c r="BC15" s="18" t="str">
        <x:v>VIP Overview MYS – Team CD; Bonus Menu; CSIR ClickHouse</x:v>
      </x:c>
      <x:c r="BD15" s="18" t="str">
        <x:v>CK Analytics</x:v>
      </x:c>
      <x:c r="BE15" s="19" t="n">
        <x:v>46226</x:v>
      </x:c>
      <x:c r="BF15" s="22" t="str">
        <x:f>IF(A15="","",IF(BI15&gt;=ReadyThreshold,"Ready",IF(BI15&gt;=PartialThreshold,"Partial","Not Ready")))</x:f>
        <x:v>Partial</x:v>
      </x:c>
      <x:c r="BG15" s="23" t="n">
        <x:f>IF(A15="","",COUNTA(N15,Q15,R15,S15)/4)</x:f>
        <x:v>0.25</x:v>
      </x:c>
      <x:c r="BH15" s="23" t="n">
        <x:f>IF(A15="","",(COUNTA(U15,V15,AE15)+IF(COUNTA(W15,X15,Y15,Z15,AA15)&gt;0,1,0))/4)</x:f>
        <x:v>0.5</x:v>
      </x:c>
      <x:c r="BI15" s="23" t="n">
        <x:f>IF(A15="","",(COUNTIF(AV15:AZ15,"Available")+0.5*COUNTIF(AV15:AZ15,"Partial")+IF(BD15&lt;&gt;"",1,0))/6)</x:f>
        <x:v>0.75</x:v>
      </x:c>
      <x:c r="BJ15" s="22" t="str">
        <x:f>IF(A15="","",IF(AND(F15="",BD15=""),"Blocked",IF(AND(BG15&gt;=ReadyThreshold,BH15&gt;=ReadyThreshold,BI15&gt;=ReadyThreshold),"Ready for Analysis",IF(AVERAGE(BG15,BH15,BI15)&gt;=PartialThreshold,"Partially Ready","Discovery Required"))))</x:f>
        <x:v>Partially Ready</x:v>
      </x:c>
      <x:c r="BK15" s="17" t="str">
        <x:v>Original campaign objective and success target were not supplied.</x:v>
      </x:c>
      <x:c r="BL15" s="17" t="str">
        <x:v>Bonus Menu shows “100K to 499K”, but the metric, lookback period and selection rule are not defined.</x:v>
      </x:c>
      <x:c r="BM15" s="17" t="str">
        <x:v>High cap requires review</x:v>
      </x:c>
      <x:c r="BN15" s="17" t="str">
        <x:v>Accountable campaign owner and requesting brief are not confirmed.</x:v>
      </x:c>
      <x:c r="BO15" s="17" t="str">
        <x:v>Jan–Mar assignments and Apr–Jul executions are available in separate windows; no full-period conversion denominator.</x:v>
      </x:c>
      <x:c r="BP15" s="17" t="str">
        <x:v>None</x:v>
      </x:c>
      <x:c r="BQ15" s="17" t="str">
        <x:v>Segment criteria missing</x:v>
      </x:c>
      <x:c r="BR15" s="17" t="str">
        <x:v>High</x:v>
      </x:c>
      <x:c r="BS15" s="17" t="str">
        <x:v>Define Segment Criteria</x:v>
      </x:c>
      <x:c r="BT15" s="18" t="str">
        <x:v>VIP</x:v>
      </x:c>
      <x:c r="BU15" s="17" t="str">
        <x:v>Not Started</x:v>
      </x:c>
      <x:c r="BV15" s="17" t="str">
        <x:v>Observed 2026-03-09–2026-07-21. Jan–Mar: 4 assignments / 4 members / 0 matched claims. Apr–Jul: 65 executions / 41 members / MYR 52,000 bonus cost. Schedule and owner unconfirmed; NGR excluded.</x:v>
      </x:c>
    </x:row>
    <x:row r="16" ht="60" customHeight="1">
      <x:c r="A16" s="17" t="str">
        <x:v>WS1-VM-010</x:v>
      </x:c>
      <x:c r="B16" s="17" t="str">
        <x:v>WS1</x:v>
      </x:c>
      <x:c r="C16" s="17" t="str">
        <x:v>VM Bns - Dep1000 Get900 - 1x TO</x:v>
      </x:c>
      <x:c r="D16" s="17" t="str">
        <x:v>VIP VM</x:v>
      </x:c>
      <x:c r="E16" s="18" t="str">
        <x:v>VIP</x:v>
      </x:c>
      <x:c r="F16" s="18"/>
      <x:c r="G16" s="17" t="str">
        <x:v>Promotion</x:v>
      </x:c>
      <x:c r="H16" s="17" t="str">
        <x:v>Unknown</x:v>
      </x:c>
      <x:c r="I16" s="19" t="n">
        <x:v>46090</x:v>
      </x:c>
      <x:c r="J16" s="19" t="n">
        <x:v>46225</x:v>
      </x:c>
      <x:c r="K16" s="17" t="str">
        <x:v>Weekly</x:v>
      </x:c>
      <x:c r="L16" s="19" t="n">
        <x:v>46226</x:v>
      </x:c>
      <x:c r="M16" s="17" t="str">
        <x:v>Retention</x:v>
      </x:c>
      <x:c r="N16" s="18"/>
      <x:c r="O16" s="18" t="str">
        <x:v>Not Documented</x:v>
      </x:c>
      <x:c r="P16" s="17" t="str">
        <x:v>Not Provided</x:v>
      </x:c>
      <x:c r="Q16" s="17" t="str">
        <x:v>Make a qualifying deposit and use the assigned VM reward</x:v>
      </x:c>
      <x:c r="R16" s="17"/>
      <x:c r="S16" s="17"/>
      <x:c r="T16" s="17"/>
      <x:c r="U16" s="18" t="str">
        <x:v>VM-managed players</x:v>
      </x:c>
      <x:c r="V16" s="18"/>
      <x:c r="W16" s="17" t="str">
        <x:v>Unknown</x:v>
      </x:c>
      <x:c r="X16" s="17"/>
      <x:c r="Y16" s="17"/>
      <x:c r="Z16" s="17"/>
      <x:c r="AA16" s="17"/>
      <x:c r="AB16" s="17"/>
      <x:c r="AC16" s="17"/>
      <x:c r="AD16" s="17" t="str">
        <x:v>MYR</x:v>
      </x:c>
      <x:c r="AE16" s="17"/>
      <x:c r="AF16" s="17" t="n">
        <x:v>1</x:v>
      </x:c>
      <x:c r="AG16" s="17" t="str">
        <x:v>Not Provided</x:v>
      </x:c>
      <x:c r="AH16" s="17" t="str">
        <x:v>Deposit Bonus</x:v>
      </x:c>
      <x:c r="AI16" s="20"/>
      <x:c r="AJ16" s="21" t="n">
        <x:v>1000</x:v>
      </x:c>
      <x:c r="AK16" s="21" t="n">
        <x:v>900</x:v>
      </x:c>
      <x:c r="AL16" s="17" t="str">
        <x:v>1x bonus</x:v>
      </x:c>
      <x:c r="AM16" s="17"/>
      <x:c r="AN16" s="21"/>
      <x:c r="AO16" s="17" t="str">
        <x:v>MYR</x:v>
      </x:c>
      <x:c r="AP16" s="17"/>
      <x:c r="AQ16" s="17" t="str">
        <x:v>FT_VM_DEP1000_GET900_1X</x:v>
      </x:c>
      <x:c r="AR16" s="17" t="str">
        <x:v>Recurring</x:v>
      </x:c>
      <x:c r="AS16" s="17"/>
      <x:c r="AT16" s="17" t="str">
        <x:v>Unknown</x:v>
      </x:c>
      <x:c r="AU16" s="18" t="str">
        <x:v>Partial</x:v>
      </x:c>
      <x:c r="AV16" s="17" t="str">
        <x:v>Available</x:v>
      </x:c>
      <x:c r="AW16" s="17" t="str">
        <x:v>Available</x:v>
      </x:c>
      <x:c r="AX16" s="17" t="str">
        <x:v>Available</x:v>
      </x:c>
      <x:c r="AY16" s="17" t="str">
        <x:v>Not Available</x:v>
      </x:c>
      <x:c r="AZ16" s="17" t="str">
        <x:v>Partial</x:v>
      </x:c>
      <x:c r="BA16" s="17" t="str">
        <x:v>Not Available</x:v>
      </x:c>
      <x:c r="BB16" s="17" t="str">
        <x:v>Partial</x:v>
      </x:c>
      <x:c r="BC16" s="18" t="str">
        <x:v>VIP Overview MYS – Team CD; Bonus Menu; CSIR ClickHouse</x:v>
      </x:c>
      <x:c r="BD16" s="18" t="str">
        <x:v>CK Analytics</x:v>
      </x:c>
      <x:c r="BE16" s="19" t="n">
        <x:v>46226</x:v>
      </x:c>
      <x:c r="BF16" s="22" t="str">
        <x:f>IF(A16="","",IF(BI16&gt;=ReadyThreshold,"Ready",IF(BI16&gt;=PartialThreshold,"Partial","Not Ready")))</x:f>
        <x:v>Partial</x:v>
      </x:c>
      <x:c r="BG16" s="23" t="n">
        <x:f>IF(A16="","",COUNTA(N16,Q16,R16,S16)/4)</x:f>
        <x:v>0.25</x:v>
      </x:c>
      <x:c r="BH16" s="23" t="n">
        <x:f>IF(A16="","",(COUNTA(U16,V16,AE16)+IF(COUNTA(W16,X16,Y16,Z16,AA16)&gt;0,1,0))/4)</x:f>
        <x:v>0.5</x:v>
      </x:c>
      <x:c r="BI16" s="23" t="n">
        <x:f>IF(A16="","",(COUNTIF(AV16:AZ16,"Available")+0.5*COUNTIF(AV16:AZ16,"Partial")+IF(BD16&lt;&gt;"",1,0))/6)</x:f>
        <x:v>0.75</x:v>
      </x:c>
      <x:c r="BJ16" s="22" t="str">
        <x:f>IF(A16="","",IF(AND(F16="",BD16=""),"Blocked",IF(AND(BG16&gt;=ReadyThreshold,BH16&gt;=ReadyThreshold,BI16&gt;=ReadyThreshold),"Ready for Analysis",IF(AVERAGE(BG16,BH16,BI16)&gt;=PartialThreshold,"Partially Ready","Discovery Required"))))</x:f>
        <x:v>Partially Ready</x:v>
      </x:c>
      <x:c r="BK16" s="17" t="str">
        <x:v>Original campaign objective and success target were not supplied.</x:v>
      </x:c>
      <x:c r="BL16" s="17" t="str">
        <x:v>Actual player-selection criteria were not supplied.</x:v>
      </x:c>
      <x:c r="BM16" s="17" t="str">
        <x:v>High cap requires review</x:v>
      </x:c>
      <x:c r="BN16" s="17" t="str">
        <x:v>Accountable campaign owner and requesting brief are not confirmed.</x:v>
      </x:c>
      <x:c r="BO16" s="17" t="str">
        <x:v>Jan–Mar assignments and Apr–Jul executions are available in separate windows; no full-period conversion denominator.</x:v>
      </x:c>
      <x:c r="BP16" s="17" t="str">
        <x:v>None</x:v>
      </x:c>
      <x:c r="BQ16" s="17" t="str">
        <x:v>Objective unclear</x:v>
      </x:c>
      <x:c r="BR16" s="17" t="str">
        <x:v>High</x:v>
      </x:c>
      <x:c r="BS16" s="17" t="str">
        <x:v>Confirm Objective</x:v>
      </x:c>
      <x:c r="BT16" s="18" t="str">
        <x:v>VIP</x:v>
      </x:c>
      <x:c r="BU16" s="17" t="str">
        <x:v>Not Started</x:v>
      </x:c>
      <x:c r="BV16" s="17" t="str">
        <x:v>Observed 2026-03-09–2026-07-22. Jan–Mar: 1 assignments / 1 members / 0 matched claims. Apr–Jul: 31 executions / 23 members / MYR 27,900 bonus cost. Schedule and owner unconfirmed; NGR excluded.</x:v>
      </x:c>
    </x:row>
    <x:row r="17" ht="60" customHeight="1">
      <x:c r="A17" s="17" t="str">
        <x:v>WS1-VM-011</x:v>
      </x:c>
      <x:c r="B17" s="17" t="str">
        <x:v>WS1</x:v>
      </x:c>
      <x:c r="C17" s="17" t="str">
        <x:v>VM Bns - Dep1000 Get900 - 2x TO</x:v>
      </x:c>
      <x:c r="D17" s="17" t="str">
        <x:v>VIP VM</x:v>
      </x:c>
      <x:c r="E17" s="18" t="str">
        <x:v>VIP</x:v>
      </x:c>
      <x:c r="F17" s="18"/>
      <x:c r="G17" s="17" t="str">
        <x:v>Promotion</x:v>
      </x:c>
      <x:c r="H17" s="17" t="str">
        <x:v>Unknown</x:v>
      </x:c>
      <x:c r="I17" s="19" t="n">
        <x:v>46120</x:v>
      </x:c>
      <x:c r="J17" s="19" t="n">
        <x:v>46191</x:v>
      </x:c>
      <x:c r="K17" s="17" t="str">
        <x:v>Unknown</x:v>
      </x:c>
      <x:c r="L17" s="19" t="n">
        <x:v>46226</x:v>
      </x:c>
      <x:c r="M17" s="17" t="str">
        <x:v>Retention</x:v>
      </x:c>
      <x:c r="N17" s="18"/>
      <x:c r="O17" s="18" t="str">
        <x:v>Not Documented</x:v>
      </x:c>
      <x:c r="P17" s="17" t="str">
        <x:v>Not Provided</x:v>
      </x:c>
      <x:c r="Q17" s="17" t="str">
        <x:v>Make a qualifying deposit and use the assigned VM reward</x:v>
      </x:c>
      <x:c r="R17" s="17"/>
      <x:c r="S17" s="17"/>
      <x:c r="T17" s="17"/>
      <x:c r="U17" s="18" t="str">
        <x:v>VM value band: 500K and above</x:v>
      </x:c>
      <x:c r="V17" s="18"/>
      <x:c r="W17" s="17" t="str">
        <x:v>Unknown</x:v>
      </x:c>
      <x:c r="X17" s="17"/>
      <x:c r="Y17" s="17"/>
      <x:c r="Z17" s="17"/>
      <x:c r="AA17" s="17"/>
      <x:c r="AB17" s="17"/>
      <x:c r="AC17" s="17"/>
      <x:c r="AD17" s="17" t="str">
        <x:v>MYR</x:v>
      </x:c>
      <x:c r="AE17" s="17"/>
      <x:c r="AF17" s="17"/>
      <x:c r="AG17" s="17" t="str">
        <x:v>Partly Clear</x:v>
      </x:c>
      <x:c r="AH17" s="17" t="str">
        <x:v>Deposit Bonus</x:v>
      </x:c>
      <x:c r="AI17" s="20"/>
      <x:c r="AJ17" s="21" t="n">
        <x:v>1000</x:v>
      </x:c>
      <x:c r="AK17" s="21" t="n">
        <x:v>900</x:v>
      </x:c>
      <x:c r="AL17" s="17" t="str">
        <x:v>2x bonus</x:v>
      </x:c>
      <x:c r="AM17" s="17"/>
      <x:c r="AN17" s="21"/>
      <x:c r="AO17" s="17" t="str">
        <x:v>MYR</x:v>
      </x:c>
      <x:c r="AP17" s="17"/>
      <x:c r="AQ17" s="17" t="str">
        <x:v>FT_VM_DEP1000_GET900_2X</x:v>
      </x:c>
      <x:c r="AR17" s="17" t="str">
        <x:v>Unknown</x:v>
      </x:c>
      <x:c r="AS17" s="17"/>
      <x:c r="AT17" s="17" t="str">
        <x:v>Unknown</x:v>
      </x:c>
      <x:c r="AU17" s="18" t="str">
        <x:v>Partial</x:v>
      </x:c>
      <x:c r="AV17" s="17" t="str">
        <x:v>Available</x:v>
      </x:c>
      <x:c r="AW17" s="17" t="str">
        <x:v>Available</x:v>
      </x:c>
      <x:c r="AX17" s="17" t="str">
        <x:v>Available</x:v>
      </x:c>
      <x:c r="AY17" s="17" t="str">
        <x:v>Not Available</x:v>
      </x:c>
      <x:c r="AZ17" s="17" t="str">
        <x:v>Partial</x:v>
      </x:c>
      <x:c r="BA17" s="17" t="str">
        <x:v>Not Available</x:v>
      </x:c>
      <x:c r="BB17" s="17" t="str">
        <x:v>Partial</x:v>
      </x:c>
      <x:c r="BC17" s="18" t="str">
        <x:v>VIP Overview MYS – Team CD; Bonus Menu; CSIR ClickHouse</x:v>
      </x:c>
      <x:c r="BD17" s="18" t="str">
        <x:v>CK Analytics</x:v>
      </x:c>
      <x:c r="BE17" s="19" t="n">
        <x:v>46226</x:v>
      </x:c>
      <x:c r="BF17" s="22" t="str">
        <x:f>IF(A17="","",IF(BI17&gt;=ReadyThreshold,"Ready",IF(BI17&gt;=PartialThreshold,"Partial","Not Ready")))</x:f>
        <x:v>Partial</x:v>
      </x:c>
      <x:c r="BG17" s="23" t="n">
        <x:f>IF(A17="","",COUNTA(N17,Q17,R17,S17)/4)</x:f>
        <x:v>0.25</x:v>
      </x:c>
      <x:c r="BH17" s="23" t="n">
        <x:f>IF(A17="","",(COUNTA(U17,V17,AE17)+IF(COUNTA(W17,X17,Y17,Z17,AA17)&gt;0,1,0))/4)</x:f>
        <x:v>0.5</x:v>
      </x:c>
      <x:c r="BI17" s="23" t="n">
        <x:f>IF(A17="","",(COUNTIF(AV17:AZ17,"Available")+0.5*COUNTIF(AV17:AZ17,"Partial")+IF(BD17&lt;&gt;"",1,0))/6)</x:f>
        <x:v>0.75</x:v>
      </x:c>
      <x:c r="BJ17" s="22" t="str">
        <x:f>IF(A17="","",IF(AND(F17="",BD17=""),"Blocked",IF(AND(BG17&gt;=ReadyThreshold,BH17&gt;=ReadyThreshold,BI17&gt;=ReadyThreshold),"Ready for Analysis",IF(AVERAGE(BG17,BH17,BI17)&gt;=PartialThreshold,"Partially Ready","Discovery Required"))))</x:f>
        <x:v>Partially Ready</x:v>
      </x:c>
      <x:c r="BK17" s="17" t="str">
        <x:v>Original campaign objective and success target were not supplied.</x:v>
      </x:c>
      <x:c r="BL17" s="17" t="str">
        <x:v>Bonus Menu shows “500K and above”, but the metric, lookback period and selection rule are not defined.</x:v>
      </x:c>
      <x:c r="BM17" s="17" t="str">
        <x:v>High cap requires review</x:v>
      </x:c>
      <x:c r="BN17" s="17" t="str">
        <x:v>Accountable campaign owner and requesting brief are not confirmed.</x:v>
      </x:c>
      <x:c r="BO17" s="17" t="str">
        <x:v>Apr–Jul executions are available, but offer assignments and the target denominator are missing.</x:v>
      </x:c>
      <x:c r="BP17" s="17" t="str">
        <x:v>None</x:v>
      </x:c>
      <x:c r="BQ17" s="17" t="str">
        <x:v>Campaign owner unclear</x:v>
      </x:c>
      <x:c r="BR17" s="17" t="str">
        <x:v>High</x:v>
      </x:c>
      <x:c r="BS17" s="17" t="str">
        <x:v>Confirm Campaign Owner</x:v>
      </x:c>
      <x:c r="BT17" s="18" t="str">
        <x:v>VIP</x:v>
      </x:c>
      <x:c r="BU17" s="17" t="str">
        <x:v>Not Started</x:v>
      </x:c>
      <x:c r="BV17" s="17" t="str">
        <x:v>Observed 2026-04-08–2026-06-18. Jan–Mar: no assignment row. Apr–Jul: 14 executions / 9 members / MYR 12,600 bonus cost. Schedule and owner unconfirmed; NGR excluded.</x:v>
      </x:c>
    </x:row>
    <x:row r="18" ht="60" customHeight="1">
      <x:c r="A18" s="17" t="str">
        <x:v>WS1-VM-012</x:v>
      </x:c>
      <x:c r="B18" s="17" t="str">
        <x:v>WS1</x:v>
      </x:c>
      <x:c r="C18" s="17" t="str">
        <x:v>VM Bns - Dep1200 Get600 - 1x TO</x:v>
      </x:c>
      <x:c r="D18" s="17" t="str">
        <x:v>VIP VM</x:v>
      </x:c>
      <x:c r="E18" s="18" t="str">
        <x:v>VIP</x:v>
      </x:c>
      <x:c r="F18" s="18"/>
      <x:c r="G18" s="17" t="str">
        <x:v>Promotion</x:v>
      </x:c>
      <x:c r="H18" s="17" t="str">
        <x:v>Unknown</x:v>
      </x:c>
      <x:c r="I18" s="19" t="n">
        <x:v>46119</x:v>
      </x:c>
      <x:c r="J18" s="19" t="n">
        <x:v>46202</x:v>
      </x:c>
      <x:c r="K18" s="17" t="str">
        <x:v>Unknown</x:v>
      </x:c>
      <x:c r="L18" s="19" t="n">
        <x:v>46226</x:v>
      </x:c>
      <x:c r="M18" s="17" t="str">
        <x:v>Retention</x:v>
      </x:c>
      <x:c r="N18" s="18"/>
      <x:c r="O18" s="18" t="str">
        <x:v>Not Documented</x:v>
      </x:c>
      <x:c r="P18" s="17" t="str">
        <x:v>Not Provided</x:v>
      </x:c>
      <x:c r="Q18" s="17" t="str">
        <x:v>Make a qualifying deposit and use the assigned VM reward</x:v>
      </x:c>
      <x:c r="R18" s="17"/>
      <x:c r="S18" s="17"/>
      <x:c r="T18" s="17"/>
      <x:c r="U18" s="18" t="str">
        <x:v>VM-managed players</x:v>
      </x:c>
      <x:c r="V18" s="18"/>
      <x:c r="W18" s="17" t="str">
        <x:v>Unknown</x:v>
      </x:c>
      <x:c r="X18" s="17"/>
      <x:c r="Y18" s="17"/>
      <x:c r="Z18" s="17"/>
      <x:c r="AA18" s="17"/>
      <x:c r="AB18" s="17"/>
      <x:c r="AC18" s="17"/>
      <x:c r="AD18" s="17" t="str">
        <x:v>MYR</x:v>
      </x:c>
      <x:c r="AE18" s="17"/>
      <x:c r="AF18" s="17"/>
      <x:c r="AG18" s="17" t="str">
        <x:v>Not Provided</x:v>
      </x:c>
      <x:c r="AH18" s="17" t="str">
        <x:v>Deposit Bonus</x:v>
      </x:c>
      <x:c r="AI18" s="20"/>
      <x:c r="AJ18" s="21" t="n">
        <x:v>1200</x:v>
      </x:c>
      <x:c r="AK18" s="21" t="n">
        <x:v>600</x:v>
      </x:c>
      <x:c r="AL18" s="17" t="str">
        <x:v>1x bonus</x:v>
      </x:c>
      <x:c r="AM18" s="17"/>
      <x:c r="AN18" s="21"/>
      <x:c r="AO18" s="17" t="str">
        <x:v>MYR</x:v>
      </x:c>
      <x:c r="AP18" s="17"/>
      <x:c r="AQ18" s="17" t="str">
        <x:v>FT_VM_DEP1200_GET600_1X</x:v>
      </x:c>
      <x:c r="AR18" s="17" t="str">
        <x:v>Unknown</x:v>
      </x:c>
      <x:c r="AS18" s="17"/>
      <x:c r="AT18" s="17" t="str">
        <x:v>Unknown</x:v>
      </x:c>
      <x:c r="AU18" s="18" t="str">
        <x:v>Partial</x:v>
      </x:c>
      <x:c r="AV18" s="17" t="str">
        <x:v>Available</x:v>
      </x:c>
      <x:c r="AW18" s="17" t="str">
        <x:v>Available</x:v>
      </x:c>
      <x:c r="AX18" s="17" t="str">
        <x:v>Available</x:v>
      </x:c>
      <x:c r="AY18" s="17" t="str">
        <x:v>Not Available</x:v>
      </x:c>
      <x:c r="AZ18" s="17" t="str">
        <x:v>Partial</x:v>
      </x:c>
      <x:c r="BA18" s="17" t="str">
        <x:v>Not Available</x:v>
      </x:c>
      <x:c r="BB18" s="17" t="str">
        <x:v>Partial</x:v>
      </x:c>
      <x:c r="BC18" s="18" t="str">
        <x:v>VIP Overview MYS – Team CD; Bonus Menu; CSIR ClickHouse</x:v>
      </x:c>
      <x:c r="BD18" s="18" t="str">
        <x:v>CK Analytics</x:v>
      </x:c>
      <x:c r="BE18" s="19" t="n">
        <x:v>46226</x:v>
      </x:c>
      <x:c r="BF18" s="22" t="str">
        <x:f>IF(A18="","",IF(BI18&gt;=ReadyThreshold,"Ready",IF(BI18&gt;=PartialThreshold,"Partial","Not Ready")))</x:f>
        <x:v>Partial</x:v>
      </x:c>
      <x:c r="BG18" s="23" t="n">
        <x:f>IF(A18="","",COUNTA(N18,Q18,R18,S18)/4)</x:f>
        <x:v>0.25</x:v>
      </x:c>
      <x:c r="BH18" s="23" t="n">
        <x:f>IF(A18="","",(COUNTA(U18,V18,AE18)+IF(COUNTA(W18,X18,Y18,Z18,AA18)&gt;0,1,0))/4)</x:f>
        <x:v>0.5</x:v>
      </x:c>
      <x:c r="BI18" s="23" t="n">
        <x:f>IF(A18="","",(COUNTIF(AV18:AZ18,"Available")+0.5*COUNTIF(AV18:AZ18,"Partial")+IF(BD18&lt;&gt;"",1,0))/6)</x:f>
        <x:v>0.75</x:v>
      </x:c>
      <x:c r="BJ18" s="22" t="str">
        <x:f>IF(A18="","",IF(AND(F18="",BD18=""),"Blocked",IF(AND(BG18&gt;=ReadyThreshold,BH18&gt;=ReadyThreshold,BI18&gt;=ReadyThreshold),"Ready for Analysis",IF(AVERAGE(BG18,BH18,BI18)&gt;=PartialThreshold,"Partially Ready","Discovery Required"))))</x:f>
        <x:v>Partially Ready</x:v>
      </x:c>
      <x:c r="BK18" s="17" t="str">
        <x:v>Original campaign objective and success target were not supplied.</x:v>
      </x:c>
      <x:c r="BL18" s="17" t="str">
        <x:v>Actual player-selection criteria were not supplied.</x:v>
      </x:c>
      <x:c r="BM18" s="17" t="str">
        <x:v>None</x:v>
      </x:c>
      <x:c r="BN18" s="17" t="str">
        <x:v>Accountable campaign owner and requesting brief are not confirmed.</x:v>
      </x:c>
      <x:c r="BO18" s="17" t="str">
        <x:v>Apr–Jul executions are available, but offer assignments and the target denominator are missing.</x:v>
      </x:c>
      <x:c r="BP18" s="17" t="str">
        <x:v>None</x:v>
      </x:c>
      <x:c r="BQ18" s="17" t="str">
        <x:v>Campaign owner unclear</x:v>
      </x:c>
      <x:c r="BR18" s="17" t="str">
        <x:v>High</x:v>
      </x:c>
      <x:c r="BS18" s="17" t="str">
        <x:v>Confirm Campaign Owner</x:v>
      </x:c>
      <x:c r="BT18" s="18" t="str">
        <x:v>VIP</x:v>
      </x:c>
      <x:c r="BU18" s="17" t="str">
        <x:v>Not Started</x:v>
      </x:c>
      <x:c r="BV18" s="17" t="str">
        <x:v>Observed 2026-04-07–2026-06-29. Jan–Mar: no assignment row. Apr–Jul: 5 executions / 4 members / MYR 3,000 bonus cost. Schedule and owner unconfirmed; NGR excluded.</x:v>
      </x:c>
    </x:row>
    <x:row r="19" ht="60" customHeight="1">
      <x:c r="A19" s="17" t="str">
        <x:v>WS1-VM-013</x:v>
      </x:c>
      <x:c r="B19" s="17" t="str">
        <x:v>WS1</x:v>
      </x:c>
      <x:c r="C19" s="17" t="str">
        <x:v>VM Bns - Dep1200 Get600 - 2x TO</x:v>
      </x:c>
      <x:c r="D19" s="17" t="str">
        <x:v>VIP VM</x:v>
      </x:c>
      <x:c r="E19" s="18" t="str">
        <x:v>VIP</x:v>
      </x:c>
      <x:c r="F19" s="18"/>
      <x:c r="G19" s="17" t="str">
        <x:v>Promotion</x:v>
      </x:c>
      <x:c r="H19" s="17" t="str">
        <x:v>Unknown</x:v>
      </x:c>
      <x:c r="I19" s="19" t="n">
        <x:v>46139</x:v>
      </x:c>
      <x:c r="J19" s="19" t="n">
        <x:v>46209</x:v>
      </x:c>
      <x:c r="K19" s="17" t="str">
        <x:v>Unknown</x:v>
      </x:c>
      <x:c r="L19" s="19" t="n">
        <x:v>46226</x:v>
      </x:c>
      <x:c r="M19" s="17" t="str">
        <x:v>Retention</x:v>
      </x:c>
      <x:c r="N19" s="18"/>
      <x:c r="O19" s="18" t="str">
        <x:v>Not Documented</x:v>
      </x:c>
      <x:c r="P19" s="17" t="str">
        <x:v>Not Provided</x:v>
      </x:c>
      <x:c r="Q19" s="17" t="str">
        <x:v>Make a qualifying deposit and use the assigned VM reward</x:v>
      </x:c>
      <x:c r="R19" s="17"/>
      <x:c r="S19" s="17"/>
      <x:c r="T19" s="17"/>
      <x:c r="U19" s="18" t="str">
        <x:v>VM-managed players</x:v>
      </x:c>
      <x:c r="V19" s="18"/>
      <x:c r="W19" s="17" t="str">
        <x:v>Unknown</x:v>
      </x:c>
      <x:c r="X19" s="17"/>
      <x:c r="Y19" s="17"/>
      <x:c r="Z19" s="17"/>
      <x:c r="AA19" s="17"/>
      <x:c r="AB19" s="17"/>
      <x:c r="AC19" s="17"/>
      <x:c r="AD19" s="17" t="str">
        <x:v>MYR</x:v>
      </x:c>
      <x:c r="AE19" s="17"/>
      <x:c r="AF19" s="17"/>
      <x:c r="AG19" s="17" t="str">
        <x:v>Not Provided</x:v>
      </x:c>
      <x:c r="AH19" s="17" t="str">
        <x:v>Deposit Bonus</x:v>
      </x:c>
      <x:c r="AI19" s="20"/>
      <x:c r="AJ19" s="21" t="n">
        <x:v>1200</x:v>
      </x:c>
      <x:c r="AK19" s="21" t="n">
        <x:v>600</x:v>
      </x:c>
      <x:c r="AL19" s="17" t="str">
        <x:v>2x bonus</x:v>
      </x:c>
      <x:c r="AM19" s="17"/>
      <x:c r="AN19" s="21"/>
      <x:c r="AO19" s="17" t="str">
        <x:v>MYR</x:v>
      </x:c>
      <x:c r="AP19" s="17"/>
      <x:c r="AQ19" s="17" t="str">
        <x:v>FT_VM_DEP1200_GET600_2X</x:v>
      </x:c>
      <x:c r="AR19" s="17" t="str">
        <x:v>Unknown</x:v>
      </x:c>
      <x:c r="AS19" s="17"/>
      <x:c r="AT19" s="17" t="str">
        <x:v>Unknown</x:v>
      </x:c>
      <x:c r="AU19" s="18" t="str">
        <x:v>Partial</x:v>
      </x:c>
      <x:c r="AV19" s="17" t="str">
        <x:v>Available</x:v>
      </x:c>
      <x:c r="AW19" s="17" t="str">
        <x:v>Available</x:v>
      </x:c>
      <x:c r="AX19" s="17" t="str">
        <x:v>Available</x:v>
      </x:c>
      <x:c r="AY19" s="17" t="str">
        <x:v>Not Available</x:v>
      </x:c>
      <x:c r="AZ19" s="17" t="str">
        <x:v>Partial</x:v>
      </x:c>
      <x:c r="BA19" s="17" t="str">
        <x:v>Not Available</x:v>
      </x:c>
      <x:c r="BB19" s="17" t="str">
        <x:v>Partial</x:v>
      </x:c>
      <x:c r="BC19" s="18" t="str">
        <x:v>VIP Overview MYS – Team CD; Bonus Menu; CSIR ClickHouse</x:v>
      </x:c>
      <x:c r="BD19" s="18" t="str">
        <x:v>CK Analytics</x:v>
      </x:c>
      <x:c r="BE19" s="19" t="n">
        <x:v>46226</x:v>
      </x:c>
      <x:c r="BF19" s="22" t="str">
        <x:f>IF(A19="","",IF(BI19&gt;=ReadyThreshold,"Ready",IF(BI19&gt;=PartialThreshold,"Partial","Not Ready")))</x:f>
        <x:v>Partial</x:v>
      </x:c>
      <x:c r="BG19" s="23" t="n">
        <x:f>IF(A19="","",COUNTA(N19,Q19,R19,S19)/4)</x:f>
        <x:v>0.25</x:v>
      </x:c>
      <x:c r="BH19" s="23" t="n">
        <x:f>IF(A19="","",(COUNTA(U19,V19,AE19)+IF(COUNTA(W19,X19,Y19,Z19,AA19)&gt;0,1,0))/4)</x:f>
        <x:v>0.5</x:v>
      </x:c>
      <x:c r="BI19" s="23" t="n">
        <x:f>IF(A19="","",(COUNTIF(AV19:AZ19,"Available")+0.5*COUNTIF(AV19:AZ19,"Partial")+IF(BD19&lt;&gt;"",1,0))/6)</x:f>
        <x:v>0.75</x:v>
      </x:c>
      <x:c r="BJ19" s="22" t="str">
        <x:f>IF(A19="","",IF(AND(F19="",BD19=""),"Blocked",IF(AND(BG19&gt;=ReadyThreshold,BH19&gt;=ReadyThreshold,BI19&gt;=ReadyThreshold),"Ready for Analysis",IF(AVERAGE(BG19,BH19,BI19)&gt;=PartialThreshold,"Partially Ready","Discovery Required"))))</x:f>
        <x:v>Partially Ready</x:v>
      </x:c>
      <x:c r="BK19" s="17" t="str">
        <x:v>Original campaign objective and success target were not supplied.</x:v>
      </x:c>
      <x:c r="BL19" s="17" t="str">
        <x:v>Actual player-selection criteria were not supplied.</x:v>
      </x:c>
      <x:c r="BM19" s="17" t="str">
        <x:v>None</x:v>
      </x:c>
      <x:c r="BN19" s="17" t="str">
        <x:v>Accountable campaign owner and requesting brief are not confirmed.</x:v>
      </x:c>
      <x:c r="BO19" s="17" t="str">
        <x:v>Apr–Jul executions are available, but offer assignments and the target denominator are missing.</x:v>
      </x:c>
      <x:c r="BP19" s="17" t="str">
        <x:v>None</x:v>
      </x:c>
      <x:c r="BQ19" s="17" t="str">
        <x:v>Campaign owner unclear</x:v>
      </x:c>
      <x:c r="BR19" s="17" t="str">
        <x:v>High</x:v>
      </x:c>
      <x:c r="BS19" s="17" t="str">
        <x:v>Confirm Campaign Owner</x:v>
      </x:c>
      <x:c r="BT19" s="18" t="str">
        <x:v>VIP</x:v>
      </x:c>
      <x:c r="BU19" s="17" t="str">
        <x:v>Not Started</x:v>
      </x:c>
      <x:c r="BV19" s="17" t="str">
        <x:v>Observed 2026-04-27–2026-07-06. Jan–Mar: no assignment row. Apr–Jul: 5 executions / 5 members / MYR 3,000 bonus cost. Schedule and owner unconfirmed; NGR excluded.</x:v>
      </x:c>
    </x:row>
    <x:row r="20" ht="60" customHeight="1">
      <x:c r="A20" s="17" t="str">
        <x:v>WS1-VM-014</x:v>
      </x:c>
      <x:c r="B20" s="17" t="str">
        <x:v>WS1</x:v>
      </x:c>
      <x:c r="C20" s="17" t="str">
        <x:v>VM Bns - Dep150 Get50 - 5x TO</x:v>
      </x:c>
      <x:c r="D20" s="17" t="str">
        <x:v>VIP VM</x:v>
      </x:c>
      <x:c r="E20" s="18" t="str">
        <x:v>VIP</x:v>
      </x:c>
      <x:c r="F20" s="18"/>
      <x:c r="G20" s="17" t="str">
        <x:v>Promotion</x:v>
      </x:c>
      <x:c r="H20" s="17" t="str">
        <x:v>Unknown</x:v>
      </x:c>
      <x:c r="I20" s="19" t="n">
        <x:v>46114</x:v>
      </x:c>
      <x:c r="J20" s="19" t="n">
        <x:v>46225</x:v>
      </x:c>
      <x:c r="K20" s="17" t="str">
        <x:v>Unknown</x:v>
      </x:c>
      <x:c r="L20" s="19" t="n">
        <x:v>46226</x:v>
      </x:c>
      <x:c r="M20" s="17" t="str">
        <x:v>Retention</x:v>
      </x:c>
      <x:c r="N20" s="18"/>
      <x:c r="O20" s="18" t="str">
        <x:v>Not Documented</x:v>
      </x:c>
      <x:c r="P20" s="17" t="str">
        <x:v>Not Provided</x:v>
      </x:c>
      <x:c r="Q20" s="17" t="str">
        <x:v>Make a qualifying deposit and use the assigned VM reward</x:v>
      </x:c>
      <x:c r="R20" s="17"/>
      <x:c r="S20" s="17"/>
      <x:c r="T20" s="17"/>
      <x:c r="U20" s="18" t="str">
        <x:v>VM-managed players</x:v>
      </x:c>
      <x:c r="V20" s="18"/>
      <x:c r="W20" s="17" t="str">
        <x:v>Unknown</x:v>
      </x:c>
      <x:c r="X20" s="17"/>
      <x:c r="Y20" s="17"/>
      <x:c r="Z20" s="17"/>
      <x:c r="AA20" s="17"/>
      <x:c r="AB20" s="17"/>
      <x:c r="AC20" s="17"/>
      <x:c r="AD20" s="17" t="str">
        <x:v>MYR</x:v>
      </x:c>
      <x:c r="AE20" s="17"/>
      <x:c r="AF20" s="17"/>
      <x:c r="AG20" s="17" t="str">
        <x:v>Not Provided</x:v>
      </x:c>
      <x:c r="AH20" s="17" t="str">
        <x:v>Deposit Bonus</x:v>
      </x:c>
      <x:c r="AI20" s="20"/>
      <x:c r="AJ20" s="21" t="n">
        <x:v>150</x:v>
      </x:c>
      <x:c r="AK20" s="21" t="n">
        <x:v>50</x:v>
      </x:c>
      <x:c r="AL20" s="17" t="str">
        <x:v>5x bonus</x:v>
      </x:c>
      <x:c r="AM20" s="17"/>
      <x:c r="AN20" s="21"/>
      <x:c r="AO20" s="17" t="str">
        <x:v>MYR</x:v>
      </x:c>
      <x:c r="AP20" s="17"/>
      <x:c r="AQ20" s="17" t="str">
        <x:v>FT_VM_DEP150_GET50_5X</x:v>
      </x:c>
      <x:c r="AR20" s="17" t="str">
        <x:v>Unknown</x:v>
      </x:c>
      <x:c r="AS20" s="17"/>
      <x:c r="AT20" s="17" t="str">
        <x:v>Unknown</x:v>
      </x:c>
      <x:c r="AU20" s="18" t="str">
        <x:v>Partial</x:v>
      </x:c>
      <x:c r="AV20" s="17" t="str">
        <x:v>Available</x:v>
      </x:c>
      <x:c r="AW20" s="17" t="str">
        <x:v>Available</x:v>
      </x:c>
      <x:c r="AX20" s="17" t="str">
        <x:v>Available</x:v>
      </x:c>
      <x:c r="AY20" s="17" t="str">
        <x:v>Not Available</x:v>
      </x:c>
      <x:c r="AZ20" s="17" t="str">
        <x:v>Partial</x:v>
      </x:c>
      <x:c r="BA20" s="17" t="str">
        <x:v>Not Available</x:v>
      </x:c>
      <x:c r="BB20" s="17" t="str">
        <x:v>Partial</x:v>
      </x:c>
      <x:c r="BC20" s="18" t="str">
        <x:v>VIP Overview MYS – Team CD; Bonus Menu; CSIR ClickHouse</x:v>
      </x:c>
      <x:c r="BD20" s="18" t="str">
        <x:v>CK Analytics</x:v>
      </x:c>
      <x:c r="BE20" s="19" t="n">
        <x:v>46226</x:v>
      </x:c>
      <x:c r="BF20" s="22" t="str">
        <x:f>IF(A20="","",IF(BI20&gt;=ReadyThreshold,"Ready",IF(BI20&gt;=PartialThreshold,"Partial","Not Ready")))</x:f>
        <x:v>Partial</x:v>
      </x:c>
      <x:c r="BG20" s="23" t="n">
        <x:f>IF(A20="","",COUNTA(N20,Q20,R20,S20)/4)</x:f>
        <x:v>0.25</x:v>
      </x:c>
      <x:c r="BH20" s="23" t="n">
        <x:f>IF(A20="","",(COUNTA(U20,V20,AE20)+IF(COUNTA(W20,X20,Y20,Z20,AA20)&gt;0,1,0))/4)</x:f>
        <x:v>0.5</x:v>
      </x:c>
      <x:c r="BI20" s="23" t="n">
        <x:f>IF(A20="","",(COUNTIF(AV20:AZ20,"Available")+0.5*COUNTIF(AV20:AZ20,"Partial")+IF(BD20&lt;&gt;"",1,0))/6)</x:f>
        <x:v>0.75</x:v>
      </x:c>
      <x:c r="BJ20" s="22" t="str">
        <x:f>IF(A20="","",IF(AND(F20="",BD20=""),"Blocked",IF(AND(BG20&gt;=ReadyThreshold,BH20&gt;=ReadyThreshold,BI20&gt;=ReadyThreshold),"Ready for Analysis",IF(AVERAGE(BG20,BH20,BI20)&gt;=PartialThreshold,"Partially Ready","Discovery Required"))))</x:f>
        <x:v>Partially Ready</x:v>
      </x:c>
      <x:c r="BK20" s="17" t="str">
        <x:v>Original campaign objective and success target were not supplied.</x:v>
      </x:c>
      <x:c r="BL20" s="17" t="str">
        <x:v>Actual player-selection criteria were not supplied.</x:v>
      </x:c>
      <x:c r="BM20" s="17" t="str">
        <x:v>None</x:v>
      </x:c>
      <x:c r="BN20" s="17" t="str">
        <x:v>Accountable campaign owner and requesting brief are not confirmed.</x:v>
      </x:c>
      <x:c r="BO20" s="17" t="str">
        <x:v>Apr–Jul executions are available, but offer assignments and the target denominator are missing.</x:v>
      </x:c>
      <x:c r="BP20" s="17" t="str">
        <x:v>None</x:v>
      </x:c>
      <x:c r="BQ20" s="17" t="str">
        <x:v>Campaign owner unclear</x:v>
      </x:c>
      <x:c r="BR20" s="17" t="str">
        <x:v>High</x:v>
      </x:c>
      <x:c r="BS20" s="17" t="str">
        <x:v>Confirm Campaign Owner</x:v>
      </x:c>
      <x:c r="BT20" s="18" t="str">
        <x:v>VIP</x:v>
      </x:c>
      <x:c r="BU20" s="17" t="str">
        <x:v>Not Started</x:v>
      </x:c>
      <x:c r="BV20" s="17" t="str">
        <x:v>Observed 2026-04-02–2026-07-22. Jan–Mar: no assignment row. Apr–Jul: 71 executions / 66 members / MYR 3,550 bonus cost. Schedule and owner unconfirmed; NGR excluded.</x:v>
      </x:c>
    </x:row>
    <x:row r="21" ht="60" customHeight="1">
      <x:c r="A21" s="17" t="str">
        <x:v>WS1-VM-015</x:v>
      </x:c>
      <x:c r="B21" s="17" t="str">
        <x:v>WS1</x:v>
      </x:c>
      <x:c r="C21" s="17" t="str">
        <x:v>VM Bns - Dep300 Get100 - 2x TO</x:v>
      </x:c>
      <x:c r="D21" s="17" t="str">
        <x:v>VIP VM</x:v>
      </x:c>
      <x:c r="E21" s="18" t="str">
        <x:v>VIP</x:v>
      </x:c>
      <x:c r="F21" s="18"/>
      <x:c r="G21" s="17" t="str">
        <x:v>Promotion</x:v>
      </x:c>
      <x:c r="H21" s="17" t="str">
        <x:v>Unknown</x:v>
      </x:c>
      <x:c r="I21" s="19" t="n">
        <x:v>46118</x:v>
      </x:c>
      <x:c r="J21" s="19" t="n">
        <x:v>46216</x:v>
      </x:c>
      <x:c r="K21" s="17" t="str">
        <x:v>Unknown</x:v>
      </x:c>
      <x:c r="L21" s="19" t="n">
        <x:v>46226</x:v>
      </x:c>
      <x:c r="M21" s="17" t="str">
        <x:v>Retention</x:v>
      </x:c>
      <x:c r="N21" s="18"/>
      <x:c r="O21" s="18" t="str">
        <x:v>Not Documented</x:v>
      </x:c>
      <x:c r="P21" s="17" t="str">
        <x:v>Not Provided</x:v>
      </x:c>
      <x:c r="Q21" s="17" t="str">
        <x:v>Make a qualifying deposit and use the assigned VM reward</x:v>
      </x:c>
      <x:c r="R21" s="17"/>
      <x:c r="S21" s="17"/>
      <x:c r="T21" s="17"/>
      <x:c r="U21" s="18" t="str">
        <x:v>VM-managed players</x:v>
      </x:c>
      <x:c r="V21" s="18"/>
      <x:c r="W21" s="17" t="str">
        <x:v>Unknown</x:v>
      </x:c>
      <x:c r="X21" s="17"/>
      <x:c r="Y21" s="17"/>
      <x:c r="Z21" s="17"/>
      <x:c r="AA21" s="17"/>
      <x:c r="AB21" s="17"/>
      <x:c r="AC21" s="17"/>
      <x:c r="AD21" s="17" t="str">
        <x:v>MYR</x:v>
      </x:c>
      <x:c r="AE21" s="17"/>
      <x:c r="AF21" s="17"/>
      <x:c r="AG21" s="17" t="str">
        <x:v>Not Provided</x:v>
      </x:c>
      <x:c r="AH21" s="17" t="str">
        <x:v>Deposit Bonus</x:v>
      </x:c>
      <x:c r="AI21" s="20"/>
      <x:c r="AJ21" s="21" t="n">
        <x:v>300</x:v>
      </x:c>
      <x:c r="AK21" s="21" t="n">
        <x:v>100</x:v>
      </x:c>
      <x:c r="AL21" s="17" t="str">
        <x:v>2x bonus</x:v>
      </x:c>
      <x:c r="AM21" s="17"/>
      <x:c r="AN21" s="21"/>
      <x:c r="AO21" s="17" t="str">
        <x:v>MYR</x:v>
      </x:c>
      <x:c r="AP21" s="17"/>
      <x:c r="AQ21" s="17" t="str">
        <x:v>FT_VM_DEP300_GET100_2X</x:v>
      </x:c>
      <x:c r="AR21" s="17" t="str">
        <x:v>Unknown</x:v>
      </x:c>
      <x:c r="AS21" s="17"/>
      <x:c r="AT21" s="17" t="str">
        <x:v>Unknown</x:v>
      </x:c>
      <x:c r="AU21" s="18" t="str">
        <x:v>Partial</x:v>
      </x:c>
      <x:c r="AV21" s="17" t="str">
        <x:v>Available</x:v>
      </x:c>
      <x:c r="AW21" s="17" t="str">
        <x:v>Available</x:v>
      </x:c>
      <x:c r="AX21" s="17" t="str">
        <x:v>Available</x:v>
      </x:c>
      <x:c r="AY21" s="17" t="str">
        <x:v>Not Available</x:v>
      </x:c>
      <x:c r="AZ21" s="17" t="str">
        <x:v>Partial</x:v>
      </x:c>
      <x:c r="BA21" s="17" t="str">
        <x:v>Not Available</x:v>
      </x:c>
      <x:c r="BB21" s="17" t="str">
        <x:v>Partial</x:v>
      </x:c>
      <x:c r="BC21" s="18" t="str">
        <x:v>VIP Overview MYS – Team CD; Bonus Menu; CSIR ClickHouse</x:v>
      </x:c>
      <x:c r="BD21" s="18" t="str">
        <x:v>CK Analytics</x:v>
      </x:c>
      <x:c r="BE21" s="19" t="n">
        <x:v>46226</x:v>
      </x:c>
      <x:c r="BF21" s="22" t="str">
        <x:f>IF(A21="","",IF(BI21&gt;=ReadyThreshold,"Ready",IF(BI21&gt;=PartialThreshold,"Partial","Not Ready")))</x:f>
        <x:v>Partial</x:v>
      </x:c>
      <x:c r="BG21" s="23" t="n">
        <x:f>IF(A21="","",COUNTA(N21,Q21,R21,S21)/4)</x:f>
        <x:v>0.25</x:v>
      </x:c>
      <x:c r="BH21" s="23" t="n">
        <x:f>IF(A21="","",(COUNTA(U21,V21,AE21)+IF(COUNTA(W21,X21,Y21,Z21,AA21)&gt;0,1,0))/4)</x:f>
        <x:v>0.5</x:v>
      </x:c>
      <x:c r="BI21" s="23" t="n">
        <x:f>IF(A21="","",(COUNTIF(AV21:AZ21,"Available")+0.5*COUNTIF(AV21:AZ21,"Partial")+IF(BD21&lt;&gt;"",1,0))/6)</x:f>
        <x:v>0.75</x:v>
      </x:c>
      <x:c r="BJ21" s="22" t="str">
        <x:f>IF(A21="","",IF(AND(F21="",BD21=""),"Blocked",IF(AND(BG21&gt;=ReadyThreshold,BH21&gt;=ReadyThreshold,BI21&gt;=ReadyThreshold),"Ready for Analysis",IF(AVERAGE(BG21,BH21,BI21)&gt;=PartialThreshold,"Partially Ready","Discovery Required"))))</x:f>
        <x:v>Partially Ready</x:v>
      </x:c>
      <x:c r="BK21" s="17" t="str">
        <x:v>Original campaign objective and success target were not supplied.</x:v>
      </x:c>
      <x:c r="BL21" s="17" t="str">
        <x:v>Actual player-selection criteria were not supplied.</x:v>
      </x:c>
      <x:c r="BM21" s="17" t="str">
        <x:v>None</x:v>
      </x:c>
      <x:c r="BN21" s="17" t="str">
        <x:v>Accountable campaign owner and requesting brief are not confirmed.</x:v>
      </x:c>
      <x:c r="BO21" s="17" t="str">
        <x:v>Apr–Jul executions are available, but offer assignments and the target denominator are missing.</x:v>
      </x:c>
      <x:c r="BP21" s="17" t="str">
        <x:v>None</x:v>
      </x:c>
      <x:c r="BQ21" s="17" t="str">
        <x:v>Campaign owner unclear</x:v>
      </x:c>
      <x:c r="BR21" s="17" t="str">
        <x:v>High</x:v>
      </x:c>
      <x:c r="BS21" s="17" t="str">
        <x:v>Confirm Campaign Owner</x:v>
      </x:c>
      <x:c r="BT21" s="18" t="str">
        <x:v>VIP</x:v>
      </x:c>
      <x:c r="BU21" s="17" t="str">
        <x:v>Not Started</x:v>
      </x:c>
      <x:c r="BV21" s="17" t="str">
        <x:v>Observed 2026-04-06–2026-07-13. Jan–Mar: no assignment row. Apr–Jul: 17 executions / 15 members / MYR 1,700 bonus cost. Schedule and owner unconfirmed; NGR excluded.</x:v>
      </x:c>
    </x:row>
    <x:row r="22" ht="60" customHeight="1">
      <x:c r="A22" s="17" t="str">
        <x:v>WS1-VM-016</x:v>
      </x:c>
      <x:c r="B22" s="17" t="str">
        <x:v>WS1</x:v>
      </x:c>
      <x:c r="C22" s="17" t="str">
        <x:v>VM Bns - Dep300 Get100 - 5x TO</x:v>
      </x:c>
      <x:c r="D22" s="17" t="str">
        <x:v>VIP VM</x:v>
      </x:c>
      <x:c r="E22" s="18" t="str">
        <x:v>VIP</x:v>
      </x:c>
      <x:c r="F22" s="18"/>
      <x:c r="G22" s="17" t="str">
        <x:v>Promotion</x:v>
      </x:c>
      <x:c r="H22" s="17" t="str">
        <x:v>Unknown</x:v>
      </x:c>
      <x:c r="I22" s="19" t="n">
        <x:v>46113</x:v>
      </x:c>
      <x:c r="J22" s="19" t="n">
        <x:v>46225</x:v>
      </x:c>
      <x:c r="K22" s="17" t="str">
        <x:v>Unknown</x:v>
      </x:c>
      <x:c r="L22" s="19" t="n">
        <x:v>46226</x:v>
      </x:c>
      <x:c r="M22" s="17" t="str">
        <x:v>Retention</x:v>
      </x:c>
      <x:c r="N22" s="18"/>
      <x:c r="O22" s="18" t="str">
        <x:v>Not Documented</x:v>
      </x:c>
      <x:c r="P22" s="17" t="str">
        <x:v>Not Provided</x:v>
      </x:c>
      <x:c r="Q22" s="17" t="str">
        <x:v>Make a qualifying deposit and use the assigned VM reward</x:v>
      </x:c>
      <x:c r="R22" s="17"/>
      <x:c r="S22" s="17"/>
      <x:c r="T22" s="17"/>
      <x:c r="U22" s="18" t="str">
        <x:v>VM-managed players</x:v>
      </x:c>
      <x:c r="V22" s="18"/>
      <x:c r="W22" s="17" t="str">
        <x:v>Unknown</x:v>
      </x:c>
      <x:c r="X22" s="17"/>
      <x:c r="Y22" s="17"/>
      <x:c r="Z22" s="17"/>
      <x:c r="AA22" s="17"/>
      <x:c r="AB22" s="17"/>
      <x:c r="AC22" s="17"/>
      <x:c r="AD22" s="17" t="str">
        <x:v>MYR</x:v>
      </x:c>
      <x:c r="AE22" s="17"/>
      <x:c r="AF22" s="17"/>
      <x:c r="AG22" s="17" t="str">
        <x:v>Not Provided</x:v>
      </x:c>
      <x:c r="AH22" s="17" t="str">
        <x:v>Deposit Bonus</x:v>
      </x:c>
      <x:c r="AI22" s="20"/>
      <x:c r="AJ22" s="21" t="n">
        <x:v>300</x:v>
      </x:c>
      <x:c r="AK22" s="21" t="n">
        <x:v>100</x:v>
      </x:c>
      <x:c r="AL22" s="17" t="str">
        <x:v>5x bonus</x:v>
      </x:c>
      <x:c r="AM22" s="17"/>
      <x:c r="AN22" s="21"/>
      <x:c r="AO22" s="17" t="str">
        <x:v>MYR</x:v>
      </x:c>
      <x:c r="AP22" s="17"/>
      <x:c r="AQ22" s="17" t="str">
        <x:v>FT_VM_DEP300_GET100_5X</x:v>
      </x:c>
      <x:c r="AR22" s="17" t="str">
        <x:v>Unknown</x:v>
      </x:c>
      <x:c r="AS22" s="17"/>
      <x:c r="AT22" s="17" t="str">
        <x:v>Unknown</x:v>
      </x:c>
      <x:c r="AU22" s="18" t="str">
        <x:v>Partial</x:v>
      </x:c>
      <x:c r="AV22" s="17" t="str">
        <x:v>Available</x:v>
      </x:c>
      <x:c r="AW22" s="17" t="str">
        <x:v>Available</x:v>
      </x:c>
      <x:c r="AX22" s="17" t="str">
        <x:v>Available</x:v>
      </x:c>
      <x:c r="AY22" s="17" t="str">
        <x:v>Not Available</x:v>
      </x:c>
      <x:c r="AZ22" s="17" t="str">
        <x:v>Partial</x:v>
      </x:c>
      <x:c r="BA22" s="17" t="str">
        <x:v>Not Available</x:v>
      </x:c>
      <x:c r="BB22" s="17" t="str">
        <x:v>Partial</x:v>
      </x:c>
      <x:c r="BC22" s="18" t="str">
        <x:v>VIP Overview MYS – Team CD; Bonus Menu; CSIR ClickHouse</x:v>
      </x:c>
      <x:c r="BD22" s="18" t="str">
        <x:v>CK Analytics</x:v>
      </x:c>
      <x:c r="BE22" s="19" t="n">
        <x:v>46226</x:v>
      </x:c>
      <x:c r="BF22" s="22" t="str">
        <x:f>IF(A22="","",IF(BI22&gt;=ReadyThreshold,"Ready",IF(BI22&gt;=PartialThreshold,"Partial","Not Ready")))</x:f>
        <x:v>Partial</x:v>
      </x:c>
      <x:c r="BG22" s="23" t="n">
        <x:f>IF(A22="","",COUNTA(N22,Q22,R22,S22)/4)</x:f>
        <x:v>0.25</x:v>
      </x:c>
      <x:c r="BH22" s="23" t="n">
        <x:f>IF(A22="","",(COUNTA(U22,V22,AE22)+IF(COUNTA(W22,X22,Y22,Z22,AA22)&gt;0,1,0))/4)</x:f>
        <x:v>0.5</x:v>
      </x:c>
      <x:c r="BI22" s="23" t="n">
        <x:f>IF(A22="","",(COUNTIF(AV22:AZ22,"Available")+0.5*COUNTIF(AV22:AZ22,"Partial")+IF(BD22&lt;&gt;"",1,0))/6)</x:f>
        <x:v>0.75</x:v>
      </x:c>
      <x:c r="BJ22" s="22" t="str">
        <x:f>IF(A22="","",IF(AND(F22="",BD22=""),"Blocked",IF(AND(BG22&gt;=ReadyThreshold,BH22&gt;=ReadyThreshold,BI22&gt;=ReadyThreshold),"Ready for Analysis",IF(AVERAGE(BG22,BH22,BI22)&gt;=PartialThreshold,"Partially Ready","Discovery Required"))))</x:f>
        <x:v>Partially Ready</x:v>
      </x:c>
      <x:c r="BK22" s="17" t="str">
        <x:v>Original campaign objective and success target were not supplied.</x:v>
      </x:c>
      <x:c r="BL22" s="17" t="str">
        <x:v>Actual player-selection criteria were not supplied.</x:v>
      </x:c>
      <x:c r="BM22" s="17" t="str">
        <x:v>None</x:v>
      </x:c>
      <x:c r="BN22" s="17" t="str">
        <x:v>Accountable campaign owner and requesting brief are not confirmed.</x:v>
      </x:c>
      <x:c r="BO22" s="17" t="str">
        <x:v>Apr–Jul executions are available, but offer assignments and the target denominator are missing.</x:v>
      </x:c>
      <x:c r="BP22" s="17" t="str">
        <x:v>None</x:v>
      </x:c>
      <x:c r="BQ22" s="17" t="str">
        <x:v>Campaign owner unclear</x:v>
      </x:c>
      <x:c r="BR22" s="17" t="str">
        <x:v>High</x:v>
      </x:c>
      <x:c r="BS22" s="17" t="str">
        <x:v>Confirm Campaign Owner</x:v>
      </x:c>
      <x:c r="BT22" s="18" t="str">
        <x:v>VIP</x:v>
      </x:c>
      <x:c r="BU22" s="17" t="str">
        <x:v>Not Started</x:v>
      </x:c>
      <x:c r="BV22" s="17" t="str">
        <x:v>Observed 2026-04-01–2026-07-22. Jan–Mar: no assignment row. Apr–Jul: 117 executions / 86 members / MYR 11,700 bonus cost. Schedule and owner unconfirmed; NGR excluded.</x:v>
      </x:c>
    </x:row>
    <x:row r="23" ht="60" customHeight="1">
      <x:c r="A23" s="17" t="str">
        <x:v>WS1-VM-017</x:v>
      </x:c>
      <x:c r="B23" s="17" t="str">
        <x:v>WS1</x:v>
      </x:c>
      <x:c r="C23" s="17" t="str">
        <x:v>VM Bns - Dep600 Get200 - 2x TO</x:v>
      </x:c>
      <x:c r="D23" s="17" t="str">
        <x:v>VIP VM</x:v>
      </x:c>
      <x:c r="E23" s="18" t="str">
        <x:v>VIP</x:v>
      </x:c>
      <x:c r="F23" s="18"/>
      <x:c r="G23" s="17" t="str">
        <x:v>Promotion</x:v>
      </x:c>
      <x:c r="H23" s="17" t="str">
        <x:v>Unknown</x:v>
      </x:c>
      <x:c r="I23" s="19" t="n">
        <x:v>46115</x:v>
      </x:c>
      <x:c r="J23" s="19" t="n">
        <x:v>46182</x:v>
      </x:c>
      <x:c r="K23" s="17" t="str">
        <x:v>Unknown</x:v>
      </x:c>
      <x:c r="L23" s="19" t="n">
        <x:v>46226</x:v>
      </x:c>
      <x:c r="M23" s="17" t="str">
        <x:v>Retention</x:v>
      </x:c>
      <x:c r="N23" s="18"/>
      <x:c r="O23" s="18" t="str">
        <x:v>Not Documented</x:v>
      </x:c>
      <x:c r="P23" s="17" t="str">
        <x:v>Not Provided</x:v>
      </x:c>
      <x:c r="Q23" s="17" t="str">
        <x:v>Make a qualifying deposit and use the assigned VM reward</x:v>
      </x:c>
      <x:c r="R23" s="17"/>
      <x:c r="S23" s="17"/>
      <x:c r="T23" s="17"/>
      <x:c r="U23" s="18" t="str">
        <x:v>VM-managed players</x:v>
      </x:c>
      <x:c r="V23" s="18"/>
      <x:c r="W23" s="17" t="str">
        <x:v>Unknown</x:v>
      </x:c>
      <x:c r="X23" s="17"/>
      <x:c r="Y23" s="17"/>
      <x:c r="Z23" s="17"/>
      <x:c r="AA23" s="17"/>
      <x:c r="AB23" s="17"/>
      <x:c r="AC23" s="17"/>
      <x:c r="AD23" s="17" t="str">
        <x:v>MYR</x:v>
      </x:c>
      <x:c r="AE23" s="17"/>
      <x:c r="AF23" s="17"/>
      <x:c r="AG23" s="17" t="str">
        <x:v>Not Provided</x:v>
      </x:c>
      <x:c r="AH23" s="17" t="str">
        <x:v>Deposit Bonus</x:v>
      </x:c>
      <x:c r="AI23" s="20"/>
      <x:c r="AJ23" s="21" t="n">
        <x:v>600</x:v>
      </x:c>
      <x:c r="AK23" s="21" t="n">
        <x:v>200</x:v>
      </x:c>
      <x:c r="AL23" s="17" t="str">
        <x:v>2x bonus</x:v>
      </x:c>
      <x:c r="AM23" s="17"/>
      <x:c r="AN23" s="21"/>
      <x:c r="AO23" s="17" t="str">
        <x:v>MYR</x:v>
      </x:c>
      <x:c r="AP23" s="17"/>
      <x:c r="AQ23" s="17" t="str">
        <x:v>FT_VM_DEP600_GET200_2X</x:v>
      </x:c>
      <x:c r="AR23" s="17" t="str">
        <x:v>Unknown</x:v>
      </x:c>
      <x:c r="AS23" s="17"/>
      <x:c r="AT23" s="17" t="str">
        <x:v>Unknown</x:v>
      </x:c>
      <x:c r="AU23" s="18" t="str">
        <x:v>Partial</x:v>
      </x:c>
      <x:c r="AV23" s="17" t="str">
        <x:v>Available</x:v>
      </x:c>
      <x:c r="AW23" s="17" t="str">
        <x:v>Available</x:v>
      </x:c>
      <x:c r="AX23" s="17" t="str">
        <x:v>Available</x:v>
      </x:c>
      <x:c r="AY23" s="17" t="str">
        <x:v>Not Available</x:v>
      </x:c>
      <x:c r="AZ23" s="17" t="str">
        <x:v>Partial</x:v>
      </x:c>
      <x:c r="BA23" s="17" t="str">
        <x:v>Not Available</x:v>
      </x:c>
      <x:c r="BB23" s="17" t="str">
        <x:v>Partial</x:v>
      </x:c>
      <x:c r="BC23" s="18" t="str">
        <x:v>VIP Overview MYS – Team CD; Bonus Menu; CSIR ClickHouse</x:v>
      </x:c>
      <x:c r="BD23" s="18" t="str">
        <x:v>CK Analytics</x:v>
      </x:c>
      <x:c r="BE23" s="19" t="n">
        <x:v>46226</x:v>
      </x:c>
      <x:c r="BF23" s="22" t="str">
        <x:f>IF(A23="","",IF(BI23&gt;=ReadyThreshold,"Ready",IF(BI23&gt;=PartialThreshold,"Partial","Not Ready")))</x:f>
        <x:v>Partial</x:v>
      </x:c>
      <x:c r="BG23" s="23" t="n">
        <x:f>IF(A23="","",COUNTA(N23,Q23,R23,S23)/4)</x:f>
        <x:v>0.25</x:v>
      </x:c>
      <x:c r="BH23" s="23" t="n">
        <x:f>IF(A23="","",(COUNTA(U23,V23,AE23)+IF(COUNTA(W23,X23,Y23,Z23,AA23)&gt;0,1,0))/4)</x:f>
        <x:v>0.5</x:v>
      </x:c>
      <x:c r="BI23" s="23" t="n">
        <x:f>IF(A23="","",(COUNTIF(AV23:AZ23,"Available")+0.5*COUNTIF(AV23:AZ23,"Partial")+IF(BD23&lt;&gt;"",1,0))/6)</x:f>
        <x:v>0.75</x:v>
      </x:c>
      <x:c r="BJ23" s="22" t="str">
        <x:f>IF(A23="","",IF(AND(F23="",BD23=""),"Blocked",IF(AND(BG23&gt;=ReadyThreshold,BH23&gt;=ReadyThreshold,BI23&gt;=ReadyThreshold),"Ready for Analysis",IF(AVERAGE(BG23,BH23,BI23)&gt;=PartialThreshold,"Partially Ready","Discovery Required"))))</x:f>
        <x:v>Partially Ready</x:v>
      </x:c>
      <x:c r="BK23" s="17" t="str">
        <x:v>Original campaign objective and success target were not supplied.</x:v>
      </x:c>
      <x:c r="BL23" s="17" t="str">
        <x:v>Actual player-selection criteria were not supplied.</x:v>
      </x:c>
      <x:c r="BM23" s="17" t="str">
        <x:v>None</x:v>
      </x:c>
      <x:c r="BN23" s="17" t="str">
        <x:v>Accountable campaign owner and requesting brief are not confirmed.</x:v>
      </x:c>
      <x:c r="BO23" s="17" t="str">
        <x:v>Apr–Jul executions are available, but offer assignments and the target denominator are missing.</x:v>
      </x:c>
      <x:c r="BP23" s="17" t="str">
        <x:v>None</x:v>
      </x:c>
      <x:c r="BQ23" s="17" t="str">
        <x:v>Campaign owner unclear</x:v>
      </x:c>
      <x:c r="BR23" s="17" t="str">
        <x:v>High</x:v>
      </x:c>
      <x:c r="BS23" s="17" t="str">
        <x:v>Confirm Campaign Owner</x:v>
      </x:c>
      <x:c r="BT23" s="18" t="str">
        <x:v>VIP</x:v>
      </x:c>
      <x:c r="BU23" s="17" t="str">
        <x:v>Not Started</x:v>
      </x:c>
      <x:c r="BV23" s="17" t="str">
        <x:v>Observed 2026-04-03–2026-06-09. Jan–Mar: no assignment row. Apr–Jul: 9 executions / 9 members / MYR 1,800 bonus cost. Schedule and owner unconfirmed; NGR excluded.</x:v>
      </x:c>
    </x:row>
    <x:row r="24" ht="60" customHeight="1">
      <x:c r="A24" s="17" t="str">
        <x:v>WS1-VM-018</x:v>
      </x:c>
      <x:c r="B24" s="17" t="str">
        <x:v>WS1</x:v>
      </x:c>
      <x:c r="C24" s="17" t="str">
        <x:v>VM Bns - Dep600 Get200 - 5x TO</x:v>
      </x:c>
      <x:c r="D24" s="17" t="str">
        <x:v>VIP VM</x:v>
      </x:c>
      <x:c r="E24" s="18" t="str">
        <x:v>VIP</x:v>
      </x:c>
      <x:c r="F24" s="18"/>
      <x:c r="G24" s="17" t="str">
        <x:v>Promotion</x:v>
      </x:c>
      <x:c r="H24" s="17" t="str">
        <x:v>Unknown</x:v>
      </x:c>
      <x:c r="I24" s="19" t="n">
        <x:v>46028</x:v>
      </x:c>
      <x:c r="J24" s="19" t="n">
        <x:v>46224</x:v>
      </x:c>
      <x:c r="K24" s="17" t="str">
        <x:v>Weekly</x:v>
      </x:c>
      <x:c r="L24" s="19" t="n">
        <x:v>46226</x:v>
      </x:c>
      <x:c r="M24" s="17" t="str">
        <x:v>Retention</x:v>
      </x:c>
      <x:c r="N24" s="18"/>
      <x:c r="O24" s="18" t="str">
        <x:v>Not Documented</x:v>
      </x:c>
      <x:c r="P24" s="17" t="str">
        <x:v>Not Provided</x:v>
      </x:c>
      <x:c r="Q24" s="17" t="str">
        <x:v>Make a qualifying deposit and use the assigned VM reward</x:v>
      </x:c>
      <x:c r="R24" s="17"/>
      <x:c r="S24" s="17"/>
      <x:c r="T24" s="17"/>
      <x:c r="U24" s="18" t="str">
        <x:v>VM-managed players</x:v>
      </x:c>
      <x:c r="V24" s="18"/>
      <x:c r="W24" s="17" t="str">
        <x:v>Unknown</x:v>
      </x:c>
      <x:c r="X24" s="17"/>
      <x:c r="Y24" s="17"/>
      <x:c r="Z24" s="17"/>
      <x:c r="AA24" s="17"/>
      <x:c r="AB24" s="17"/>
      <x:c r="AC24" s="17"/>
      <x:c r="AD24" s="17" t="str">
        <x:v>MYR</x:v>
      </x:c>
      <x:c r="AE24" s="17"/>
      <x:c r="AF24" s="17" t="n">
        <x:v>51</x:v>
      </x:c>
      <x:c r="AG24" s="17" t="str">
        <x:v>Not Provided</x:v>
      </x:c>
      <x:c r="AH24" s="17" t="str">
        <x:v>Deposit Bonus</x:v>
      </x:c>
      <x:c r="AI24" s="20"/>
      <x:c r="AJ24" s="21" t="n">
        <x:v>600</x:v>
      </x:c>
      <x:c r="AK24" s="21" t="n">
        <x:v>200</x:v>
      </x:c>
      <x:c r="AL24" s="17" t="str">
        <x:v>5x bonus</x:v>
      </x:c>
      <x:c r="AM24" s="17"/>
      <x:c r="AN24" s="21"/>
      <x:c r="AO24" s="17" t="str">
        <x:v>MYR</x:v>
      </x:c>
      <x:c r="AP24" s="17"/>
      <x:c r="AQ24" s="17" t="str">
        <x:v>FT_VM_DEP600_GET200_5X</x:v>
      </x:c>
      <x:c r="AR24" s="17" t="str">
        <x:v>Recurring</x:v>
      </x:c>
      <x:c r="AS24" s="17"/>
      <x:c r="AT24" s="17" t="str">
        <x:v>Unknown</x:v>
      </x:c>
      <x:c r="AU24" s="18" t="str">
        <x:v>Partial</x:v>
      </x:c>
      <x:c r="AV24" s="17" t="str">
        <x:v>Available</x:v>
      </x:c>
      <x:c r="AW24" s="17" t="str">
        <x:v>Available</x:v>
      </x:c>
      <x:c r="AX24" s="17" t="str">
        <x:v>Available</x:v>
      </x:c>
      <x:c r="AY24" s="17" t="str">
        <x:v>Not Available</x:v>
      </x:c>
      <x:c r="AZ24" s="17" t="str">
        <x:v>Partial</x:v>
      </x:c>
      <x:c r="BA24" s="17" t="str">
        <x:v>Not Available</x:v>
      </x:c>
      <x:c r="BB24" s="17" t="str">
        <x:v>Partial</x:v>
      </x:c>
      <x:c r="BC24" s="18" t="str">
        <x:v>VIP Overview MYS – Team CD; Bonus Menu; CSIR ClickHouse</x:v>
      </x:c>
      <x:c r="BD24" s="18" t="str">
        <x:v>CK Analytics</x:v>
      </x:c>
      <x:c r="BE24" s="19" t="n">
        <x:v>46226</x:v>
      </x:c>
      <x:c r="BF24" s="22" t="str">
        <x:f>IF(A24="","",IF(BI24&gt;=ReadyThreshold,"Ready",IF(BI24&gt;=PartialThreshold,"Partial","Not Ready")))</x:f>
        <x:v>Partial</x:v>
      </x:c>
      <x:c r="BG24" s="23" t="n">
        <x:f>IF(A24="","",COUNTA(N24,Q24,R24,S24)/4)</x:f>
        <x:v>0.25</x:v>
      </x:c>
      <x:c r="BH24" s="23" t="n">
        <x:f>IF(A24="","",(COUNTA(U24,V24,AE24)+IF(COUNTA(W24,X24,Y24,Z24,AA24)&gt;0,1,0))/4)</x:f>
        <x:v>0.5</x:v>
      </x:c>
      <x:c r="BI24" s="23" t="n">
        <x:f>IF(A24="","",(COUNTIF(AV24:AZ24,"Available")+0.5*COUNTIF(AV24:AZ24,"Partial")+IF(BD24&lt;&gt;"",1,0))/6)</x:f>
        <x:v>0.75</x:v>
      </x:c>
      <x:c r="BJ24" s="22" t="str">
        <x:f>IF(A24="","",IF(AND(F24="",BD24=""),"Blocked",IF(AND(BG24&gt;=ReadyThreshold,BH24&gt;=ReadyThreshold,BI24&gt;=ReadyThreshold),"Ready for Analysis",IF(AVERAGE(BG24,BH24,BI24)&gt;=PartialThreshold,"Partially Ready","Discovery Required"))))</x:f>
        <x:v>Partially Ready</x:v>
      </x:c>
      <x:c r="BK24" s="17" t="str">
        <x:v>Original campaign objective and success target were not supplied.</x:v>
      </x:c>
      <x:c r="BL24" s="17" t="str">
        <x:v>Actual player-selection criteria were not supplied.</x:v>
      </x:c>
      <x:c r="BM24" s="17" t="str">
        <x:v>None</x:v>
      </x:c>
      <x:c r="BN24" s="17" t="str">
        <x:v>Accountable campaign owner and requesting brief are not confirmed.</x:v>
      </x:c>
      <x:c r="BO24" s="17" t="str">
        <x:v>Jan–Mar assignments and Apr–Jul executions are available in separate windows; no full-period conversion denominator.</x:v>
      </x:c>
      <x:c r="BP24" s="17" t="str">
        <x:v>None</x:v>
      </x:c>
      <x:c r="BQ24" s="17" t="str">
        <x:v>Objective unclear</x:v>
      </x:c>
      <x:c r="BR24" s="17" t="str">
        <x:v>High</x:v>
      </x:c>
      <x:c r="BS24" s="17" t="str">
        <x:v>Confirm Objective</x:v>
      </x:c>
      <x:c r="BT24" s="18" t="str">
        <x:v>VIP</x:v>
      </x:c>
      <x:c r="BU24" s="17" t="str">
        <x:v>Not Started</x:v>
      </x:c>
      <x:c r="BV24" s="17" t="str">
        <x:v>Observed 2026-01-06–2026-07-21. Jan–Mar: 52 assignments / 51 members / 1 matched claims. Apr–Jul: 176 executions / 122 members / MYR 35,200 bonus cost. Schedule and owner unconfirmed; NGR excluded.</x:v>
      </x:c>
    </x:row>
    <x:row r="25" ht="60" customHeight="1">
      <x:c r="A25" s="17" t="str">
        <x:v>WS1-VM-019</x:v>
      </x:c>
      <x:c r="B25" s="17" t="str">
        <x:v>WS1</x:v>
      </x:c>
      <x:c r="C25" s="17" t="str">
        <x:v>VM Bns - Dep700 Get300 - 1x TO</x:v>
      </x:c>
      <x:c r="D25" s="17" t="str">
        <x:v>VIP VM</x:v>
      </x:c>
      <x:c r="E25" s="18" t="str">
        <x:v>VIP</x:v>
      </x:c>
      <x:c r="F25" s="18"/>
      <x:c r="G25" s="17" t="str">
        <x:v>Promotion</x:v>
      </x:c>
      <x:c r="H25" s="17" t="str">
        <x:v>Unknown</x:v>
      </x:c>
      <x:c r="I25" s="19" t="n">
        <x:v>46062</x:v>
      </x:c>
      <x:c r="J25" s="19" t="n">
        <x:v>46211</x:v>
      </x:c>
      <x:c r="K25" s="17" t="str">
        <x:v>Weekly</x:v>
      </x:c>
      <x:c r="L25" s="19" t="n">
        <x:v>46226</x:v>
      </x:c>
      <x:c r="M25" s="17" t="str">
        <x:v>Retention</x:v>
      </x:c>
      <x:c r="N25" s="18"/>
      <x:c r="O25" s="18" t="str">
        <x:v>Not Documented</x:v>
      </x:c>
      <x:c r="P25" s="17" t="str">
        <x:v>Not Provided</x:v>
      </x:c>
      <x:c r="Q25" s="17" t="str">
        <x:v>Make a qualifying deposit and use the assigned VM reward</x:v>
      </x:c>
      <x:c r="R25" s="17"/>
      <x:c r="S25" s="17"/>
      <x:c r="T25" s="17"/>
      <x:c r="U25" s="18" t="str">
        <x:v>VM-managed players</x:v>
      </x:c>
      <x:c r="V25" s="18"/>
      <x:c r="W25" s="17" t="str">
        <x:v>Unknown</x:v>
      </x:c>
      <x:c r="X25" s="17"/>
      <x:c r="Y25" s="17"/>
      <x:c r="Z25" s="17"/>
      <x:c r="AA25" s="17"/>
      <x:c r="AB25" s="17"/>
      <x:c r="AC25" s="17"/>
      <x:c r="AD25" s="17" t="str">
        <x:v>MYR</x:v>
      </x:c>
      <x:c r="AE25" s="17"/>
      <x:c r="AF25" s="17" t="n">
        <x:v>3</x:v>
      </x:c>
      <x:c r="AG25" s="17" t="str">
        <x:v>Not Provided</x:v>
      </x:c>
      <x:c r="AH25" s="17" t="str">
        <x:v>Deposit Bonus</x:v>
      </x:c>
      <x:c r="AI25" s="20"/>
      <x:c r="AJ25" s="21" t="n">
        <x:v>700</x:v>
      </x:c>
      <x:c r="AK25" s="21" t="n">
        <x:v>300</x:v>
      </x:c>
      <x:c r="AL25" s="17" t="str">
        <x:v>1x bonus</x:v>
      </x:c>
      <x:c r="AM25" s="17"/>
      <x:c r="AN25" s="21"/>
      <x:c r="AO25" s="17" t="str">
        <x:v>MYR</x:v>
      </x:c>
      <x:c r="AP25" s="17"/>
      <x:c r="AQ25" s="17" t="str">
        <x:v>FT_VM_DEP700_GET300_1X</x:v>
      </x:c>
      <x:c r="AR25" s="17" t="str">
        <x:v>Recurring</x:v>
      </x:c>
      <x:c r="AS25" s="17"/>
      <x:c r="AT25" s="17" t="str">
        <x:v>Unknown</x:v>
      </x:c>
      <x:c r="AU25" s="18" t="str">
        <x:v>Partial</x:v>
      </x:c>
      <x:c r="AV25" s="17" t="str">
        <x:v>Available</x:v>
      </x:c>
      <x:c r="AW25" s="17" t="str">
        <x:v>Available</x:v>
      </x:c>
      <x:c r="AX25" s="17" t="str">
        <x:v>Available</x:v>
      </x:c>
      <x:c r="AY25" s="17" t="str">
        <x:v>Not Available</x:v>
      </x:c>
      <x:c r="AZ25" s="17" t="str">
        <x:v>Partial</x:v>
      </x:c>
      <x:c r="BA25" s="17" t="str">
        <x:v>Not Available</x:v>
      </x:c>
      <x:c r="BB25" s="17" t="str">
        <x:v>Partial</x:v>
      </x:c>
      <x:c r="BC25" s="18" t="str">
        <x:v>VIP Overview MYS – Team CD; Bonus Menu; CSIR ClickHouse</x:v>
      </x:c>
      <x:c r="BD25" s="18" t="str">
        <x:v>CK Analytics</x:v>
      </x:c>
      <x:c r="BE25" s="19" t="n">
        <x:v>46226</x:v>
      </x:c>
      <x:c r="BF25" s="22" t="str">
        <x:f>IF(A25="","",IF(BI25&gt;=ReadyThreshold,"Ready",IF(BI25&gt;=PartialThreshold,"Partial","Not Ready")))</x:f>
        <x:v>Partial</x:v>
      </x:c>
      <x:c r="BG25" s="23" t="n">
        <x:f>IF(A25="","",COUNTA(N25,Q25,R25,S25)/4)</x:f>
        <x:v>0.25</x:v>
      </x:c>
      <x:c r="BH25" s="23" t="n">
        <x:f>IF(A25="","",(COUNTA(U25,V25,AE25)+IF(COUNTA(W25,X25,Y25,Z25,AA25)&gt;0,1,0))/4)</x:f>
        <x:v>0.5</x:v>
      </x:c>
      <x:c r="BI25" s="23" t="n">
        <x:f>IF(A25="","",(COUNTIF(AV25:AZ25,"Available")+0.5*COUNTIF(AV25:AZ25,"Partial")+IF(BD25&lt;&gt;"",1,0))/6)</x:f>
        <x:v>0.75</x:v>
      </x:c>
      <x:c r="BJ25" s="22" t="str">
        <x:f>IF(A25="","",IF(AND(F25="",BD25=""),"Blocked",IF(AND(BG25&gt;=ReadyThreshold,BH25&gt;=ReadyThreshold,BI25&gt;=ReadyThreshold),"Ready for Analysis",IF(AVERAGE(BG25,BH25,BI25)&gt;=PartialThreshold,"Partially Ready","Discovery Required"))))</x:f>
        <x:v>Partially Ready</x:v>
      </x:c>
      <x:c r="BK25" s="17" t="str">
        <x:v>Original campaign objective and success target were not supplied.</x:v>
      </x:c>
      <x:c r="BL25" s="17" t="str">
        <x:v>Actual player-selection criteria were not supplied.</x:v>
      </x:c>
      <x:c r="BM25" s="17" t="str">
        <x:v>None</x:v>
      </x:c>
      <x:c r="BN25" s="17" t="str">
        <x:v>Accountable campaign owner and requesting brief are not confirmed.</x:v>
      </x:c>
      <x:c r="BO25" s="17" t="str">
        <x:v>Jan–Mar assignments and Apr–Jul executions are available in separate windows; no full-period conversion denominator.</x:v>
      </x:c>
      <x:c r="BP25" s="17" t="str">
        <x:v>None</x:v>
      </x:c>
      <x:c r="BQ25" s="17" t="str">
        <x:v>Objective unclear</x:v>
      </x:c>
      <x:c r="BR25" s="17" t="str">
        <x:v>High</x:v>
      </x:c>
      <x:c r="BS25" s="17" t="str">
        <x:v>Confirm Objective</x:v>
      </x:c>
      <x:c r="BT25" s="18" t="str">
        <x:v>VIP</x:v>
      </x:c>
      <x:c r="BU25" s="17" t="str">
        <x:v>Not Started</x:v>
      </x:c>
      <x:c r="BV25" s="17" t="str">
        <x:v>Observed 2026-02-09–2026-07-08. Jan–Mar: 3 assignments / 3 members / 0 matched claims. Apr–Jul: 13 executions / 9 members / MYR 3,900 bonus cost. Schedule and owner unconfirmed; NGR excluded.</x:v>
      </x:c>
    </x:row>
    <x:row r="26" ht="60" customHeight="1">
      <x:c r="A26" s="17" t="str">
        <x:v>WS1-VM-020</x:v>
      </x:c>
      <x:c r="B26" s="17" t="str">
        <x:v>WS1</x:v>
      </x:c>
      <x:c r="C26" s="17" t="str">
        <x:v>VM Bns - Dep700 Get300 - 2x TO</x:v>
      </x:c>
      <x:c r="D26" s="17" t="str">
        <x:v>VIP VM</x:v>
      </x:c>
      <x:c r="E26" s="18" t="str">
        <x:v>VIP</x:v>
      </x:c>
      <x:c r="F26" s="18"/>
      <x:c r="G26" s="17" t="str">
        <x:v>Promotion</x:v>
      </x:c>
      <x:c r="H26" s="17" t="str">
        <x:v>Unknown</x:v>
      </x:c>
      <x:c r="I26" s="19" t="n">
        <x:v>46077</x:v>
      </x:c>
      <x:c r="J26" s="19" t="n">
        <x:v>46225</x:v>
      </x:c>
      <x:c r="K26" s="17" t="str">
        <x:v>Weekly</x:v>
      </x:c>
      <x:c r="L26" s="19" t="n">
        <x:v>46226</x:v>
      </x:c>
      <x:c r="M26" s="17" t="str">
        <x:v>Retention</x:v>
      </x:c>
      <x:c r="N26" s="18"/>
      <x:c r="O26" s="18" t="str">
        <x:v>Not Documented</x:v>
      </x:c>
      <x:c r="P26" s="17" t="str">
        <x:v>Not Provided</x:v>
      </x:c>
      <x:c r="Q26" s="17" t="str">
        <x:v>Make a qualifying deposit and use the assigned VM reward</x:v>
      </x:c>
      <x:c r="R26" s="17"/>
      <x:c r="S26" s="17"/>
      <x:c r="T26" s="17"/>
      <x:c r="U26" s="18" t="str">
        <x:v>VM value band: &lt;10K</x:v>
      </x:c>
      <x:c r="V26" s="18"/>
      <x:c r="W26" s="17" t="str">
        <x:v>Unknown</x:v>
      </x:c>
      <x:c r="X26" s="17"/>
      <x:c r="Y26" s="17"/>
      <x:c r="Z26" s="17"/>
      <x:c r="AA26" s="17"/>
      <x:c r="AB26" s="17"/>
      <x:c r="AC26" s="17"/>
      <x:c r="AD26" s="17" t="str">
        <x:v>MYR</x:v>
      </x:c>
      <x:c r="AE26" s="17"/>
      <x:c r="AF26" s="17" t="n">
        <x:v>9</x:v>
      </x:c>
      <x:c r="AG26" s="17" t="str">
        <x:v>Partly Clear</x:v>
      </x:c>
      <x:c r="AH26" s="17" t="str">
        <x:v>Deposit Bonus</x:v>
      </x:c>
      <x:c r="AI26" s="20"/>
      <x:c r="AJ26" s="21" t="n">
        <x:v>700</x:v>
      </x:c>
      <x:c r="AK26" s="21" t="n">
        <x:v>300</x:v>
      </x:c>
      <x:c r="AL26" s="17" t="str">
        <x:v>2x bonus</x:v>
      </x:c>
      <x:c r="AM26" s="17"/>
      <x:c r="AN26" s="21"/>
      <x:c r="AO26" s="17" t="str">
        <x:v>MYR</x:v>
      </x:c>
      <x:c r="AP26" s="17"/>
      <x:c r="AQ26" s="17" t="str">
        <x:v>FT_VM_DEP700_GET300_2X</x:v>
      </x:c>
      <x:c r="AR26" s="17" t="str">
        <x:v>Recurring</x:v>
      </x:c>
      <x:c r="AS26" s="17"/>
      <x:c r="AT26" s="17" t="str">
        <x:v>Unknown</x:v>
      </x:c>
      <x:c r="AU26" s="18" t="str">
        <x:v>Partial</x:v>
      </x:c>
      <x:c r="AV26" s="17" t="str">
        <x:v>Available</x:v>
      </x:c>
      <x:c r="AW26" s="17" t="str">
        <x:v>Available</x:v>
      </x:c>
      <x:c r="AX26" s="17" t="str">
        <x:v>Available</x:v>
      </x:c>
      <x:c r="AY26" s="17" t="str">
        <x:v>Not Available</x:v>
      </x:c>
      <x:c r="AZ26" s="17" t="str">
        <x:v>Partial</x:v>
      </x:c>
      <x:c r="BA26" s="17" t="str">
        <x:v>Not Available</x:v>
      </x:c>
      <x:c r="BB26" s="17" t="str">
        <x:v>Partial</x:v>
      </x:c>
      <x:c r="BC26" s="18" t="str">
        <x:v>VIP Overview MYS – Team CD; Bonus Menu; CSIR ClickHouse</x:v>
      </x:c>
      <x:c r="BD26" s="18" t="str">
        <x:v>CK Analytics</x:v>
      </x:c>
      <x:c r="BE26" s="19" t="n">
        <x:v>46226</x:v>
      </x:c>
      <x:c r="BF26" s="22" t="str">
        <x:f>IF(A26="","",IF(BI26&gt;=ReadyThreshold,"Ready",IF(BI26&gt;=PartialThreshold,"Partial","Not Ready")))</x:f>
        <x:v>Partial</x:v>
      </x:c>
      <x:c r="BG26" s="23" t="n">
        <x:f>IF(A26="","",COUNTA(N26,Q26,R26,S26)/4)</x:f>
        <x:v>0.25</x:v>
      </x:c>
      <x:c r="BH26" s="23" t="n">
        <x:f>IF(A26="","",(COUNTA(U26,V26,AE26)+IF(COUNTA(W26,X26,Y26,Z26,AA26)&gt;0,1,0))/4)</x:f>
        <x:v>0.5</x:v>
      </x:c>
      <x:c r="BI26" s="23" t="n">
        <x:f>IF(A26="","",(COUNTIF(AV26:AZ26,"Available")+0.5*COUNTIF(AV26:AZ26,"Partial")+IF(BD26&lt;&gt;"",1,0))/6)</x:f>
        <x:v>0.75</x:v>
      </x:c>
      <x:c r="BJ26" s="22" t="str">
        <x:f>IF(A26="","",IF(AND(F26="",BD26=""),"Blocked",IF(AND(BG26&gt;=ReadyThreshold,BH26&gt;=ReadyThreshold,BI26&gt;=ReadyThreshold),"Ready for Analysis",IF(AVERAGE(BG26,BH26,BI26)&gt;=PartialThreshold,"Partially Ready","Discovery Required"))))</x:f>
        <x:v>Partially Ready</x:v>
      </x:c>
      <x:c r="BK26" s="17" t="str">
        <x:v>Original campaign objective and success target were not supplied.</x:v>
      </x:c>
      <x:c r="BL26" s="17" t="str">
        <x:v>Bonus Menu shows “&lt;10K”, but the metric, lookback period and selection rule are not defined.</x:v>
      </x:c>
      <x:c r="BM26" s="17" t="str">
        <x:v>None</x:v>
      </x:c>
      <x:c r="BN26" s="17" t="str">
        <x:v>Accountable campaign owner and requesting brief are not confirmed.</x:v>
      </x:c>
      <x:c r="BO26" s="17" t="str">
        <x:v>Jan–Mar assignments and Apr–Jul executions are available in separate windows; no full-period conversion denominator.</x:v>
      </x:c>
      <x:c r="BP26" s="17" t="str">
        <x:v>None</x:v>
      </x:c>
      <x:c r="BQ26" s="17" t="str">
        <x:v>Segment criteria missing</x:v>
      </x:c>
      <x:c r="BR26" s="17" t="str">
        <x:v>High</x:v>
      </x:c>
      <x:c r="BS26" s="17" t="str">
        <x:v>Define Segment Criteria</x:v>
      </x:c>
      <x:c r="BT26" s="18" t="str">
        <x:v>VIP</x:v>
      </x:c>
      <x:c r="BU26" s="17" t="str">
        <x:v>Not Started</x:v>
      </x:c>
      <x:c r="BV26" s="17" t="str">
        <x:v>Observed 2026-02-24–2026-07-22. Jan–Mar: 9 assignments / 9 members / 0 matched claims. Apr–Jul: 113 executions / 80 members / MYR 33,900 bonus cost. Schedule and owner unconfirmed; NGR excluded.</x:v>
      </x:c>
    </x:row>
    <x:row r="27" ht="60" customHeight="1">
      <x:c r="A27" s="17" t="str">
        <x:v>WS1-VM-021</x:v>
      </x:c>
      <x:c r="B27" s="17" t="str">
        <x:v>WS1</x:v>
      </x:c>
      <x:c r="C27" s="17" t="str">
        <x:v>VM Bns - Dep800 Get400 - 1x TO</x:v>
      </x:c>
      <x:c r="D27" s="17" t="str">
        <x:v>VIP VM</x:v>
      </x:c>
      <x:c r="E27" s="18" t="str">
        <x:v>VIP</x:v>
      </x:c>
      <x:c r="F27" s="18"/>
      <x:c r="G27" s="17" t="str">
        <x:v>Promotion</x:v>
      </x:c>
      <x:c r="H27" s="17" t="str">
        <x:v>Unknown</x:v>
      </x:c>
      <x:c r="I27" s="19" t="n">
        <x:v>46077</x:v>
      </x:c>
      <x:c r="J27" s="19" t="n">
        <x:v>46226</x:v>
      </x:c>
      <x:c r="K27" s="17" t="str">
        <x:v>Weekly</x:v>
      </x:c>
      <x:c r="L27" s="19" t="n">
        <x:v>46226</x:v>
      </x:c>
      <x:c r="M27" s="17" t="str">
        <x:v>Retention</x:v>
      </x:c>
      <x:c r="N27" s="18"/>
      <x:c r="O27" s="18" t="str">
        <x:v>Not Documented</x:v>
      </x:c>
      <x:c r="P27" s="17" t="str">
        <x:v>Not Provided</x:v>
      </x:c>
      <x:c r="Q27" s="17" t="str">
        <x:v>Make a qualifying deposit and use the assigned VM reward</x:v>
      </x:c>
      <x:c r="R27" s="17"/>
      <x:c r="S27" s="17"/>
      <x:c r="T27" s="17"/>
      <x:c r="U27" s="18" t="str">
        <x:v>VM-managed players</x:v>
      </x:c>
      <x:c r="V27" s="18"/>
      <x:c r="W27" s="17" t="str">
        <x:v>Unknown</x:v>
      </x:c>
      <x:c r="X27" s="17"/>
      <x:c r="Y27" s="17"/>
      <x:c r="Z27" s="17"/>
      <x:c r="AA27" s="17"/>
      <x:c r="AB27" s="17"/>
      <x:c r="AC27" s="17"/>
      <x:c r="AD27" s="17" t="str">
        <x:v>MYR</x:v>
      </x:c>
      <x:c r="AE27" s="17"/>
      <x:c r="AF27" s="17" t="n">
        <x:v>9</x:v>
      </x:c>
      <x:c r="AG27" s="17" t="str">
        <x:v>Not Provided</x:v>
      </x:c>
      <x:c r="AH27" s="17" t="str">
        <x:v>Deposit Bonus</x:v>
      </x:c>
      <x:c r="AI27" s="20"/>
      <x:c r="AJ27" s="21" t="n">
        <x:v>800</x:v>
      </x:c>
      <x:c r="AK27" s="21" t="n">
        <x:v>400</x:v>
      </x:c>
      <x:c r="AL27" s="17" t="str">
        <x:v>1x bonus</x:v>
      </x:c>
      <x:c r="AM27" s="17"/>
      <x:c r="AN27" s="21"/>
      <x:c r="AO27" s="17" t="str">
        <x:v>MYR</x:v>
      </x:c>
      <x:c r="AP27" s="17"/>
      <x:c r="AQ27" s="17" t="str">
        <x:v>FT_VM_DEP800_GET400_1X</x:v>
      </x:c>
      <x:c r="AR27" s="17" t="str">
        <x:v>Recurring</x:v>
      </x:c>
      <x:c r="AS27" s="17"/>
      <x:c r="AT27" s="17" t="str">
        <x:v>Unknown</x:v>
      </x:c>
      <x:c r="AU27" s="18" t="str">
        <x:v>Partial</x:v>
      </x:c>
      <x:c r="AV27" s="17" t="str">
        <x:v>Available</x:v>
      </x:c>
      <x:c r="AW27" s="17" t="str">
        <x:v>Available</x:v>
      </x:c>
      <x:c r="AX27" s="17" t="str">
        <x:v>Available</x:v>
      </x:c>
      <x:c r="AY27" s="17" t="str">
        <x:v>Not Available</x:v>
      </x:c>
      <x:c r="AZ27" s="17" t="str">
        <x:v>Partial</x:v>
      </x:c>
      <x:c r="BA27" s="17" t="str">
        <x:v>Not Available</x:v>
      </x:c>
      <x:c r="BB27" s="17" t="str">
        <x:v>Partial</x:v>
      </x:c>
      <x:c r="BC27" s="18" t="str">
        <x:v>VIP Overview MYS – Team CD; Bonus Menu; CSIR ClickHouse</x:v>
      </x:c>
      <x:c r="BD27" s="18" t="str">
        <x:v>CK Analytics</x:v>
      </x:c>
      <x:c r="BE27" s="19" t="n">
        <x:v>46226</x:v>
      </x:c>
      <x:c r="BF27" s="22" t="str">
        <x:f>IF(A27="","",IF(BI27&gt;=ReadyThreshold,"Ready",IF(BI27&gt;=PartialThreshold,"Partial","Not Ready")))</x:f>
        <x:v>Partial</x:v>
      </x:c>
      <x:c r="BG27" s="23" t="n">
        <x:f>IF(A27="","",COUNTA(N27,Q27,R27,S27)/4)</x:f>
        <x:v>0.25</x:v>
      </x:c>
      <x:c r="BH27" s="23" t="n">
        <x:f>IF(A27="","",(COUNTA(U27,V27,AE27)+IF(COUNTA(W27,X27,Y27,Z27,AA27)&gt;0,1,0))/4)</x:f>
        <x:v>0.5</x:v>
      </x:c>
      <x:c r="BI27" s="23" t="n">
        <x:f>IF(A27="","",(COUNTIF(AV27:AZ27,"Available")+0.5*COUNTIF(AV27:AZ27,"Partial")+IF(BD27&lt;&gt;"",1,0))/6)</x:f>
        <x:v>0.75</x:v>
      </x:c>
      <x:c r="BJ27" s="22" t="str">
        <x:f>IF(A27="","",IF(AND(F27="",BD27=""),"Blocked",IF(AND(BG27&gt;=ReadyThreshold,BH27&gt;=ReadyThreshold,BI27&gt;=ReadyThreshold),"Ready for Analysis",IF(AVERAGE(BG27,BH27,BI27)&gt;=PartialThreshold,"Partially Ready","Discovery Required"))))</x:f>
        <x:v>Partially Ready</x:v>
      </x:c>
      <x:c r="BK27" s="17" t="str">
        <x:v>Original campaign objective and success target were not supplied.</x:v>
      </x:c>
      <x:c r="BL27" s="17" t="str">
        <x:v>Actual player-selection criteria were not supplied.</x:v>
      </x:c>
      <x:c r="BM27" s="17" t="str">
        <x:v>None</x:v>
      </x:c>
      <x:c r="BN27" s="17" t="str">
        <x:v>Accountable campaign owner and requesting brief are not confirmed.</x:v>
      </x:c>
      <x:c r="BO27" s="17" t="str">
        <x:v>Jan–Mar assignments and Apr–Jul executions are available in separate windows; no full-period conversion denominator.</x:v>
      </x:c>
      <x:c r="BP27" s="17" t="str">
        <x:v>None</x:v>
      </x:c>
      <x:c r="BQ27" s="17" t="str">
        <x:v>Objective unclear</x:v>
      </x:c>
      <x:c r="BR27" s="17" t="str">
        <x:v>High</x:v>
      </x:c>
      <x:c r="BS27" s="17" t="str">
        <x:v>Confirm Objective</x:v>
      </x:c>
      <x:c r="BT27" s="18" t="str">
        <x:v>VIP</x:v>
      </x:c>
      <x:c r="BU27" s="17" t="str">
        <x:v>Not Started</x:v>
      </x:c>
      <x:c r="BV27" s="17" t="str">
        <x:v>Observed 2026-02-24–2026-07-23. Jan–Mar: 9 assignments / 9 members / 0 matched claims. Apr–Jul: 62 executions / 51 members / MYR 24,800 bonus cost. Schedule and owner unconfirmed; NGR excluded.</x:v>
      </x:c>
    </x:row>
    <x:row r="28" ht="60" customHeight="1">
      <x:c r="A28" s="17" t="str">
        <x:v>WS1-VM-022</x:v>
      </x:c>
      <x:c r="B28" s="17" t="str">
        <x:v>WS1</x:v>
      </x:c>
      <x:c r="C28" s="17" t="str">
        <x:v>VM Bns - Dep800 Get400 - 2x TO</x:v>
      </x:c>
      <x:c r="D28" s="17" t="str">
        <x:v>VIP VM</x:v>
      </x:c>
      <x:c r="E28" s="18" t="str">
        <x:v>VIP</x:v>
      </x:c>
      <x:c r="F28" s="18"/>
      <x:c r="G28" s="17" t="str">
        <x:v>Promotion</x:v>
      </x:c>
      <x:c r="H28" s="17" t="str">
        <x:v>Unknown</x:v>
      </x:c>
      <x:c r="I28" s="19" t="n">
        <x:v>46072</x:v>
      </x:c>
      <x:c r="J28" s="19" t="n">
        <x:v>46224</x:v>
      </x:c>
      <x:c r="K28" s="17" t="str">
        <x:v>Weekly</x:v>
      </x:c>
      <x:c r="L28" s="19" t="n">
        <x:v>46226</x:v>
      </x:c>
      <x:c r="M28" s="17" t="str">
        <x:v>Retention</x:v>
      </x:c>
      <x:c r="N28" s="18"/>
      <x:c r="O28" s="18" t="str">
        <x:v>Not Documented</x:v>
      </x:c>
      <x:c r="P28" s="17" t="str">
        <x:v>Not Provided</x:v>
      </x:c>
      <x:c r="Q28" s="17" t="str">
        <x:v>Make a qualifying deposit and use the assigned VM reward</x:v>
      </x:c>
      <x:c r="R28" s="17"/>
      <x:c r="S28" s="17"/>
      <x:c r="T28" s="17"/>
      <x:c r="U28" s="18" t="str">
        <x:v>VM value band: 10K to 24K</x:v>
      </x:c>
      <x:c r="V28" s="18"/>
      <x:c r="W28" s="17" t="str">
        <x:v>Unknown</x:v>
      </x:c>
      <x:c r="X28" s="17"/>
      <x:c r="Y28" s="17"/>
      <x:c r="Z28" s="17"/>
      <x:c r="AA28" s="17"/>
      <x:c r="AB28" s="17"/>
      <x:c r="AC28" s="17"/>
      <x:c r="AD28" s="17" t="str">
        <x:v>MYR</x:v>
      </x:c>
      <x:c r="AE28" s="17"/>
      <x:c r="AF28" s="17" t="n">
        <x:v>10</x:v>
      </x:c>
      <x:c r="AG28" s="17" t="str">
        <x:v>Partly Clear</x:v>
      </x:c>
      <x:c r="AH28" s="17" t="str">
        <x:v>Deposit Bonus</x:v>
      </x:c>
      <x:c r="AI28" s="20"/>
      <x:c r="AJ28" s="21" t="n">
        <x:v>800</x:v>
      </x:c>
      <x:c r="AK28" s="21" t="n">
        <x:v>400</x:v>
      </x:c>
      <x:c r="AL28" s="17" t="str">
        <x:v>2x bonus</x:v>
      </x:c>
      <x:c r="AM28" s="17"/>
      <x:c r="AN28" s="21"/>
      <x:c r="AO28" s="17" t="str">
        <x:v>MYR</x:v>
      </x:c>
      <x:c r="AP28" s="17"/>
      <x:c r="AQ28" s="17" t="str">
        <x:v>FT_VM_DEP800_GET400_2X</x:v>
      </x:c>
      <x:c r="AR28" s="17" t="str">
        <x:v>Recurring</x:v>
      </x:c>
      <x:c r="AS28" s="17"/>
      <x:c r="AT28" s="17" t="str">
        <x:v>Unknown</x:v>
      </x:c>
      <x:c r="AU28" s="18" t="str">
        <x:v>Partial</x:v>
      </x:c>
      <x:c r="AV28" s="17" t="str">
        <x:v>Available</x:v>
      </x:c>
      <x:c r="AW28" s="17" t="str">
        <x:v>Available</x:v>
      </x:c>
      <x:c r="AX28" s="17" t="str">
        <x:v>Available</x:v>
      </x:c>
      <x:c r="AY28" s="17" t="str">
        <x:v>Not Available</x:v>
      </x:c>
      <x:c r="AZ28" s="17" t="str">
        <x:v>Partial</x:v>
      </x:c>
      <x:c r="BA28" s="17" t="str">
        <x:v>Not Available</x:v>
      </x:c>
      <x:c r="BB28" s="17" t="str">
        <x:v>Partial</x:v>
      </x:c>
      <x:c r="BC28" s="18" t="str">
        <x:v>VIP Overview MYS – Team CD; Bonus Menu; CSIR ClickHouse</x:v>
      </x:c>
      <x:c r="BD28" s="18" t="str">
        <x:v>CK Analytics</x:v>
      </x:c>
      <x:c r="BE28" s="19" t="n">
        <x:v>46226</x:v>
      </x:c>
      <x:c r="BF28" s="22" t="str">
        <x:f>IF(A28="","",IF(BI28&gt;=ReadyThreshold,"Ready",IF(BI28&gt;=PartialThreshold,"Partial","Not Ready")))</x:f>
        <x:v>Partial</x:v>
      </x:c>
      <x:c r="BG28" s="23" t="n">
        <x:f>IF(A28="","",COUNTA(N28,Q28,R28,S28)/4)</x:f>
        <x:v>0.25</x:v>
      </x:c>
      <x:c r="BH28" s="23" t="n">
        <x:f>IF(A28="","",(COUNTA(U28,V28,AE28)+IF(COUNTA(W28,X28,Y28,Z28,AA28)&gt;0,1,0))/4)</x:f>
        <x:v>0.5</x:v>
      </x:c>
      <x:c r="BI28" s="23" t="n">
        <x:f>IF(A28="","",(COUNTIF(AV28:AZ28,"Available")+0.5*COUNTIF(AV28:AZ28,"Partial")+IF(BD28&lt;&gt;"",1,0))/6)</x:f>
        <x:v>0.75</x:v>
      </x:c>
      <x:c r="BJ28" s="22" t="str">
        <x:f>IF(A28="","",IF(AND(F28="",BD28=""),"Blocked",IF(AND(BG28&gt;=ReadyThreshold,BH28&gt;=ReadyThreshold,BI28&gt;=ReadyThreshold),"Ready for Analysis",IF(AVERAGE(BG28,BH28,BI28)&gt;=PartialThreshold,"Partially Ready","Discovery Required"))))</x:f>
        <x:v>Partially Ready</x:v>
      </x:c>
      <x:c r="BK28" s="17" t="str">
        <x:v>Original campaign objective and success target were not supplied.</x:v>
      </x:c>
      <x:c r="BL28" s="17" t="str">
        <x:v>Bonus Menu shows “10K to 24K”, but the metric, lookback period and selection rule are not defined.</x:v>
      </x:c>
      <x:c r="BM28" s="17" t="str">
        <x:v>None</x:v>
      </x:c>
      <x:c r="BN28" s="17" t="str">
        <x:v>Accountable campaign owner and requesting brief are not confirmed.</x:v>
      </x:c>
      <x:c r="BO28" s="17" t="str">
        <x:v>Jan–Mar assignments and Apr–Jul executions are available in separate windows; no full-period conversion denominator.</x:v>
      </x:c>
      <x:c r="BP28" s="17" t="str">
        <x:v>None</x:v>
      </x:c>
      <x:c r="BQ28" s="17" t="str">
        <x:v>Segment criteria missing</x:v>
      </x:c>
      <x:c r="BR28" s="17" t="str">
        <x:v>High</x:v>
      </x:c>
      <x:c r="BS28" s="17" t="str">
        <x:v>Define Segment Criteria</x:v>
      </x:c>
      <x:c r="BT28" s="18" t="str">
        <x:v>VIP</x:v>
      </x:c>
      <x:c r="BU28" s="17" t="str">
        <x:v>Not Started</x:v>
      </x:c>
      <x:c r="BV28" s="17" t="str">
        <x:v>Observed 2026-02-19–2026-07-21. Jan–Mar: 10 assignments / 10 members / 1 matched claims. Apr–Jul: 65 executions / 47 members / MYR 26,000 bonus cost. Schedule and owner unconfirmed; NGR excluded.</x:v>
      </x:c>
    </x:row>
    <x:row r="29" ht="60" customHeight="1">
      <x:c r="A29" s="17" t="str">
        <x:v>WS1-VM-023</x:v>
      </x:c>
      <x:c r="B29" s="17" t="str">
        <x:v>WS1</x:v>
      </x:c>
      <x:c r="C29" s="17" t="str">
        <x:v>VM Bns - Free Credit - 5x TO</x:v>
      </x:c>
      <x:c r="D29" s="17" t="str">
        <x:v>VIP VM</x:v>
      </x:c>
      <x:c r="E29" s="18" t="str">
        <x:v>VIP</x:v>
      </x:c>
      <x:c r="F29" s="18"/>
      <x:c r="G29" s="17" t="str">
        <x:v>Promotion</x:v>
      </x:c>
      <x:c r="H29" s="17" t="str">
        <x:v>Unknown</x:v>
      </x:c>
      <x:c r="I29" s="19" t="n">
        <x:v>46028</x:v>
      </x:c>
      <x:c r="J29" s="19" t="n">
        <x:v>46090</x:v>
      </x:c>
      <x:c r="K29" s="17" t="str">
        <x:v>Weekly</x:v>
      </x:c>
      <x:c r="L29" s="19" t="n">
        <x:v>46226</x:v>
      </x:c>
      <x:c r="M29" s="17" t="str">
        <x:v>Retention</x:v>
      </x:c>
      <x:c r="N29" s="18"/>
      <x:c r="O29" s="18" t="str">
        <x:v>Not Documented</x:v>
      </x:c>
      <x:c r="P29" s="17" t="str">
        <x:v>Not Provided</x:v>
      </x:c>
      <x:c r="Q29" s="17" t="str">
        <x:v>Use the assigned free-credit reward and resume play</x:v>
      </x:c>
      <x:c r="R29" s="17"/>
      <x:c r="S29" s="17"/>
      <x:c r="T29" s="17"/>
      <x:c r="U29" s="18" t="str">
        <x:v>VM-managed players</x:v>
      </x:c>
      <x:c r="V29" s="18"/>
      <x:c r="W29" s="17" t="str">
        <x:v>Unknown</x:v>
      </x:c>
      <x:c r="X29" s="17"/>
      <x:c r="Y29" s="17"/>
      <x:c r="Z29" s="17"/>
      <x:c r="AA29" s="17"/>
      <x:c r="AB29" s="17"/>
      <x:c r="AC29" s="17"/>
      <x:c r="AD29" s="17" t="str">
        <x:v>MYR</x:v>
      </x:c>
      <x:c r="AE29" s="17"/>
      <x:c r="AF29" s="17" t="n">
        <x:v>17</x:v>
      </x:c>
      <x:c r="AG29" s="17" t="str">
        <x:v>Not Provided</x:v>
      </x:c>
      <x:c r="AH29" s="17" t="str">
        <x:v>Free Credit</x:v>
      </x:c>
      <x:c r="AI29" s="20"/>
      <x:c r="AJ29" s="21"/>
      <x:c r="AK29" s="21"/>
      <x:c r="AL29" s="17" t="str">
        <x:v>5x bonus</x:v>
      </x:c>
      <x:c r="AM29" s="17"/>
      <x:c r="AN29" s="21"/>
      <x:c r="AO29" s="17" t="str">
        <x:v>MYR</x:v>
      </x:c>
      <x:c r="AP29" s="17"/>
      <x:c r="AQ29" s="17" t="str">
        <x:v>FT_VM_FC_VARIABLE_5X</x:v>
      </x:c>
      <x:c r="AR29" s="17" t="str">
        <x:v>Recurring</x:v>
      </x:c>
      <x:c r="AS29" s="17"/>
      <x:c r="AT29" s="17" t="str">
        <x:v>Unknown</x:v>
      </x:c>
      <x:c r="AU29" s="18" t="str">
        <x:v>Partial</x:v>
      </x:c>
      <x:c r="AV29" s="17" t="str">
        <x:v>Available</x:v>
      </x:c>
      <x:c r="AW29" s="17" t="str">
        <x:v>Available</x:v>
      </x:c>
      <x:c r="AX29" s="17" t="str">
        <x:v>Available</x:v>
      </x:c>
      <x:c r="AY29" s="17" t="str">
        <x:v>Not Available</x:v>
      </x:c>
      <x:c r="AZ29" s="17" t="str">
        <x:v>Partial</x:v>
      </x:c>
      <x:c r="BA29" s="17" t="str">
        <x:v>Not Available</x:v>
      </x:c>
      <x:c r="BB29" s="17" t="str">
        <x:v>Partial</x:v>
      </x:c>
      <x:c r="BC29" s="18" t="str">
        <x:v>VIP Overview MYS – Team CD; Bonus Menu; CSIR ClickHouse</x:v>
      </x:c>
      <x:c r="BD29" s="18" t="str">
        <x:v>CK Analytics</x:v>
      </x:c>
      <x:c r="BE29" s="19" t="n">
        <x:v>46226</x:v>
      </x:c>
      <x:c r="BF29" s="22" t="str">
        <x:f>IF(A29="","",IF(BI29&gt;=ReadyThreshold,"Ready",IF(BI29&gt;=PartialThreshold,"Partial","Not Ready")))</x:f>
        <x:v>Partial</x:v>
      </x:c>
      <x:c r="BG29" s="23" t="n">
        <x:f>IF(A29="","",COUNTA(N29,Q29,R29,S29)/4)</x:f>
        <x:v>0.25</x:v>
      </x:c>
      <x:c r="BH29" s="23" t="n">
        <x:f>IF(A29="","",(COUNTA(U29,V29,AE29)+IF(COUNTA(W29,X29,Y29,Z29,AA29)&gt;0,1,0))/4)</x:f>
        <x:v>0.5</x:v>
      </x:c>
      <x:c r="BI29" s="23" t="n">
        <x:f>IF(A29="","",(COUNTIF(AV29:AZ29,"Available")+0.5*COUNTIF(AV29:AZ29,"Partial")+IF(BD29&lt;&gt;"",1,0))/6)</x:f>
        <x:v>0.75</x:v>
      </x:c>
      <x:c r="BJ29" s="22" t="str">
        <x:f>IF(A29="","",IF(AND(F29="",BD29=""),"Blocked",IF(AND(BG29&gt;=ReadyThreshold,BH29&gt;=ReadyThreshold,BI29&gt;=ReadyThreshold),"Ready for Analysis",IF(AVERAGE(BG29,BH29,BI29)&gt;=PartialThreshold,"Partially Ready","Discovery Required"))))</x:f>
        <x:v>Partially Ready</x:v>
      </x:c>
      <x:c r="BK29" s="17" t="str">
        <x:v>Original campaign objective and success target were not supplied.</x:v>
      </x:c>
      <x:c r="BL29" s="17" t="str">
        <x:v>Actual player-selection criteria were not supplied.</x:v>
      </x:c>
      <x:c r="BM29" s="17" t="str">
        <x:v>Review Required</x:v>
      </x:c>
      <x:c r="BN29" s="17" t="str">
        <x:v>Accountable campaign owner and requesting brief are not confirmed.</x:v>
      </x:c>
      <x:c r="BO29" s="17" t="str">
        <x:v>Jan–Mar assignments are available; no Apr–Jul execution rows were recovered for this code.</x:v>
      </x:c>
      <x:c r="BP29" s="17" t="str">
        <x:v>None</x:v>
      </x:c>
      <x:c r="BQ29" s="17" t="str">
        <x:v>Success measure missing</x:v>
      </x:c>
      <x:c r="BR29" s="17" t="str">
        <x:v>High</x:v>
      </x:c>
      <x:c r="BS29" s="17" t="str">
        <x:v>Confirm Objective</x:v>
      </x:c>
      <x:c r="BT29" s="18" t="str">
        <x:v>VIP</x:v>
      </x:c>
      <x:c r="BU29" s="17" t="str">
        <x:v>Not Started</x:v>
      </x:c>
      <x:c r="BV29" s="17" t="str">
        <x:v>Observed 2026-01-06–2026-03-09. Jan–Mar: 17 assignments / 17 members / 0 matched claims. Apr–Jul: no execution row. Schedule and owner unconfirmed; NGR excluded.</x:v>
      </x:c>
    </x:row>
    <x:row r="30" ht="60" customHeight="1">
      <x:c r="A30" s="17" t="str">
        <x:v>WS1-VM-024</x:v>
      </x:c>
      <x:c r="B30" s="17" t="str">
        <x:v>WS1</x:v>
      </x:c>
      <x:c r="C30" s="17" t="str">
        <x:v>VM Bns - Free Credit - 8x TO</x:v>
      </x:c>
      <x:c r="D30" s="17" t="str">
        <x:v>VIP VM</x:v>
      </x:c>
      <x:c r="E30" s="18" t="str">
        <x:v>VIP</x:v>
      </x:c>
      <x:c r="F30" s="18"/>
      <x:c r="G30" s="17" t="str">
        <x:v>Promotion</x:v>
      </x:c>
      <x:c r="H30" s="17" t="str">
        <x:v>Unknown</x:v>
      </x:c>
      <x:c r="I30" s="19" t="n">
        <x:v>46062</x:v>
      </x:c>
      <x:c r="J30" s="19" t="n">
        <x:v>46090</x:v>
      </x:c>
      <x:c r="K30" s="17" t="str">
        <x:v>Weekly</x:v>
      </x:c>
      <x:c r="L30" s="19" t="n">
        <x:v>46226</x:v>
      </x:c>
      <x:c r="M30" s="17" t="str">
        <x:v>Retention</x:v>
      </x:c>
      <x:c r="N30" s="18"/>
      <x:c r="O30" s="18" t="str">
        <x:v>Not Documented</x:v>
      </x:c>
      <x:c r="P30" s="17" t="str">
        <x:v>Not Provided</x:v>
      </x:c>
      <x:c r="Q30" s="17" t="str">
        <x:v>Use the assigned free-credit reward and resume play</x:v>
      </x:c>
      <x:c r="R30" s="17"/>
      <x:c r="S30" s="17"/>
      <x:c r="T30" s="17"/>
      <x:c r="U30" s="18" t="str">
        <x:v>VM-managed players</x:v>
      </x:c>
      <x:c r="V30" s="18"/>
      <x:c r="W30" s="17" t="str">
        <x:v>Unknown</x:v>
      </x:c>
      <x:c r="X30" s="17"/>
      <x:c r="Y30" s="17"/>
      <x:c r="Z30" s="17"/>
      <x:c r="AA30" s="17"/>
      <x:c r="AB30" s="17"/>
      <x:c r="AC30" s="17"/>
      <x:c r="AD30" s="17" t="str">
        <x:v>MYR</x:v>
      </x:c>
      <x:c r="AE30" s="17"/>
      <x:c r="AF30" s="17" t="n">
        <x:v>5</x:v>
      </x:c>
      <x:c r="AG30" s="17" t="str">
        <x:v>Not Provided</x:v>
      </x:c>
      <x:c r="AH30" s="17" t="str">
        <x:v>Free Credit</x:v>
      </x:c>
      <x:c r="AI30" s="20"/>
      <x:c r="AJ30" s="21"/>
      <x:c r="AK30" s="21"/>
      <x:c r="AL30" s="17" t="str">
        <x:v>8x bonus</x:v>
      </x:c>
      <x:c r="AM30" s="17"/>
      <x:c r="AN30" s="21"/>
      <x:c r="AO30" s="17" t="str">
        <x:v>MYR</x:v>
      </x:c>
      <x:c r="AP30" s="17"/>
      <x:c r="AQ30" s="17" t="str">
        <x:v>FT_VM_FC_VARIABLE_8X</x:v>
      </x:c>
      <x:c r="AR30" s="17" t="str">
        <x:v>Recurring</x:v>
      </x:c>
      <x:c r="AS30" s="17"/>
      <x:c r="AT30" s="17" t="str">
        <x:v>Unknown</x:v>
      </x:c>
      <x:c r="AU30" s="18" t="str">
        <x:v>Partial</x:v>
      </x:c>
      <x:c r="AV30" s="17" t="str">
        <x:v>Available</x:v>
      </x:c>
      <x:c r="AW30" s="17" t="str">
        <x:v>Available</x:v>
      </x:c>
      <x:c r="AX30" s="17" t="str">
        <x:v>Available</x:v>
      </x:c>
      <x:c r="AY30" s="17" t="str">
        <x:v>Not Available</x:v>
      </x:c>
      <x:c r="AZ30" s="17" t="str">
        <x:v>Partial</x:v>
      </x:c>
      <x:c r="BA30" s="17" t="str">
        <x:v>Not Available</x:v>
      </x:c>
      <x:c r="BB30" s="17" t="str">
        <x:v>Partial</x:v>
      </x:c>
      <x:c r="BC30" s="18" t="str">
        <x:v>VIP Overview MYS – Team CD; Bonus Menu; CSIR ClickHouse</x:v>
      </x:c>
      <x:c r="BD30" s="18" t="str">
        <x:v>CK Analytics</x:v>
      </x:c>
      <x:c r="BE30" s="19" t="n">
        <x:v>46226</x:v>
      </x:c>
      <x:c r="BF30" s="22" t="str">
        <x:f>IF(A30="","",IF(BI30&gt;=ReadyThreshold,"Ready",IF(BI30&gt;=PartialThreshold,"Partial","Not Ready")))</x:f>
        <x:v>Partial</x:v>
      </x:c>
      <x:c r="BG30" s="23" t="n">
        <x:f>IF(A30="","",COUNTA(N30,Q30,R30,S30)/4)</x:f>
        <x:v>0.25</x:v>
      </x:c>
      <x:c r="BH30" s="23" t="n">
        <x:f>IF(A30="","",(COUNTA(U30,V30,AE30)+IF(COUNTA(W30,X30,Y30,Z30,AA30)&gt;0,1,0))/4)</x:f>
        <x:v>0.5</x:v>
      </x:c>
      <x:c r="BI30" s="23" t="n">
        <x:f>IF(A30="","",(COUNTIF(AV30:AZ30,"Available")+0.5*COUNTIF(AV30:AZ30,"Partial")+IF(BD30&lt;&gt;"",1,0))/6)</x:f>
        <x:v>0.75</x:v>
      </x:c>
      <x:c r="BJ30" s="22" t="str">
        <x:f>IF(A30="","",IF(AND(F30="",BD30=""),"Blocked",IF(AND(BG30&gt;=ReadyThreshold,BH30&gt;=ReadyThreshold,BI30&gt;=ReadyThreshold),"Ready for Analysis",IF(AVERAGE(BG30,BH30,BI30)&gt;=PartialThreshold,"Partially Ready","Discovery Required"))))</x:f>
        <x:v>Partially Ready</x:v>
      </x:c>
      <x:c r="BK30" s="17" t="str">
        <x:v>Original campaign objective and success target were not supplied.</x:v>
      </x:c>
      <x:c r="BL30" s="17" t="str">
        <x:v>Actual player-selection criteria were not supplied.</x:v>
      </x:c>
      <x:c r="BM30" s="17" t="str">
        <x:v>Review Required</x:v>
      </x:c>
      <x:c r="BN30" s="17" t="str">
        <x:v>Accountable campaign owner and requesting brief are not confirmed.</x:v>
      </x:c>
      <x:c r="BO30" s="17" t="str">
        <x:v>Jan–Mar assignments are available; no Apr–Jul execution rows were recovered for this code.</x:v>
      </x:c>
      <x:c r="BP30" s="17" t="str">
        <x:v>None</x:v>
      </x:c>
      <x:c r="BQ30" s="17" t="str">
        <x:v>Success measure missing</x:v>
      </x:c>
      <x:c r="BR30" s="17" t="str">
        <x:v>High</x:v>
      </x:c>
      <x:c r="BS30" s="17" t="str">
        <x:v>Confirm Objective</x:v>
      </x:c>
      <x:c r="BT30" s="18" t="str">
        <x:v>VIP</x:v>
      </x:c>
      <x:c r="BU30" s="17" t="str">
        <x:v>Not Started</x:v>
      </x:c>
      <x:c r="BV30" s="17" t="str">
        <x:v>Observed 2026-02-09–2026-03-09. Jan–Mar: 5 assignments / 5 members / 0 matched claims. Apr–Jul: no execution row. Schedule and owner unconfirmed; NGR excluded.</x:v>
      </x:c>
    </x:row>
    <x:row r="31" ht="60" customHeight="1">
      <x:c r="A31" s="17" t="str">
        <x:v>WS1-VM-025</x:v>
      </x:c>
      <x:c r="B31" s="17" t="str">
        <x:v>WS1</x:v>
      </x:c>
      <x:c r="C31" s="17" t="str">
        <x:v>100% Reload Bonus - VIP Offer</x:v>
      </x:c>
      <x:c r="D31" s="17" t="str">
        <x:v>VIP VM</x:v>
      </x:c>
      <x:c r="E31" s="18" t="str">
        <x:v>VIP</x:v>
      </x:c>
      <x:c r="F31" s="18"/>
      <x:c r="G31" s="17" t="str">
        <x:v>Promotion</x:v>
      </x:c>
      <x:c r="H31" s="17" t="str">
        <x:v>Unknown</x:v>
      </x:c>
      <x:c r="I31" s="19" t="n">
        <x:v>46213</x:v>
      </x:c>
      <x:c r="J31" s="19" t="n">
        <x:v>46226</x:v>
      </x:c>
      <x:c r="K31" s="17" t="str">
        <x:v>Unknown</x:v>
      </x:c>
      <x:c r="L31" s="19" t="n">
        <x:v>46226</x:v>
      </x:c>
      <x:c r="M31" s="17" t="str">
        <x:v>Retention</x:v>
      </x:c>
      <x:c r="N31" s="18"/>
      <x:c r="O31" s="18" t="str">
        <x:v>Not Documented</x:v>
      </x:c>
      <x:c r="P31" s="17" t="str">
        <x:v>Not Provided</x:v>
      </x:c>
      <x:c r="Q31" s="17" t="str">
        <x:v>Use the assigned VIP reward</x:v>
      </x:c>
      <x:c r="R31" s="17"/>
      <x:c r="S31" s="17"/>
      <x:c r="T31" s="17"/>
      <x:c r="U31" s="18" t="str">
        <x:v>VM-managed players</x:v>
      </x:c>
      <x:c r="V31" s="18"/>
      <x:c r="W31" s="17" t="str">
        <x:v>Unknown</x:v>
      </x:c>
      <x:c r="X31" s="17"/>
      <x:c r="Y31" s="17"/>
      <x:c r="Z31" s="17"/>
      <x:c r="AA31" s="17"/>
      <x:c r="AB31" s="17"/>
      <x:c r="AC31" s="17"/>
      <x:c r="AD31" s="17" t="str">
        <x:v>MYR</x:v>
      </x:c>
      <x:c r="AE31" s="17"/>
      <x:c r="AF31" s="17"/>
      <x:c r="AG31" s="17" t="str">
        <x:v>Not Provided</x:v>
      </x:c>
      <x:c r="AH31" s="17" t="str">
        <x:v>Reload Bonus</x:v>
      </x:c>
      <x:c r="AI31" s="20" t="n">
        <x:v>100</x:v>
      </x:c>
      <x:c r="AJ31" s="21"/>
      <x:c r="AK31" s="21"/>
      <x:c r="AL31" s="17" t="str">
        <x:v>1x bonus</x:v>
      </x:c>
      <x:c r="AM31" s="17"/>
      <x:c r="AN31" s="21"/>
      <x:c r="AO31" s="17" t="str">
        <x:v>MYR</x:v>
      </x:c>
      <x:c r="AP31" s="17"/>
      <x:c r="AQ31" s="17" t="str">
        <x:v>FT_VM_REL100PCT_X1</x:v>
      </x:c>
      <x:c r="AR31" s="17" t="str">
        <x:v>Unknown</x:v>
      </x:c>
      <x:c r="AS31" s="17"/>
      <x:c r="AT31" s="17" t="str">
        <x:v>Unknown</x:v>
      </x:c>
      <x:c r="AU31" s="18" t="str">
        <x:v>Partial</x:v>
      </x:c>
      <x:c r="AV31" s="17" t="str">
        <x:v>Available</x:v>
      </x:c>
      <x:c r="AW31" s="17" t="str">
        <x:v>Available</x:v>
      </x:c>
      <x:c r="AX31" s="17" t="str">
        <x:v>Available</x:v>
      </x:c>
      <x:c r="AY31" s="17" t="str">
        <x:v>Not Available</x:v>
      </x:c>
      <x:c r="AZ31" s="17" t="str">
        <x:v>Partial</x:v>
      </x:c>
      <x:c r="BA31" s="17" t="str">
        <x:v>Not Available</x:v>
      </x:c>
      <x:c r="BB31" s="17" t="str">
        <x:v>Partial</x:v>
      </x:c>
      <x:c r="BC31" s="18" t="str">
        <x:v>VIP Overview MYS – Team CD; Bonus Menu; CSIR ClickHouse</x:v>
      </x:c>
      <x:c r="BD31" s="18" t="str">
        <x:v>CK Analytics</x:v>
      </x:c>
      <x:c r="BE31" s="19" t="n">
        <x:v>46226</x:v>
      </x:c>
      <x:c r="BF31" s="22" t="str">
        <x:f>IF(A31="","",IF(BI31&gt;=ReadyThreshold,"Ready",IF(BI31&gt;=PartialThreshold,"Partial","Not Ready")))</x:f>
        <x:v>Partial</x:v>
      </x:c>
      <x:c r="BG31" s="23" t="n">
        <x:f>IF(A31="","",COUNTA(N31,Q31,R31,S31)/4)</x:f>
        <x:v>0.25</x:v>
      </x:c>
      <x:c r="BH31" s="23" t="n">
        <x:f>IF(A31="","",(COUNTA(U31,V31,AE31)+IF(COUNTA(W31,X31,Y31,Z31,AA31)&gt;0,1,0))/4)</x:f>
        <x:v>0.5</x:v>
      </x:c>
      <x:c r="BI31" s="23" t="n">
        <x:f>IF(A31="","",(COUNTIF(AV31:AZ31,"Available")+0.5*COUNTIF(AV31:AZ31,"Partial")+IF(BD31&lt;&gt;"",1,0))/6)</x:f>
        <x:v>0.75</x:v>
      </x:c>
      <x:c r="BJ31" s="22" t="str">
        <x:f>IF(A31="","",IF(AND(F31="",BD31=""),"Blocked",IF(AND(BG31&gt;=ReadyThreshold,BH31&gt;=ReadyThreshold,BI31&gt;=ReadyThreshold),"Ready for Analysis",IF(AVERAGE(BG31,BH31,BI31)&gt;=PartialThreshold,"Partially Ready","Discovery Required"))))</x:f>
        <x:v>Partially Ready</x:v>
      </x:c>
      <x:c r="BK31" s="17" t="str">
        <x:v>Original campaign objective and success target were not supplied.</x:v>
      </x:c>
      <x:c r="BL31" s="17" t="str">
        <x:v>Actual player-selection criteria were not supplied.</x:v>
      </x:c>
      <x:c r="BM31" s="17" t="str">
        <x:v>None</x:v>
      </x:c>
      <x:c r="BN31" s="17" t="str">
        <x:v>Accountable campaign owner and requesting brief are not confirmed.</x:v>
      </x:c>
      <x:c r="BO31" s="17" t="str">
        <x:v>Apr–Jul executions are available, but offer assignments and the target denominator are missing.</x:v>
      </x:c>
      <x:c r="BP31" s="17" t="str">
        <x:v>None</x:v>
      </x:c>
      <x:c r="BQ31" s="17" t="str">
        <x:v>Campaign owner unclear</x:v>
      </x:c>
      <x:c r="BR31" s="17" t="str">
        <x:v>High</x:v>
      </x:c>
      <x:c r="BS31" s="17" t="str">
        <x:v>Confirm Campaign Owner</x:v>
      </x:c>
      <x:c r="BT31" s="18" t="str">
        <x:v>VIP</x:v>
      </x:c>
      <x:c r="BU31" s="17" t="str">
        <x:v>Not Started</x:v>
      </x:c>
      <x:c r="BV31" s="17" t="str">
        <x:v>Observed 2026-07-10–2026-07-23. Jan–Mar: no assignment row. Apr–Jul: 11 executions / 11 members / MYR 6,550 bonus cost. Schedule and owner unconfirmed; NGR excluded.</x:v>
      </x:c>
    </x:row>
    <x:row r="32" ht="60" customHeight="1">
      <x:c r="A32" s="17" t="str">
        <x:v>WS1-VM-026</x:v>
      </x:c>
      <x:c r="B32" s="17" t="str">
        <x:v>WS1</x:v>
      </x:c>
      <x:c r="C32" s="17" t="str">
        <x:v>VIP SPECIAL FREE CREDIT - 3x TO</x:v>
      </x:c>
      <x:c r="D32" s="17" t="str">
        <x:v>VIP VM</x:v>
      </x:c>
      <x:c r="E32" s="18" t="str">
        <x:v>VIP</x:v>
      </x:c>
      <x:c r="F32" s="18"/>
      <x:c r="G32" s="17" t="str">
        <x:v>Promotion</x:v>
      </x:c>
      <x:c r="H32" s="17" t="str">
        <x:v>Unknown</x:v>
      </x:c>
      <x:c r="I32" s="19" t="n">
        <x:v>46211</x:v>
      </x:c>
      <x:c r="J32" s="19" t="n">
        <x:v>46224</x:v>
      </x:c>
      <x:c r="K32" s="17" t="str">
        <x:v>Unknown</x:v>
      </x:c>
      <x:c r="L32" s="19" t="n">
        <x:v>46226</x:v>
      </x:c>
      <x:c r="M32" s="17" t="str">
        <x:v>Retention</x:v>
      </x:c>
      <x:c r="N32" s="18"/>
      <x:c r="O32" s="18" t="str">
        <x:v>Not Documented</x:v>
      </x:c>
      <x:c r="P32" s="17" t="str">
        <x:v>Not Provided</x:v>
      </x:c>
      <x:c r="Q32" s="17" t="str">
        <x:v>Use the assigned free-credit reward and resume play</x:v>
      </x:c>
      <x:c r="R32" s="17"/>
      <x:c r="S32" s="17"/>
      <x:c r="T32" s="17"/>
      <x:c r="U32" s="18" t="str">
        <x:v>VM-managed players</x:v>
      </x:c>
      <x:c r="V32" s="18"/>
      <x:c r="W32" s="17" t="str">
        <x:v>Unknown</x:v>
      </x:c>
      <x:c r="X32" s="17"/>
      <x:c r="Y32" s="17"/>
      <x:c r="Z32" s="17"/>
      <x:c r="AA32" s="17"/>
      <x:c r="AB32" s="17"/>
      <x:c r="AC32" s="17"/>
      <x:c r="AD32" s="17" t="str">
        <x:v>MYR</x:v>
      </x:c>
      <x:c r="AE32" s="17"/>
      <x:c r="AF32" s="17"/>
      <x:c r="AG32" s="17" t="str">
        <x:v>Not Provided</x:v>
      </x:c>
      <x:c r="AH32" s="17" t="str">
        <x:v>Free Credit</x:v>
      </x:c>
      <x:c r="AI32" s="20"/>
      <x:c r="AJ32" s="21"/>
      <x:c r="AK32" s="21"/>
      <x:c r="AL32" s="17" t="str">
        <x:v>3x bonus</x:v>
      </x:c>
      <x:c r="AM32" s="17"/>
      <x:c r="AN32" s="21"/>
      <x:c r="AO32" s="17" t="str">
        <x:v>MYR</x:v>
      </x:c>
      <x:c r="AP32" s="17"/>
      <x:c r="AQ32" s="17" t="str">
        <x:v>FT_VMFC_VARIABLE_3X</x:v>
      </x:c>
      <x:c r="AR32" s="17" t="str">
        <x:v>Unknown</x:v>
      </x:c>
      <x:c r="AS32" s="17"/>
      <x:c r="AT32" s="17" t="str">
        <x:v>Unknown</x:v>
      </x:c>
      <x:c r="AU32" s="18" t="str">
        <x:v>Partial</x:v>
      </x:c>
      <x:c r="AV32" s="17" t="str">
        <x:v>Available</x:v>
      </x:c>
      <x:c r="AW32" s="17" t="str">
        <x:v>Available</x:v>
      </x:c>
      <x:c r="AX32" s="17" t="str">
        <x:v>Available</x:v>
      </x:c>
      <x:c r="AY32" s="17" t="str">
        <x:v>Not Available</x:v>
      </x:c>
      <x:c r="AZ32" s="17" t="str">
        <x:v>Partial</x:v>
      </x:c>
      <x:c r="BA32" s="17" t="str">
        <x:v>Not Available</x:v>
      </x:c>
      <x:c r="BB32" s="17" t="str">
        <x:v>Partial</x:v>
      </x:c>
      <x:c r="BC32" s="18" t="str">
        <x:v>VIP Overview MYS – Team CD; Bonus Menu; CSIR ClickHouse</x:v>
      </x:c>
      <x:c r="BD32" s="18" t="str">
        <x:v>CK Analytics</x:v>
      </x:c>
      <x:c r="BE32" s="19" t="n">
        <x:v>46226</x:v>
      </x:c>
      <x:c r="BF32" s="22" t="str">
        <x:f>IF(A32="","",IF(BI32&gt;=ReadyThreshold,"Ready",IF(BI32&gt;=PartialThreshold,"Partial","Not Ready")))</x:f>
        <x:v>Partial</x:v>
      </x:c>
      <x:c r="BG32" s="23" t="n">
        <x:f>IF(A32="","",COUNTA(N32,Q32,R32,S32)/4)</x:f>
        <x:v>0.25</x:v>
      </x:c>
      <x:c r="BH32" s="23" t="n">
        <x:f>IF(A32="","",(COUNTA(U32,V32,AE32)+IF(COUNTA(W32,X32,Y32,Z32,AA32)&gt;0,1,0))/4)</x:f>
        <x:v>0.5</x:v>
      </x:c>
      <x:c r="BI32" s="23" t="n">
        <x:f>IF(A32="","",(COUNTIF(AV32:AZ32,"Available")+0.5*COUNTIF(AV32:AZ32,"Partial")+IF(BD32&lt;&gt;"",1,0))/6)</x:f>
        <x:v>0.75</x:v>
      </x:c>
      <x:c r="BJ32" s="22" t="str">
        <x:f>IF(A32="","",IF(AND(F32="",BD32=""),"Blocked",IF(AND(BG32&gt;=ReadyThreshold,BH32&gt;=ReadyThreshold,BI32&gt;=ReadyThreshold),"Ready for Analysis",IF(AVERAGE(BG32,BH32,BI32)&gt;=PartialThreshold,"Partially Ready","Discovery Required"))))</x:f>
        <x:v>Partially Ready</x:v>
      </x:c>
      <x:c r="BK32" s="17" t="str">
        <x:v>Original campaign objective and success target were not supplied.</x:v>
      </x:c>
      <x:c r="BL32" s="17" t="str">
        <x:v>Actual player-selection criteria were not supplied.</x:v>
      </x:c>
      <x:c r="BM32" s="17" t="str">
        <x:v>Review Required</x:v>
      </x:c>
      <x:c r="BN32" s="17" t="str">
        <x:v>Accountable campaign owner and requesting brief are not confirmed.</x:v>
      </x:c>
      <x:c r="BO32" s="17" t="str">
        <x:v>Apr–Jul executions are available, but offer assignments and the target denominator are missing.</x:v>
      </x:c>
      <x:c r="BP32" s="17" t="str">
        <x:v>None</x:v>
      </x:c>
      <x:c r="BQ32" s="17" t="str">
        <x:v>Campaign owner unclear</x:v>
      </x:c>
      <x:c r="BR32" s="17" t="str">
        <x:v>High</x:v>
      </x:c>
      <x:c r="BS32" s="17" t="str">
        <x:v>Confirm Campaign Owner</x:v>
      </x:c>
      <x:c r="BT32" s="18" t="str">
        <x:v>VIP</x:v>
      </x:c>
      <x:c r="BU32" s="17" t="str">
        <x:v>Not Started</x:v>
      </x:c>
      <x:c r="BV32" s="17" t="str">
        <x:v>Observed 2026-07-08–2026-07-21. Jan–Mar: no assignment row. Apr–Jul: 31 executions / 31 members / MYR 39,528 bonus cost. Schedule and owner unconfirmed; NGR excluded.</x:v>
      </x:c>
    </x:row>
    <x:row r="33">
      <x:c r="A33" s="17"/>
      <x:c r="B33" s="17"/>
      <x:c r="C33" s="17"/>
      <x:c r="D33" s="17"/>
      <x:c r="E33" s="18"/>
      <x:c r="F33" s="18"/>
      <x:c r="G33" s="17"/>
      <x:c r="H33" s="17"/>
      <x:c r="I33" s="19"/>
      <x:c r="J33" s="19"/>
      <x:c r="K33" s="17"/>
      <x:c r="L33" s="19"/>
      <x:c r="M33" s="17"/>
      <x:c r="N33" s="18"/>
      <x:c r="O33" s="18"/>
      <x:c r="P33" s="17"/>
      <x:c r="Q33" s="17"/>
      <x:c r="R33" s="17"/>
      <x:c r="S33" s="17"/>
      <x:c r="T33" s="17"/>
      <x:c r="U33" s="18"/>
      <x:c r="V33" s="18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20"/>
      <x:c r="AJ33" s="21"/>
      <x:c r="AK33" s="21"/>
      <x:c r="AL33" s="17"/>
      <x:c r="AM33" s="17"/>
      <x:c r="AN33" s="21"/>
      <x:c r="AO33" s="17"/>
      <x:c r="AP33" s="17"/>
      <x:c r="AQ33" s="17"/>
      <x:c r="AR33" s="17"/>
      <x:c r="AS33" s="17"/>
      <x:c r="AT33" s="17"/>
      <x:c r="AU33" s="18"/>
      <x:c r="AV33" s="17"/>
      <x:c r="AW33" s="17"/>
      <x:c r="AX33" s="17"/>
      <x:c r="AY33" s="17"/>
      <x:c r="AZ33" s="17"/>
      <x:c r="BA33" s="17"/>
      <x:c r="BB33" s="17"/>
      <x:c r="BC33" s="18"/>
      <x:c r="BD33" s="18"/>
      <x:c r="BE33" s="19"/>
      <x:c r="BF33" s="22" t="str">
        <x:f>IF(A33="","",IF(BI33&gt;=ReadyThreshold,"Ready",IF(BI33&gt;=PartialThreshold,"Partial","Not Ready")))</x:f>
      </x:c>
      <x:c r="BG33" s="23" t="str">
        <x:f>IF(A33="","",COUNTA(N33,Q33,R33,S33)/4)</x:f>
      </x:c>
      <x:c r="BH33" s="23" t="str">
        <x:f>IF(A33="","",(COUNTA(U33,V33,AE33)+IF(COUNTA(W33,X33,Y33,Z33,AA33)&gt;0,1,0))/4)</x:f>
      </x:c>
      <x:c r="BI33" s="23" t="str">
        <x:f>IF(A33="","",(COUNTIF(AV33:AZ33,"Available")+0.5*COUNTIF(AV33:AZ33,"Partial")+IF(BD33&lt;&gt;"",1,0))/6)</x:f>
      </x:c>
      <x:c r="BJ33" s="22" t="str">
        <x:f>IF(A33="","",IF(AND(F33="",BD33=""),"Blocked",IF(AND(BG33&gt;=ReadyThreshold,BH33&gt;=ReadyThreshold,BI33&gt;=ReadyThreshold),"Ready for Analysis",IF(AVERAGE(BG33,BH33,BI33)&gt;=PartialThreshold,"Partially Ready","Discovery Required"))))</x:f>
      </x:c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8"/>
      <x:c r="BU33" s="17"/>
      <x:c r="BV33" s="17"/>
    </x:row>
    <x:row r="34">
      <x:c r="A34" s="17"/>
      <x:c r="B34" s="17"/>
      <x:c r="C34" s="17"/>
      <x:c r="D34" s="17"/>
      <x:c r="E34" s="18"/>
      <x:c r="F34" s="18"/>
      <x:c r="G34" s="17"/>
      <x:c r="H34" s="17"/>
      <x:c r="I34" s="19"/>
      <x:c r="J34" s="19"/>
      <x:c r="K34" s="17"/>
      <x:c r="L34" s="19"/>
      <x:c r="M34" s="17"/>
      <x:c r="N34" s="18"/>
      <x:c r="O34" s="18"/>
      <x:c r="P34" s="17"/>
      <x:c r="Q34" s="17"/>
      <x:c r="R34" s="17"/>
      <x:c r="S34" s="17"/>
      <x:c r="T34" s="17"/>
      <x:c r="U34" s="18"/>
      <x:c r="V34" s="18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20"/>
      <x:c r="AJ34" s="21"/>
      <x:c r="AK34" s="21"/>
      <x:c r="AL34" s="17"/>
      <x:c r="AM34" s="17"/>
      <x:c r="AN34" s="21"/>
      <x:c r="AO34" s="17"/>
      <x:c r="AP34" s="17"/>
      <x:c r="AQ34" s="17"/>
      <x:c r="AR34" s="17"/>
      <x:c r="AS34" s="17"/>
      <x:c r="AT34" s="17"/>
      <x:c r="AU34" s="18"/>
      <x:c r="AV34" s="17"/>
      <x:c r="AW34" s="17"/>
      <x:c r="AX34" s="17"/>
      <x:c r="AY34" s="17"/>
      <x:c r="AZ34" s="17"/>
      <x:c r="BA34" s="17"/>
      <x:c r="BB34" s="17"/>
      <x:c r="BC34" s="18"/>
      <x:c r="BD34" s="18"/>
      <x:c r="BE34" s="19"/>
      <x:c r="BF34" s="22" t="str">
        <x:f>IF(A34="","",IF(BI34&gt;=ReadyThreshold,"Ready",IF(BI34&gt;=PartialThreshold,"Partial","Not Ready")))</x:f>
      </x:c>
      <x:c r="BG34" s="23" t="str">
        <x:f>IF(A34="","",COUNTA(N34,Q34,R34,S34)/4)</x:f>
      </x:c>
      <x:c r="BH34" s="23" t="str">
        <x:f>IF(A34="","",(COUNTA(U34,V34,AE34)+IF(COUNTA(W34,X34,Y34,Z34,AA34)&gt;0,1,0))/4)</x:f>
      </x:c>
      <x:c r="BI34" s="23" t="str">
        <x:f>IF(A34="","",(COUNTIF(AV34:AZ34,"Available")+0.5*COUNTIF(AV34:AZ34,"Partial")+IF(BD34&lt;&gt;"",1,0))/6)</x:f>
      </x:c>
      <x:c r="BJ34" s="22" t="str">
        <x:f>IF(A34="","",IF(AND(F34="",BD34=""),"Blocked",IF(AND(BG34&gt;=ReadyThreshold,BH34&gt;=ReadyThreshold,BI34&gt;=ReadyThreshold),"Ready for Analysis",IF(AVERAGE(BG34,BH34,BI34)&gt;=PartialThreshold,"Partially Ready","Discovery Required"))))</x:f>
      </x:c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8"/>
      <x:c r="BU34" s="17"/>
      <x:c r="BV34" s="17"/>
    </x:row>
    <x:row r="35">
      <x:c r="A35" s="17"/>
      <x:c r="B35" s="17"/>
      <x:c r="C35" s="17"/>
      <x:c r="D35" s="17"/>
      <x:c r="E35" s="18"/>
      <x:c r="F35" s="18"/>
      <x:c r="G35" s="17"/>
      <x:c r="H35" s="17"/>
      <x:c r="I35" s="19"/>
      <x:c r="J35" s="19"/>
      <x:c r="K35" s="17"/>
      <x:c r="L35" s="19"/>
      <x:c r="M35" s="17"/>
      <x:c r="N35" s="18"/>
      <x:c r="O35" s="18"/>
      <x:c r="P35" s="17"/>
      <x:c r="Q35" s="17"/>
      <x:c r="R35" s="17"/>
      <x:c r="S35" s="17"/>
      <x:c r="T35" s="17"/>
      <x:c r="U35" s="18"/>
      <x:c r="V35" s="18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20"/>
      <x:c r="AJ35" s="21"/>
      <x:c r="AK35" s="21"/>
      <x:c r="AL35" s="17"/>
      <x:c r="AM35" s="17"/>
      <x:c r="AN35" s="21"/>
      <x:c r="AO35" s="17"/>
      <x:c r="AP35" s="17"/>
      <x:c r="AQ35" s="17"/>
      <x:c r="AR35" s="17"/>
      <x:c r="AS35" s="17"/>
      <x:c r="AT35" s="17"/>
      <x:c r="AU35" s="18"/>
      <x:c r="AV35" s="17"/>
      <x:c r="AW35" s="17"/>
      <x:c r="AX35" s="17"/>
      <x:c r="AY35" s="17"/>
      <x:c r="AZ35" s="17"/>
      <x:c r="BA35" s="17"/>
      <x:c r="BB35" s="17"/>
      <x:c r="BC35" s="18"/>
      <x:c r="BD35" s="18"/>
      <x:c r="BE35" s="19"/>
      <x:c r="BF35" s="22" t="str">
        <x:f>IF(A35="","",IF(BI35&gt;=ReadyThreshold,"Ready",IF(BI35&gt;=PartialThreshold,"Partial","Not Ready")))</x:f>
      </x:c>
      <x:c r="BG35" s="23" t="str">
        <x:f>IF(A35="","",COUNTA(N35,Q35,R35,S35)/4)</x:f>
      </x:c>
      <x:c r="BH35" s="23" t="str">
        <x:f>IF(A35="","",(COUNTA(U35,V35,AE35)+IF(COUNTA(W35,X35,Y35,Z35,AA35)&gt;0,1,0))/4)</x:f>
      </x:c>
      <x:c r="BI35" s="23" t="str">
        <x:f>IF(A35="","",(COUNTIF(AV35:AZ35,"Available")+0.5*COUNTIF(AV35:AZ35,"Partial")+IF(BD35&lt;&gt;"",1,0))/6)</x:f>
      </x:c>
      <x:c r="BJ35" s="22" t="str">
        <x:f>IF(A35="","",IF(AND(F35="",BD35=""),"Blocked",IF(AND(BG35&gt;=ReadyThreshold,BH35&gt;=ReadyThreshold,BI35&gt;=ReadyThreshold),"Ready for Analysis",IF(AVERAGE(BG35,BH35,BI35)&gt;=PartialThreshold,"Partially Ready","Discovery Required"))))</x:f>
      </x:c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8"/>
      <x:c r="BU35" s="17"/>
      <x:c r="BV35" s="17"/>
    </x:row>
    <x:row r="36">
      <x:c r="A36" s="17"/>
      <x:c r="B36" s="17"/>
      <x:c r="C36" s="17"/>
      <x:c r="D36" s="17"/>
      <x:c r="E36" s="18"/>
      <x:c r="F36" s="18"/>
      <x:c r="G36" s="17"/>
      <x:c r="H36" s="17"/>
      <x:c r="I36" s="19"/>
      <x:c r="J36" s="19"/>
      <x:c r="K36" s="17"/>
      <x:c r="L36" s="19"/>
      <x:c r="M36" s="17"/>
      <x:c r="N36" s="18"/>
      <x:c r="O36" s="18"/>
      <x:c r="P36" s="17"/>
      <x:c r="Q36" s="17"/>
      <x:c r="R36" s="17"/>
      <x:c r="S36" s="17"/>
      <x:c r="T36" s="17"/>
      <x:c r="U36" s="18"/>
      <x:c r="V36" s="18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20"/>
      <x:c r="AJ36" s="21"/>
      <x:c r="AK36" s="21"/>
      <x:c r="AL36" s="17"/>
      <x:c r="AM36" s="17"/>
      <x:c r="AN36" s="21"/>
      <x:c r="AO36" s="17"/>
      <x:c r="AP36" s="17"/>
      <x:c r="AQ36" s="17"/>
      <x:c r="AR36" s="17"/>
      <x:c r="AS36" s="17"/>
      <x:c r="AT36" s="17"/>
      <x:c r="AU36" s="18"/>
      <x:c r="AV36" s="17"/>
      <x:c r="AW36" s="17"/>
      <x:c r="AX36" s="17"/>
      <x:c r="AY36" s="17"/>
      <x:c r="AZ36" s="17"/>
      <x:c r="BA36" s="17"/>
      <x:c r="BB36" s="17"/>
      <x:c r="BC36" s="18"/>
      <x:c r="BD36" s="18"/>
      <x:c r="BE36" s="19"/>
      <x:c r="BF36" s="22" t="str">
        <x:f>IF(A36="","",IF(BI36&gt;=ReadyThreshold,"Ready",IF(BI36&gt;=PartialThreshold,"Partial","Not Ready")))</x:f>
      </x:c>
      <x:c r="BG36" s="23" t="str">
        <x:f>IF(A36="","",COUNTA(N36,Q36,R36,S36)/4)</x:f>
      </x:c>
      <x:c r="BH36" s="23" t="str">
        <x:f>IF(A36="","",(COUNTA(U36,V36,AE36)+IF(COUNTA(W36,X36,Y36,Z36,AA36)&gt;0,1,0))/4)</x:f>
      </x:c>
      <x:c r="BI36" s="23" t="str">
        <x:f>IF(A36="","",(COUNTIF(AV36:AZ36,"Available")+0.5*COUNTIF(AV36:AZ36,"Partial")+IF(BD36&lt;&gt;"",1,0))/6)</x:f>
      </x:c>
      <x:c r="BJ36" s="22" t="str">
        <x:f>IF(A36="","",IF(AND(F36="",BD36=""),"Blocked",IF(AND(BG36&gt;=ReadyThreshold,BH36&gt;=ReadyThreshold,BI36&gt;=ReadyThreshold),"Ready for Analysis",IF(AVERAGE(BG36,BH36,BI36)&gt;=PartialThreshold,"Partially Ready","Discovery Required"))))</x:f>
      </x:c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8"/>
      <x:c r="BU36" s="17"/>
      <x:c r="BV36" s="17"/>
    </x:row>
    <x:row r="37">
      <x:c r="A37" s="17"/>
      <x:c r="B37" s="17"/>
      <x:c r="C37" s="17"/>
      <x:c r="D37" s="17"/>
      <x:c r="E37" s="18"/>
      <x:c r="F37" s="18"/>
      <x:c r="G37" s="17"/>
      <x:c r="H37" s="17"/>
      <x:c r="I37" s="19"/>
      <x:c r="J37" s="19"/>
      <x:c r="K37" s="17"/>
      <x:c r="L37" s="19"/>
      <x:c r="M37" s="17"/>
      <x:c r="N37" s="18"/>
      <x:c r="O37" s="18"/>
      <x:c r="P37" s="17"/>
      <x:c r="Q37" s="17"/>
      <x:c r="R37" s="17"/>
      <x:c r="S37" s="17"/>
      <x:c r="T37" s="17"/>
      <x:c r="U37" s="18"/>
      <x:c r="V37" s="18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20"/>
      <x:c r="AJ37" s="21"/>
      <x:c r="AK37" s="21"/>
      <x:c r="AL37" s="17"/>
      <x:c r="AM37" s="17"/>
      <x:c r="AN37" s="21"/>
      <x:c r="AO37" s="17"/>
      <x:c r="AP37" s="17"/>
      <x:c r="AQ37" s="17"/>
      <x:c r="AR37" s="17"/>
      <x:c r="AS37" s="17"/>
      <x:c r="AT37" s="17"/>
      <x:c r="AU37" s="18"/>
      <x:c r="AV37" s="17"/>
      <x:c r="AW37" s="17"/>
      <x:c r="AX37" s="17"/>
      <x:c r="AY37" s="17"/>
      <x:c r="AZ37" s="17"/>
      <x:c r="BA37" s="17"/>
      <x:c r="BB37" s="17"/>
      <x:c r="BC37" s="18"/>
      <x:c r="BD37" s="18"/>
      <x:c r="BE37" s="19"/>
      <x:c r="BF37" s="22" t="str">
        <x:f>IF(A37="","",IF(BI37&gt;=ReadyThreshold,"Ready",IF(BI37&gt;=PartialThreshold,"Partial","Not Ready")))</x:f>
      </x:c>
      <x:c r="BG37" s="23" t="str">
        <x:f>IF(A37="","",COUNTA(N37,Q37,R37,S37)/4)</x:f>
      </x:c>
      <x:c r="BH37" s="23" t="str">
        <x:f>IF(A37="","",(COUNTA(U37,V37,AE37)+IF(COUNTA(W37,X37,Y37,Z37,AA37)&gt;0,1,0))/4)</x:f>
      </x:c>
      <x:c r="BI37" s="23" t="str">
        <x:f>IF(A37="","",(COUNTIF(AV37:AZ37,"Available")+0.5*COUNTIF(AV37:AZ37,"Partial")+IF(BD37&lt;&gt;"",1,0))/6)</x:f>
      </x:c>
      <x:c r="BJ37" s="22" t="str">
        <x:f>IF(A37="","",IF(AND(F37="",BD37=""),"Blocked",IF(AND(BG37&gt;=ReadyThreshold,BH37&gt;=ReadyThreshold,BI37&gt;=ReadyThreshold),"Ready for Analysis",IF(AVERAGE(BG37,BH37,BI37)&gt;=PartialThreshold,"Partially Ready","Discovery Required"))))</x:f>
      </x:c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8"/>
      <x:c r="BU37" s="17"/>
      <x:c r="BV37" s="17"/>
    </x:row>
    <x:row r="38">
      <x:c r="A38" s="17"/>
      <x:c r="B38" s="17"/>
      <x:c r="C38" s="17"/>
      <x:c r="D38" s="17"/>
      <x:c r="E38" s="18"/>
      <x:c r="F38" s="18"/>
      <x:c r="G38" s="17"/>
      <x:c r="H38" s="17"/>
      <x:c r="I38" s="19"/>
      <x:c r="J38" s="19"/>
      <x:c r="K38" s="17"/>
      <x:c r="L38" s="19"/>
      <x:c r="M38" s="17"/>
      <x:c r="N38" s="18"/>
      <x:c r="O38" s="18"/>
      <x:c r="P38" s="17"/>
      <x:c r="Q38" s="17"/>
      <x:c r="R38" s="17"/>
      <x:c r="S38" s="17"/>
      <x:c r="T38" s="17"/>
      <x:c r="U38" s="18"/>
      <x:c r="V38" s="18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20"/>
      <x:c r="AJ38" s="21"/>
      <x:c r="AK38" s="21"/>
      <x:c r="AL38" s="17"/>
      <x:c r="AM38" s="17"/>
      <x:c r="AN38" s="21"/>
      <x:c r="AO38" s="17"/>
      <x:c r="AP38" s="17"/>
      <x:c r="AQ38" s="17"/>
      <x:c r="AR38" s="17"/>
      <x:c r="AS38" s="17"/>
      <x:c r="AT38" s="17"/>
      <x:c r="AU38" s="18"/>
      <x:c r="AV38" s="17"/>
      <x:c r="AW38" s="17"/>
      <x:c r="AX38" s="17"/>
      <x:c r="AY38" s="17"/>
      <x:c r="AZ38" s="17"/>
      <x:c r="BA38" s="17"/>
      <x:c r="BB38" s="17"/>
      <x:c r="BC38" s="18"/>
      <x:c r="BD38" s="18"/>
      <x:c r="BE38" s="19"/>
      <x:c r="BF38" s="22" t="str">
        <x:f>IF(A38="","",IF(BI38&gt;=ReadyThreshold,"Ready",IF(BI38&gt;=PartialThreshold,"Partial","Not Ready")))</x:f>
      </x:c>
      <x:c r="BG38" s="23" t="str">
        <x:f>IF(A38="","",COUNTA(N38,Q38,R38,S38)/4)</x:f>
      </x:c>
      <x:c r="BH38" s="23" t="str">
        <x:f>IF(A38="","",(COUNTA(U38,V38,AE38)+IF(COUNTA(W38,X38,Y38,Z38,AA38)&gt;0,1,0))/4)</x:f>
      </x:c>
      <x:c r="BI38" s="23" t="str">
        <x:f>IF(A38="","",(COUNTIF(AV38:AZ38,"Available")+0.5*COUNTIF(AV38:AZ38,"Partial")+IF(BD38&lt;&gt;"",1,0))/6)</x:f>
      </x:c>
      <x:c r="BJ38" s="22" t="str">
        <x:f>IF(A38="","",IF(AND(F38="",BD38=""),"Blocked",IF(AND(BG38&gt;=ReadyThreshold,BH38&gt;=ReadyThreshold,BI38&gt;=ReadyThreshold),"Ready for Analysis",IF(AVERAGE(BG38,BH38,BI38)&gt;=PartialThreshold,"Partially Ready","Discovery Required"))))</x:f>
      </x:c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8"/>
      <x:c r="BU38" s="17"/>
      <x:c r="BV38" s="17"/>
    </x:row>
    <x:row r="39">
      <x:c r="A39" s="17"/>
      <x:c r="B39" s="17"/>
      <x:c r="C39" s="17"/>
      <x:c r="D39" s="17"/>
      <x:c r="E39" s="18"/>
      <x:c r="F39" s="18"/>
      <x:c r="G39" s="17"/>
      <x:c r="H39" s="17"/>
      <x:c r="I39" s="19"/>
      <x:c r="J39" s="19"/>
      <x:c r="K39" s="17"/>
      <x:c r="L39" s="19"/>
      <x:c r="M39" s="17"/>
      <x:c r="N39" s="18"/>
      <x:c r="O39" s="18"/>
      <x:c r="P39" s="17"/>
      <x:c r="Q39" s="17"/>
      <x:c r="R39" s="17"/>
      <x:c r="S39" s="17"/>
      <x:c r="T39" s="17"/>
      <x:c r="U39" s="18"/>
      <x:c r="V39" s="18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20"/>
      <x:c r="AJ39" s="21"/>
      <x:c r="AK39" s="21"/>
      <x:c r="AL39" s="17"/>
      <x:c r="AM39" s="17"/>
      <x:c r="AN39" s="21"/>
      <x:c r="AO39" s="17"/>
      <x:c r="AP39" s="17"/>
      <x:c r="AQ39" s="17"/>
      <x:c r="AR39" s="17"/>
      <x:c r="AS39" s="17"/>
      <x:c r="AT39" s="17"/>
      <x:c r="AU39" s="18"/>
      <x:c r="AV39" s="17"/>
      <x:c r="AW39" s="17"/>
      <x:c r="AX39" s="17"/>
      <x:c r="AY39" s="17"/>
      <x:c r="AZ39" s="17"/>
      <x:c r="BA39" s="17"/>
      <x:c r="BB39" s="17"/>
      <x:c r="BC39" s="18"/>
      <x:c r="BD39" s="18"/>
      <x:c r="BE39" s="19"/>
      <x:c r="BF39" s="22" t="str">
        <x:f>IF(A39="","",IF(BI39&gt;=ReadyThreshold,"Ready",IF(BI39&gt;=PartialThreshold,"Partial","Not Ready")))</x:f>
      </x:c>
      <x:c r="BG39" s="23" t="str">
        <x:f>IF(A39="","",COUNTA(N39,Q39,R39,S39)/4)</x:f>
      </x:c>
      <x:c r="BH39" s="23" t="str">
        <x:f>IF(A39="","",(COUNTA(U39,V39,AE39)+IF(COUNTA(W39,X39,Y39,Z39,AA39)&gt;0,1,0))/4)</x:f>
      </x:c>
      <x:c r="BI39" s="23" t="str">
        <x:f>IF(A39="","",(COUNTIF(AV39:AZ39,"Available")+0.5*COUNTIF(AV39:AZ39,"Partial")+IF(BD39&lt;&gt;"",1,0))/6)</x:f>
      </x:c>
      <x:c r="BJ39" s="22" t="str">
        <x:f>IF(A39="","",IF(AND(F39="",BD39=""),"Blocked",IF(AND(BG39&gt;=ReadyThreshold,BH39&gt;=ReadyThreshold,BI39&gt;=ReadyThreshold),"Ready for Analysis",IF(AVERAGE(BG39,BH39,BI39)&gt;=PartialThreshold,"Partially Ready","Discovery Required"))))</x:f>
      </x:c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8"/>
      <x:c r="BU39" s="17"/>
      <x:c r="BV39" s="17"/>
    </x:row>
    <x:row r="40">
      <x:c r="A40" s="17"/>
      <x:c r="B40" s="17"/>
      <x:c r="C40" s="17"/>
      <x:c r="D40" s="17"/>
      <x:c r="E40" s="18"/>
      <x:c r="F40" s="18"/>
      <x:c r="G40" s="17"/>
      <x:c r="H40" s="17"/>
      <x:c r="I40" s="19"/>
      <x:c r="J40" s="19"/>
      <x:c r="K40" s="17"/>
      <x:c r="L40" s="19"/>
      <x:c r="M40" s="17"/>
      <x:c r="N40" s="18"/>
      <x:c r="O40" s="18"/>
      <x:c r="P40" s="17"/>
      <x:c r="Q40" s="17"/>
      <x:c r="R40" s="17"/>
      <x:c r="S40" s="17"/>
      <x:c r="T40" s="17"/>
      <x:c r="U40" s="18"/>
      <x:c r="V40" s="18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20"/>
      <x:c r="AJ40" s="21"/>
      <x:c r="AK40" s="21"/>
      <x:c r="AL40" s="17"/>
      <x:c r="AM40" s="17"/>
      <x:c r="AN40" s="21"/>
      <x:c r="AO40" s="17"/>
      <x:c r="AP40" s="17"/>
      <x:c r="AQ40" s="17"/>
      <x:c r="AR40" s="17"/>
      <x:c r="AS40" s="17"/>
      <x:c r="AT40" s="17"/>
      <x:c r="AU40" s="18"/>
      <x:c r="AV40" s="17"/>
      <x:c r="AW40" s="17"/>
      <x:c r="AX40" s="17"/>
      <x:c r="AY40" s="17"/>
      <x:c r="AZ40" s="17"/>
      <x:c r="BA40" s="17"/>
      <x:c r="BB40" s="17"/>
      <x:c r="BC40" s="18"/>
      <x:c r="BD40" s="18"/>
      <x:c r="BE40" s="19"/>
      <x:c r="BF40" s="22" t="str">
        <x:f>IF(A40="","",IF(BI40&gt;=ReadyThreshold,"Ready",IF(BI40&gt;=PartialThreshold,"Partial","Not Ready")))</x:f>
      </x:c>
      <x:c r="BG40" s="23" t="str">
        <x:f>IF(A40="","",COUNTA(N40,Q40,R40,S40)/4)</x:f>
      </x:c>
      <x:c r="BH40" s="23" t="str">
        <x:f>IF(A40="","",(COUNTA(U40,V40,AE40)+IF(COUNTA(W40,X40,Y40,Z40,AA40)&gt;0,1,0))/4)</x:f>
      </x:c>
      <x:c r="BI40" s="23" t="str">
        <x:f>IF(A40="","",(COUNTIF(AV40:AZ40,"Available")+0.5*COUNTIF(AV40:AZ40,"Partial")+IF(BD40&lt;&gt;"",1,0))/6)</x:f>
      </x:c>
      <x:c r="BJ40" s="22" t="str">
        <x:f>IF(A40="","",IF(AND(F40="",BD40=""),"Blocked",IF(AND(BG40&gt;=ReadyThreshold,BH40&gt;=ReadyThreshold,BI40&gt;=ReadyThreshold),"Ready for Analysis",IF(AVERAGE(BG40,BH40,BI40)&gt;=PartialThreshold,"Partially Ready","Discovery Required"))))</x:f>
      </x:c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8"/>
      <x:c r="BU40" s="17"/>
      <x:c r="BV40" s="17"/>
    </x:row>
    <x:row r="41">
      <x:c r="A41" s="17"/>
      <x:c r="B41" s="17"/>
      <x:c r="C41" s="17"/>
      <x:c r="D41" s="17"/>
      <x:c r="E41" s="18"/>
      <x:c r="F41" s="18"/>
      <x:c r="G41" s="17"/>
      <x:c r="H41" s="17"/>
      <x:c r="I41" s="19"/>
      <x:c r="J41" s="19"/>
      <x:c r="K41" s="17"/>
      <x:c r="L41" s="19"/>
      <x:c r="M41" s="17"/>
      <x:c r="N41" s="18"/>
      <x:c r="O41" s="18"/>
      <x:c r="P41" s="17"/>
      <x:c r="Q41" s="17"/>
      <x:c r="R41" s="17"/>
      <x:c r="S41" s="17"/>
      <x:c r="T41" s="17"/>
      <x:c r="U41" s="18"/>
      <x:c r="V41" s="18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20"/>
      <x:c r="AJ41" s="21"/>
      <x:c r="AK41" s="21"/>
      <x:c r="AL41" s="17"/>
      <x:c r="AM41" s="17"/>
      <x:c r="AN41" s="21"/>
      <x:c r="AO41" s="17"/>
      <x:c r="AP41" s="17"/>
      <x:c r="AQ41" s="17"/>
      <x:c r="AR41" s="17"/>
      <x:c r="AS41" s="17"/>
      <x:c r="AT41" s="17"/>
      <x:c r="AU41" s="18"/>
      <x:c r="AV41" s="17"/>
      <x:c r="AW41" s="17"/>
      <x:c r="AX41" s="17"/>
      <x:c r="AY41" s="17"/>
      <x:c r="AZ41" s="17"/>
      <x:c r="BA41" s="17"/>
      <x:c r="BB41" s="17"/>
      <x:c r="BC41" s="18"/>
      <x:c r="BD41" s="18"/>
      <x:c r="BE41" s="19"/>
      <x:c r="BF41" s="22" t="str">
        <x:f>IF(A41="","",IF(BI41&gt;=ReadyThreshold,"Ready",IF(BI41&gt;=PartialThreshold,"Partial","Not Ready")))</x:f>
      </x:c>
      <x:c r="BG41" s="23" t="str">
        <x:f>IF(A41="","",COUNTA(N41,Q41,R41,S41)/4)</x:f>
      </x:c>
      <x:c r="BH41" s="23" t="str">
        <x:f>IF(A41="","",(COUNTA(U41,V41,AE41)+IF(COUNTA(W41,X41,Y41,Z41,AA41)&gt;0,1,0))/4)</x:f>
      </x:c>
      <x:c r="BI41" s="23" t="str">
        <x:f>IF(A41="","",(COUNTIF(AV41:AZ41,"Available")+0.5*COUNTIF(AV41:AZ41,"Partial")+IF(BD41&lt;&gt;"",1,0))/6)</x:f>
      </x:c>
      <x:c r="BJ41" s="22" t="str">
        <x:f>IF(A41="","",IF(AND(F41="",BD41=""),"Blocked",IF(AND(BG41&gt;=ReadyThreshold,BH41&gt;=ReadyThreshold,BI41&gt;=ReadyThreshold),"Ready for Analysis",IF(AVERAGE(BG41,BH41,BI41)&gt;=PartialThreshold,"Partially Ready","Discovery Required"))))</x:f>
      </x:c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8"/>
      <x:c r="BU41" s="17"/>
      <x:c r="BV41" s="17"/>
    </x:row>
    <x:row r="42">
      <x:c r="A42" s="17"/>
      <x:c r="B42" s="17"/>
      <x:c r="C42" s="17"/>
      <x:c r="D42" s="17"/>
      <x:c r="E42" s="18"/>
      <x:c r="F42" s="18"/>
      <x:c r="G42" s="17"/>
      <x:c r="H42" s="17"/>
      <x:c r="I42" s="19"/>
      <x:c r="J42" s="19"/>
      <x:c r="K42" s="17"/>
      <x:c r="L42" s="19"/>
      <x:c r="M42" s="17"/>
      <x:c r="N42" s="18"/>
      <x:c r="O42" s="18"/>
      <x:c r="P42" s="17"/>
      <x:c r="Q42" s="17"/>
      <x:c r="R42" s="17"/>
      <x:c r="S42" s="17"/>
      <x:c r="T42" s="17"/>
      <x:c r="U42" s="18"/>
      <x:c r="V42" s="18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20"/>
      <x:c r="AJ42" s="21"/>
      <x:c r="AK42" s="21"/>
      <x:c r="AL42" s="17"/>
      <x:c r="AM42" s="17"/>
      <x:c r="AN42" s="21"/>
      <x:c r="AO42" s="17"/>
      <x:c r="AP42" s="17"/>
      <x:c r="AQ42" s="17"/>
      <x:c r="AR42" s="17"/>
      <x:c r="AS42" s="17"/>
      <x:c r="AT42" s="17"/>
      <x:c r="AU42" s="18"/>
      <x:c r="AV42" s="17"/>
      <x:c r="AW42" s="17"/>
      <x:c r="AX42" s="17"/>
      <x:c r="AY42" s="17"/>
      <x:c r="AZ42" s="17"/>
      <x:c r="BA42" s="17"/>
      <x:c r="BB42" s="17"/>
      <x:c r="BC42" s="18"/>
      <x:c r="BD42" s="18"/>
      <x:c r="BE42" s="19"/>
      <x:c r="BF42" s="22" t="str">
        <x:f>IF(A42="","",IF(BI42&gt;=ReadyThreshold,"Ready",IF(BI42&gt;=PartialThreshold,"Partial","Not Ready")))</x:f>
      </x:c>
      <x:c r="BG42" s="23" t="str">
        <x:f>IF(A42="","",COUNTA(N42,Q42,R42,S42)/4)</x:f>
      </x:c>
      <x:c r="BH42" s="23" t="str">
        <x:f>IF(A42="","",(COUNTA(U42,V42,AE42)+IF(COUNTA(W42,X42,Y42,Z42,AA42)&gt;0,1,0))/4)</x:f>
      </x:c>
      <x:c r="BI42" s="23" t="str">
        <x:f>IF(A42="","",(COUNTIF(AV42:AZ42,"Available")+0.5*COUNTIF(AV42:AZ42,"Partial")+IF(BD42&lt;&gt;"",1,0))/6)</x:f>
      </x:c>
      <x:c r="BJ42" s="22" t="str">
        <x:f>IF(A42="","",IF(AND(F42="",BD42=""),"Blocked",IF(AND(BG42&gt;=ReadyThreshold,BH42&gt;=ReadyThreshold,BI42&gt;=ReadyThreshold),"Ready for Analysis",IF(AVERAGE(BG42,BH42,BI42)&gt;=PartialThreshold,"Partially Ready","Discovery Required"))))</x:f>
      </x:c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8"/>
      <x:c r="BU42" s="17"/>
      <x:c r="BV42" s="17"/>
    </x:row>
    <x:row r="43">
      <x:c r="A43" s="17"/>
      <x:c r="B43" s="17"/>
      <x:c r="C43" s="17"/>
      <x:c r="D43" s="17"/>
      <x:c r="E43" s="18"/>
      <x:c r="F43" s="18"/>
      <x:c r="G43" s="17"/>
      <x:c r="H43" s="17"/>
      <x:c r="I43" s="19"/>
      <x:c r="J43" s="19"/>
      <x:c r="K43" s="17"/>
      <x:c r="L43" s="19"/>
      <x:c r="M43" s="17"/>
      <x:c r="N43" s="18"/>
      <x:c r="O43" s="18"/>
      <x:c r="P43" s="17"/>
      <x:c r="Q43" s="17"/>
      <x:c r="R43" s="17"/>
      <x:c r="S43" s="17"/>
      <x:c r="T43" s="17"/>
      <x:c r="U43" s="18"/>
      <x:c r="V43" s="18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20"/>
      <x:c r="AJ43" s="21"/>
      <x:c r="AK43" s="21"/>
      <x:c r="AL43" s="17"/>
      <x:c r="AM43" s="17"/>
      <x:c r="AN43" s="21"/>
      <x:c r="AO43" s="17"/>
      <x:c r="AP43" s="17"/>
      <x:c r="AQ43" s="17"/>
      <x:c r="AR43" s="17"/>
      <x:c r="AS43" s="17"/>
      <x:c r="AT43" s="17"/>
      <x:c r="AU43" s="18"/>
      <x:c r="AV43" s="17"/>
      <x:c r="AW43" s="17"/>
      <x:c r="AX43" s="17"/>
      <x:c r="AY43" s="17"/>
      <x:c r="AZ43" s="17"/>
      <x:c r="BA43" s="17"/>
      <x:c r="BB43" s="17"/>
      <x:c r="BC43" s="18"/>
      <x:c r="BD43" s="18"/>
      <x:c r="BE43" s="19"/>
      <x:c r="BF43" s="22" t="str">
        <x:f>IF(A43="","",IF(BI43&gt;=ReadyThreshold,"Ready",IF(BI43&gt;=PartialThreshold,"Partial","Not Ready")))</x:f>
      </x:c>
      <x:c r="BG43" s="23" t="str">
        <x:f>IF(A43="","",COUNTA(N43,Q43,R43,S43)/4)</x:f>
      </x:c>
      <x:c r="BH43" s="23" t="str">
        <x:f>IF(A43="","",(COUNTA(U43,V43,AE43)+IF(COUNTA(W43,X43,Y43,Z43,AA43)&gt;0,1,0))/4)</x:f>
      </x:c>
      <x:c r="BI43" s="23" t="str">
        <x:f>IF(A43="","",(COUNTIF(AV43:AZ43,"Available")+0.5*COUNTIF(AV43:AZ43,"Partial")+IF(BD43&lt;&gt;"",1,0))/6)</x:f>
      </x:c>
      <x:c r="BJ43" s="22" t="str">
        <x:f>IF(A43="","",IF(AND(F43="",BD43=""),"Blocked",IF(AND(BG43&gt;=ReadyThreshold,BH43&gt;=ReadyThreshold,BI43&gt;=ReadyThreshold),"Ready for Analysis",IF(AVERAGE(BG43,BH43,BI43)&gt;=PartialThreshold,"Partially Ready","Discovery Required"))))</x:f>
      </x:c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8"/>
      <x:c r="BU43" s="17"/>
      <x:c r="BV43" s="17"/>
    </x:row>
    <x:row r="44">
      <x:c r="A44" s="17"/>
      <x:c r="B44" s="17"/>
      <x:c r="C44" s="17"/>
      <x:c r="D44" s="17"/>
      <x:c r="E44" s="18"/>
      <x:c r="F44" s="18"/>
      <x:c r="G44" s="17"/>
      <x:c r="H44" s="17"/>
      <x:c r="I44" s="19"/>
      <x:c r="J44" s="19"/>
      <x:c r="K44" s="17"/>
      <x:c r="L44" s="19"/>
      <x:c r="M44" s="17"/>
      <x:c r="N44" s="18"/>
      <x:c r="O44" s="18"/>
      <x:c r="P44" s="17"/>
      <x:c r="Q44" s="17"/>
      <x:c r="R44" s="17"/>
      <x:c r="S44" s="17"/>
      <x:c r="T44" s="17"/>
      <x:c r="U44" s="18"/>
      <x:c r="V44" s="18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20"/>
      <x:c r="AJ44" s="21"/>
      <x:c r="AK44" s="21"/>
      <x:c r="AL44" s="17"/>
      <x:c r="AM44" s="17"/>
      <x:c r="AN44" s="21"/>
      <x:c r="AO44" s="17"/>
      <x:c r="AP44" s="17"/>
      <x:c r="AQ44" s="17"/>
      <x:c r="AR44" s="17"/>
      <x:c r="AS44" s="17"/>
      <x:c r="AT44" s="17"/>
      <x:c r="AU44" s="18"/>
      <x:c r="AV44" s="17"/>
      <x:c r="AW44" s="17"/>
      <x:c r="AX44" s="17"/>
      <x:c r="AY44" s="17"/>
      <x:c r="AZ44" s="17"/>
      <x:c r="BA44" s="17"/>
      <x:c r="BB44" s="17"/>
      <x:c r="BC44" s="18"/>
      <x:c r="BD44" s="18"/>
      <x:c r="BE44" s="19"/>
      <x:c r="BF44" s="22" t="str">
        <x:f>IF(A44="","",IF(BI44&gt;=ReadyThreshold,"Ready",IF(BI44&gt;=PartialThreshold,"Partial","Not Ready")))</x:f>
      </x:c>
      <x:c r="BG44" s="23" t="str">
        <x:f>IF(A44="","",COUNTA(N44,Q44,R44,S44)/4)</x:f>
      </x:c>
      <x:c r="BH44" s="23" t="str">
        <x:f>IF(A44="","",(COUNTA(U44,V44,AE44)+IF(COUNTA(W44,X44,Y44,Z44,AA44)&gt;0,1,0))/4)</x:f>
      </x:c>
      <x:c r="BI44" s="23" t="str">
        <x:f>IF(A44="","",(COUNTIF(AV44:AZ44,"Available")+0.5*COUNTIF(AV44:AZ44,"Partial")+IF(BD44&lt;&gt;"",1,0))/6)</x:f>
      </x:c>
      <x:c r="BJ44" s="22" t="str">
        <x:f>IF(A44="","",IF(AND(F44="",BD44=""),"Blocked",IF(AND(BG44&gt;=ReadyThreshold,BH44&gt;=ReadyThreshold,BI44&gt;=ReadyThreshold),"Ready for Analysis",IF(AVERAGE(BG44,BH44,BI44)&gt;=PartialThreshold,"Partially Ready","Discovery Required"))))</x:f>
      </x:c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8"/>
      <x:c r="BU44" s="17"/>
      <x:c r="BV44" s="17"/>
    </x:row>
    <x:row r="45">
      <x:c r="A45" s="17"/>
      <x:c r="B45" s="17"/>
      <x:c r="C45" s="17"/>
      <x:c r="D45" s="17"/>
      <x:c r="E45" s="18"/>
      <x:c r="F45" s="18"/>
      <x:c r="G45" s="17"/>
      <x:c r="H45" s="17"/>
      <x:c r="I45" s="19"/>
      <x:c r="J45" s="19"/>
      <x:c r="K45" s="17"/>
      <x:c r="L45" s="19"/>
      <x:c r="M45" s="17"/>
      <x:c r="N45" s="18"/>
      <x:c r="O45" s="18"/>
      <x:c r="P45" s="17"/>
      <x:c r="Q45" s="17"/>
      <x:c r="R45" s="17"/>
      <x:c r="S45" s="17"/>
      <x:c r="T45" s="17"/>
      <x:c r="U45" s="18"/>
      <x:c r="V45" s="18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20"/>
      <x:c r="AJ45" s="21"/>
      <x:c r="AK45" s="21"/>
      <x:c r="AL45" s="17"/>
      <x:c r="AM45" s="17"/>
      <x:c r="AN45" s="21"/>
      <x:c r="AO45" s="17"/>
      <x:c r="AP45" s="17"/>
      <x:c r="AQ45" s="17"/>
      <x:c r="AR45" s="17"/>
      <x:c r="AS45" s="17"/>
      <x:c r="AT45" s="17"/>
      <x:c r="AU45" s="18"/>
      <x:c r="AV45" s="17"/>
      <x:c r="AW45" s="17"/>
      <x:c r="AX45" s="17"/>
      <x:c r="AY45" s="17"/>
      <x:c r="AZ45" s="17"/>
      <x:c r="BA45" s="17"/>
      <x:c r="BB45" s="17"/>
      <x:c r="BC45" s="18"/>
      <x:c r="BD45" s="18"/>
      <x:c r="BE45" s="19"/>
      <x:c r="BF45" s="22" t="str">
        <x:f>IF(A45="","",IF(BI45&gt;=ReadyThreshold,"Ready",IF(BI45&gt;=PartialThreshold,"Partial","Not Ready")))</x:f>
      </x:c>
      <x:c r="BG45" s="23" t="str">
        <x:f>IF(A45="","",COUNTA(N45,Q45,R45,S45)/4)</x:f>
      </x:c>
      <x:c r="BH45" s="23" t="str">
        <x:f>IF(A45="","",(COUNTA(U45,V45,AE45)+IF(COUNTA(W45,X45,Y45,Z45,AA45)&gt;0,1,0))/4)</x:f>
      </x:c>
      <x:c r="BI45" s="23" t="str">
        <x:f>IF(A45="","",(COUNTIF(AV45:AZ45,"Available")+0.5*COUNTIF(AV45:AZ45,"Partial")+IF(BD45&lt;&gt;"",1,0))/6)</x:f>
      </x:c>
      <x:c r="BJ45" s="22" t="str">
        <x:f>IF(A45="","",IF(AND(F45="",BD45=""),"Blocked",IF(AND(BG45&gt;=ReadyThreshold,BH45&gt;=ReadyThreshold,BI45&gt;=ReadyThreshold),"Ready for Analysis",IF(AVERAGE(BG45,BH45,BI45)&gt;=PartialThreshold,"Partially Ready","Discovery Required"))))</x:f>
      </x:c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8"/>
      <x:c r="BU45" s="17"/>
      <x:c r="BV45" s="17"/>
    </x:row>
    <x:row r="46">
      <x:c r="A46" s="17"/>
      <x:c r="B46" s="17"/>
      <x:c r="C46" s="17"/>
      <x:c r="D46" s="17"/>
      <x:c r="E46" s="18"/>
      <x:c r="F46" s="18"/>
      <x:c r="G46" s="17"/>
      <x:c r="H46" s="17"/>
      <x:c r="I46" s="19"/>
      <x:c r="J46" s="19"/>
      <x:c r="K46" s="17"/>
      <x:c r="L46" s="19"/>
      <x:c r="M46" s="17"/>
      <x:c r="N46" s="18"/>
      <x:c r="O46" s="18"/>
      <x:c r="P46" s="17"/>
      <x:c r="Q46" s="17"/>
      <x:c r="R46" s="17"/>
      <x:c r="S46" s="17"/>
      <x:c r="T46" s="17"/>
      <x:c r="U46" s="18"/>
      <x:c r="V46" s="18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20"/>
      <x:c r="AJ46" s="21"/>
      <x:c r="AK46" s="21"/>
      <x:c r="AL46" s="17"/>
      <x:c r="AM46" s="17"/>
      <x:c r="AN46" s="21"/>
      <x:c r="AO46" s="17"/>
      <x:c r="AP46" s="17"/>
      <x:c r="AQ46" s="17"/>
      <x:c r="AR46" s="17"/>
      <x:c r="AS46" s="17"/>
      <x:c r="AT46" s="17"/>
      <x:c r="AU46" s="18"/>
      <x:c r="AV46" s="17"/>
      <x:c r="AW46" s="17"/>
      <x:c r="AX46" s="17"/>
      <x:c r="AY46" s="17"/>
      <x:c r="AZ46" s="17"/>
      <x:c r="BA46" s="17"/>
      <x:c r="BB46" s="17"/>
      <x:c r="BC46" s="18"/>
      <x:c r="BD46" s="18"/>
      <x:c r="BE46" s="19"/>
      <x:c r="BF46" s="22" t="str">
        <x:f>IF(A46="","",IF(BI46&gt;=ReadyThreshold,"Ready",IF(BI46&gt;=PartialThreshold,"Partial","Not Ready")))</x:f>
      </x:c>
      <x:c r="BG46" s="23" t="str">
        <x:f>IF(A46="","",COUNTA(N46,Q46,R46,S46)/4)</x:f>
      </x:c>
      <x:c r="BH46" s="23" t="str">
        <x:f>IF(A46="","",(COUNTA(U46,V46,AE46)+IF(COUNTA(W46,X46,Y46,Z46,AA46)&gt;0,1,0))/4)</x:f>
      </x:c>
      <x:c r="BI46" s="23" t="str">
        <x:f>IF(A46="","",(COUNTIF(AV46:AZ46,"Available")+0.5*COUNTIF(AV46:AZ46,"Partial")+IF(BD46&lt;&gt;"",1,0))/6)</x:f>
      </x:c>
      <x:c r="BJ46" s="22" t="str">
        <x:f>IF(A46="","",IF(AND(F46="",BD46=""),"Blocked",IF(AND(BG46&gt;=ReadyThreshold,BH46&gt;=ReadyThreshold,BI46&gt;=ReadyThreshold),"Ready for Analysis",IF(AVERAGE(BG46,BH46,BI46)&gt;=PartialThreshold,"Partially Ready","Discovery Required"))))</x:f>
      </x:c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8"/>
      <x:c r="BU46" s="17"/>
      <x:c r="BV46" s="17"/>
    </x:row>
    <x:row r="47">
      <x:c r="A47" s="17"/>
      <x:c r="B47" s="17"/>
      <x:c r="C47" s="17"/>
      <x:c r="D47" s="17"/>
      <x:c r="E47" s="18"/>
      <x:c r="F47" s="18"/>
      <x:c r="G47" s="17"/>
      <x:c r="H47" s="17"/>
      <x:c r="I47" s="19"/>
      <x:c r="J47" s="19"/>
      <x:c r="K47" s="17"/>
      <x:c r="L47" s="19"/>
      <x:c r="M47" s="17"/>
      <x:c r="N47" s="18"/>
      <x:c r="O47" s="18"/>
      <x:c r="P47" s="17"/>
      <x:c r="Q47" s="17"/>
      <x:c r="R47" s="17"/>
      <x:c r="S47" s="17"/>
      <x:c r="T47" s="17"/>
      <x:c r="U47" s="18"/>
      <x:c r="V47" s="18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20"/>
      <x:c r="AJ47" s="21"/>
      <x:c r="AK47" s="21"/>
      <x:c r="AL47" s="17"/>
      <x:c r="AM47" s="17"/>
      <x:c r="AN47" s="21"/>
      <x:c r="AO47" s="17"/>
      <x:c r="AP47" s="17"/>
      <x:c r="AQ47" s="17"/>
      <x:c r="AR47" s="17"/>
      <x:c r="AS47" s="17"/>
      <x:c r="AT47" s="17"/>
      <x:c r="AU47" s="18"/>
      <x:c r="AV47" s="17"/>
      <x:c r="AW47" s="17"/>
      <x:c r="AX47" s="17"/>
      <x:c r="AY47" s="17"/>
      <x:c r="AZ47" s="17"/>
      <x:c r="BA47" s="17"/>
      <x:c r="BB47" s="17"/>
      <x:c r="BC47" s="18"/>
      <x:c r="BD47" s="18"/>
      <x:c r="BE47" s="19"/>
      <x:c r="BF47" s="22" t="str">
        <x:f>IF(A47="","",IF(BI47&gt;=ReadyThreshold,"Ready",IF(BI47&gt;=PartialThreshold,"Partial","Not Ready")))</x:f>
      </x:c>
      <x:c r="BG47" s="23" t="str">
        <x:f>IF(A47="","",COUNTA(N47,Q47,R47,S47)/4)</x:f>
      </x:c>
      <x:c r="BH47" s="23" t="str">
        <x:f>IF(A47="","",(COUNTA(U47,V47,AE47)+IF(COUNTA(W47,X47,Y47,Z47,AA47)&gt;0,1,0))/4)</x:f>
      </x:c>
      <x:c r="BI47" s="23" t="str">
        <x:f>IF(A47="","",(COUNTIF(AV47:AZ47,"Available")+0.5*COUNTIF(AV47:AZ47,"Partial")+IF(BD47&lt;&gt;"",1,0))/6)</x:f>
      </x:c>
      <x:c r="BJ47" s="22" t="str">
        <x:f>IF(A47="","",IF(AND(F47="",BD47=""),"Blocked",IF(AND(BG47&gt;=ReadyThreshold,BH47&gt;=ReadyThreshold,BI47&gt;=ReadyThreshold),"Ready for Analysis",IF(AVERAGE(BG47,BH47,BI47)&gt;=PartialThreshold,"Partially Ready","Discovery Required"))))</x:f>
      </x:c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8"/>
      <x:c r="BU47" s="17"/>
      <x:c r="BV47" s="17"/>
    </x:row>
    <x:row r="48">
      <x:c r="A48" s="17"/>
      <x:c r="B48" s="17"/>
      <x:c r="C48" s="17"/>
      <x:c r="D48" s="17"/>
      <x:c r="E48" s="18"/>
      <x:c r="F48" s="18"/>
      <x:c r="G48" s="17"/>
      <x:c r="H48" s="17"/>
      <x:c r="I48" s="19"/>
      <x:c r="J48" s="19"/>
      <x:c r="K48" s="17"/>
      <x:c r="L48" s="19"/>
      <x:c r="M48" s="17"/>
      <x:c r="N48" s="18"/>
      <x:c r="O48" s="18"/>
      <x:c r="P48" s="17"/>
      <x:c r="Q48" s="17"/>
      <x:c r="R48" s="17"/>
      <x:c r="S48" s="17"/>
      <x:c r="T48" s="17"/>
      <x:c r="U48" s="18"/>
      <x:c r="V48" s="18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20"/>
      <x:c r="AJ48" s="21"/>
      <x:c r="AK48" s="21"/>
      <x:c r="AL48" s="17"/>
      <x:c r="AM48" s="17"/>
      <x:c r="AN48" s="21"/>
      <x:c r="AO48" s="17"/>
      <x:c r="AP48" s="17"/>
      <x:c r="AQ48" s="17"/>
      <x:c r="AR48" s="17"/>
      <x:c r="AS48" s="17"/>
      <x:c r="AT48" s="17"/>
      <x:c r="AU48" s="18"/>
      <x:c r="AV48" s="17"/>
      <x:c r="AW48" s="17"/>
      <x:c r="AX48" s="17"/>
      <x:c r="AY48" s="17"/>
      <x:c r="AZ48" s="17"/>
      <x:c r="BA48" s="17"/>
      <x:c r="BB48" s="17"/>
      <x:c r="BC48" s="18"/>
      <x:c r="BD48" s="18"/>
      <x:c r="BE48" s="19"/>
      <x:c r="BF48" s="22" t="str">
        <x:f>IF(A48="","",IF(BI48&gt;=ReadyThreshold,"Ready",IF(BI48&gt;=PartialThreshold,"Partial","Not Ready")))</x:f>
      </x:c>
      <x:c r="BG48" s="23" t="str">
        <x:f>IF(A48="","",COUNTA(N48,Q48,R48,S48)/4)</x:f>
      </x:c>
      <x:c r="BH48" s="23" t="str">
        <x:f>IF(A48="","",(COUNTA(U48,V48,AE48)+IF(COUNTA(W48,X48,Y48,Z48,AA48)&gt;0,1,0))/4)</x:f>
      </x:c>
      <x:c r="BI48" s="23" t="str">
        <x:f>IF(A48="","",(COUNTIF(AV48:AZ48,"Available")+0.5*COUNTIF(AV48:AZ48,"Partial")+IF(BD48&lt;&gt;"",1,0))/6)</x:f>
      </x:c>
      <x:c r="BJ48" s="22" t="str">
        <x:f>IF(A48="","",IF(AND(F48="",BD48=""),"Blocked",IF(AND(BG48&gt;=ReadyThreshold,BH48&gt;=ReadyThreshold,BI48&gt;=ReadyThreshold),"Ready for Analysis",IF(AVERAGE(BG48,BH48,BI48)&gt;=PartialThreshold,"Partially Ready","Discovery Required"))))</x:f>
      </x:c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8"/>
      <x:c r="BU48" s="17"/>
      <x:c r="BV48" s="17"/>
    </x:row>
    <x:row r="49">
      <x:c r="A49" s="17"/>
      <x:c r="B49" s="17"/>
      <x:c r="C49" s="17"/>
      <x:c r="D49" s="17"/>
      <x:c r="E49" s="18"/>
      <x:c r="F49" s="18"/>
      <x:c r="G49" s="17"/>
      <x:c r="H49" s="17"/>
      <x:c r="I49" s="19"/>
      <x:c r="J49" s="19"/>
      <x:c r="K49" s="17"/>
      <x:c r="L49" s="19"/>
      <x:c r="M49" s="17"/>
      <x:c r="N49" s="18"/>
      <x:c r="O49" s="18"/>
      <x:c r="P49" s="17"/>
      <x:c r="Q49" s="17"/>
      <x:c r="R49" s="17"/>
      <x:c r="S49" s="17"/>
      <x:c r="T49" s="17"/>
      <x:c r="U49" s="18"/>
      <x:c r="V49" s="18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20"/>
      <x:c r="AJ49" s="21"/>
      <x:c r="AK49" s="21"/>
      <x:c r="AL49" s="17"/>
      <x:c r="AM49" s="17"/>
      <x:c r="AN49" s="21"/>
      <x:c r="AO49" s="17"/>
      <x:c r="AP49" s="17"/>
      <x:c r="AQ49" s="17"/>
      <x:c r="AR49" s="17"/>
      <x:c r="AS49" s="17"/>
      <x:c r="AT49" s="17"/>
      <x:c r="AU49" s="18"/>
      <x:c r="AV49" s="17"/>
      <x:c r="AW49" s="17"/>
      <x:c r="AX49" s="17"/>
      <x:c r="AY49" s="17"/>
      <x:c r="AZ49" s="17"/>
      <x:c r="BA49" s="17"/>
      <x:c r="BB49" s="17"/>
      <x:c r="BC49" s="18"/>
      <x:c r="BD49" s="18"/>
      <x:c r="BE49" s="19"/>
      <x:c r="BF49" s="22" t="str">
        <x:f>IF(A49="","",IF(BI49&gt;=ReadyThreshold,"Ready",IF(BI49&gt;=PartialThreshold,"Partial","Not Ready")))</x:f>
      </x:c>
      <x:c r="BG49" s="23" t="str">
        <x:f>IF(A49="","",COUNTA(N49,Q49,R49,S49)/4)</x:f>
      </x:c>
      <x:c r="BH49" s="23" t="str">
        <x:f>IF(A49="","",(COUNTA(U49,V49,AE49)+IF(COUNTA(W49,X49,Y49,Z49,AA49)&gt;0,1,0))/4)</x:f>
      </x:c>
      <x:c r="BI49" s="23" t="str">
        <x:f>IF(A49="","",(COUNTIF(AV49:AZ49,"Available")+0.5*COUNTIF(AV49:AZ49,"Partial")+IF(BD49&lt;&gt;"",1,0))/6)</x:f>
      </x:c>
      <x:c r="BJ49" s="22" t="str">
        <x:f>IF(A49="","",IF(AND(F49="",BD49=""),"Blocked",IF(AND(BG49&gt;=ReadyThreshold,BH49&gt;=ReadyThreshold,BI49&gt;=ReadyThreshold),"Ready for Analysis",IF(AVERAGE(BG49,BH49,BI49)&gt;=PartialThreshold,"Partially Ready","Discovery Required"))))</x:f>
      </x:c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8"/>
      <x:c r="BU49" s="17"/>
      <x:c r="BV49" s="17"/>
    </x:row>
    <x:row r="50">
      <x:c r="A50" s="17"/>
      <x:c r="B50" s="17"/>
      <x:c r="C50" s="17"/>
      <x:c r="D50" s="17"/>
      <x:c r="E50" s="18"/>
      <x:c r="F50" s="18"/>
      <x:c r="G50" s="17"/>
      <x:c r="H50" s="17"/>
      <x:c r="I50" s="19"/>
      <x:c r="J50" s="19"/>
      <x:c r="K50" s="17"/>
      <x:c r="L50" s="19"/>
      <x:c r="M50" s="17"/>
      <x:c r="N50" s="18"/>
      <x:c r="O50" s="18"/>
      <x:c r="P50" s="17"/>
      <x:c r="Q50" s="17"/>
      <x:c r="R50" s="17"/>
      <x:c r="S50" s="17"/>
      <x:c r="T50" s="17"/>
      <x:c r="U50" s="18"/>
      <x:c r="V50" s="18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20"/>
      <x:c r="AJ50" s="21"/>
      <x:c r="AK50" s="21"/>
      <x:c r="AL50" s="17"/>
      <x:c r="AM50" s="17"/>
      <x:c r="AN50" s="21"/>
      <x:c r="AO50" s="17"/>
      <x:c r="AP50" s="17"/>
      <x:c r="AQ50" s="17"/>
      <x:c r="AR50" s="17"/>
      <x:c r="AS50" s="17"/>
      <x:c r="AT50" s="17"/>
      <x:c r="AU50" s="18"/>
      <x:c r="AV50" s="17"/>
      <x:c r="AW50" s="17"/>
      <x:c r="AX50" s="17"/>
      <x:c r="AY50" s="17"/>
      <x:c r="AZ50" s="17"/>
      <x:c r="BA50" s="17"/>
      <x:c r="BB50" s="17"/>
      <x:c r="BC50" s="18"/>
      <x:c r="BD50" s="18"/>
      <x:c r="BE50" s="19"/>
      <x:c r="BF50" s="22" t="str">
        <x:f>IF(A50="","",IF(BI50&gt;=ReadyThreshold,"Ready",IF(BI50&gt;=PartialThreshold,"Partial","Not Ready")))</x:f>
      </x:c>
      <x:c r="BG50" s="23" t="str">
        <x:f>IF(A50="","",COUNTA(N50,Q50,R50,S50)/4)</x:f>
      </x:c>
      <x:c r="BH50" s="23" t="str">
        <x:f>IF(A50="","",(COUNTA(U50,V50,AE50)+IF(COUNTA(W50,X50,Y50,Z50,AA50)&gt;0,1,0))/4)</x:f>
      </x:c>
      <x:c r="BI50" s="23" t="str">
        <x:f>IF(A50="","",(COUNTIF(AV50:AZ50,"Available")+0.5*COUNTIF(AV50:AZ50,"Partial")+IF(BD50&lt;&gt;"",1,0))/6)</x:f>
      </x:c>
      <x:c r="BJ50" s="22" t="str">
        <x:f>IF(A50="","",IF(AND(F50="",BD50=""),"Blocked",IF(AND(BG50&gt;=ReadyThreshold,BH50&gt;=ReadyThreshold,BI50&gt;=ReadyThreshold),"Ready for Analysis",IF(AVERAGE(BG50,BH50,BI50)&gt;=PartialThreshold,"Partially Ready","Discovery Required"))))</x:f>
      </x:c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8"/>
      <x:c r="BU50" s="17"/>
      <x:c r="BV50" s="17"/>
    </x:row>
    <x:row r="51">
      <x:c r="A51" s="17"/>
      <x:c r="B51" s="17"/>
      <x:c r="C51" s="17"/>
      <x:c r="D51" s="17"/>
      <x:c r="E51" s="18"/>
      <x:c r="F51" s="18"/>
      <x:c r="G51" s="17"/>
      <x:c r="H51" s="17"/>
      <x:c r="I51" s="19"/>
      <x:c r="J51" s="19"/>
      <x:c r="K51" s="17"/>
      <x:c r="L51" s="19"/>
      <x:c r="M51" s="17"/>
      <x:c r="N51" s="18"/>
      <x:c r="O51" s="18"/>
      <x:c r="P51" s="17"/>
      <x:c r="Q51" s="17"/>
      <x:c r="R51" s="17"/>
      <x:c r="S51" s="17"/>
      <x:c r="T51" s="17"/>
      <x:c r="U51" s="18"/>
      <x:c r="V51" s="18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20"/>
      <x:c r="AJ51" s="21"/>
      <x:c r="AK51" s="21"/>
      <x:c r="AL51" s="17"/>
      <x:c r="AM51" s="17"/>
      <x:c r="AN51" s="21"/>
      <x:c r="AO51" s="17"/>
      <x:c r="AP51" s="17"/>
      <x:c r="AQ51" s="17"/>
      <x:c r="AR51" s="17"/>
      <x:c r="AS51" s="17"/>
      <x:c r="AT51" s="17"/>
      <x:c r="AU51" s="18"/>
      <x:c r="AV51" s="17"/>
      <x:c r="AW51" s="17"/>
      <x:c r="AX51" s="17"/>
      <x:c r="AY51" s="17"/>
      <x:c r="AZ51" s="17"/>
      <x:c r="BA51" s="17"/>
      <x:c r="BB51" s="17"/>
      <x:c r="BC51" s="18"/>
      <x:c r="BD51" s="18"/>
      <x:c r="BE51" s="19"/>
      <x:c r="BF51" s="22" t="str">
        <x:f>IF(A51="","",IF(BI51&gt;=ReadyThreshold,"Ready",IF(BI51&gt;=PartialThreshold,"Partial","Not Ready")))</x:f>
      </x:c>
      <x:c r="BG51" s="23" t="str">
        <x:f>IF(A51="","",COUNTA(N51,Q51,R51,S51)/4)</x:f>
      </x:c>
      <x:c r="BH51" s="23" t="str">
        <x:f>IF(A51="","",(COUNTA(U51,V51,AE51)+IF(COUNTA(W51,X51,Y51,Z51,AA51)&gt;0,1,0))/4)</x:f>
      </x:c>
      <x:c r="BI51" s="23" t="str">
        <x:f>IF(A51="","",(COUNTIF(AV51:AZ51,"Available")+0.5*COUNTIF(AV51:AZ51,"Partial")+IF(BD51&lt;&gt;"",1,0))/6)</x:f>
      </x:c>
      <x:c r="BJ51" s="22" t="str">
        <x:f>IF(A51="","",IF(AND(F51="",BD51=""),"Blocked",IF(AND(BG51&gt;=ReadyThreshold,BH51&gt;=ReadyThreshold,BI51&gt;=ReadyThreshold),"Ready for Analysis",IF(AVERAGE(BG51,BH51,BI51)&gt;=PartialThreshold,"Partially Ready","Discovery Required"))))</x:f>
      </x:c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8"/>
      <x:c r="BU51" s="17"/>
      <x:c r="BV51" s="17"/>
    </x:row>
    <x:row r="52">
      <x:c r="A52" s="17"/>
      <x:c r="B52" s="17"/>
      <x:c r="C52" s="17"/>
      <x:c r="D52" s="17"/>
      <x:c r="E52" s="18"/>
      <x:c r="F52" s="18"/>
      <x:c r="G52" s="17"/>
      <x:c r="H52" s="17"/>
      <x:c r="I52" s="19"/>
      <x:c r="J52" s="19"/>
      <x:c r="K52" s="17"/>
      <x:c r="L52" s="19"/>
      <x:c r="M52" s="17"/>
      <x:c r="N52" s="18"/>
      <x:c r="O52" s="18"/>
      <x:c r="P52" s="17"/>
      <x:c r="Q52" s="17"/>
      <x:c r="R52" s="17"/>
      <x:c r="S52" s="17"/>
      <x:c r="T52" s="17"/>
      <x:c r="U52" s="18"/>
      <x:c r="V52" s="18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20"/>
      <x:c r="AJ52" s="21"/>
      <x:c r="AK52" s="21"/>
      <x:c r="AL52" s="17"/>
      <x:c r="AM52" s="17"/>
      <x:c r="AN52" s="21"/>
      <x:c r="AO52" s="17"/>
      <x:c r="AP52" s="17"/>
      <x:c r="AQ52" s="17"/>
      <x:c r="AR52" s="17"/>
      <x:c r="AS52" s="17"/>
      <x:c r="AT52" s="17"/>
      <x:c r="AU52" s="18"/>
      <x:c r="AV52" s="17"/>
      <x:c r="AW52" s="17"/>
      <x:c r="AX52" s="17"/>
      <x:c r="AY52" s="17"/>
      <x:c r="AZ52" s="17"/>
      <x:c r="BA52" s="17"/>
      <x:c r="BB52" s="17"/>
      <x:c r="BC52" s="18"/>
      <x:c r="BD52" s="18"/>
      <x:c r="BE52" s="19"/>
      <x:c r="BF52" s="22" t="str">
        <x:f>IF(A52="","",IF(BI52&gt;=ReadyThreshold,"Ready",IF(BI52&gt;=PartialThreshold,"Partial","Not Ready")))</x:f>
      </x:c>
      <x:c r="BG52" s="23" t="str">
        <x:f>IF(A52="","",COUNTA(N52,Q52,R52,S52)/4)</x:f>
      </x:c>
      <x:c r="BH52" s="23" t="str">
        <x:f>IF(A52="","",(COUNTA(U52,V52,AE52)+IF(COUNTA(W52,X52,Y52,Z52,AA52)&gt;0,1,0))/4)</x:f>
      </x:c>
      <x:c r="BI52" s="23" t="str">
        <x:f>IF(A52="","",(COUNTIF(AV52:AZ52,"Available")+0.5*COUNTIF(AV52:AZ52,"Partial")+IF(BD52&lt;&gt;"",1,0))/6)</x:f>
      </x:c>
      <x:c r="BJ52" s="22" t="str">
        <x:f>IF(A52="","",IF(AND(F52="",BD52=""),"Blocked",IF(AND(BG52&gt;=ReadyThreshold,BH52&gt;=ReadyThreshold,BI52&gt;=ReadyThreshold),"Ready for Analysis",IF(AVERAGE(BG52,BH52,BI52)&gt;=PartialThreshold,"Partially Ready","Discovery Required"))))</x:f>
      </x:c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8"/>
      <x:c r="BU52" s="17"/>
      <x:c r="BV52" s="17"/>
    </x:row>
    <x:row r="53">
      <x:c r="A53" s="17"/>
      <x:c r="B53" s="17"/>
      <x:c r="C53" s="17"/>
      <x:c r="D53" s="17"/>
      <x:c r="E53" s="18"/>
      <x:c r="F53" s="18"/>
      <x:c r="G53" s="17"/>
      <x:c r="H53" s="17"/>
      <x:c r="I53" s="19"/>
      <x:c r="J53" s="19"/>
      <x:c r="K53" s="17"/>
      <x:c r="L53" s="19"/>
      <x:c r="M53" s="17"/>
      <x:c r="N53" s="18"/>
      <x:c r="O53" s="18"/>
      <x:c r="P53" s="17"/>
      <x:c r="Q53" s="17"/>
      <x:c r="R53" s="17"/>
      <x:c r="S53" s="17"/>
      <x:c r="T53" s="17"/>
      <x:c r="U53" s="18"/>
      <x:c r="V53" s="18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20"/>
      <x:c r="AJ53" s="21"/>
      <x:c r="AK53" s="21"/>
      <x:c r="AL53" s="17"/>
      <x:c r="AM53" s="17"/>
      <x:c r="AN53" s="21"/>
      <x:c r="AO53" s="17"/>
      <x:c r="AP53" s="17"/>
      <x:c r="AQ53" s="17"/>
      <x:c r="AR53" s="17"/>
      <x:c r="AS53" s="17"/>
      <x:c r="AT53" s="17"/>
      <x:c r="AU53" s="18"/>
      <x:c r="AV53" s="17"/>
      <x:c r="AW53" s="17"/>
      <x:c r="AX53" s="17"/>
      <x:c r="AY53" s="17"/>
      <x:c r="AZ53" s="17"/>
      <x:c r="BA53" s="17"/>
      <x:c r="BB53" s="17"/>
      <x:c r="BC53" s="18"/>
      <x:c r="BD53" s="18"/>
      <x:c r="BE53" s="19"/>
      <x:c r="BF53" s="22" t="str">
        <x:f>IF(A53="","",IF(BI53&gt;=ReadyThreshold,"Ready",IF(BI53&gt;=PartialThreshold,"Partial","Not Ready")))</x:f>
      </x:c>
      <x:c r="BG53" s="23" t="str">
        <x:f>IF(A53="","",COUNTA(N53,Q53,R53,S53)/4)</x:f>
      </x:c>
      <x:c r="BH53" s="23" t="str">
        <x:f>IF(A53="","",(COUNTA(U53,V53,AE53)+IF(COUNTA(W53,X53,Y53,Z53,AA53)&gt;0,1,0))/4)</x:f>
      </x:c>
      <x:c r="BI53" s="23" t="str">
        <x:f>IF(A53="","",(COUNTIF(AV53:AZ53,"Available")+0.5*COUNTIF(AV53:AZ53,"Partial")+IF(BD53&lt;&gt;"",1,0))/6)</x:f>
      </x:c>
      <x:c r="BJ53" s="22" t="str">
        <x:f>IF(A53="","",IF(AND(F53="",BD53=""),"Blocked",IF(AND(BG53&gt;=ReadyThreshold,BH53&gt;=ReadyThreshold,BI53&gt;=ReadyThreshold),"Ready for Analysis",IF(AVERAGE(BG53,BH53,BI53)&gt;=PartialThreshold,"Partially Ready","Discovery Required"))))</x:f>
      </x:c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8"/>
      <x:c r="BU53" s="17"/>
      <x:c r="BV53" s="17"/>
    </x:row>
    <x:row r="54">
      <x:c r="A54" s="17"/>
      <x:c r="B54" s="17"/>
      <x:c r="C54" s="17"/>
      <x:c r="D54" s="17"/>
      <x:c r="E54" s="18"/>
      <x:c r="F54" s="18"/>
      <x:c r="G54" s="17"/>
      <x:c r="H54" s="17"/>
      <x:c r="I54" s="19"/>
      <x:c r="J54" s="19"/>
      <x:c r="K54" s="17"/>
      <x:c r="L54" s="19"/>
      <x:c r="M54" s="17"/>
      <x:c r="N54" s="18"/>
      <x:c r="O54" s="18"/>
      <x:c r="P54" s="17"/>
      <x:c r="Q54" s="17"/>
      <x:c r="R54" s="17"/>
      <x:c r="S54" s="17"/>
      <x:c r="T54" s="17"/>
      <x:c r="U54" s="18"/>
      <x:c r="V54" s="18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20"/>
      <x:c r="AJ54" s="21"/>
      <x:c r="AK54" s="21"/>
      <x:c r="AL54" s="17"/>
      <x:c r="AM54" s="17"/>
      <x:c r="AN54" s="21"/>
      <x:c r="AO54" s="17"/>
      <x:c r="AP54" s="17"/>
      <x:c r="AQ54" s="17"/>
      <x:c r="AR54" s="17"/>
      <x:c r="AS54" s="17"/>
      <x:c r="AT54" s="17"/>
      <x:c r="AU54" s="18"/>
      <x:c r="AV54" s="17"/>
      <x:c r="AW54" s="17"/>
      <x:c r="AX54" s="17"/>
      <x:c r="AY54" s="17"/>
      <x:c r="AZ54" s="17"/>
      <x:c r="BA54" s="17"/>
      <x:c r="BB54" s="17"/>
      <x:c r="BC54" s="18"/>
      <x:c r="BD54" s="18"/>
      <x:c r="BE54" s="19"/>
      <x:c r="BF54" s="22" t="str">
        <x:f>IF(A54="","",IF(BI54&gt;=ReadyThreshold,"Ready",IF(BI54&gt;=PartialThreshold,"Partial","Not Ready")))</x:f>
      </x:c>
      <x:c r="BG54" s="23" t="str">
        <x:f>IF(A54="","",COUNTA(N54,Q54,R54,S54)/4)</x:f>
      </x:c>
      <x:c r="BH54" s="23" t="str">
        <x:f>IF(A54="","",(COUNTA(U54,V54,AE54)+IF(COUNTA(W54,X54,Y54,Z54,AA54)&gt;0,1,0))/4)</x:f>
      </x:c>
      <x:c r="BI54" s="23" t="str">
        <x:f>IF(A54="","",(COUNTIF(AV54:AZ54,"Available")+0.5*COUNTIF(AV54:AZ54,"Partial")+IF(BD54&lt;&gt;"",1,0))/6)</x:f>
      </x:c>
      <x:c r="BJ54" s="22" t="str">
        <x:f>IF(A54="","",IF(AND(F54="",BD54=""),"Blocked",IF(AND(BG54&gt;=ReadyThreshold,BH54&gt;=ReadyThreshold,BI54&gt;=ReadyThreshold),"Ready for Analysis",IF(AVERAGE(BG54,BH54,BI54)&gt;=PartialThreshold,"Partially Ready","Discovery Required"))))</x:f>
      </x:c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8"/>
      <x:c r="BU54" s="17"/>
      <x:c r="BV54" s="17"/>
    </x:row>
    <x:row r="55">
      <x:c r="A55" s="17"/>
      <x:c r="B55" s="17"/>
      <x:c r="C55" s="17"/>
      <x:c r="D55" s="17"/>
      <x:c r="E55" s="18"/>
      <x:c r="F55" s="18"/>
      <x:c r="G55" s="17"/>
      <x:c r="H55" s="17"/>
      <x:c r="I55" s="19"/>
      <x:c r="J55" s="19"/>
      <x:c r="K55" s="17"/>
      <x:c r="L55" s="19"/>
      <x:c r="M55" s="17"/>
      <x:c r="N55" s="18"/>
      <x:c r="O55" s="18"/>
      <x:c r="P55" s="17"/>
      <x:c r="Q55" s="17"/>
      <x:c r="R55" s="17"/>
      <x:c r="S55" s="17"/>
      <x:c r="T55" s="17"/>
      <x:c r="U55" s="18"/>
      <x:c r="V55" s="18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20"/>
      <x:c r="AJ55" s="21"/>
      <x:c r="AK55" s="21"/>
      <x:c r="AL55" s="17"/>
      <x:c r="AM55" s="17"/>
      <x:c r="AN55" s="21"/>
      <x:c r="AO55" s="17"/>
      <x:c r="AP55" s="17"/>
      <x:c r="AQ55" s="17"/>
      <x:c r="AR55" s="17"/>
      <x:c r="AS55" s="17"/>
      <x:c r="AT55" s="17"/>
      <x:c r="AU55" s="18"/>
      <x:c r="AV55" s="17"/>
      <x:c r="AW55" s="17"/>
      <x:c r="AX55" s="17"/>
      <x:c r="AY55" s="17"/>
      <x:c r="AZ55" s="17"/>
      <x:c r="BA55" s="17"/>
      <x:c r="BB55" s="17"/>
      <x:c r="BC55" s="18"/>
      <x:c r="BD55" s="18"/>
      <x:c r="BE55" s="19"/>
      <x:c r="BF55" s="22" t="str">
        <x:f>IF(A55="","",IF(BI55&gt;=ReadyThreshold,"Ready",IF(BI55&gt;=PartialThreshold,"Partial","Not Ready")))</x:f>
      </x:c>
      <x:c r="BG55" s="23" t="str">
        <x:f>IF(A55="","",COUNTA(N55,Q55,R55,S55)/4)</x:f>
      </x:c>
      <x:c r="BH55" s="23" t="str">
        <x:f>IF(A55="","",(COUNTA(U55,V55,AE55)+IF(COUNTA(W55,X55,Y55,Z55,AA55)&gt;0,1,0))/4)</x:f>
      </x:c>
      <x:c r="BI55" s="23" t="str">
        <x:f>IF(A55="","",(COUNTIF(AV55:AZ55,"Available")+0.5*COUNTIF(AV55:AZ55,"Partial")+IF(BD55&lt;&gt;"",1,0))/6)</x:f>
      </x:c>
      <x:c r="BJ55" s="22" t="str">
        <x:f>IF(A55="","",IF(AND(F55="",BD55=""),"Blocked",IF(AND(BG55&gt;=ReadyThreshold,BH55&gt;=ReadyThreshold,BI55&gt;=ReadyThreshold),"Ready for Analysis",IF(AVERAGE(BG55,BH55,BI55)&gt;=PartialThreshold,"Partially Ready","Discovery Required"))))</x:f>
      </x:c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8"/>
      <x:c r="BU55" s="17"/>
      <x:c r="BV55" s="17"/>
    </x:row>
    <x:row r="56">
      <x:c r="A56" s="17"/>
      <x:c r="B56" s="17"/>
      <x:c r="C56" s="17"/>
      <x:c r="D56" s="17"/>
      <x:c r="E56" s="18"/>
      <x:c r="F56" s="18"/>
      <x:c r="G56" s="17"/>
      <x:c r="H56" s="17"/>
      <x:c r="I56" s="19"/>
      <x:c r="J56" s="19"/>
      <x:c r="K56" s="17"/>
      <x:c r="L56" s="19"/>
      <x:c r="M56" s="17"/>
      <x:c r="N56" s="18"/>
      <x:c r="O56" s="18"/>
      <x:c r="P56" s="17"/>
      <x:c r="Q56" s="17"/>
      <x:c r="R56" s="17"/>
      <x:c r="S56" s="17"/>
      <x:c r="T56" s="17"/>
      <x:c r="U56" s="18"/>
      <x:c r="V56" s="18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20"/>
      <x:c r="AJ56" s="21"/>
      <x:c r="AK56" s="21"/>
      <x:c r="AL56" s="17"/>
      <x:c r="AM56" s="17"/>
      <x:c r="AN56" s="21"/>
      <x:c r="AO56" s="17"/>
      <x:c r="AP56" s="17"/>
      <x:c r="AQ56" s="17"/>
      <x:c r="AR56" s="17"/>
      <x:c r="AS56" s="17"/>
      <x:c r="AT56" s="17"/>
      <x:c r="AU56" s="18"/>
      <x:c r="AV56" s="17"/>
      <x:c r="AW56" s="17"/>
      <x:c r="AX56" s="17"/>
      <x:c r="AY56" s="17"/>
      <x:c r="AZ56" s="17"/>
      <x:c r="BA56" s="17"/>
      <x:c r="BB56" s="17"/>
      <x:c r="BC56" s="18"/>
      <x:c r="BD56" s="18"/>
      <x:c r="BE56" s="19"/>
      <x:c r="BF56" s="22" t="str">
        <x:f>IF(A56="","",IF(BI56&gt;=ReadyThreshold,"Ready",IF(BI56&gt;=PartialThreshold,"Partial","Not Ready")))</x:f>
      </x:c>
      <x:c r="BG56" s="23" t="str">
        <x:f>IF(A56="","",COUNTA(N56,Q56,R56,S56)/4)</x:f>
      </x:c>
      <x:c r="BH56" s="23" t="str">
        <x:f>IF(A56="","",(COUNTA(U56,V56,AE56)+IF(COUNTA(W56,X56,Y56,Z56,AA56)&gt;0,1,0))/4)</x:f>
      </x:c>
      <x:c r="BI56" s="23" t="str">
        <x:f>IF(A56="","",(COUNTIF(AV56:AZ56,"Available")+0.5*COUNTIF(AV56:AZ56,"Partial")+IF(BD56&lt;&gt;"",1,0))/6)</x:f>
      </x:c>
      <x:c r="BJ56" s="22" t="str">
        <x:f>IF(A56="","",IF(AND(F56="",BD56=""),"Blocked",IF(AND(BG56&gt;=ReadyThreshold,BH56&gt;=ReadyThreshold,BI56&gt;=ReadyThreshold),"Ready for Analysis",IF(AVERAGE(BG56,BH56,BI56)&gt;=PartialThreshold,"Partially Ready","Discovery Required"))))</x:f>
      </x:c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8"/>
      <x:c r="BU56" s="17"/>
      <x:c r="BV56" s="17"/>
    </x:row>
    <x:row r="57">
      <x:c r="A57" s="17"/>
      <x:c r="B57" s="17"/>
      <x:c r="C57" s="17"/>
      <x:c r="D57" s="17"/>
      <x:c r="E57" s="18"/>
      <x:c r="F57" s="18"/>
      <x:c r="G57" s="17"/>
      <x:c r="H57" s="17"/>
      <x:c r="I57" s="19"/>
      <x:c r="J57" s="19"/>
      <x:c r="K57" s="17"/>
      <x:c r="L57" s="19"/>
      <x:c r="M57" s="17"/>
      <x:c r="N57" s="18"/>
      <x:c r="O57" s="18"/>
      <x:c r="P57" s="17"/>
      <x:c r="Q57" s="17"/>
      <x:c r="R57" s="17"/>
      <x:c r="S57" s="17"/>
      <x:c r="T57" s="17"/>
      <x:c r="U57" s="18"/>
      <x:c r="V57" s="18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20"/>
      <x:c r="AJ57" s="21"/>
      <x:c r="AK57" s="21"/>
      <x:c r="AL57" s="17"/>
      <x:c r="AM57" s="17"/>
      <x:c r="AN57" s="21"/>
      <x:c r="AO57" s="17"/>
      <x:c r="AP57" s="17"/>
      <x:c r="AQ57" s="17"/>
      <x:c r="AR57" s="17"/>
      <x:c r="AS57" s="17"/>
      <x:c r="AT57" s="17"/>
      <x:c r="AU57" s="18"/>
      <x:c r="AV57" s="17"/>
      <x:c r="AW57" s="17"/>
      <x:c r="AX57" s="17"/>
      <x:c r="AY57" s="17"/>
      <x:c r="AZ57" s="17"/>
      <x:c r="BA57" s="17"/>
      <x:c r="BB57" s="17"/>
      <x:c r="BC57" s="18"/>
      <x:c r="BD57" s="18"/>
      <x:c r="BE57" s="19"/>
      <x:c r="BF57" s="22" t="str">
        <x:f>IF(A57="","",IF(BI57&gt;=ReadyThreshold,"Ready",IF(BI57&gt;=PartialThreshold,"Partial","Not Ready")))</x:f>
      </x:c>
      <x:c r="BG57" s="23" t="str">
        <x:f>IF(A57="","",COUNTA(N57,Q57,R57,S57)/4)</x:f>
      </x:c>
      <x:c r="BH57" s="23" t="str">
        <x:f>IF(A57="","",(COUNTA(U57,V57,AE57)+IF(COUNTA(W57,X57,Y57,Z57,AA57)&gt;0,1,0))/4)</x:f>
      </x:c>
      <x:c r="BI57" s="23" t="str">
        <x:f>IF(A57="","",(COUNTIF(AV57:AZ57,"Available")+0.5*COUNTIF(AV57:AZ57,"Partial")+IF(BD57&lt;&gt;"",1,0))/6)</x:f>
      </x:c>
      <x:c r="BJ57" s="22" t="str">
        <x:f>IF(A57="","",IF(AND(F57="",BD57=""),"Blocked",IF(AND(BG57&gt;=ReadyThreshold,BH57&gt;=ReadyThreshold,BI57&gt;=ReadyThreshold),"Ready for Analysis",IF(AVERAGE(BG57,BH57,BI57)&gt;=PartialThreshold,"Partially Ready","Discovery Required"))))</x:f>
      </x:c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8"/>
      <x:c r="BU57" s="17"/>
      <x:c r="BV57" s="17"/>
    </x:row>
    <x:row r="58">
      <x:c r="A58" s="17"/>
      <x:c r="B58" s="17"/>
      <x:c r="C58" s="17"/>
      <x:c r="D58" s="17"/>
      <x:c r="E58" s="18"/>
      <x:c r="F58" s="18"/>
      <x:c r="G58" s="17"/>
      <x:c r="H58" s="17"/>
      <x:c r="I58" s="19"/>
      <x:c r="J58" s="19"/>
      <x:c r="K58" s="17"/>
      <x:c r="L58" s="19"/>
      <x:c r="M58" s="17"/>
      <x:c r="N58" s="18"/>
      <x:c r="O58" s="18"/>
      <x:c r="P58" s="17"/>
      <x:c r="Q58" s="17"/>
      <x:c r="R58" s="17"/>
      <x:c r="S58" s="17"/>
      <x:c r="T58" s="17"/>
      <x:c r="U58" s="18"/>
      <x:c r="V58" s="18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20"/>
      <x:c r="AJ58" s="21"/>
      <x:c r="AK58" s="21"/>
      <x:c r="AL58" s="17"/>
      <x:c r="AM58" s="17"/>
      <x:c r="AN58" s="21"/>
      <x:c r="AO58" s="17"/>
      <x:c r="AP58" s="17"/>
      <x:c r="AQ58" s="17"/>
      <x:c r="AR58" s="17"/>
      <x:c r="AS58" s="17"/>
      <x:c r="AT58" s="17"/>
      <x:c r="AU58" s="18"/>
      <x:c r="AV58" s="17"/>
      <x:c r="AW58" s="17"/>
      <x:c r="AX58" s="17"/>
      <x:c r="AY58" s="17"/>
      <x:c r="AZ58" s="17"/>
      <x:c r="BA58" s="17"/>
      <x:c r="BB58" s="17"/>
      <x:c r="BC58" s="18"/>
      <x:c r="BD58" s="18"/>
      <x:c r="BE58" s="19"/>
      <x:c r="BF58" s="22" t="str">
        <x:f>IF(A58="","",IF(BI58&gt;=ReadyThreshold,"Ready",IF(BI58&gt;=PartialThreshold,"Partial","Not Ready")))</x:f>
      </x:c>
      <x:c r="BG58" s="23" t="str">
        <x:f>IF(A58="","",COUNTA(N58,Q58,R58,S58)/4)</x:f>
      </x:c>
      <x:c r="BH58" s="23" t="str">
        <x:f>IF(A58="","",(COUNTA(U58,V58,AE58)+IF(COUNTA(W58,X58,Y58,Z58,AA58)&gt;0,1,0))/4)</x:f>
      </x:c>
      <x:c r="BI58" s="23" t="str">
        <x:f>IF(A58="","",(COUNTIF(AV58:AZ58,"Available")+0.5*COUNTIF(AV58:AZ58,"Partial")+IF(BD58&lt;&gt;"",1,0))/6)</x:f>
      </x:c>
      <x:c r="BJ58" s="22" t="str">
        <x:f>IF(A58="","",IF(AND(F58="",BD58=""),"Blocked",IF(AND(BG58&gt;=ReadyThreshold,BH58&gt;=ReadyThreshold,BI58&gt;=ReadyThreshold),"Ready for Analysis",IF(AVERAGE(BG58,BH58,BI58)&gt;=PartialThreshold,"Partially Ready","Discovery Required"))))</x:f>
      </x:c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8"/>
      <x:c r="BU58" s="17"/>
      <x:c r="BV58" s="17"/>
    </x:row>
    <x:row r="59">
      <x:c r="A59" s="17"/>
      <x:c r="B59" s="17"/>
      <x:c r="C59" s="17"/>
      <x:c r="D59" s="17"/>
      <x:c r="E59" s="18"/>
      <x:c r="F59" s="18"/>
      <x:c r="G59" s="17"/>
      <x:c r="H59" s="17"/>
      <x:c r="I59" s="19"/>
      <x:c r="J59" s="19"/>
      <x:c r="K59" s="17"/>
      <x:c r="L59" s="19"/>
      <x:c r="M59" s="17"/>
      <x:c r="N59" s="18"/>
      <x:c r="O59" s="18"/>
      <x:c r="P59" s="17"/>
      <x:c r="Q59" s="17"/>
      <x:c r="R59" s="17"/>
      <x:c r="S59" s="17"/>
      <x:c r="T59" s="17"/>
      <x:c r="U59" s="18"/>
      <x:c r="V59" s="18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20"/>
      <x:c r="AJ59" s="21"/>
      <x:c r="AK59" s="21"/>
      <x:c r="AL59" s="17"/>
      <x:c r="AM59" s="17"/>
      <x:c r="AN59" s="21"/>
      <x:c r="AO59" s="17"/>
      <x:c r="AP59" s="17"/>
      <x:c r="AQ59" s="17"/>
      <x:c r="AR59" s="17"/>
      <x:c r="AS59" s="17"/>
      <x:c r="AT59" s="17"/>
      <x:c r="AU59" s="18"/>
      <x:c r="AV59" s="17"/>
      <x:c r="AW59" s="17"/>
      <x:c r="AX59" s="17"/>
      <x:c r="AY59" s="17"/>
      <x:c r="AZ59" s="17"/>
      <x:c r="BA59" s="17"/>
      <x:c r="BB59" s="17"/>
      <x:c r="BC59" s="18"/>
      <x:c r="BD59" s="18"/>
      <x:c r="BE59" s="19"/>
      <x:c r="BF59" s="22" t="str">
        <x:f>IF(A59="","",IF(BI59&gt;=ReadyThreshold,"Ready",IF(BI59&gt;=PartialThreshold,"Partial","Not Ready")))</x:f>
      </x:c>
      <x:c r="BG59" s="23" t="str">
        <x:f>IF(A59="","",COUNTA(N59,Q59,R59,S59)/4)</x:f>
      </x:c>
      <x:c r="BH59" s="23" t="str">
        <x:f>IF(A59="","",(COUNTA(U59,V59,AE59)+IF(COUNTA(W59,X59,Y59,Z59,AA59)&gt;0,1,0))/4)</x:f>
      </x:c>
      <x:c r="BI59" s="23" t="str">
        <x:f>IF(A59="","",(COUNTIF(AV59:AZ59,"Available")+0.5*COUNTIF(AV59:AZ59,"Partial")+IF(BD59&lt;&gt;"",1,0))/6)</x:f>
      </x:c>
      <x:c r="BJ59" s="22" t="str">
        <x:f>IF(A59="","",IF(AND(F59="",BD59=""),"Blocked",IF(AND(BG59&gt;=ReadyThreshold,BH59&gt;=ReadyThreshold,BI59&gt;=ReadyThreshold),"Ready for Analysis",IF(AVERAGE(BG59,BH59,BI59)&gt;=PartialThreshold,"Partially Ready","Discovery Required"))))</x:f>
      </x:c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8"/>
      <x:c r="BU59" s="17"/>
      <x:c r="BV59" s="17"/>
    </x:row>
    <x:row r="60">
      <x:c r="A60" s="17"/>
      <x:c r="B60" s="17"/>
      <x:c r="C60" s="17"/>
      <x:c r="D60" s="17"/>
      <x:c r="E60" s="18"/>
      <x:c r="F60" s="18"/>
      <x:c r="G60" s="17"/>
      <x:c r="H60" s="17"/>
      <x:c r="I60" s="19"/>
      <x:c r="J60" s="19"/>
      <x:c r="K60" s="17"/>
      <x:c r="L60" s="19"/>
      <x:c r="M60" s="17"/>
      <x:c r="N60" s="18"/>
      <x:c r="O60" s="18"/>
      <x:c r="P60" s="17"/>
      <x:c r="Q60" s="17"/>
      <x:c r="R60" s="17"/>
      <x:c r="S60" s="17"/>
      <x:c r="T60" s="17"/>
      <x:c r="U60" s="18"/>
      <x:c r="V60" s="18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20"/>
      <x:c r="AJ60" s="21"/>
      <x:c r="AK60" s="21"/>
      <x:c r="AL60" s="17"/>
      <x:c r="AM60" s="17"/>
      <x:c r="AN60" s="21"/>
      <x:c r="AO60" s="17"/>
      <x:c r="AP60" s="17"/>
      <x:c r="AQ60" s="17"/>
      <x:c r="AR60" s="17"/>
      <x:c r="AS60" s="17"/>
      <x:c r="AT60" s="17"/>
      <x:c r="AU60" s="18"/>
      <x:c r="AV60" s="17"/>
      <x:c r="AW60" s="17"/>
      <x:c r="AX60" s="17"/>
      <x:c r="AY60" s="17"/>
      <x:c r="AZ60" s="17"/>
      <x:c r="BA60" s="17"/>
      <x:c r="BB60" s="17"/>
      <x:c r="BC60" s="18"/>
      <x:c r="BD60" s="18"/>
      <x:c r="BE60" s="19"/>
      <x:c r="BF60" s="22" t="str">
        <x:f>IF(A60="","",IF(BI60&gt;=ReadyThreshold,"Ready",IF(BI60&gt;=PartialThreshold,"Partial","Not Ready")))</x:f>
      </x:c>
      <x:c r="BG60" s="23" t="str">
        <x:f>IF(A60="","",COUNTA(N60,Q60,R60,S60)/4)</x:f>
      </x:c>
      <x:c r="BH60" s="23" t="str">
        <x:f>IF(A60="","",(COUNTA(U60,V60,AE60)+IF(COUNTA(W60,X60,Y60,Z60,AA60)&gt;0,1,0))/4)</x:f>
      </x:c>
      <x:c r="BI60" s="23" t="str">
        <x:f>IF(A60="","",(COUNTIF(AV60:AZ60,"Available")+0.5*COUNTIF(AV60:AZ60,"Partial")+IF(BD60&lt;&gt;"",1,0))/6)</x:f>
      </x:c>
      <x:c r="BJ60" s="22" t="str">
        <x:f>IF(A60="","",IF(AND(F60="",BD60=""),"Blocked",IF(AND(BG60&gt;=ReadyThreshold,BH60&gt;=ReadyThreshold,BI60&gt;=ReadyThreshold),"Ready for Analysis",IF(AVERAGE(BG60,BH60,BI60)&gt;=PartialThreshold,"Partially Ready","Discovery Required"))))</x:f>
      </x:c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8"/>
      <x:c r="BU60" s="17"/>
      <x:c r="BV60" s="17"/>
    </x:row>
    <x:row r="61">
      <x:c r="A61" s="17"/>
      <x:c r="B61" s="17"/>
      <x:c r="C61" s="17"/>
      <x:c r="D61" s="17"/>
      <x:c r="E61" s="18"/>
      <x:c r="F61" s="18"/>
      <x:c r="G61" s="17"/>
      <x:c r="H61" s="17"/>
      <x:c r="I61" s="19"/>
      <x:c r="J61" s="19"/>
      <x:c r="K61" s="17"/>
      <x:c r="L61" s="19"/>
      <x:c r="M61" s="17"/>
      <x:c r="N61" s="18"/>
      <x:c r="O61" s="18"/>
      <x:c r="P61" s="17"/>
      <x:c r="Q61" s="17"/>
      <x:c r="R61" s="17"/>
      <x:c r="S61" s="17"/>
      <x:c r="T61" s="17"/>
      <x:c r="U61" s="18"/>
      <x:c r="V61" s="18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20"/>
      <x:c r="AJ61" s="21"/>
      <x:c r="AK61" s="21"/>
      <x:c r="AL61" s="17"/>
      <x:c r="AM61" s="17"/>
      <x:c r="AN61" s="21"/>
      <x:c r="AO61" s="17"/>
      <x:c r="AP61" s="17"/>
      <x:c r="AQ61" s="17"/>
      <x:c r="AR61" s="17"/>
      <x:c r="AS61" s="17"/>
      <x:c r="AT61" s="17"/>
      <x:c r="AU61" s="18"/>
      <x:c r="AV61" s="17"/>
      <x:c r="AW61" s="17"/>
      <x:c r="AX61" s="17"/>
      <x:c r="AY61" s="17"/>
      <x:c r="AZ61" s="17"/>
      <x:c r="BA61" s="17"/>
      <x:c r="BB61" s="17"/>
      <x:c r="BC61" s="18"/>
      <x:c r="BD61" s="18"/>
      <x:c r="BE61" s="19"/>
      <x:c r="BF61" s="22" t="str">
        <x:f>IF(A61="","",IF(BI61&gt;=ReadyThreshold,"Ready",IF(BI61&gt;=PartialThreshold,"Partial","Not Ready")))</x:f>
      </x:c>
      <x:c r="BG61" s="23" t="str">
        <x:f>IF(A61="","",COUNTA(N61,Q61,R61,S61)/4)</x:f>
      </x:c>
      <x:c r="BH61" s="23" t="str">
        <x:f>IF(A61="","",(COUNTA(U61,V61,AE61)+IF(COUNTA(W61,X61,Y61,Z61,AA61)&gt;0,1,0))/4)</x:f>
      </x:c>
      <x:c r="BI61" s="23" t="str">
        <x:f>IF(A61="","",(COUNTIF(AV61:AZ61,"Available")+0.5*COUNTIF(AV61:AZ61,"Partial")+IF(BD61&lt;&gt;"",1,0))/6)</x:f>
      </x:c>
      <x:c r="BJ61" s="22" t="str">
        <x:f>IF(A61="","",IF(AND(F61="",BD61=""),"Blocked",IF(AND(BG61&gt;=ReadyThreshold,BH61&gt;=ReadyThreshold,BI61&gt;=ReadyThreshold),"Ready for Analysis",IF(AVERAGE(BG61,BH61,BI61)&gt;=PartialThreshold,"Partially Ready","Discovery Required"))))</x:f>
      </x:c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8"/>
      <x:c r="BU61" s="17"/>
      <x:c r="BV61" s="17"/>
    </x:row>
    <x:row r="62">
      <x:c r="A62" s="17"/>
      <x:c r="B62" s="17"/>
      <x:c r="C62" s="17"/>
      <x:c r="D62" s="17"/>
      <x:c r="E62" s="18"/>
      <x:c r="F62" s="18"/>
      <x:c r="G62" s="17"/>
      <x:c r="H62" s="17"/>
      <x:c r="I62" s="19"/>
      <x:c r="J62" s="19"/>
      <x:c r="K62" s="17"/>
      <x:c r="L62" s="19"/>
      <x:c r="M62" s="17"/>
      <x:c r="N62" s="18"/>
      <x:c r="O62" s="18"/>
      <x:c r="P62" s="17"/>
      <x:c r="Q62" s="17"/>
      <x:c r="R62" s="17"/>
      <x:c r="S62" s="17"/>
      <x:c r="T62" s="17"/>
      <x:c r="U62" s="18"/>
      <x:c r="V62" s="18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20"/>
      <x:c r="AJ62" s="21"/>
      <x:c r="AK62" s="21"/>
      <x:c r="AL62" s="17"/>
      <x:c r="AM62" s="17"/>
      <x:c r="AN62" s="21"/>
      <x:c r="AO62" s="17"/>
      <x:c r="AP62" s="17"/>
      <x:c r="AQ62" s="17"/>
      <x:c r="AR62" s="17"/>
      <x:c r="AS62" s="17"/>
      <x:c r="AT62" s="17"/>
      <x:c r="AU62" s="18"/>
      <x:c r="AV62" s="17"/>
      <x:c r="AW62" s="17"/>
      <x:c r="AX62" s="17"/>
      <x:c r="AY62" s="17"/>
      <x:c r="AZ62" s="17"/>
      <x:c r="BA62" s="17"/>
      <x:c r="BB62" s="17"/>
      <x:c r="BC62" s="18"/>
      <x:c r="BD62" s="18"/>
      <x:c r="BE62" s="19"/>
      <x:c r="BF62" s="22" t="str">
        <x:f>IF(A62="","",IF(BI62&gt;=ReadyThreshold,"Ready",IF(BI62&gt;=PartialThreshold,"Partial","Not Ready")))</x:f>
      </x:c>
      <x:c r="BG62" s="23" t="str">
        <x:f>IF(A62="","",COUNTA(N62,Q62,R62,S62)/4)</x:f>
      </x:c>
      <x:c r="BH62" s="23" t="str">
        <x:f>IF(A62="","",(COUNTA(U62,V62,AE62)+IF(COUNTA(W62,X62,Y62,Z62,AA62)&gt;0,1,0))/4)</x:f>
      </x:c>
      <x:c r="BI62" s="23" t="str">
        <x:f>IF(A62="","",(COUNTIF(AV62:AZ62,"Available")+0.5*COUNTIF(AV62:AZ62,"Partial")+IF(BD62&lt;&gt;"",1,0))/6)</x:f>
      </x:c>
      <x:c r="BJ62" s="22" t="str">
        <x:f>IF(A62="","",IF(AND(F62="",BD62=""),"Blocked",IF(AND(BG62&gt;=ReadyThreshold,BH62&gt;=ReadyThreshold,BI62&gt;=ReadyThreshold),"Ready for Analysis",IF(AVERAGE(BG62,BH62,BI62)&gt;=PartialThreshold,"Partially Ready","Discovery Required"))))</x:f>
      </x:c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8"/>
      <x:c r="BU62" s="17"/>
      <x:c r="BV62" s="17"/>
    </x:row>
    <x:row r="63">
      <x:c r="A63" s="17"/>
      <x:c r="B63" s="17"/>
      <x:c r="C63" s="17"/>
      <x:c r="D63" s="17"/>
      <x:c r="E63" s="18"/>
      <x:c r="F63" s="18"/>
      <x:c r="G63" s="17"/>
      <x:c r="H63" s="17"/>
      <x:c r="I63" s="19"/>
      <x:c r="J63" s="19"/>
      <x:c r="K63" s="17"/>
      <x:c r="L63" s="19"/>
      <x:c r="M63" s="17"/>
      <x:c r="N63" s="18"/>
      <x:c r="O63" s="18"/>
      <x:c r="P63" s="17"/>
      <x:c r="Q63" s="17"/>
      <x:c r="R63" s="17"/>
      <x:c r="S63" s="17"/>
      <x:c r="T63" s="17"/>
      <x:c r="U63" s="18"/>
      <x:c r="V63" s="18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20"/>
      <x:c r="AJ63" s="21"/>
      <x:c r="AK63" s="21"/>
      <x:c r="AL63" s="17"/>
      <x:c r="AM63" s="17"/>
      <x:c r="AN63" s="21"/>
      <x:c r="AO63" s="17"/>
      <x:c r="AP63" s="17"/>
      <x:c r="AQ63" s="17"/>
      <x:c r="AR63" s="17"/>
      <x:c r="AS63" s="17"/>
      <x:c r="AT63" s="17"/>
      <x:c r="AU63" s="18"/>
      <x:c r="AV63" s="17"/>
      <x:c r="AW63" s="17"/>
      <x:c r="AX63" s="17"/>
      <x:c r="AY63" s="17"/>
      <x:c r="AZ63" s="17"/>
      <x:c r="BA63" s="17"/>
      <x:c r="BB63" s="17"/>
      <x:c r="BC63" s="18"/>
      <x:c r="BD63" s="18"/>
      <x:c r="BE63" s="19"/>
      <x:c r="BF63" s="22" t="str">
        <x:f>IF(A63="","",IF(BI63&gt;=ReadyThreshold,"Ready",IF(BI63&gt;=PartialThreshold,"Partial","Not Ready")))</x:f>
      </x:c>
      <x:c r="BG63" s="23" t="str">
        <x:f>IF(A63="","",COUNTA(N63,Q63,R63,S63)/4)</x:f>
      </x:c>
      <x:c r="BH63" s="23" t="str">
        <x:f>IF(A63="","",(COUNTA(U63,V63,AE63)+IF(COUNTA(W63,X63,Y63,Z63,AA63)&gt;0,1,0))/4)</x:f>
      </x:c>
      <x:c r="BI63" s="23" t="str">
        <x:f>IF(A63="","",(COUNTIF(AV63:AZ63,"Available")+0.5*COUNTIF(AV63:AZ63,"Partial")+IF(BD63&lt;&gt;"",1,0))/6)</x:f>
      </x:c>
      <x:c r="BJ63" s="22" t="str">
        <x:f>IF(A63="","",IF(AND(F63="",BD63=""),"Blocked",IF(AND(BG63&gt;=ReadyThreshold,BH63&gt;=ReadyThreshold,BI63&gt;=ReadyThreshold),"Ready for Analysis",IF(AVERAGE(BG63,BH63,BI63)&gt;=PartialThreshold,"Partially Ready","Discovery Required"))))</x:f>
      </x:c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8"/>
      <x:c r="BU63" s="17"/>
      <x:c r="BV63" s="17"/>
    </x:row>
    <x:row r="64">
      <x:c r="A64" s="17"/>
      <x:c r="B64" s="17"/>
      <x:c r="C64" s="17"/>
      <x:c r="D64" s="17"/>
      <x:c r="E64" s="18"/>
      <x:c r="F64" s="18"/>
      <x:c r="G64" s="17"/>
      <x:c r="H64" s="17"/>
      <x:c r="I64" s="19"/>
      <x:c r="J64" s="19"/>
      <x:c r="K64" s="17"/>
      <x:c r="L64" s="19"/>
      <x:c r="M64" s="17"/>
      <x:c r="N64" s="18"/>
      <x:c r="O64" s="18"/>
      <x:c r="P64" s="17"/>
      <x:c r="Q64" s="17"/>
      <x:c r="R64" s="17"/>
      <x:c r="S64" s="17"/>
      <x:c r="T64" s="17"/>
      <x:c r="U64" s="18"/>
      <x:c r="V64" s="18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20"/>
      <x:c r="AJ64" s="21"/>
      <x:c r="AK64" s="21"/>
      <x:c r="AL64" s="17"/>
      <x:c r="AM64" s="17"/>
      <x:c r="AN64" s="21"/>
      <x:c r="AO64" s="17"/>
      <x:c r="AP64" s="17"/>
      <x:c r="AQ64" s="17"/>
      <x:c r="AR64" s="17"/>
      <x:c r="AS64" s="17"/>
      <x:c r="AT64" s="17"/>
      <x:c r="AU64" s="18"/>
      <x:c r="AV64" s="17"/>
      <x:c r="AW64" s="17"/>
      <x:c r="AX64" s="17"/>
      <x:c r="AY64" s="17"/>
      <x:c r="AZ64" s="17"/>
      <x:c r="BA64" s="17"/>
      <x:c r="BB64" s="17"/>
      <x:c r="BC64" s="18"/>
      <x:c r="BD64" s="18"/>
      <x:c r="BE64" s="19"/>
      <x:c r="BF64" s="22" t="str">
        <x:f>IF(A64="","",IF(BI64&gt;=ReadyThreshold,"Ready",IF(BI64&gt;=PartialThreshold,"Partial","Not Ready")))</x:f>
      </x:c>
      <x:c r="BG64" s="23" t="str">
        <x:f>IF(A64="","",COUNTA(N64,Q64,R64,S64)/4)</x:f>
      </x:c>
      <x:c r="BH64" s="23" t="str">
        <x:f>IF(A64="","",(COUNTA(U64,V64,AE64)+IF(COUNTA(W64,X64,Y64,Z64,AA64)&gt;0,1,0))/4)</x:f>
      </x:c>
      <x:c r="BI64" s="23" t="str">
        <x:f>IF(A64="","",(COUNTIF(AV64:AZ64,"Available")+0.5*COUNTIF(AV64:AZ64,"Partial")+IF(BD64&lt;&gt;"",1,0))/6)</x:f>
      </x:c>
      <x:c r="BJ64" s="22" t="str">
        <x:f>IF(A64="","",IF(AND(F64="",BD64=""),"Blocked",IF(AND(BG64&gt;=ReadyThreshold,BH64&gt;=ReadyThreshold,BI64&gt;=ReadyThreshold),"Ready for Analysis",IF(AVERAGE(BG64,BH64,BI64)&gt;=PartialThreshold,"Partially Ready","Discovery Required"))))</x:f>
      </x:c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8"/>
      <x:c r="BU64" s="17"/>
      <x:c r="BV64" s="17"/>
    </x:row>
    <x:row r="65">
      <x:c r="A65" s="17"/>
      <x:c r="B65" s="17"/>
      <x:c r="C65" s="17"/>
      <x:c r="D65" s="17"/>
      <x:c r="E65" s="18"/>
      <x:c r="F65" s="18"/>
      <x:c r="G65" s="17"/>
      <x:c r="H65" s="17"/>
      <x:c r="I65" s="19"/>
      <x:c r="J65" s="19"/>
      <x:c r="K65" s="17"/>
      <x:c r="L65" s="19"/>
      <x:c r="M65" s="17"/>
      <x:c r="N65" s="18"/>
      <x:c r="O65" s="18"/>
      <x:c r="P65" s="17"/>
      <x:c r="Q65" s="17"/>
      <x:c r="R65" s="17"/>
      <x:c r="S65" s="17"/>
      <x:c r="T65" s="17"/>
      <x:c r="U65" s="18"/>
      <x:c r="V65" s="18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20"/>
      <x:c r="AJ65" s="21"/>
      <x:c r="AK65" s="21"/>
      <x:c r="AL65" s="17"/>
      <x:c r="AM65" s="17"/>
      <x:c r="AN65" s="21"/>
      <x:c r="AO65" s="17"/>
      <x:c r="AP65" s="17"/>
      <x:c r="AQ65" s="17"/>
      <x:c r="AR65" s="17"/>
      <x:c r="AS65" s="17"/>
      <x:c r="AT65" s="17"/>
      <x:c r="AU65" s="18"/>
      <x:c r="AV65" s="17"/>
      <x:c r="AW65" s="17"/>
      <x:c r="AX65" s="17"/>
      <x:c r="AY65" s="17"/>
      <x:c r="AZ65" s="17"/>
      <x:c r="BA65" s="17"/>
      <x:c r="BB65" s="17"/>
      <x:c r="BC65" s="18"/>
      <x:c r="BD65" s="18"/>
      <x:c r="BE65" s="19"/>
      <x:c r="BF65" s="22" t="str">
        <x:f>IF(A65="","",IF(BI65&gt;=ReadyThreshold,"Ready",IF(BI65&gt;=PartialThreshold,"Partial","Not Ready")))</x:f>
      </x:c>
      <x:c r="BG65" s="23" t="str">
        <x:f>IF(A65="","",COUNTA(N65,Q65,R65,S65)/4)</x:f>
      </x:c>
      <x:c r="BH65" s="23" t="str">
        <x:f>IF(A65="","",(COUNTA(U65,V65,AE65)+IF(COUNTA(W65,X65,Y65,Z65,AA65)&gt;0,1,0))/4)</x:f>
      </x:c>
      <x:c r="BI65" s="23" t="str">
        <x:f>IF(A65="","",(COUNTIF(AV65:AZ65,"Available")+0.5*COUNTIF(AV65:AZ65,"Partial")+IF(BD65&lt;&gt;"",1,0))/6)</x:f>
      </x:c>
      <x:c r="BJ65" s="22" t="str">
        <x:f>IF(A65="","",IF(AND(F65="",BD65=""),"Blocked",IF(AND(BG65&gt;=ReadyThreshold,BH65&gt;=ReadyThreshold,BI65&gt;=ReadyThreshold),"Ready for Analysis",IF(AVERAGE(BG65,BH65,BI65)&gt;=PartialThreshold,"Partially Ready","Discovery Required"))))</x:f>
      </x:c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8"/>
      <x:c r="BU65" s="17"/>
      <x:c r="BV65" s="17"/>
    </x:row>
    <x:row r="66">
      <x:c r="A66" s="17"/>
      <x:c r="B66" s="17"/>
      <x:c r="C66" s="17"/>
      <x:c r="D66" s="17"/>
      <x:c r="E66" s="18"/>
      <x:c r="F66" s="18"/>
      <x:c r="G66" s="17"/>
      <x:c r="H66" s="17"/>
      <x:c r="I66" s="19"/>
      <x:c r="J66" s="19"/>
      <x:c r="K66" s="17"/>
      <x:c r="L66" s="19"/>
      <x:c r="M66" s="17"/>
      <x:c r="N66" s="18"/>
      <x:c r="O66" s="18"/>
      <x:c r="P66" s="17"/>
      <x:c r="Q66" s="17"/>
      <x:c r="R66" s="17"/>
      <x:c r="S66" s="17"/>
      <x:c r="T66" s="17"/>
      <x:c r="U66" s="18"/>
      <x:c r="V66" s="18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20"/>
      <x:c r="AJ66" s="21"/>
      <x:c r="AK66" s="21"/>
      <x:c r="AL66" s="17"/>
      <x:c r="AM66" s="17"/>
      <x:c r="AN66" s="21"/>
      <x:c r="AO66" s="17"/>
      <x:c r="AP66" s="17"/>
      <x:c r="AQ66" s="17"/>
      <x:c r="AR66" s="17"/>
      <x:c r="AS66" s="17"/>
      <x:c r="AT66" s="17"/>
      <x:c r="AU66" s="18"/>
      <x:c r="AV66" s="17"/>
      <x:c r="AW66" s="17"/>
      <x:c r="AX66" s="17"/>
      <x:c r="AY66" s="17"/>
      <x:c r="AZ66" s="17"/>
      <x:c r="BA66" s="17"/>
      <x:c r="BB66" s="17"/>
      <x:c r="BC66" s="18"/>
      <x:c r="BD66" s="18"/>
      <x:c r="BE66" s="19"/>
      <x:c r="BF66" s="22" t="str">
        <x:f>IF(A66="","",IF(BI66&gt;=ReadyThreshold,"Ready",IF(BI66&gt;=PartialThreshold,"Partial","Not Ready")))</x:f>
      </x:c>
      <x:c r="BG66" s="23" t="str">
        <x:f>IF(A66="","",COUNTA(N66,Q66,R66,S66)/4)</x:f>
      </x:c>
      <x:c r="BH66" s="23" t="str">
        <x:f>IF(A66="","",(COUNTA(U66,V66,AE66)+IF(COUNTA(W66,X66,Y66,Z66,AA66)&gt;0,1,0))/4)</x:f>
      </x:c>
      <x:c r="BI66" s="23" t="str">
        <x:f>IF(A66="","",(COUNTIF(AV66:AZ66,"Available")+0.5*COUNTIF(AV66:AZ66,"Partial")+IF(BD66&lt;&gt;"",1,0))/6)</x:f>
      </x:c>
      <x:c r="BJ66" s="22" t="str">
        <x:f>IF(A66="","",IF(AND(F66="",BD66=""),"Blocked",IF(AND(BG66&gt;=ReadyThreshold,BH66&gt;=ReadyThreshold,BI66&gt;=ReadyThreshold),"Ready for Analysis",IF(AVERAGE(BG66,BH66,BI66)&gt;=PartialThreshold,"Partially Ready","Discovery Required"))))</x:f>
      </x:c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8"/>
      <x:c r="BU66" s="17"/>
      <x:c r="BV66" s="17"/>
    </x:row>
    <x:row r="67">
      <x:c r="A67" s="17"/>
      <x:c r="B67" s="17"/>
      <x:c r="C67" s="17"/>
      <x:c r="D67" s="17"/>
      <x:c r="E67" s="18"/>
      <x:c r="F67" s="18"/>
      <x:c r="G67" s="17"/>
      <x:c r="H67" s="17"/>
      <x:c r="I67" s="19"/>
      <x:c r="J67" s="19"/>
      <x:c r="K67" s="17"/>
      <x:c r="L67" s="19"/>
      <x:c r="M67" s="17"/>
      <x:c r="N67" s="18"/>
      <x:c r="O67" s="18"/>
      <x:c r="P67" s="17"/>
      <x:c r="Q67" s="17"/>
      <x:c r="R67" s="17"/>
      <x:c r="S67" s="17"/>
      <x:c r="T67" s="17"/>
      <x:c r="U67" s="18"/>
      <x:c r="V67" s="18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20"/>
      <x:c r="AJ67" s="21"/>
      <x:c r="AK67" s="21"/>
      <x:c r="AL67" s="17"/>
      <x:c r="AM67" s="17"/>
      <x:c r="AN67" s="21"/>
      <x:c r="AO67" s="17"/>
      <x:c r="AP67" s="17"/>
      <x:c r="AQ67" s="17"/>
      <x:c r="AR67" s="17"/>
      <x:c r="AS67" s="17"/>
      <x:c r="AT67" s="17"/>
      <x:c r="AU67" s="18"/>
      <x:c r="AV67" s="17"/>
      <x:c r="AW67" s="17"/>
      <x:c r="AX67" s="17"/>
      <x:c r="AY67" s="17"/>
      <x:c r="AZ67" s="17"/>
      <x:c r="BA67" s="17"/>
      <x:c r="BB67" s="17"/>
      <x:c r="BC67" s="18"/>
      <x:c r="BD67" s="18"/>
      <x:c r="BE67" s="19"/>
      <x:c r="BF67" s="22" t="str">
        <x:f>IF(A67="","",IF(BI67&gt;=ReadyThreshold,"Ready",IF(BI67&gt;=PartialThreshold,"Partial","Not Ready")))</x:f>
      </x:c>
      <x:c r="BG67" s="23" t="str">
        <x:f>IF(A67="","",COUNTA(N67,Q67,R67,S67)/4)</x:f>
      </x:c>
      <x:c r="BH67" s="23" t="str">
        <x:f>IF(A67="","",(COUNTA(U67,V67,AE67)+IF(COUNTA(W67,X67,Y67,Z67,AA67)&gt;0,1,0))/4)</x:f>
      </x:c>
      <x:c r="BI67" s="23" t="str">
        <x:f>IF(A67="","",(COUNTIF(AV67:AZ67,"Available")+0.5*COUNTIF(AV67:AZ67,"Partial")+IF(BD67&lt;&gt;"",1,0))/6)</x:f>
      </x:c>
      <x:c r="BJ67" s="22" t="str">
        <x:f>IF(A67="","",IF(AND(F67="",BD67=""),"Blocked",IF(AND(BG67&gt;=ReadyThreshold,BH67&gt;=ReadyThreshold,BI67&gt;=ReadyThreshold),"Ready for Analysis",IF(AVERAGE(BG67,BH67,BI67)&gt;=PartialThreshold,"Partially Ready","Discovery Required"))))</x:f>
      </x:c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8"/>
      <x:c r="BU67" s="17"/>
      <x:c r="BV67" s="17"/>
    </x:row>
    <x:row r="68">
      <x:c r="A68" s="17"/>
      <x:c r="B68" s="17"/>
      <x:c r="C68" s="17"/>
      <x:c r="D68" s="17"/>
      <x:c r="E68" s="18"/>
      <x:c r="F68" s="18"/>
      <x:c r="G68" s="17"/>
      <x:c r="H68" s="17"/>
      <x:c r="I68" s="19"/>
      <x:c r="J68" s="19"/>
      <x:c r="K68" s="17"/>
      <x:c r="L68" s="19"/>
      <x:c r="M68" s="17"/>
      <x:c r="N68" s="18"/>
      <x:c r="O68" s="18"/>
      <x:c r="P68" s="17"/>
      <x:c r="Q68" s="17"/>
      <x:c r="R68" s="17"/>
      <x:c r="S68" s="17"/>
      <x:c r="T68" s="17"/>
      <x:c r="U68" s="18"/>
      <x:c r="V68" s="18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20"/>
      <x:c r="AJ68" s="21"/>
      <x:c r="AK68" s="21"/>
      <x:c r="AL68" s="17"/>
      <x:c r="AM68" s="17"/>
      <x:c r="AN68" s="21"/>
      <x:c r="AO68" s="17"/>
      <x:c r="AP68" s="17"/>
      <x:c r="AQ68" s="17"/>
      <x:c r="AR68" s="17"/>
      <x:c r="AS68" s="17"/>
      <x:c r="AT68" s="17"/>
      <x:c r="AU68" s="18"/>
      <x:c r="AV68" s="17"/>
      <x:c r="AW68" s="17"/>
      <x:c r="AX68" s="17"/>
      <x:c r="AY68" s="17"/>
      <x:c r="AZ68" s="17"/>
      <x:c r="BA68" s="17"/>
      <x:c r="BB68" s="17"/>
      <x:c r="BC68" s="18"/>
      <x:c r="BD68" s="18"/>
      <x:c r="BE68" s="19"/>
      <x:c r="BF68" s="22" t="str">
        <x:f>IF(A68="","",IF(BI68&gt;=ReadyThreshold,"Ready",IF(BI68&gt;=PartialThreshold,"Partial","Not Ready")))</x:f>
      </x:c>
      <x:c r="BG68" s="23" t="str">
        <x:f>IF(A68="","",COUNTA(N68,Q68,R68,S68)/4)</x:f>
      </x:c>
      <x:c r="BH68" s="23" t="str">
        <x:f>IF(A68="","",(COUNTA(U68,V68,AE68)+IF(COUNTA(W68,X68,Y68,Z68,AA68)&gt;0,1,0))/4)</x:f>
      </x:c>
      <x:c r="BI68" s="23" t="str">
        <x:f>IF(A68="","",(COUNTIF(AV68:AZ68,"Available")+0.5*COUNTIF(AV68:AZ68,"Partial")+IF(BD68&lt;&gt;"",1,0))/6)</x:f>
      </x:c>
      <x:c r="BJ68" s="22" t="str">
        <x:f>IF(A68="","",IF(AND(F68="",BD68=""),"Blocked",IF(AND(BG68&gt;=ReadyThreshold,BH68&gt;=ReadyThreshold,BI68&gt;=ReadyThreshold),"Ready for Analysis",IF(AVERAGE(BG68,BH68,BI68)&gt;=PartialThreshold,"Partially Ready","Discovery Required"))))</x:f>
      </x:c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8"/>
      <x:c r="BU68" s="17"/>
      <x:c r="BV68" s="17"/>
    </x:row>
    <x:row r="69">
      <x:c r="A69" s="17"/>
      <x:c r="B69" s="17"/>
      <x:c r="C69" s="17"/>
      <x:c r="D69" s="17"/>
      <x:c r="E69" s="18"/>
      <x:c r="F69" s="18"/>
      <x:c r="G69" s="17"/>
      <x:c r="H69" s="17"/>
      <x:c r="I69" s="19"/>
      <x:c r="J69" s="19"/>
      <x:c r="K69" s="17"/>
      <x:c r="L69" s="19"/>
      <x:c r="M69" s="17"/>
      <x:c r="N69" s="18"/>
      <x:c r="O69" s="18"/>
      <x:c r="P69" s="17"/>
      <x:c r="Q69" s="17"/>
      <x:c r="R69" s="17"/>
      <x:c r="S69" s="17"/>
      <x:c r="T69" s="17"/>
      <x:c r="U69" s="18"/>
      <x:c r="V69" s="18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20"/>
      <x:c r="AJ69" s="21"/>
      <x:c r="AK69" s="21"/>
      <x:c r="AL69" s="17"/>
      <x:c r="AM69" s="17"/>
      <x:c r="AN69" s="21"/>
      <x:c r="AO69" s="17"/>
      <x:c r="AP69" s="17"/>
      <x:c r="AQ69" s="17"/>
      <x:c r="AR69" s="17"/>
      <x:c r="AS69" s="17"/>
      <x:c r="AT69" s="17"/>
      <x:c r="AU69" s="18"/>
      <x:c r="AV69" s="17"/>
      <x:c r="AW69" s="17"/>
      <x:c r="AX69" s="17"/>
      <x:c r="AY69" s="17"/>
      <x:c r="AZ69" s="17"/>
      <x:c r="BA69" s="17"/>
      <x:c r="BB69" s="17"/>
      <x:c r="BC69" s="18"/>
      <x:c r="BD69" s="18"/>
      <x:c r="BE69" s="19"/>
      <x:c r="BF69" s="22" t="str">
        <x:f>IF(A69="","",IF(BI69&gt;=ReadyThreshold,"Ready",IF(BI69&gt;=PartialThreshold,"Partial","Not Ready")))</x:f>
      </x:c>
      <x:c r="BG69" s="23" t="str">
        <x:f>IF(A69="","",COUNTA(N69,Q69,R69,S69)/4)</x:f>
      </x:c>
      <x:c r="BH69" s="23" t="str">
        <x:f>IF(A69="","",(COUNTA(U69,V69,AE69)+IF(COUNTA(W69,X69,Y69,Z69,AA69)&gt;0,1,0))/4)</x:f>
      </x:c>
      <x:c r="BI69" s="23" t="str">
        <x:f>IF(A69="","",(COUNTIF(AV69:AZ69,"Available")+0.5*COUNTIF(AV69:AZ69,"Partial")+IF(BD69&lt;&gt;"",1,0))/6)</x:f>
      </x:c>
      <x:c r="BJ69" s="22" t="str">
        <x:f>IF(A69="","",IF(AND(F69="",BD69=""),"Blocked",IF(AND(BG69&gt;=ReadyThreshold,BH69&gt;=ReadyThreshold,BI69&gt;=ReadyThreshold),"Ready for Analysis",IF(AVERAGE(BG69,BH69,BI69)&gt;=PartialThreshold,"Partially Ready","Discovery Required"))))</x:f>
      </x:c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8"/>
      <x:c r="BU69" s="17"/>
      <x:c r="BV69" s="17"/>
    </x:row>
    <x:row r="70">
      <x:c r="A70" s="17"/>
      <x:c r="B70" s="17"/>
      <x:c r="C70" s="17"/>
      <x:c r="D70" s="17"/>
      <x:c r="E70" s="18"/>
      <x:c r="F70" s="18"/>
      <x:c r="G70" s="17"/>
      <x:c r="H70" s="17"/>
      <x:c r="I70" s="19"/>
      <x:c r="J70" s="19"/>
      <x:c r="K70" s="17"/>
      <x:c r="L70" s="19"/>
      <x:c r="M70" s="17"/>
      <x:c r="N70" s="18"/>
      <x:c r="O70" s="18"/>
      <x:c r="P70" s="17"/>
      <x:c r="Q70" s="17"/>
      <x:c r="R70" s="17"/>
      <x:c r="S70" s="17"/>
      <x:c r="T70" s="17"/>
      <x:c r="U70" s="18"/>
      <x:c r="V70" s="18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20"/>
      <x:c r="AJ70" s="21"/>
      <x:c r="AK70" s="21"/>
      <x:c r="AL70" s="17"/>
      <x:c r="AM70" s="17"/>
      <x:c r="AN70" s="21"/>
      <x:c r="AO70" s="17"/>
      <x:c r="AP70" s="17"/>
      <x:c r="AQ70" s="17"/>
      <x:c r="AR70" s="17"/>
      <x:c r="AS70" s="17"/>
      <x:c r="AT70" s="17"/>
      <x:c r="AU70" s="18"/>
      <x:c r="AV70" s="17"/>
      <x:c r="AW70" s="17"/>
      <x:c r="AX70" s="17"/>
      <x:c r="AY70" s="17"/>
      <x:c r="AZ70" s="17"/>
      <x:c r="BA70" s="17"/>
      <x:c r="BB70" s="17"/>
      <x:c r="BC70" s="18"/>
      <x:c r="BD70" s="18"/>
      <x:c r="BE70" s="19"/>
      <x:c r="BF70" s="22" t="str">
        <x:f>IF(A70="","",IF(BI70&gt;=ReadyThreshold,"Ready",IF(BI70&gt;=PartialThreshold,"Partial","Not Ready")))</x:f>
      </x:c>
      <x:c r="BG70" s="23" t="str">
        <x:f>IF(A70="","",COUNTA(N70,Q70,R70,S70)/4)</x:f>
      </x:c>
      <x:c r="BH70" s="23" t="str">
        <x:f>IF(A70="","",(COUNTA(U70,V70,AE70)+IF(COUNTA(W70,X70,Y70,Z70,AA70)&gt;0,1,0))/4)</x:f>
      </x:c>
      <x:c r="BI70" s="23" t="str">
        <x:f>IF(A70="","",(COUNTIF(AV70:AZ70,"Available")+0.5*COUNTIF(AV70:AZ70,"Partial")+IF(BD70&lt;&gt;"",1,0))/6)</x:f>
      </x:c>
      <x:c r="BJ70" s="22" t="str">
        <x:f>IF(A70="","",IF(AND(F70="",BD70=""),"Blocked",IF(AND(BG70&gt;=ReadyThreshold,BH70&gt;=ReadyThreshold,BI70&gt;=ReadyThreshold),"Ready for Analysis",IF(AVERAGE(BG70,BH70,BI70)&gt;=PartialThreshold,"Partially Ready","Discovery Required"))))</x:f>
      </x:c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8"/>
      <x:c r="BU70" s="17"/>
      <x:c r="BV70" s="17"/>
    </x:row>
    <x:row r="71">
      <x:c r="A71" s="17"/>
      <x:c r="B71" s="17"/>
      <x:c r="C71" s="17"/>
      <x:c r="D71" s="17"/>
      <x:c r="E71" s="18"/>
      <x:c r="F71" s="18"/>
      <x:c r="G71" s="17"/>
      <x:c r="H71" s="17"/>
      <x:c r="I71" s="19"/>
      <x:c r="J71" s="19"/>
      <x:c r="K71" s="17"/>
      <x:c r="L71" s="19"/>
      <x:c r="M71" s="17"/>
      <x:c r="N71" s="18"/>
      <x:c r="O71" s="18"/>
      <x:c r="P71" s="17"/>
      <x:c r="Q71" s="17"/>
      <x:c r="R71" s="17"/>
      <x:c r="S71" s="17"/>
      <x:c r="T71" s="17"/>
      <x:c r="U71" s="18"/>
      <x:c r="V71" s="18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20"/>
      <x:c r="AJ71" s="21"/>
      <x:c r="AK71" s="21"/>
      <x:c r="AL71" s="17"/>
      <x:c r="AM71" s="17"/>
      <x:c r="AN71" s="21"/>
      <x:c r="AO71" s="17"/>
      <x:c r="AP71" s="17"/>
      <x:c r="AQ71" s="17"/>
      <x:c r="AR71" s="17"/>
      <x:c r="AS71" s="17"/>
      <x:c r="AT71" s="17"/>
      <x:c r="AU71" s="18"/>
      <x:c r="AV71" s="17"/>
      <x:c r="AW71" s="17"/>
      <x:c r="AX71" s="17"/>
      <x:c r="AY71" s="17"/>
      <x:c r="AZ71" s="17"/>
      <x:c r="BA71" s="17"/>
      <x:c r="BB71" s="17"/>
      <x:c r="BC71" s="18"/>
      <x:c r="BD71" s="18"/>
      <x:c r="BE71" s="19"/>
      <x:c r="BF71" s="22" t="str">
        <x:f>IF(A71="","",IF(BI71&gt;=ReadyThreshold,"Ready",IF(BI71&gt;=PartialThreshold,"Partial","Not Ready")))</x:f>
      </x:c>
      <x:c r="BG71" s="23" t="str">
        <x:f>IF(A71="","",COUNTA(N71,Q71,R71,S71)/4)</x:f>
      </x:c>
      <x:c r="BH71" s="23" t="str">
        <x:f>IF(A71="","",(COUNTA(U71,V71,AE71)+IF(COUNTA(W71,X71,Y71,Z71,AA71)&gt;0,1,0))/4)</x:f>
      </x:c>
      <x:c r="BI71" s="23" t="str">
        <x:f>IF(A71="","",(COUNTIF(AV71:AZ71,"Available")+0.5*COUNTIF(AV71:AZ71,"Partial")+IF(BD71&lt;&gt;"",1,0))/6)</x:f>
      </x:c>
      <x:c r="BJ71" s="22" t="str">
        <x:f>IF(A71="","",IF(AND(F71="",BD71=""),"Blocked",IF(AND(BG71&gt;=ReadyThreshold,BH71&gt;=ReadyThreshold,BI71&gt;=ReadyThreshold),"Ready for Analysis",IF(AVERAGE(BG71,BH71,BI71)&gt;=PartialThreshold,"Partially Ready","Discovery Required"))))</x:f>
      </x:c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8"/>
      <x:c r="BU71" s="17"/>
      <x:c r="BV71" s="17"/>
    </x:row>
    <x:row r="72">
      <x:c r="A72" s="17"/>
      <x:c r="B72" s="17"/>
      <x:c r="C72" s="17"/>
      <x:c r="D72" s="17"/>
      <x:c r="E72" s="18"/>
      <x:c r="F72" s="18"/>
      <x:c r="G72" s="17"/>
      <x:c r="H72" s="17"/>
      <x:c r="I72" s="19"/>
      <x:c r="J72" s="19"/>
      <x:c r="K72" s="17"/>
      <x:c r="L72" s="19"/>
      <x:c r="M72" s="17"/>
      <x:c r="N72" s="18"/>
      <x:c r="O72" s="18"/>
      <x:c r="P72" s="17"/>
      <x:c r="Q72" s="17"/>
      <x:c r="R72" s="17"/>
      <x:c r="S72" s="17"/>
      <x:c r="T72" s="17"/>
      <x:c r="U72" s="18"/>
      <x:c r="V72" s="18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20"/>
      <x:c r="AJ72" s="21"/>
      <x:c r="AK72" s="21"/>
      <x:c r="AL72" s="17"/>
      <x:c r="AM72" s="17"/>
      <x:c r="AN72" s="21"/>
      <x:c r="AO72" s="17"/>
      <x:c r="AP72" s="17"/>
      <x:c r="AQ72" s="17"/>
      <x:c r="AR72" s="17"/>
      <x:c r="AS72" s="17"/>
      <x:c r="AT72" s="17"/>
      <x:c r="AU72" s="18"/>
      <x:c r="AV72" s="17"/>
      <x:c r="AW72" s="17"/>
      <x:c r="AX72" s="17"/>
      <x:c r="AY72" s="17"/>
      <x:c r="AZ72" s="17"/>
      <x:c r="BA72" s="17"/>
      <x:c r="BB72" s="17"/>
      <x:c r="BC72" s="18"/>
      <x:c r="BD72" s="18"/>
      <x:c r="BE72" s="19"/>
      <x:c r="BF72" s="22" t="str">
        <x:f>IF(A72="","",IF(BI72&gt;=ReadyThreshold,"Ready",IF(BI72&gt;=PartialThreshold,"Partial","Not Ready")))</x:f>
      </x:c>
      <x:c r="BG72" s="23" t="str">
        <x:f>IF(A72="","",COUNTA(N72,Q72,R72,S72)/4)</x:f>
      </x:c>
      <x:c r="BH72" s="23" t="str">
        <x:f>IF(A72="","",(COUNTA(U72,V72,AE72)+IF(COUNTA(W72,X72,Y72,Z72,AA72)&gt;0,1,0))/4)</x:f>
      </x:c>
      <x:c r="BI72" s="23" t="str">
        <x:f>IF(A72="","",(COUNTIF(AV72:AZ72,"Available")+0.5*COUNTIF(AV72:AZ72,"Partial")+IF(BD72&lt;&gt;"",1,0))/6)</x:f>
      </x:c>
      <x:c r="BJ72" s="22" t="str">
        <x:f>IF(A72="","",IF(AND(F72="",BD72=""),"Blocked",IF(AND(BG72&gt;=ReadyThreshold,BH72&gt;=ReadyThreshold,BI72&gt;=ReadyThreshold),"Ready for Analysis",IF(AVERAGE(BG72,BH72,BI72)&gt;=PartialThreshold,"Partially Ready","Discovery Required"))))</x:f>
      </x:c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8"/>
      <x:c r="BU72" s="17"/>
      <x:c r="BV72" s="17"/>
    </x:row>
    <x:row r="73">
      <x:c r="A73" s="17"/>
      <x:c r="B73" s="17"/>
      <x:c r="C73" s="17"/>
      <x:c r="D73" s="17"/>
      <x:c r="E73" s="18"/>
      <x:c r="F73" s="18"/>
      <x:c r="G73" s="17"/>
      <x:c r="H73" s="17"/>
      <x:c r="I73" s="19"/>
      <x:c r="J73" s="19"/>
      <x:c r="K73" s="17"/>
      <x:c r="L73" s="19"/>
      <x:c r="M73" s="17"/>
      <x:c r="N73" s="18"/>
      <x:c r="O73" s="18"/>
      <x:c r="P73" s="17"/>
      <x:c r="Q73" s="17"/>
      <x:c r="R73" s="17"/>
      <x:c r="S73" s="17"/>
      <x:c r="T73" s="17"/>
      <x:c r="U73" s="18"/>
      <x:c r="V73" s="18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20"/>
      <x:c r="AJ73" s="21"/>
      <x:c r="AK73" s="21"/>
      <x:c r="AL73" s="17"/>
      <x:c r="AM73" s="17"/>
      <x:c r="AN73" s="21"/>
      <x:c r="AO73" s="17"/>
      <x:c r="AP73" s="17"/>
      <x:c r="AQ73" s="17"/>
      <x:c r="AR73" s="17"/>
      <x:c r="AS73" s="17"/>
      <x:c r="AT73" s="17"/>
      <x:c r="AU73" s="18"/>
      <x:c r="AV73" s="17"/>
      <x:c r="AW73" s="17"/>
      <x:c r="AX73" s="17"/>
      <x:c r="AY73" s="17"/>
      <x:c r="AZ73" s="17"/>
      <x:c r="BA73" s="17"/>
      <x:c r="BB73" s="17"/>
      <x:c r="BC73" s="18"/>
      <x:c r="BD73" s="18"/>
      <x:c r="BE73" s="19"/>
      <x:c r="BF73" s="22" t="str">
        <x:f>IF(A73="","",IF(BI73&gt;=ReadyThreshold,"Ready",IF(BI73&gt;=PartialThreshold,"Partial","Not Ready")))</x:f>
      </x:c>
      <x:c r="BG73" s="23" t="str">
        <x:f>IF(A73="","",COUNTA(N73,Q73,R73,S73)/4)</x:f>
      </x:c>
      <x:c r="BH73" s="23" t="str">
        <x:f>IF(A73="","",(COUNTA(U73,V73,AE73)+IF(COUNTA(W73,X73,Y73,Z73,AA73)&gt;0,1,0))/4)</x:f>
      </x:c>
      <x:c r="BI73" s="23" t="str">
        <x:f>IF(A73="","",(COUNTIF(AV73:AZ73,"Available")+0.5*COUNTIF(AV73:AZ73,"Partial")+IF(BD73&lt;&gt;"",1,0))/6)</x:f>
      </x:c>
      <x:c r="BJ73" s="22" t="str">
        <x:f>IF(A73="","",IF(AND(F73="",BD73=""),"Blocked",IF(AND(BG73&gt;=ReadyThreshold,BH73&gt;=ReadyThreshold,BI73&gt;=ReadyThreshold),"Ready for Analysis",IF(AVERAGE(BG73,BH73,BI73)&gt;=PartialThreshold,"Partially Ready","Discovery Required"))))</x:f>
      </x:c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8"/>
      <x:c r="BU73" s="17"/>
      <x:c r="BV73" s="17"/>
    </x:row>
    <x:row r="74">
      <x:c r="A74" s="17"/>
      <x:c r="B74" s="17"/>
      <x:c r="C74" s="17"/>
      <x:c r="D74" s="17"/>
      <x:c r="E74" s="18"/>
      <x:c r="F74" s="18"/>
      <x:c r="G74" s="17"/>
      <x:c r="H74" s="17"/>
      <x:c r="I74" s="19"/>
      <x:c r="J74" s="19"/>
      <x:c r="K74" s="17"/>
      <x:c r="L74" s="19"/>
      <x:c r="M74" s="17"/>
      <x:c r="N74" s="18"/>
      <x:c r="O74" s="18"/>
      <x:c r="P74" s="17"/>
      <x:c r="Q74" s="17"/>
      <x:c r="R74" s="17"/>
      <x:c r="S74" s="17"/>
      <x:c r="T74" s="17"/>
      <x:c r="U74" s="18"/>
      <x:c r="V74" s="18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20"/>
      <x:c r="AJ74" s="21"/>
      <x:c r="AK74" s="21"/>
      <x:c r="AL74" s="17"/>
      <x:c r="AM74" s="17"/>
      <x:c r="AN74" s="21"/>
      <x:c r="AO74" s="17"/>
      <x:c r="AP74" s="17"/>
      <x:c r="AQ74" s="17"/>
      <x:c r="AR74" s="17"/>
      <x:c r="AS74" s="17"/>
      <x:c r="AT74" s="17"/>
      <x:c r="AU74" s="18"/>
      <x:c r="AV74" s="17"/>
      <x:c r="AW74" s="17"/>
      <x:c r="AX74" s="17"/>
      <x:c r="AY74" s="17"/>
      <x:c r="AZ74" s="17"/>
      <x:c r="BA74" s="17"/>
      <x:c r="BB74" s="17"/>
      <x:c r="BC74" s="18"/>
      <x:c r="BD74" s="18"/>
      <x:c r="BE74" s="19"/>
      <x:c r="BF74" s="22" t="str">
        <x:f>IF(A74="","",IF(BI74&gt;=ReadyThreshold,"Ready",IF(BI74&gt;=PartialThreshold,"Partial","Not Ready")))</x:f>
      </x:c>
      <x:c r="BG74" s="23" t="str">
        <x:f>IF(A74="","",COUNTA(N74,Q74,R74,S74)/4)</x:f>
      </x:c>
      <x:c r="BH74" s="23" t="str">
        <x:f>IF(A74="","",(COUNTA(U74,V74,AE74)+IF(COUNTA(W74,X74,Y74,Z74,AA74)&gt;0,1,0))/4)</x:f>
      </x:c>
      <x:c r="BI74" s="23" t="str">
        <x:f>IF(A74="","",(COUNTIF(AV74:AZ74,"Available")+0.5*COUNTIF(AV74:AZ74,"Partial")+IF(BD74&lt;&gt;"",1,0))/6)</x:f>
      </x:c>
      <x:c r="BJ74" s="22" t="str">
        <x:f>IF(A74="","",IF(AND(F74="",BD74=""),"Blocked",IF(AND(BG74&gt;=ReadyThreshold,BH74&gt;=ReadyThreshold,BI74&gt;=ReadyThreshold),"Ready for Analysis",IF(AVERAGE(BG74,BH74,BI74)&gt;=PartialThreshold,"Partially Ready","Discovery Required"))))</x:f>
      </x:c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8"/>
      <x:c r="BU74" s="17"/>
      <x:c r="BV74" s="17"/>
    </x:row>
    <x:row r="75">
      <x:c r="A75" s="17"/>
      <x:c r="B75" s="17"/>
      <x:c r="C75" s="17"/>
      <x:c r="D75" s="17"/>
      <x:c r="E75" s="18"/>
      <x:c r="F75" s="18"/>
      <x:c r="G75" s="17"/>
      <x:c r="H75" s="17"/>
      <x:c r="I75" s="19"/>
      <x:c r="J75" s="19"/>
      <x:c r="K75" s="17"/>
      <x:c r="L75" s="19"/>
      <x:c r="M75" s="17"/>
      <x:c r="N75" s="18"/>
      <x:c r="O75" s="18"/>
      <x:c r="P75" s="17"/>
      <x:c r="Q75" s="17"/>
      <x:c r="R75" s="17"/>
      <x:c r="S75" s="17"/>
      <x:c r="T75" s="17"/>
      <x:c r="U75" s="18"/>
      <x:c r="V75" s="18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20"/>
      <x:c r="AJ75" s="21"/>
      <x:c r="AK75" s="21"/>
      <x:c r="AL75" s="17"/>
      <x:c r="AM75" s="17"/>
      <x:c r="AN75" s="21"/>
      <x:c r="AO75" s="17"/>
      <x:c r="AP75" s="17"/>
      <x:c r="AQ75" s="17"/>
      <x:c r="AR75" s="17"/>
      <x:c r="AS75" s="17"/>
      <x:c r="AT75" s="17"/>
      <x:c r="AU75" s="18"/>
      <x:c r="AV75" s="17"/>
      <x:c r="AW75" s="17"/>
      <x:c r="AX75" s="17"/>
      <x:c r="AY75" s="17"/>
      <x:c r="AZ75" s="17"/>
      <x:c r="BA75" s="17"/>
      <x:c r="BB75" s="17"/>
      <x:c r="BC75" s="18"/>
      <x:c r="BD75" s="18"/>
      <x:c r="BE75" s="19"/>
      <x:c r="BF75" s="22" t="str">
        <x:f>IF(A75="","",IF(BI75&gt;=ReadyThreshold,"Ready",IF(BI75&gt;=PartialThreshold,"Partial","Not Ready")))</x:f>
      </x:c>
      <x:c r="BG75" s="23" t="str">
        <x:f>IF(A75="","",COUNTA(N75,Q75,R75,S75)/4)</x:f>
      </x:c>
      <x:c r="BH75" s="23" t="str">
        <x:f>IF(A75="","",(COUNTA(U75,V75,AE75)+IF(COUNTA(W75,X75,Y75,Z75,AA75)&gt;0,1,0))/4)</x:f>
      </x:c>
      <x:c r="BI75" s="23" t="str">
        <x:f>IF(A75="","",(COUNTIF(AV75:AZ75,"Available")+0.5*COUNTIF(AV75:AZ75,"Partial")+IF(BD75&lt;&gt;"",1,0))/6)</x:f>
      </x:c>
      <x:c r="BJ75" s="22" t="str">
        <x:f>IF(A75="","",IF(AND(F75="",BD75=""),"Blocked",IF(AND(BG75&gt;=ReadyThreshold,BH75&gt;=ReadyThreshold,BI75&gt;=ReadyThreshold),"Ready for Analysis",IF(AVERAGE(BG75,BH75,BI75)&gt;=PartialThreshold,"Partially Ready","Discovery Required"))))</x:f>
      </x:c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8"/>
      <x:c r="BU75" s="17"/>
      <x:c r="BV75" s="17"/>
    </x:row>
    <x:row r="76">
      <x:c r="A76" s="17"/>
      <x:c r="B76" s="17"/>
      <x:c r="C76" s="17"/>
      <x:c r="D76" s="17"/>
      <x:c r="E76" s="18"/>
      <x:c r="F76" s="18"/>
      <x:c r="G76" s="17"/>
      <x:c r="H76" s="17"/>
      <x:c r="I76" s="19"/>
      <x:c r="J76" s="19"/>
      <x:c r="K76" s="17"/>
      <x:c r="L76" s="19"/>
      <x:c r="M76" s="17"/>
      <x:c r="N76" s="18"/>
      <x:c r="O76" s="18"/>
      <x:c r="P76" s="17"/>
      <x:c r="Q76" s="17"/>
      <x:c r="R76" s="17"/>
      <x:c r="S76" s="17"/>
      <x:c r="T76" s="17"/>
      <x:c r="U76" s="18"/>
      <x:c r="V76" s="18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20"/>
      <x:c r="AJ76" s="21"/>
      <x:c r="AK76" s="21"/>
      <x:c r="AL76" s="17"/>
      <x:c r="AM76" s="17"/>
      <x:c r="AN76" s="21"/>
      <x:c r="AO76" s="17"/>
      <x:c r="AP76" s="17"/>
      <x:c r="AQ76" s="17"/>
      <x:c r="AR76" s="17"/>
      <x:c r="AS76" s="17"/>
      <x:c r="AT76" s="17"/>
      <x:c r="AU76" s="18"/>
      <x:c r="AV76" s="17"/>
      <x:c r="AW76" s="17"/>
      <x:c r="AX76" s="17"/>
      <x:c r="AY76" s="17"/>
      <x:c r="AZ76" s="17"/>
      <x:c r="BA76" s="17"/>
      <x:c r="BB76" s="17"/>
      <x:c r="BC76" s="18"/>
      <x:c r="BD76" s="18"/>
      <x:c r="BE76" s="19"/>
      <x:c r="BF76" s="22" t="str">
        <x:f>IF(A76="","",IF(BI76&gt;=ReadyThreshold,"Ready",IF(BI76&gt;=PartialThreshold,"Partial","Not Ready")))</x:f>
      </x:c>
      <x:c r="BG76" s="23" t="str">
        <x:f>IF(A76="","",COUNTA(N76,Q76,R76,S76)/4)</x:f>
      </x:c>
      <x:c r="BH76" s="23" t="str">
        <x:f>IF(A76="","",(COUNTA(U76,V76,AE76)+IF(COUNTA(W76,X76,Y76,Z76,AA76)&gt;0,1,0))/4)</x:f>
      </x:c>
      <x:c r="BI76" s="23" t="str">
        <x:f>IF(A76="","",(COUNTIF(AV76:AZ76,"Available")+0.5*COUNTIF(AV76:AZ76,"Partial")+IF(BD76&lt;&gt;"",1,0))/6)</x:f>
      </x:c>
      <x:c r="BJ76" s="22" t="str">
        <x:f>IF(A76="","",IF(AND(F76="",BD76=""),"Blocked",IF(AND(BG76&gt;=ReadyThreshold,BH76&gt;=ReadyThreshold,BI76&gt;=ReadyThreshold),"Ready for Analysis",IF(AVERAGE(BG76,BH76,BI76)&gt;=PartialThreshold,"Partially Ready","Discovery Required"))))</x:f>
      </x:c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8"/>
      <x:c r="BU76" s="17"/>
      <x:c r="BV76" s="17"/>
    </x:row>
    <x:row r="77">
      <x:c r="A77" s="17"/>
      <x:c r="B77" s="17"/>
      <x:c r="C77" s="17"/>
      <x:c r="D77" s="17"/>
      <x:c r="E77" s="18"/>
      <x:c r="F77" s="18"/>
      <x:c r="G77" s="17"/>
      <x:c r="H77" s="17"/>
      <x:c r="I77" s="19"/>
      <x:c r="J77" s="19"/>
      <x:c r="K77" s="17"/>
      <x:c r="L77" s="19"/>
      <x:c r="M77" s="17"/>
      <x:c r="N77" s="18"/>
      <x:c r="O77" s="18"/>
      <x:c r="P77" s="17"/>
      <x:c r="Q77" s="17"/>
      <x:c r="R77" s="17"/>
      <x:c r="S77" s="17"/>
      <x:c r="T77" s="17"/>
      <x:c r="U77" s="18"/>
      <x:c r="V77" s="18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20"/>
      <x:c r="AJ77" s="21"/>
      <x:c r="AK77" s="21"/>
      <x:c r="AL77" s="17"/>
      <x:c r="AM77" s="17"/>
      <x:c r="AN77" s="21"/>
      <x:c r="AO77" s="17"/>
      <x:c r="AP77" s="17"/>
      <x:c r="AQ77" s="17"/>
      <x:c r="AR77" s="17"/>
      <x:c r="AS77" s="17"/>
      <x:c r="AT77" s="17"/>
      <x:c r="AU77" s="18"/>
      <x:c r="AV77" s="17"/>
      <x:c r="AW77" s="17"/>
      <x:c r="AX77" s="17"/>
      <x:c r="AY77" s="17"/>
      <x:c r="AZ77" s="17"/>
      <x:c r="BA77" s="17"/>
      <x:c r="BB77" s="17"/>
      <x:c r="BC77" s="18"/>
      <x:c r="BD77" s="18"/>
      <x:c r="BE77" s="19"/>
      <x:c r="BF77" s="22" t="str">
        <x:f>IF(A77="","",IF(BI77&gt;=ReadyThreshold,"Ready",IF(BI77&gt;=PartialThreshold,"Partial","Not Ready")))</x:f>
      </x:c>
      <x:c r="BG77" s="23" t="str">
        <x:f>IF(A77="","",COUNTA(N77,Q77,R77,S77)/4)</x:f>
      </x:c>
      <x:c r="BH77" s="23" t="str">
        <x:f>IF(A77="","",(COUNTA(U77,V77,AE77)+IF(COUNTA(W77,X77,Y77,Z77,AA77)&gt;0,1,0))/4)</x:f>
      </x:c>
      <x:c r="BI77" s="23" t="str">
        <x:f>IF(A77="","",(COUNTIF(AV77:AZ77,"Available")+0.5*COUNTIF(AV77:AZ77,"Partial")+IF(BD77&lt;&gt;"",1,0))/6)</x:f>
      </x:c>
      <x:c r="BJ77" s="22" t="str">
        <x:f>IF(A77="","",IF(AND(F77="",BD77=""),"Blocked",IF(AND(BG77&gt;=ReadyThreshold,BH77&gt;=ReadyThreshold,BI77&gt;=ReadyThreshold),"Ready for Analysis",IF(AVERAGE(BG77,BH77,BI77)&gt;=PartialThreshold,"Partially Ready","Discovery Required"))))</x:f>
      </x:c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8"/>
      <x:c r="BU77" s="17"/>
      <x:c r="BV77" s="17"/>
    </x:row>
    <x:row r="78">
      <x:c r="A78" s="17"/>
      <x:c r="B78" s="17"/>
      <x:c r="C78" s="17"/>
      <x:c r="D78" s="17"/>
      <x:c r="E78" s="18"/>
      <x:c r="F78" s="18"/>
      <x:c r="G78" s="17"/>
      <x:c r="H78" s="17"/>
      <x:c r="I78" s="19"/>
      <x:c r="J78" s="19"/>
      <x:c r="K78" s="17"/>
      <x:c r="L78" s="19"/>
      <x:c r="M78" s="17"/>
      <x:c r="N78" s="18"/>
      <x:c r="O78" s="18"/>
      <x:c r="P78" s="17"/>
      <x:c r="Q78" s="17"/>
      <x:c r="R78" s="17"/>
      <x:c r="S78" s="17"/>
      <x:c r="T78" s="17"/>
      <x:c r="U78" s="18"/>
      <x:c r="V78" s="18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20"/>
      <x:c r="AJ78" s="21"/>
      <x:c r="AK78" s="21"/>
      <x:c r="AL78" s="17"/>
      <x:c r="AM78" s="17"/>
      <x:c r="AN78" s="21"/>
      <x:c r="AO78" s="17"/>
      <x:c r="AP78" s="17"/>
      <x:c r="AQ78" s="17"/>
      <x:c r="AR78" s="17"/>
      <x:c r="AS78" s="17"/>
      <x:c r="AT78" s="17"/>
      <x:c r="AU78" s="18"/>
      <x:c r="AV78" s="17"/>
      <x:c r="AW78" s="17"/>
      <x:c r="AX78" s="17"/>
      <x:c r="AY78" s="17"/>
      <x:c r="AZ78" s="17"/>
      <x:c r="BA78" s="17"/>
      <x:c r="BB78" s="17"/>
      <x:c r="BC78" s="18"/>
      <x:c r="BD78" s="18"/>
      <x:c r="BE78" s="19"/>
      <x:c r="BF78" s="22" t="str">
        <x:f>IF(A78="","",IF(BI78&gt;=ReadyThreshold,"Ready",IF(BI78&gt;=PartialThreshold,"Partial","Not Ready")))</x:f>
      </x:c>
      <x:c r="BG78" s="23" t="str">
        <x:f>IF(A78="","",COUNTA(N78,Q78,R78,S78)/4)</x:f>
      </x:c>
      <x:c r="BH78" s="23" t="str">
        <x:f>IF(A78="","",(COUNTA(U78,V78,AE78)+IF(COUNTA(W78,X78,Y78,Z78,AA78)&gt;0,1,0))/4)</x:f>
      </x:c>
      <x:c r="BI78" s="23" t="str">
        <x:f>IF(A78="","",(COUNTIF(AV78:AZ78,"Available")+0.5*COUNTIF(AV78:AZ78,"Partial")+IF(BD78&lt;&gt;"",1,0))/6)</x:f>
      </x:c>
      <x:c r="BJ78" s="22" t="str">
        <x:f>IF(A78="","",IF(AND(F78="",BD78=""),"Blocked",IF(AND(BG78&gt;=ReadyThreshold,BH78&gt;=ReadyThreshold,BI78&gt;=ReadyThreshold),"Ready for Analysis",IF(AVERAGE(BG78,BH78,BI78)&gt;=PartialThreshold,"Partially Ready","Discovery Required"))))</x:f>
      </x:c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8"/>
      <x:c r="BU78" s="17"/>
      <x:c r="BV78" s="17"/>
    </x:row>
    <x:row r="79">
      <x:c r="A79" s="17"/>
      <x:c r="B79" s="17"/>
      <x:c r="C79" s="17"/>
      <x:c r="D79" s="17"/>
      <x:c r="E79" s="18"/>
      <x:c r="F79" s="18"/>
      <x:c r="G79" s="17"/>
      <x:c r="H79" s="17"/>
      <x:c r="I79" s="19"/>
      <x:c r="J79" s="19"/>
      <x:c r="K79" s="17"/>
      <x:c r="L79" s="19"/>
      <x:c r="M79" s="17"/>
      <x:c r="N79" s="18"/>
      <x:c r="O79" s="18"/>
      <x:c r="P79" s="17"/>
      <x:c r="Q79" s="17"/>
      <x:c r="R79" s="17"/>
      <x:c r="S79" s="17"/>
      <x:c r="T79" s="17"/>
      <x:c r="U79" s="18"/>
      <x:c r="V79" s="18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20"/>
      <x:c r="AJ79" s="21"/>
      <x:c r="AK79" s="21"/>
      <x:c r="AL79" s="17"/>
      <x:c r="AM79" s="17"/>
      <x:c r="AN79" s="21"/>
      <x:c r="AO79" s="17"/>
      <x:c r="AP79" s="17"/>
      <x:c r="AQ79" s="17"/>
      <x:c r="AR79" s="17"/>
      <x:c r="AS79" s="17"/>
      <x:c r="AT79" s="17"/>
      <x:c r="AU79" s="18"/>
      <x:c r="AV79" s="17"/>
      <x:c r="AW79" s="17"/>
      <x:c r="AX79" s="17"/>
      <x:c r="AY79" s="17"/>
      <x:c r="AZ79" s="17"/>
      <x:c r="BA79" s="17"/>
      <x:c r="BB79" s="17"/>
      <x:c r="BC79" s="18"/>
      <x:c r="BD79" s="18"/>
      <x:c r="BE79" s="19"/>
      <x:c r="BF79" s="22" t="str">
        <x:f>IF(A79="","",IF(BI79&gt;=ReadyThreshold,"Ready",IF(BI79&gt;=PartialThreshold,"Partial","Not Ready")))</x:f>
      </x:c>
      <x:c r="BG79" s="23" t="str">
        <x:f>IF(A79="","",COUNTA(N79,Q79,R79,S79)/4)</x:f>
      </x:c>
      <x:c r="BH79" s="23" t="str">
        <x:f>IF(A79="","",(COUNTA(U79,V79,AE79)+IF(COUNTA(W79,X79,Y79,Z79,AA79)&gt;0,1,0))/4)</x:f>
      </x:c>
      <x:c r="BI79" s="23" t="str">
        <x:f>IF(A79="","",(COUNTIF(AV79:AZ79,"Available")+0.5*COUNTIF(AV79:AZ79,"Partial")+IF(BD79&lt;&gt;"",1,0))/6)</x:f>
      </x:c>
      <x:c r="BJ79" s="22" t="str">
        <x:f>IF(A79="","",IF(AND(F79="",BD79=""),"Blocked",IF(AND(BG79&gt;=ReadyThreshold,BH79&gt;=ReadyThreshold,BI79&gt;=ReadyThreshold),"Ready for Analysis",IF(AVERAGE(BG79,BH79,BI79)&gt;=PartialThreshold,"Partially Ready","Discovery Required"))))</x:f>
      </x:c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8"/>
      <x:c r="BU79" s="17"/>
      <x:c r="BV79" s="17"/>
    </x:row>
    <x:row r="80">
      <x:c r="A80" s="17"/>
      <x:c r="B80" s="17"/>
      <x:c r="C80" s="17"/>
      <x:c r="D80" s="17"/>
      <x:c r="E80" s="18"/>
      <x:c r="F80" s="18"/>
      <x:c r="G80" s="17"/>
      <x:c r="H80" s="17"/>
      <x:c r="I80" s="19"/>
      <x:c r="J80" s="19"/>
      <x:c r="K80" s="17"/>
      <x:c r="L80" s="19"/>
      <x:c r="M80" s="17"/>
      <x:c r="N80" s="18"/>
      <x:c r="O80" s="18"/>
      <x:c r="P80" s="17"/>
      <x:c r="Q80" s="17"/>
      <x:c r="R80" s="17"/>
      <x:c r="S80" s="17"/>
      <x:c r="T80" s="17"/>
      <x:c r="U80" s="18"/>
      <x:c r="V80" s="18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20"/>
      <x:c r="AJ80" s="21"/>
      <x:c r="AK80" s="21"/>
      <x:c r="AL80" s="17"/>
      <x:c r="AM80" s="17"/>
      <x:c r="AN80" s="21"/>
      <x:c r="AO80" s="17"/>
      <x:c r="AP80" s="17"/>
      <x:c r="AQ80" s="17"/>
      <x:c r="AR80" s="17"/>
      <x:c r="AS80" s="17"/>
      <x:c r="AT80" s="17"/>
      <x:c r="AU80" s="18"/>
      <x:c r="AV80" s="17"/>
      <x:c r="AW80" s="17"/>
      <x:c r="AX80" s="17"/>
      <x:c r="AY80" s="17"/>
      <x:c r="AZ80" s="17"/>
      <x:c r="BA80" s="17"/>
      <x:c r="BB80" s="17"/>
      <x:c r="BC80" s="18"/>
      <x:c r="BD80" s="18"/>
      <x:c r="BE80" s="19"/>
      <x:c r="BF80" s="22" t="str">
        <x:f>IF(A80="","",IF(BI80&gt;=ReadyThreshold,"Ready",IF(BI80&gt;=PartialThreshold,"Partial","Not Ready")))</x:f>
      </x:c>
      <x:c r="BG80" s="23" t="str">
        <x:f>IF(A80="","",COUNTA(N80,Q80,R80,S80)/4)</x:f>
      </x:c>
      <x:c r="BH80" s="23" t="str">
        <x:f>IF(A80="","",(COUNTA(U80,V80,AE80)+IF(COUNTA(W80,X80,Y80,Z80,AA80)&gt;0,1,0))/4)</x:f>
      </x:c>
      <x:c r="BI80" s="23" t="str">
        <x:f>IF(A80="","",(COUNTIF(AV80:AZ80,"Available")+0.5*COUNTIF(AV80:AZ80,"Partial")+IF(BD80&lt;&gt;"",1,0))/6)</x:f>
      </x:c>
      <x:c r="BJ80" s="22" t="str">
        <x:f>IF(A80="","",IF(AND(F80="",BD80=""),"Blocked",IF(AND(BG80&gt;=ReadyThreshold,BH80&gt;=ReadyThreshold,BI80&gt;=ReadyThreshold),"Ready for Analysis",IF(AVERAGE(BG80,BH80,BI80)&gt;=PartialThreshold,"Partially Ready","Discovery Required"))))</x:f>
      </x:c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8"/>
      <x:c r="BU80" s="17"/>
      <x:c r="BV80" s="17"/>
    </x:row>
    <x:row r="81">
      <x:c r="A81" s="17"/>
      <x:c r="B81" s="17"/>
      <x:c r="C81" s="17"/>
      <x:c r="D81" s="17"/>
      <x:c r="E81" s="18"/>
      <x:c r="F81" s="18"/>
      <x:c r="G81" s="17"/>
      <x:c r="H81" s="17"/>
      <x:c r="I81" s="19"/>
      <x:c r="J81" s="19"/>
      <x:c r="K81" s="17"/>
      <x:c r="L81" s="19"/>
      <x:c r="M81" s="17"/>
      <x:c r="N81" s="18"/>
      <x:c r="O81" s="18"/>
      <x:c r="P81" s="17"/>
      <x:c r="Q81" s="17"/>
      <x:c r="R81" s="17"/>
      <x:c r="S81" s="17"/>
      <x:c r="T81" s="17"/>
      <x:c r="U81" s="18"/>
      <x:c r="V81" s="18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20"/>
      <x:c r="AJ81" s="21"/>
      <x:c r="AK81" s="21"/>
      <x:c r="AL81" s="17"/>
      <x:c r="AM81" s="17"/>
      <x:c r="AN81" s="21"/>
      <x:c r="AO81" s="17"/>
      <x:c r="AP81" s="17"/>
      <x:c r="AQ81" s="17"/>
      <x:c r="AR81" s="17"/>
      <x:c r="AS81" s="17"/>
      <x:c r="AT81" s="17"/>
      <x:c r="AU81" s="18"/>
      <x:c r="AV81" s="17"/>
      <x:c r="AW81" s="17"/>
      <x:c r="AX81" s="17"/>
      <x:c r="AY81" s="17"/>
      <x:c r="AZ81" s="17"/>
      <x:c r="BA81" s="17"/>
      <x:c r="BB81" s="17"/>
      <x:c r="BC81" s="18"/>
      <x:c r="BD81" s="18"/>
      <x:c r="BE81" s="19"/>
      <x:c r="BF81" s="22" t="str">
        <x:f>IF(A81="","",IF(BI81&gt;=ReadyThreshold,"Ready",IF(BI81&gt;=PartialThreshold,"Partial","Not Ready")))</x:f>
      </x:c>
      <x:c r="BG81" s="23" t="str">
        <x:f>IF(A81="","",COUNTA(N81,Q81,R81,S81)/4)</x:f>
      </x:c>
      <x:c r="BH81" s="23" t="str">
        <x:f>IF(A81="","",(COUNTA(U81,V81,AE81)+IF(COUNTA(W81,X81,Y81,Z81,AA81)&gt;0,1,0))/4)</x:f>
      </x:c>
      <x:c r="BI81" s="23" t="str">
        <x:f>IF(A81="","",(COUNTIF(AV81:AZ81,"Available")+0.5*COUNTIF(AV81:AZ81,"Partial")+IF(BD81&lt;&gt;"",1,0))/6)</x:f>
      </x:c>
      <x:c r="BJ81" s="22" t="str">
        <x:f>IF(A81="","",IF(AND(F81="",BD81=""),"Blocked",IF(AND(BG81&gt;=ReadyThreshold,BH81&gt;=ReadyThreshold,BI81&gt;=ReadyThreshold),"Ready for Analysis",IF(AVERAGE(BG81,BH81,BI81)&gt;=PartialThreshold,"Partially Ready","Discovery Required"))))</x:f>
      </x:c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8"/>
      <x:c r="BU81" s="17"/>
      <x:c r="BV81" s="17"/>
    </x:row>
    <x:row r="82">
      <x:c r="A82" s="17"/>
      <x:c r="B82" s="17"/>
      <x:c r="C82" s="17"/>
      <x:c r="D82" s="17"/>
      <x:c r="E82" s="18"/>
      <x:c r="F82" s="18"/>
      <x:c r="G82" s="17"/>
      <x:c r="H82" s="17"/>
      <x:c r="I82" s="19"/>
      <x:c r="J82" s="19"/>
      <x:c r="K82" s="17"/>
      <x:c r="L82" s="19"/>
      <x:c r="M82" s="17"/>
      <x:c r="N82" s="18"/>
      <x:c r="O82" s="18"/>
      <x:c r="P82" s="17"/>
      <x:c r="Q82" s="17"/>
      <x:c r="R82" s="17"/>
      <x:c r="S82" s="17"/>
      <x:c r="T82" s="17"/>
      <x:c r="U82" s="18"/>
      <x:c r="V82" s="18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20"/>
      <x:c r="AJ82" s="21"/>
      <x:c r="AK82" s="21"/>
      <x:c r="AL82" s="17"/>
      <x:c r="AM82" s="17"/>
      <x:c r="AN82" s="21"/>
      <x:c r="AO82" s="17"/>
      <x:c r="AP82" s="17"/>
      <x:c r="AQ82" s="17"/>
      <x:c r="AR82" s="17"/>
      <x:c r="AS82" s="17"/>
      <x:c r="AT82" s="17"/>
      <x:c r="AU82" s="18"/>
      <x:c r="AV82" s="17"/>
      <x:c r="AW82" s="17"/>
      <x:c r="AX82" s="17"/>
      <x:c r="AY82" s="17"/>
      <x:c r="AZ82" s="17"/>
      <x:c r="BA82" s="17"/>
      <x:c r="BB82" s="17"/>
      <x:c r="BC82" s="18"/>
      <x:c r="BD82" s="18"/>
      <x:c r="BE82" s="19"/>
      <x:c r="BF82" s="22" t="str">
        <x:f>IF(A82="","",IF(BI82&gt;=ReadyThreshold,"Ready",IF(BI82&gt;=PartialThreshold,"Partial","Not Ready")))</x:f>
      </x:c>
      <x:c r="BG82" s="23" t="str">
        <x:f>IF(A82="","",COUNTA(N82,Q82,R82,S82)/4)</x:f>
      </x:c>
      <x:c r="BH82" s="23" t="str">
        <x:f>IF(A82="","",(COUNTA(U82,V82,AE82)+IF(COUNTA(W82,X82,Y82,Z82,AA82)&gt;0,1,0))/4)</x:f>
      </x:c>
      <x:c r="BI82" s="23" t="str">
        <x:f>IF(A82="","",(COUNTIF(AV82:AZ82,"Available")+0.5*COUNTIF(AV82:AZ82,"Partial")+IF(BD82&lt;&gt;"",1,0))/6)</x:f>
      </x:c>
      <x:c r="BJ82" s="22" t="str">
        <x:f>IF(A82="","",IF(AND(F82="",BD82=""),"Blocked",IF(AND(BG82&gt;=ReadyThreshold,BH82&gt;=ReadyThreshold,BI82&gt;=ReadyThreshold),"Ready for Analysis",IF(AVERAGE(BG82,BH82,BI82)&gt;=PartialThreshold,"Partially Ready","Discovery Required"))))</x:f>
      </x:c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8"/>
      <x:c r="BU82" s="17"/>
      <x:c r="BV82" s="17"/>
    </x:row>
    <x:row r="83">
      <x:c r="A83" s="17"/>
      <x:c r="B83" s="17"/>
      <x:c r="C83" s="17"/>
      <x:c r="D83" s="17"/>
      <x:c r="E83" s="18"/>
      <x:c r="F83" s="18"/>
      <x:c r="G83" s="17"/>
      <x:c r="H83" s="17"/>
      <x:c r="I83" s="19"/>
      <x:c r="J83" s="19"/>
      <x:c r="K83" s="17"/>
      <x:c r="L83" s="19"/>
      <x:c r="M83" s="17"/>
      <x:c r="N83" s="18"/>
      <x:c r="O83" s="18"/>
      <x:c r="P83" s="17"/>
      <x:c r="Q83" s="17"/>
      <x:c r="R83" s="17"/>
      <x:c r="S83" s="17"/>
      <x:c r="T83" s="17"/>
      <x:c r="U83" s="18"/>
      <x:c r="V83" s="18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20"/>
      <x:c r="AJ83" s="21"/>
      <x:c r="AK83" s="21"/>
      <x:c r="AL83" s="17"/>
      <x:c r="AM83" s="17"/>
      <x:c r="AN83" s="21"/>
      <x:c r="AO83" s="17"/>
      <x:c r="AP83" s="17"/>
      <x:c r="AQ83" s="17"/>
      <x:c r="AR83" s="17"/>
      <x:c r="AS83" s="17"/>
      <x:c r="AT83" s="17"/>
      <x:c r="AU83" s="18"/>
      <x:c r="AV83" s="17"/>
      <x:c r="AW83" s="17"/>
      <x:c r="AX83" s="17"/>
      <x:c r="AY83" s="17"/>
      <x:c r="AZ83" s="17"/>
      <x:c r="BA83" s="17"/>
      <x:c r="BB83" s="17"/>
      <x:c r="BC83" s="18"/>
      <x:c r="BD83" s="18"/>
      <x:c r="BE83" s="19"/>
      <x:c r="BF83" s="22" t="str">
        <x:f>IF(A83="","",IF(BI83&gt;=ReadyThreshold,"Ready",IF(BI83&gt;=PartialThreshold,"Partial","Not Ready")))</x:f>
      </x:c>
      <x:c r="BG83" s="23" t="str">
        <x:f>IF(A83="","",COUNTA(N83,Q83,R83,S83)/4)</x:f>
      </x:c>
      <x:c r="BH83" s="23" t="str">
        <x:f>IF(A83="","",(COUNTA(U83,V83,AE83)+IF(COUNTA(W83,X83,Y83,Z83,AA83)&gt;0,1,0))/4)</x:f>
      </x:c>
      <x:c r="BI83" s="23" t="str">
        <x:f>IF(A83="","",(COUNTIF(AV83:AZ83,"Available")+0.5*COUNTIF(AV83:AZ83,"Partial")+IF(BD83&lt;&gt;"",1,0))/6)</x:f>
      </x:c>
      <x:c r="BJ83" s="22" t="str">
        <x:f>IF(A83="","",IF(AND(F83="",BD83=""),"Blocked",IF(AND(BG83&gt;=ReadyThreshold,BH83&gt;=ReadyThreshold,BI83&gt;=ReadyThreshold),"Ready for Analysis",IF(AVERAGE(BG83,BH83,BI83)&gt;=PartialThreshold,"Partially Ready","Discovery Required"))))</x:f>
      </x:c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8"/>
      <x:c r="BU83" s="17"/>
      <x:c r="BV83" s="17"/>
    </x:row>
    <x:row r="84">
      <x:c r="A84" s="17"/>
      <x:c r="B84" s="17"/>
      <x:c r="C84" s="17"/>
      <x:c r="D84" s="17"/>
      <x:c r="E84" s="18"/>
      <x:c r="F84" s="18"/>
      <x:c r="G84" s="17"/>
      <x:c r="H84" s="17"/>
      <x:c r="I84" s="19"/>
      <x:c r="J84" s="19"/>
      <x:c r="K84" s="17"/>
      <x:c r="L84" s="19"/>
      <x:c r="M84" s="17"/>
      <x:c r="N84" s="18"/>
      <x:c r="O84" s="18"/>
      <x:c r="P84" s="17"/>
      <x:c r="Q84" s="17"/>
      <x:c r="R84" s="17"/>
      <x:c r="S84" s="17"/>
      <x:c r="T84" s="17"/>
      <x:c r="U84" s="18"/>
      <x:c r="V84" s="18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20"/>
      <x:c r="AJ84" s="21"/>
      <x:c r="AK84" s="21"/>
      <x:c r="AL84" s="17"/>
      <x:c r="AM84" s="17"/>
      <x:c r="AN84" s="21"/>
      <x:c r="AO84" s="17"/>
      <x:c r="AP84" s="17"/>
      <x:c r="AQ84" s="17"/>
      <x:c r="AR84" s="17"/>
      <x:c r="AS84" s="17"/>
      <x:c r="AT84" s="17"/>
      <x:c r="AU84" s="18"/>
      <x:c r="AV84" s="17"/>
      <x:c r="AW84" s="17"/>
      <x:c r="AX84" s="17"/>
      <x:c r="AY84" s="17"/>
      <x:c r="AZ84" s="17"/>
      <x:c r="BA84" s="17"/>
      <x:c r="BB84" s="17"/>
      <x:c r="BC84" s="18"/>
      <x:c r="BD84" s="18"/>
      <x:c r="BE84" s="19"/>
      <x:c r="BF84" s="22" t="str">
        <x:f>IF(A84="","",IF(BI84&gt;=ReadyThreshold,"Ready",IF(BI84&gt;=PartialThreshold,"Partial","Not Ready")))</x:f>
      </x:c>
      <x:c r="BG84" s="23" t="str">
        <x:f>IF(A84="","",COUNTA(N84,Q84,R84,S84)/4)</x:f>
      </x:c>
      <x:c r="BH84" s="23" t="str">
        <x:f>IF(A84="","",(COUNTA(U84,V84,AE84)+IF(COUNTA(W84,X84,Y84,Z84,AA84)&gt;0,1,0))/4)</x:f>
      </x:c>
      <x:c r="BI84" s="23" t="str">
        <x:f>IF(A84="","",(COUNTIF(AV84:AZ84,"Available")+0.5*COUNTIF(AV84:AZ84,"Partial")+IF(BD84&lt;&gt;"",1,0))/6)</x:f>
      </x:c>
      <x:c r="BJ84" s="22" t="str">
        <x:f>IF(A84="","",IF(AND(F84="",BD84=""),"Blocked",IF(AND(BG84&gt;=ReadyThreshold,BH84&gt;=ReadyThreshold,BI84&gt;=ReadyThreshold),"Ready for Analysis",IF(AVERAGE(BG84,BH84,BI84)&gt;=PartialThreshold,"Partially Ready","Discovery Required"))))</x:f>
      </x:c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8"/>
      <x:c r="BU84" s="17"/>
      <x:c r="BV84" s="17"/>
    </x:row>
    <x:row r="85">
      <x:c r="A85" s="17"/>
      <x:c r="B85" s="17"/>
      <x:c r="C85" s="17"/>
      <x:c r="D85" s="17"/>
      <x:c r="E85" s="18"/>
      <x:c r="F85" s="18"/>
      <x:c r="G85" s="17"/>
      <x:c r="H85" s="17"/>
      <x:c r="I85" s="19"/>
      <x:c r="J85" s="19"/>
      <x:c r="K85" s="17"/>
      <x:c r="L85" s="19"/>
      <x:c r="M85" s="17"/>
      <x:c r="N85" s="18"/>
      <x:c r="O85" s="18"/>
      <x:c r="P85" s="17"/>
      <x:c r="Q85" s="17"/>
      <x:c r="R85" s="17"/>
      <x:c r="S85" s="17"/>
      <x:c r="T85" s="17"/>
      <x:c r="U85" s="18"/>
      <x:c r="V85" s="18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20"/>
      <x:c r="AJ85" s="21"/>
      <x:c r="AK85" s="21"/>
      <x:c r="AL85" s="17"/>
      <x:c r="AM85" s="17"/>
      <x:c r="AN85" s="21"/>
      <x:c r="AO85" s="17"/>
      <x:c r="AP85" s="17"/>
      <x:c r="AQ85" s="17"/>
      <x:c r="AR85" s="17"/>
      <x:c r="AS85" s="17"/>
      <x:c r="AT85" s="17"/>
      <x:c r="AU85" s="18"/>
      <x:c r="AV85" s="17"/>
      <x:c r="AW85" s="17"/>
      <x:c r="AX85" s="17"/>
      <x:c r="AY85" s="17"/>
      <x:c r="AZ85" s="17"/>
      <x:c r="BA85" s="17"/>
      <x:c r="BB85" s="17"/>
      <x:c r="BC85" s="18"/>
      <x:c r="BD85" s="18"/>
      <x:c r="BE85" s="19"/>
      <x:c r="BF85" s="22" t="str">
        <x:f>IF(A85="","",IF(BI85&gt;=ReadyThreshold,"Ready",IF(BI85&gt;=PartialThreshold,"Partial","Not Ready")))</x:f>
      </x:c>
      <x:c r="BG85" s="23" t="str">
        <x:f>IF(A85="","",COUNTA(N85,Q85,R85,S85)/4)</x:f>
      </x:c>
      <x:c r="BH85" s="23" t="str">
        <x:f>IF(A85="","",(COUNTA(U85,V85,AE85)+IF(COUNTA(W85,X85,Y85,Z85,AA85)&gt;0,1,0))/4)</x:f>
      </x:c>
      <x:c r="BI85" s="23" t="str">
        <x:f>IF(A85="","",(COUNTIF(AV85:AZ85,"Available")+0.5*COUNTIF(AV85:AZ85,"Partial")+IF(BD85&lt;&gt;"",1,0))/6)</x:f>
      </x:c>
      <x:c r="BJ85" s="22" t="str">
        <x:f>IF(A85="","",IF(AND(F85="",BD85=""),"Blocked",IF(AND(BG85&gt;=ReadyThreshold,BH85&gt;=ReadyThreshold,BI85&gt;=ReadyThreshold),"Ready for Analysis",IF(AVERAGE(BG85,BH85,BI85)&gt;=PartialThreshold,"Partially Ready","Discovery Required"))))</x:f>
      </x:c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8"/>
      <x:c r="BU85" s="17"/>
      <x:c r="BV85" s="17"/>
    </x:row>
    <x:row r="86">
      <x:c r="A86" s="17"/>
      <x:c r="B86" s="17"/>
      <x:c r="C86" s="17"/>
      <x:c r="D86" s="17"/>
      <x:c r="E86" s="18"/>
      <x:c r="F86" s="18"/>
      <x:c r="G86" s="17"/>
      <x:c r="H86" s="17"/>
      <x:c r="I86" s="19"/>
      <x:c r="J86" s="19"/>
      <x:c r="K86" s="17"/>
      <x:c r="L86" s="19"/>
      <x:c r="M86" s="17"/>
      <x:c r="N86" s="18"/>
      <x:c r="O86" s="18"/>
      <x:c r="P86" s="17"/>
      <x:c r="Q86" s="17"/>
      <x:c r="R86" s="17"/>
      <x:c r="S86" s="17"/>
      <x:c r="T86" s="17"/>
      <x:c r="U86" s="18"/>
      <x:c r="V86" s="18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20"/>
      <x:c r="AJ86" s="21"/>
      <x:c r="AK86" s="21"/>
      <x:c r="AL86" s="17"/>
      <x:c r="AM86" s="17"/>
      <x:c r="AN86" s="21"/>
      <x:c r="AO86" s="17"/>
      <x:c r="AP86" s="17"/>
      <x:c r="AQ86" s="17"/>
      <x:c r="AR86" s="17"/>
      <x:c r="AS86" s="17"/>
      <x:c r="AT86" s="17"/>
      <x:c r="AU86" s="18"/>
      <x:c r="AV86" s="17"/>
      <x:c r="AW86" s="17"/>
      <x:c r="AX86" s="17"/>
      <x:c r="AY86" s="17"/>
      <x:c r="AZ86" s="17"/>
      <x:c r="BA86" s="17"/>
      <x:c r="BB86" s="17"/>
      <x:c r="BC86" s="18"/>
      <x:c r="BD86" s="18"/>
      <x:c r="BE86" s="19"/>
      <x:c r="BF86" s="22" t="str">
        <x:f>IF(A86="","",IF(BI86&gt;=ReadyThreshold,"Ready",IF(BI86&gt;=PartialThreshold,"Partial","Not Ready")))</x:f>
      </x:c>
      <x:c r="BG86" s="23" t="str">
        <x:f>IF(A86="","",COUNTA(N86,Q86,R86,S86)/4)</x:f>
      </x:c>
      <x:c r="BH86" s="23" t="str">
        <x:f>IF(A86="","",(COUNTA(U86,V86,AE86)+IF(COUNTA(W86,X86,Y86,Z86,AA86)&gt;0,1,0))/4)</x:f>
      </x:c>
      <x:c r="BI86" s="23" t="str">
        <x:f>IF(A86="","",(COUNTIF(AV86:AZ86,"Available")+0.5*COUNTIF(AV86:AZ86,"Partial")+IF(BD86&lt;&gt;"",1,0))/6)</x:f>
      </x:c>
      <x:c r="BJ86" s="22" t="str">
        <x:f>IF(A86="","",IF(AND(F86="",BD86=""),"Blocked",IF(AND(BG86&gt;=ReadyThreshold,BH86&gt;=ReadyThreshold,BI86&gt;=ReadyThreshold),"Ready for Analysis",IF(AVERAGE(BG86,BH86,BI86)&gt;=PartialThreshold,"Partially Ready","Discovery Required"))))</x:f>
      </x:c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8"/>
      <x:c r="BU86" s="17"/>
      <x:c r="BV86" s="17"/>
    </x:row>
    <x:row r="87">
      <x:c r="A87" s="17"/>
      <x:c r="B87" s="17"/>
      <x:c r="C87" s="17"/>
      <x:c r="D87" s="17"/>
      <x:c r="E87" s="18"/>
      <x:c r="F87" s="18"/>
      <x:c r="G87" s="17"/>
      <x:c r="H87" s="17"/>
      <x:c r="I87" s="19"/>
      <x:c r="J87" s="19"/>
      <x:c r="K87" s="17"/>
      <x:c r="L87" s="19"/>
      <x:c r="M87" s="17"/>
      <x:c r="N87" s="18"/>
      <x:c r="O87" s="18"/>
      <x:c r="P87" s="17"/>
      <x:c r="Q87" s="17"/>
      <x:c r="R87" s="17"/>
      <x:c r="S87" s="17"/>
      <x:c r="T87" s="17"/>
      <x:c r="U87" s="18"/>
      <x:c r="V87" s="18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20"/>
      <x:c r="AJ87" s="21"/>
      <x:c r="AK87" s="21"/>
      <x:c r="AL87" s="17"/>
      <x:c r="AM87" s="17"/>
      <x:c r="AN87" s="21"/>
      <x:c r="AO87" s="17"/>
      <x:c r="AP87" s="17"/>
      <x:c r="AQ87" s="17"/>
      <x:c r="AR87" s="17"/>
      <x:c r="AS87" s="17"/>
      <x:c r="AT87" s="17"/>
      <x:c r="AU87" s="18"/>
      <x:c r="AV87" s="17"/>
      <x:c r="AW87" s="17"/>
      <x:c r="AX87" s="17"/>
      <x:c r="AY87" s="17"/>
      <x:c r="AZ87" s="17"/>
      <x:c r="BA87" s="17"/>
      <x:c r="BB87" s="17"/>
      <x:c r="BC87" s="18"/>
      <x:c r="BD87" s="18"/>
      <x:c r="BE87" s="19"/>
      <x:c r="BF87" s="22" t="str">
        <x:f>IF(A87="","",IF(BI87&gt;=ReadyThreshold,"Ready",IF(BI87&gt;=PartialThreshold,"Partial","Not Ready")))</x:f>
      </x:c>
      <x:c r="BG87" s="23" t="str">
        <x:f>IF(A87="","",COUNTA(N87,Q87,R87,S87)/4)</x:f>
      </x:c>
      <x:c r="BH87" s="23" t="str">
        <x:f>IF(A87="","",(COUNTA(U87,V87,AE87)+IF(COUNTA(W87,X87,Y87,Z87,AA87)&gt;0,1,0))/4)</x:f>
      </x:c>
      <x:c r="BI87" s="23" t="str">
        <x:f>IF(A87="","",(COUNTIF(AV87:AZ87,"Available")+0.5*COUNTIF(AV87:AZ87,"Partial")+IF(BD87&lt;&gt;"",1,0))/6)</x:f>
      </x:c>
      <x:c r="BJ87" s="22" t="str">
        <x:f>IF(A87="","",IF(AND(F87="",BD87=""),"Blocked",IF(AND(BG87&gt;=ReadyThreshold,BH87&gt;=ReadyThreshold,BI87&gt;=ReadyThreshold),"Ready for Analysis",IF(AVERAGE(BG87,BH87,BI87)&gt;=PartialThreshold,"Partially Ready","Discovery Required"))))</x:f>
      </x:c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8"/>
      <x:c r="BU87" s="17"/>
      <x:c r="BV87" s="17"/>
    </x:row>
    <x:row r="88">
      <x:c r="A88" s="17"/>
      <x:c r="B88" s="17"/>
      <x:c r="C88" s="17"/>
      <x:c r="D88" s="17"/>
      <x:c r="E88" s="18"/>
      <x:c r="F88" s="18"/>
      <x:c r="G88" s="17"/>
      <x:c r="H88" s="17"/>
      <x:c r="I88" s="19"/>
      <x:c r="J88" s="19"/>
      <x:c r="K88" s="17"/>
      <x:c r="L88" s="19"/>
      <x:c r="M88" s="17"/>
      <x:c r="N88" s="18"/>
      <x:c r="O88" s="18"/>
      <x:c r="P88" s="17"/>
      <x:c r="Q88" s="17"/>
      <x:c r="R88" s="17"/>
      <x:c r="S88" s="17"/>
      <x:c r="T88" s="17"/>
      <x:c r="U88" s="18"/>
      <x:c r="V88" s="18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20"/>
      <x:c r="AJ88" s="21"/>
      <x:c r="AK88" s="21"/>
      <x:c r="AL88" s="17"/>
      <x:c r="AM88" s="17"/>
      <x:c r="AN88" s="21"/>
      <x:c r="AO88" s="17"/>
      <x:c r="AP88" s="17"/>
      <x:c r="AQ88" s="17"/>
      <x:c r="AR88" s="17"/>
      <x:c r="AS88" s="17"/>
      <x:c r="AT88" s="17"/>
      <x:c r="AU88" s="18"/>
      <x:c r="AV88" s="17"/>
      <x:c r="AW88" s="17"/>
      <x:c r="AX88" s="17"/>
      <x:c r="AY88" s="17"/>
      <x:c r="AZ88" s="17"/>
      <x:c r="BA88" s="17"/>
      <x:c r="BB88" s="17"/>
      <x:c r="BC88" s="18"/>
      <x:c r="BD88" s="18"/>
      <x:c r="BE88" s="19"/>
      <x:c r="BF88" s="22" t="str">
        <x:f>IF(A88="","",IF(BI88&gt;=ReadyThreshold,"Ready",IF(BI88&gt;=PartialThreshold,"Partial","Not Ready")))</x:f>
      </x:c>
      <x:c r="BG88" s="23" t="str">
        <x:f>IF(A88="","",COUNTA(N88,Q88,R88,S88)/4)</x:f>
      </x:c>
      <x:c r="BH88" s="23" t="str">
        <x:f>IF(A88="","",(COUNTA(U88,V88,AE88)+IF(COUNTA(W88,X88,Y88,Z88,AA88)&gt;0,1,0))/4)</x:f>
      </x:c>
      <x:c r="BI88" s="23" t="str">
        <x:f>IF(A88="","",(COUNTIF(AV88:AZ88,"Available")+0.5*COUNTIF(AV88:AZ88,"Partial")+IF(BD88&lt;&gt;"",1,0))/6)</x:f>
      </x:c>
      <x:c r="BJ88" s="22" t="str">
        <x:f>IF(A88="","",IF(AND(F88="",BD88=""),"Blocked",IF(AND(BG88&gt;=ReadyThreshold,BH88&gt;=ReadyThreshold,BI88&gt;=ReadyThreshold),"Ready for Analysis",IF(AVERAGE(BG88,BH88,BI88)&gt;=PartialThreshold,"Partially Ready","Discovery Required"))))</x:f>
      </x:c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8"/>
      <x:c r="BU88" s="17"/>
      <x:c r="BV88" s="17"/>
    </x:row>
    <x:row r="89">
      <x:c r="A89" s="17"/>
      <x:c r="B89" s="17"/>
      <x:c r="C89" s="17"/>
      <x:c r="D89" s="17"/>
      <x:c r="E89" s="18"/>
      <x:c r="F89" s="18"/>
      <x:c r="G89" s="17"/>
      <x:c r="H89" s="17"/>
      <x:c r="I89" s="19"/>
      <x:c r="J89" s="19"/>
      <x:c r="K89" s="17"/>
      <x:c r="L89" s="19"/>
      <x:c r="M89" s="17"/>
      <x:c r="N89" s="18"/>
      <x:c r="O89" s="18"/>
      <x:c r="P89" s="17"/>
      <x:c r="Q89" s="17"/>
      <x:c r="R89" s="17"/>
      <x:c r="S89" s="17"/>
      <x:c r="T89" s="17"/>
      <x:c r="U89" s="18"/>
      <x:c r="V89" s="18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20"/>
      <x:c r="AJ89" s="21"/>
      <x:c r="AK89" s="21"/>
      <x:c r="AL89" s="17"/>
      <x:c r="AM89" s="17"/>
      <x:c r="AN89" s="21"/>
      <x:c r="AO89" s="17"/>
      <x:c r="AP89" s="17"/>
      <x:c r="AQ89" s="17"/>
      <x:c r="AR89" s="17"/>
      <x:c r="AS89" s="17"/>
      <x:c r="AT89" s="17"/>
      <x:c r="AU89" s="18"/>
      <x:c r="AV89" s="17"/>
      <x:c r="AW89" s="17"/>
      <x:c r="AX89" s="17"/>
      <x:c r="AY89" s="17"/>
      <x:c r="AZ89" s="17"/>
      <x:c r="BA89" s="17"/>
      <x:c r="BB89" s="17"/>
      <x:c r="BC89" s="18"/>
      <x:c r="BD89" s="18"/>
      <x:c r="BE89" s="19"/>
      <x:c r="BF89" s="22" t="str">
        <x:f>IF(A89="","",IF(BI89&gt;=ReadyThreshold,"Ready",IF(BI89&gt;=PartialThreshold,"Partial","Not Ready")))</x:f>
      </x:c>
      <x:c r="BG89" s="23" t="str">
        <x:f>IF(A89="","",COUNTA(N89,Q89,R89,S89)/4)</x:f>
      </x:c>
      <x:c r="BH89" s="23" t="str">
        <x:f>IF(A89="","",(COUNTA(U89,V89,AE89)+IF(COUNTA(W89,X89,Y89,Z89,AA89)&gt;0,1,0))/4)</x:f>
      </x:c>
      <x:c r="BI89" s="23" t="str">
        <x:f>IF(A89="","",(COUNTIF(AV89:AZ89,"Available")+0.5*COUNTIF(AV89:AZ89,"Partial")+IF(BD89&lt;&gt;"",1,0))/6)</x:f>
      </x:c>
      <x:c r="BJ89" s="22" t="str">
        <x:f>IF(A89="","",IF(AND(F89="",BD89=""),"Blocked",IF(AND(BG89&gt;=ReadyThreshold,BH89&gt;=ReadyThreshold,BI89&gt;=ReadyThreshold),"Ready for Analysis",IF(AVERAGE(BG89,BH89,BI89)&gt;=PartialThreshold,"Partially Ready","Discovery Required"))))</x:f>
      </x:c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8"/>
      <x:c r="BU89" s="17"/>
      <x:c r="BV89" s="17"/>
    </x:row>
    <x:row r="90">
      <x:c r="A90" s="17"/>
      <x:c r="B90" s="17"/>
      <x:c r="C90" s="17"/>
      <x:c r="D90" s="17"/>
      <x:c r="E90" s="18"/>
      <x:c r="F90" s="18"/>
      <x:c r="G90" s="17"/>
      <x:c r="H90" s="17"/>
      <x:c r="I90" s="19"/>
      <x:c r="J90" s="19"/>
      <x:c r="K90" s="17"/>
      <x:c r="L90" s="19"/>
      <x:c r="M90" s="17"/>
      <x:c r="N90" s="18"/>
      <x:c r="O90" s="18"/>
      <x:c r="P90" s="17"/>
      <x:c r="Q90" s="17"/>
      <x:c r="R90" s="17"/>
      <x:c r="S90" s="17"/>
      <x:c r="T90" s="17"/>
      <x:c r="U90" s="18"/>
      <x:c r="V90" s="18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20"/>
      <x:c r="AJ90" s="21"/>
      <x:c r="AK90" s="21"/>
      <x:c r="AL90" s="17"/>
      <x:c r="AM90" s="17"/>
      <x:c r="AN90" s="21"/>
      <x:c r="AO90" s="17"/>
      <x:c r="AP90" s="17"/>
      <x:c r="AQ90" s="17"/>
      <x:c r="AR90" s="17"/>
      <x:c r="AS90" s="17"/>
      <x:c r="AT90" s="17"/>
      <x:c r="AU90" s="18"/>
      <x:c r="AV90" s="17"/>
      <x:c r="AW90" s="17"/>
      <x:c r="AX90" s="17"/>
      <x:c r="AY90" s="17"/>
      <x:c r="AZ90" s="17"/>
      <x:c r="BA90" s="17"/>
      <x:c r="BB90" s="17"/>
      <x:c r="BC90" s="18"/>
      <x:c r="BD90" s="18"/>
      <x:c r="BE90" s="19"/>
      <x:c r="BF90" s="22" t="str">
        <x:f>IF(A90="","",IF(BI90&gt;=ReadyThreshold,"Ready",IF(BI90&gt;=PartialThreshold,"Partial","Not Ready")))</x:f>
      </x:c>
      <x:c r="BG90" s="23" t="str">
        <x:f>IF(A90="","",COUNTA(N90,Q90,R90,S90)/4)</x:f>
      </x:c>
      <x:c r="BH90" s="23" t="str">
        <x:f>IF(A90="","",(COUNTA(U90,V90,AE90)+IF(COUNTA(W90,X90,Y90,Z90,AA90)&gt;0,1,0))/4)</x:f>
      </x:c>
      <x:c r="BI90" s="23" t="str">
        <x:f>IF(A90="","",(COUNTIF(AV90:AZ90,"Available")+0.5*COUNTIF(AV90:AZ90,"Partial")+IF(BD90&lt;&gt;"",1,0))/6)</x:f>
      </x:c>
      <x:c r="BJ90" s="22" t="str">
        <x:f>IF(A90="","",IF(AND(F90="",BD90=""),"Blocked",IF(AND(BG90&gt;=ReadyThreshold,BH90&gt;=ReadyThreshold,BI90&gt;=ReadyThreshold),"Ready for Analysis",IF(AVERAGE(BG90,BH90,BI90)&gt;=PartialThreshold,"Partially Ready","Discovery Required"))))</x:f>
      </x:c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8"/>
      <x:c r="BU90" s="17"/>
      <x:c r="BV90" s="17"/>
    </x:row>
    <x:row r="91">
      <x:c r="A91" s="17"/>
      <x:c r="B91" s="17"/>
      <x:c r="C91" s="17"/>
      <x:c r="D91" s="17"/>
      <x:c r="E91" s="18"/>
      <x:c r="F91" s="18"/>
      <x:c r="G91" s="17"/>
      <x:c r="H91" s="17"/>
      <x:c r="I91" s="19"/>
      <x:c r="J91" s="19"/>
      <x:c r="K91" s="17"/>
      <x:c r="L91" s="19"/>
      <x:c r="M91" s="17"/>
      <x:c r="N91" s="18"/>
      <x:c r="O91" s="18"/>
      <x:c r="P91" s="17"/>
      <x:c r="Q91" s="17"/>
      <x:c r="R91" s="17"/>
      <x:c r="S91" s="17"/>
      <x:c r="T91" s="17"/>
      <x:c r="U91" s="18"/>
      <x:c r="V91" s="18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20"/>
      <x:c r="AJ91" s="21"/>
      <x:c r="AK91" s="21"/>
      <x:c r="AL91" s="17"/>
      <x:c r="AM91" s="17"/>
      <x:c r="AN91" s="21"/>
      <x:c r="AO91" s="17"/>
      <x:c r="AP91" s="17"/>
      <x:c r="AQ91" s="17"/>
      <x:c r="AR91" s="17"/>
      <x:c r="AS91" s="17"/>
      <x:c r="AT91" s="17"/>
      <x:c r="AU91" s="18"/>
      <x:c r="AV91" s="17"/>
      <x:c r="AW91" s="17"/>
      <x:c r="AX91" s="17"/>
      <x:c r="AY91" s="17"/>
      <x:c r="AZ91" s="17"/>
      <x:c r="BA91" s="17"/>
      <x:c r="BB91" s="17"/>
      <x:c r="BC91" s="18"/>
      <x:c r="BD91" s="18"/>
      <x:c r="BE91" s="19"/>
      <x:c r="BF91" s="22" t="str">
        <x:f>IF(A91="","",IF(BI91&gt;=ReadyThreshold,"Ready",IF(BI91&gt;=PartialThreshold,"Partial","Not Ready")))</x:f>
      </x:c>
      <x:c r="BG91" s="23" t="str">
        <x:f>IF(A91="","",COUNTA(N91,Q91,R91,S91)/4)</x:f>
      </x:c>
      <x:c r="BH91" s="23" t="str">
        <x:f>IF(A91="","",(COUNTA(U91,V91,AE91)+IF(COUNTA(W91,X91,Y91,Z91,AA91)&gt;0,1,0))/4)</x:f>
      </x:c>
      <x:c r="BI91" s="23" t="str">
        <x:f>IF(A91="","",(COUNTIF(AV91:AZ91,"Available")+0.5*COUNTIF(AV91:AZ91,"Partial")+IF(BD91&lt;&gt;"",1,0))/6)</x:f>
      </x:c>
      <x:c r="BJ91" s="22" t="str">
        <x:f>IF(A91="","",IF(AND(F91="",BD91=""),"Blocked",IF(AND(BG91&gt;=ReadyThreshold,BH91&gt;=ReadyThreshold,BI91&gt;=ReadyThreshold),"Ready for Analysis",IF(AVERAGE(BG91,BH91,BI91)&gt;=PartialThreshold,"Partially Ready","Discovery Required"))))</x:f>
      </x:c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8"/>
      <x:c r="BU91" s="17"/>
      <x:c r="BV91" s="17"/>
    </x:row>
    <x:row r="92">
      <x:c r="A92" s="17"/>
      <x:c r="B92" s="17"/>
      <x:c r="C92" s="17"/>
      <x:c r="D92" s="17"/>
      <x:c r="E92" s="18"/>
      <x:c r="F92" s="18"/>
      <x:c r="G92" s="17"/>
      <x:c r="H92" s="17"/>
      <x:c r="I92" s="19"/>
      <x:c r="J92" s="19"/>
      <x:c r="K92" s="17"/>
      <x:c r="L92" s="19"/>
      <x:c r="M92" s="17"/>
      <x:c r="N92" s="18"/>
      <x:c r="O92" s="18"/>
      <x:c r="P92" s="17"/>
      <x:c r="Q92" s="17"/>
      <x:c r="R92" s="17"/>
      <x:c r="S92" s="17"/>
      <x:c r="T92" s="17"/>
      <x:c r="U92" s="18"/>
      <x:c r="V92" s="18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20"/>
      <x:c r="AJ92" s="21"/>
      <x:c r="AK92" s="21"/>
      <x:c r="AL92" s="17"/>
      <x:c r="AM92" s="17"/>
      <x:c r="AN92" s="21"/>
      <x:c r="AO92" s="17"/>
      <x:c r="AP92" s="17"/>
      <x:c r="AQ92" s="17"/>
      <x:c r="AR92" s="17"/>
      <x:c r="AS92" s="17"/>
      <x:c r="AT92" s="17"/>
      <x:c r="AU92" s="18"/>
      <x:c r="AV92" s="17"/>
      <x:c r="AW92" s="17"/>
      <x:c r="AX92" s="17"/>
      <x:c r="AY92" s="17"/>
      <x:c r="AZ92" s="17"/>
      <x:c r="BA92" s="17"/>
      <x:c r="BB92" s="17"/>
      <x:c r="BC92" s="18"/>
      <x:c r="BD92" s="18"/>
      <x:c r="BE92" s="19"/>
      <x:c r="BF92" s="22" t="str">
        <x:f>IF(A92="","",IF(BI92&gt;=ReadyThreshold,"Ready",IF(BI92&gt;=PartialThreshold,"Partial","Not Ready")))</x:f>
      </x:c>
      <x:c r="BG92" s="23" t="str">
        <x:f>IF(A92="","",COUNTA(N92,Q92,R92,S92)/4)</x:f>
      </x:c>
      <x:c r="BH92" s="23" t="str">
        <x:f>IF(A92="","",(COUNTA(U92,V92,AE92)+IF(COUNTA(W92,X92,Y92,Z92,AA92)&gt;0,1,0))/4)</x:f>
      </x:c>
      <x:c r="BI92" s="23" t="str">
        <x:f>IF(A92="","",(COUNTIF(AV92:AZ92,"Available")+0.5*COUNTIF(AV92:AZ92,"Partial")+IF(BD92&lt;&gt;"",1,0))/6)</x:f>
      </x:c>
      <x:c r="BJ92" s="22" t="str">
        <x:f>IF(A92="","",IF(AND(F92="",BD92=""),"Blocked",IF(AND(BG92&gt;=ReadyThreshold,BH92&gt;=ReadyThreshold,BI92&gt;=ReadyThreshold),"Ready for Analysis",IF(AVERAGE(BG92,BH92,BI92)&gt;=PartialThreshold,"Partially Ready","Discovery Required"))))</x:f>
      </x:c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8"/>
      <x:c r="BU92" s="17"/>
      <x:c r="BV92" s="17"/>
    </x:row>
    <x:row r="93">
      <x:c r="A93" s="17"/>
      <x:c r="B93" s="17"/>
      <x:c r="C93" s="17"/>
      <x:c r="D93" s="17"/>
      <x:c r="E93" s="18"/>
      <x:c r="F93" s="18"/>
      <x:c r="G93" s="17"/>
      <x:c r="H93" s="17"/>
      <x:c r="I93" s="19"/>
      <x:c r="J93" s="19"/>
      <x:c r="K93" s="17"/>
      <x:c r="L93" s="19"/>
      <x:c r="M93" s="17"/>
      <x:c r="N93" s="18"/>
      <x:c r="O93" s="18"/>
      <x:c r="P93" s="17"/>
      <x:c r="Q93" s="17"/>
      <x:c r="R93" s="17"/>
      <x:c r="S93" s="17"/>
      <x:c r="T93" s="17"/>
      <x:c r="U93" s="18"/>
      <x:c r="V93" s="18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20"/>
      <x:c r="AJ93" s="21"/>
      <x:c r="AK93" s="21"/>
      <x:c r="AL93" s="17"/>
      <x:c r="AM93" s="17"/>
      <x:c r="AN93" s="21"/>
      <x:c r="AO93" s="17"/>
      <x:c r="AP93" s="17"/>
      <x:c r="AQ93" s="17"/>
      <x:c r="AR93" s="17"/>
      <x:c r="AS93" s="17"/>
      <x:c r="AT93" s="17"/>
      <x:c r="AU93" s="18"/>
      <x:c r="AV93" s="17"/>
      <x:c r="AW93" s="17"/>
      <x:c r="AX93" s="17"/>
      <x:c r="AY93" s="17"/>
      <x:c r="AZ93" s="17"/>
      <x:c r="BA93" s="17"/>
      <x:c r="BB93" s="17"/>
      <x:c r="BC93" s="18"/>
      <x:c r="BD93" s="18"/>
      <x:c r="BE93" s="19"/>
      <x:c r="BF93" s="22" t="str">
        <x:f>IF(A93="","",IF(BI93&gt;=ReadyThreshold,"Ready",IF(BI93&gt;=PartialThreshold,"Partial","Not Ready")))</x:f>
      </x:c>
      <x:c r="BG93" s="23" t="str">
        <x:f>IF(A93="","",COUNTA(N93,Q93,R93,S93)/4)</x:f>
      </x:c>
      <x:c r="BH93" s="23" t="str">
        <x:f>IF(A93="","",(COUNTA(U93,V93,AE93)+IF(COUNTA(W93,X93,Y93,Z93,AA93)&gt;0,1,0))/4)</x:f>
      </x:c>
      <x:c r="BI93" s="23" t="str">
        <x:f>IF(A93="","",(COUNTIF(AV93:AZ93,"Available")+0.5*COUNTIF(AV93:AZ93,"Partial")+IF(BD93&lt;&gt;"",1,0))/6)</x:f>
      </x:c>
      <x:c r="BJ93" s="22" t="str">
        <x:f>IF(A93="","",IF(AND(F93="",BD93=""),"Blocked",IF(AND(BG93&gt;=ReadyThreshold,BH93&gt;=ReadyThreshold,BI93&gt;=ReadyThreshold),"Ready for Analysis",IF(AVERAGE(BG93,BH93,BI93)&gt;=PartialThreshold,"Partially Ready","Discovery Required"))))</x:f>
      </x:c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8"/>
      <x:c r="BU93" s="17"/>
      <x:c r="BV93" s="17"/>
    </x:row>
    <x:row r="94">
      <x:c r="A94" s="17"/>
      <x:c r="B94" s="17"/>
      <x:c r="C94" s="17"/>
      <x:c r="D94" s="17"/>
      <x:c r="E94" s="18"/>
      <x:c r="F94" s="18"/>
      <x:c r="G94" s="17"/>
      <x:c r="H94" s="17"/>
      <x:c r="I94" s="19"/>
      <x:c r="J94" s="19"/>
      <x:c r="K94" s="17"/>
      <x:c r="L94" s="19"/>
      <x:c r="M94" s="17"/>
      <x:c r="N94" s="18"/>
      <x:c r="O94" s="18"/>
      <x:c r="P94" s="17"/>
      <x:c r="Q94" s="17"/>
      <x:c r="R94" s="17"/>
      <x:c r="S94" s="17"/>
      <x:c r="T94" s="17"/>
      <x:c r="U94" s="18"/>
      <x:c r="V94" s="18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20"/>
      <x:c r="AJ94" s="21"/>
      <x:c r="AK94" s="21"/>
      <x:c r="AL94" s="17"/>
      <x:c r="AM94" s="17"/>
      <x:c r="AN94" s="21"/>
      <x:c r="AO94" s="17"/>
      <x:c r="AP94" s="17"/>
      <x:c r="AQ94" s="17"/>
      <x:c r="AR94" s="17"/>
      <x:c r="AS94" s="17"/>
      <x:c r="AT94" s="17"/>
      <x:c r="AU94" s="18"/>
      <x:c r="AV94" s="17"/>
      <x:c r="AW94" s="17"/>
      <x:c r="AX94" s="17"/>
      <x:c r="AY94" s="17"/>
      <x:c r="AZ94" s="17"/>
      <x:c r="BA94" s="17"/>
      <x:c r="BB94" s="17"/>
      <x:c r="BC94" s="18"/>
      <x:c r="BD94" s="18"/>
      <x:c r="BE94" s="19"/>
      <x:c r="BF94" s="22" t="str">
        <x:f>IF(A94="","",IF(BI94&gt;=ReadyThreshold,"Ready",IF(BI94&gt;=PartialThreshold,"Partial","Not Ready")))</x:f>
      </x:c>
      <x:c r="BG94" s="23" t="str">
        <x:f>IF(A94="","",COUNTA(N94,Q94,R94,S94)/4)</x:f>
      </x:c>
      <x:c r="BH94" s="23" t="str">
        <x:f>IF(A94="","",(COUNTA(U94,V94,AE94)+IF(COUNTA(W94,X94,Y94,Z94,AA94)&gt;0,1,0))/4)</x:f>
      </x:c>
      <x:c r="BI94" s="23" t="str">
        <x:f>IF(A94="","",(COUNTIF(AV94:AZ94,"Available")+0.5*COUNTIF(AV94:AZ94,"Partial")+IF(BD94&lt;&gt;"",1,0))/6)</x:f>
      </x:c>
      <x:c r="BJ94" s="22" t="str">
        <x:f>IF(A94="","",IF(AND(F94="",BD94=""),"Blocked",IF(AND(BG94&gt;=ReadyThreshold,BH94&gt;=ReadyThreshold,BI94&gt;=ReadyThreshold),"Ready for Analysis",IF(AVERAGE(BG94,BH94,BI94)&gt;=PartialThreshold,"Partially Ready","Discovery Required"))))</x:f>
      </x:c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8"/>
      <x:c r="BU94" s="17"/>
      <x:c r="BV94" s="17"/>
    </x:row>
    <x:row r="95">
      <x:c r="A95" s="17"/>
      <x:c r="B95" s="17"/>
      <x:c r="C95" s="17"/>
      <x:c r="D95" s="17"/>
      <x:c r="E95" s="18"/>
      <x:c r="F95" s="18"/>
      <x:c r="G95" s="17"/>
      <x:c r="H95" s="17"/>
      <x:c r="I95" s="19"/>
      <x:c r="J95" s="19"/>
      <x:c r="K95" s="17"/>
      <x:c r="L95" s="19"/>
      <x:c r="M95" s="17"/>
      <x:c r="N95" s="18"/>
      <x:c r="O95" s="18"/>
      <x:c r="P95" s="17"/>
      <x:c r="Q95" s="17"/>
      <x:c r="R95" s="17"/>
      <x:c r="S95" s="17"/>
      <x:c r="T95" s="17"/>
      <x:c r="U95" s="18"/>
      <x:c r="V95" s="18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20"/>
      <x:c r="AJ95" s="21"/>
      <x:c r="AK95" s="21"/>
      <x:c r="AL95" s="17"/>
      <x:c r="AM95" s="17"/>
      <x:c r="AN95" s="21"/>
      <x:c r="AO95" s="17"/>
      <x:c r="AP95" s="17"/>
      <x:c r="AQ95" s="17"/>
      <x:c r="AR95" s="17"/>
      <x:c r="AS95" s="17"/>
      <x:c r="AT95" s="17"/>
      <x:c r="AU95" s="18"/>
      <x:c r="AV95" s="17"/>
      <x:c r="AW95" s="17"/>
      <x:c r="AX95" s="17"/>
      <x:c r="AY95" s="17"/>
      <x:c r="AZ95" s="17"/>
      <x:c r="BA95" s="17"/>
      <x:c r="BB95" s="17"/>
      <x:c r="BC95" s="18"/>
      <x:c r="BD95" s="18"/>
      <x:c r="BE95" s="19"/>
      <x:c r="BF95" s="22" t="str">
        <x:f>IF(A95="","",IF(BI95&gt;=ReadyThreshold,"Ready",IF(BI95&gt;=PartialThreshold,"Partial","Not Ready")))</x:f>
      </x:c>
      <x:c r="BG95" s="23" t="str">
        <x:f>IF(A95="","",COUNTA(N95,Q95,R95,S95)/4)</x:f>
      </x:c>
      <x:c r="BH95" s="23" t="str">
        <x:f>IF(A95="","",(COUNTA(U95,V95,AE95)+IF(COUNTA(W95,X95,Y95,Z95,AA95)&gt;0,1,0))/4)</x:f>
      </x:c>
      <x:c r="BI95" s="23" t="str">
        <x:f>IF(A95="","",(COUNTIF(AV95:AZ95,"Available")+0.5*COUNTIF(AV95:AZ95,"Partial")+IF(BD95&lt;&gt;"",1,0))/6)</x:f>
      </x:c>
      <x:c r="BJ95" s="22" t="str">
        <x:f>IF(A95="","",IF(AND(F95="",BD95=""),"Blocked",IF(AND(BG95&gt;=ReadyThreshold,BH95&gt;=ReadyThreshold,BI95&gt;=ReadyThreshold),"Ready for Analysis",IF(AVERAGE(BG95,BH95,BI95)&gt;=PartialThreshold,"Partially Ready","Discovery Required"))))</x:f>
      </x:c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8"/>
      <x:c r="BU95" s="17"/>
      <x:c r="BV95" s="17"/>
    </x:row>
    <x:row r="96">
      <x:c r="A96" s="17"/>
      <x:c r="B96" s="17"/>
      <x:c r="C96" s="17"/>
      <x:c r="D96" s="17"/>
      <x:c r="E96" s="18"/>
      <x:c r="F96" s="18"/>
      <x:c r="G96" s="17"/>
      <x:c r="H96" s="17"/>
      <x:c r="I96" s="19"/>
      <x:c r="J96" s="19"/>
      <x:c r="K96" s="17"/>
      <x:c r="L96" s="19"/>
      <x:c r="M96" s="17"/>
      <x:c r="N96" s="18"/>
      <x:c r="O96" s="18"/>
      <x:c r="P96" s="17"/>
      <x:c r="Q96" s="17"/>
      <x:c r="R96" s="17"/>
      <x:c r="S96" s="17"/>
      <x:c r="T96" s="17"/>
      <x:c r="U96" s="18"/>
      <x:c r="V96" s="18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20"/>
      <x:c r="AJ96" s="21"/>
      <x:c r="AK96" s="21"/>
      <x:c r="AL96" s="17"/>
      <x:c r="AM96" s="17"/>
      <x:c r="AN96" s="21"/>
      <x:c r="AO96" s="17"/>
      <x:c r="AP96" s="17"/>
      <x:c r="AQ96" s="17"/>
      <x:c r="AR96" s="17"/>
      <x:c r="AS96" s="17"/>
      <x:c r="AT96" s="17"/>
      <x:c r="AU96" s="18"/>
      <x:c r="AV96" s="17"/>
      <x:c r="AW96" s="17"/>
      <x:c r="AX96" s="17"/>
      <x:c r="AY96" s="17"/>
      <x:c r="AZ96" s="17"/>
      <x:c r="BA96" s="17"/>
      <x:c r="BB96" s="17"/>
      <x:c r="BC96" s="18"/>
      <x:c r="BD96" s="18"/>
      <x:c r="BE96" s="19"/>
      <x:c r="BF96" s="22" t="str">
        <x:f>IF(A96="","",IF(BI96&gt;=ReadyThreshold,"Ready",IF(BI96&gt;=PartialThreshold,"Partial","Not Ready")))</x:f>
      </x:c>
      <x:c r="BG96" s="23" t="str">
        <x:f>IF(A96="","",COUNTA(N96,Q96,R96,S96)/4)</x:f>
      </x:c>
      <x:c r="BH96" s="23" t="str">
        <x:f>IF(A96="","",(COUNTA(U96,V96,AE96)+IF(COUNTA(W96,X96,Y96,Z96,AA96)&gt;0,1,0))/4)</x:f>
      </x:c>
      <x:c r="BI96" s="23" t="str">
        <x:f>IF(A96="","",(COUNTIF(AV96:AZ96,"Available")+0.5*COUNTIF(AV96:AZ96,"Partial")+IF(BD96&lt;&gt;"",1,0))/6)</x:f>
      </x:c>
      <x:c r="BJ96" s="22" t="str">
        <x:f>IF(A96="","",IF(AND(F96="",BD96=""),"Blocked",IF(AND(BG96&gt;=ReadyThreshold,BH96&gt;=ReadyThreshold,BI96&gt;=ReadyThreshold),"Ready for Analysis",IF(AVERAGE(BG96,BH96,BI96)&gt;=PartialThreshold,"Partially Ready","Discovery Required"))))</x:f>
      </x:c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8"/>
      <x:c r="BU96" s="17"/>
      <x:c r="BV96" s="17"/>
    </x:row>
    <x:row r="97">
      <x:c r="A97" s="17"/>
      <x:c r="B97" s="17"/>
      <x:c r="C97" s="17"/>
      <x:c r="D97" s="17"/>
      <x:c r="E97" s="18"/>
      <x:c r="F97" s="18"/>
      <x:c r="G97" s="17"/>
      <x:c r="H97" s="17"/>
      <x:c r="I97" s="19"/>
      <x:c r="J97" s="19"/>
      <x:c r="K97" s="17"/>
      <x:c r="L97" s="19"/>
      <x:c r="M97" s="17"/>
      <x:c r="N97" s="18"/>
      <x:c r="O97" s="18"/>
      <x:c r="P97" s="17"/>
      <x:c r="Q97" s="17"/>
      <x:c r="R97" s="17"/>
      <x:c r="S97" s="17"/>
      <x:c r="T97" s="17"/>
      <x:c r="U97" s="18"/>
      <x:c r="V97" s="18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20"/>
      <x:c r="AJ97" s="21"/>
      <x:c r="AK97" s="21"/>
      <x:c r="AL97" s="17"/>
      <x:c r="AM97" s="17"/>
      <x:c r="AN97" s="21"/>
      <x:c r="AO97" s="17"/>
      <x:c r="AP97" s="17"/>
      <x:c r="AQ97" s="17"/>
      <x:c r="AR97" s="17"/>
      <x:c r="AS97" s="17"/>
      <x:c r="AT97" s="17"/>
      <x:c r="AU97" s="18"/>
      <x:c r="AV97" s="17"/>
      <x:c r="AW97" s="17"/>
      <x:c r="AX97" s="17"/>
      <x:c r="AY97" s="17"/>
      <x:c r="AZ97" s="17"/>
      <x:c r="BA97" s="17"/>
      <x:c r="BB97" s="17"/>
      <x:c r="BC97" s="18"/>
      <x:c r="BD97" s="18"/>
      <x:c r="BE97" s="19"/>
      <x:c r="BF97" s="22" t="str">
        <x:f>IF(A97="","",IF(BI97&gt;=ReadyThreshold,"Ready",IF(BI97&gt;=PartialThreshold,"Partial","Not Ready")))</x:f>
      </x:c>
      <x:c r="BG97" s="23" t="str">
        <x:f>IF(A97="","",COUNTA(N97,Q97,R97,S97)/4)</x:f>
      </x:c>
      <x:c r="BH97" s="23" t="str">
        <x:f>IF(A97="","",(COUNTA(U97,V97,AE97)+IF(COUNTA(W97,X97,Y97,Z97,AA97)&gt;0,1,0))/4)</x:f>
      </x:c>
      <x:c r="BI97" s="23" t="str">
        <x:f>IF(A97="","",(COUNTIF(AV97:AZ97,"Available")+0.5*COUNTIF(AV97:AZ97,"Partial")+IF(BD97&lt;&gt;"",1,0))/6)</x:f>
      </x:c>
      <x:c r="BJ97" s="22" t="str">
        <x:f>IF(A97="","",IF(AND(F97="",BD97=""),"Blocked",IF(AND(BG97&gt;=ReadyThreshold,BH97&gt;=ReadyThreshold,BI97&gt;=ReadyThreshold),"Ready for Analysis",IF(AVERAGE(BG97,BH97,BI97)&gt;=PartialThreshold,"Partially Ready","Discovery Required"))))</x:f>
      </x:c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8"/>
      <x:c r="BU97" s="17"/>
      <x:c r="BV97" s="17"/>
    </x:row>
    <x:row r="98">
      <x:c r="A98" s="17"/>
      <x:c r="B98" s="17"/>
      <x:c r="C98" s="17"/>
      <x:c r="D98" s="17"/>
      <x:c r="E98" s="18"/>
      <x:c r="F98" s="18"/>
      <x:c r="G98" s="17"/>
      <x:c r="H98" s="17"/>
      <x:c r="I98" s="19"/>
      <x:c r="J98" s="19"/>
      <x:c r="K98" s="17"/>
      <x:c r="L98" s="19"/>
      <x:c r="M98" s="17"/>
      <x:c r="N98" s="18"/>
      <x:c r="O98" s="18"/>
      <x:c r="P98" s="17"/>
      <x:c r="Q98" s="17"/>
      <x:c r="R98" s="17"/>
      <x:c r="S98" s="17"/>
      <x:c r="T98" s="17"/>
      <x:c r="U98" s="18"/>
      <x:c r="V98" s="18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20"/>
      <x:c r="AJ98" s="21"/>
      <x:c r="AK98" s="21"/>
      <x:c r="AL98" s="17"/>
      <x:c r="AM98" s="17"/>
      <x:c r="AN98" s="21"/>
      <x:c r="AO98" s="17"/>
      <x:c r="AP98" s="17"/>
      <x:c r="AQ98" s="17"/>
      <x:c r="AR98" s="17"/>
      <x:c r="AS98" s="17"/>
      <x:c r="AT98" s="17"/>
      <x:c r="AU98" s="18"/>
      <x:c r="AV98" s="17"/>
      <x:c r="AW98" s="17"/>
      <x:c r="AX98" s="17"/>
      <x:c r="AY98" s="17"/>
      <x:c r="AZ98" s="17"/>
      <x:c r="BA98" s="17"/>
      <x:c r="BB98" s="17"/>
      <x:c r="BC98" s="18"/>
      <x:c r="BD98" s="18"/>
      <x:c r="BE98" s="19"/>
      <x:c r="BF98" s="22" t="str">
        <x:f>IF(A98="","",IF(BI98&gt;=ReadyThreshold,"Ready",IF(BI98&gt;=PartialThreshold,"Partial","Not Ready")))</x:f>
      </x:c>
      <x:c r="BG98" s="23" t="str">
        <x:f>IF(A98="","",COUNTA(N98,Q98,R98,S98)/4)</x:f>
      </x:c>
      <x:c r="BH98" s="23" t="str">
        <x:f>IF(A98="","",(COUNTA(U98,V98,AE98)+IF(COUNTA(W98,X98,Y98,Z98,AA98)&gt;0,1,0))/4)</x:f>
      </x:c>
      <x:c r="BI98" s="23" t="str">
        <x:f>IF(A98="","",(COUNTIF(AV98:AZ98,"Available")+0.5*COUNTIF(AV98:AZ98,"Partial")+IF(BD98&lt;&gt;"",1,0))/6)</x:f>
      </x:c>
      <x:c r="BJ98" s="22" t="str">
        <x:f>IF(A98="","",IF(AND(F98="",BD98=""),"Blocked",IF(AND(BG98&gt;=ReadyThreshold,BH98&gt;=ReadyThreshold,BI98&gt;=ReadyThreshold),"Ready for Analysis",IF(AVERAGE(BG98,BH98,BI98)&gt;=PartialThreshold,"Partially Ready","Discovery Required"))))</x:f>
      </x:c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8"/>
      <x:c r="BU98" s="17"/>
      <x:c r="BV98" s="17"/>
    </x:row>
    <x:row r="99">
      <x:c r="A99" s="17"/>
      <x:c r="B99" s="17"/>
      <x:c r="C99" s="17"/>
      <x:c r="D99" s="17"/>
      <x:c r="E99" s="18"/>
      <x:c r="F99" s="18"/>
      <x:c r="G99" s="17"/>
      <x:c r="H99" s="17"/>
      <x:c r="I99" s="19"/>
      <x:c r="J99" s="19"/>
      <x:c r="K99" s="17"/>
      <x:c r="L99" s="19"/>
      <x:c r="M99" s="17"/>
      <x:c r="N99" s="18"/>
      <x:c r="O99" s="18"/>
      <x:c r="P99" s="17"/>
      <x:c r="Q99" s="17"/>
      <x:c r="R99" s="17"/>
      <x:c r="S99" s="17"/>
      <x:c r="T99" s="17"/>
      <x:c r="U99" s="18"/>
      <x:c r="V99" s="18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20"/>
      <x:c r="AJ99" s="21"/>
      <x:c r="AK99" s="21"/>
      <x:c r="AL99" s="17"/>
      <x:c r="AM99" s="17"/>
      <x:c r="AN99" s="21"/>
      <x:c r="AO99" s="17"/>
      <x:c r="AP99" s="17"/>
      <x:c r="AQ99" s="17"/>
      <x:c r="AR99" s="17"/>
      <x:c r="AS99" s="17"/>
      <x:c r="AT99" s="17"/>
      <x:c r="AU99" s="18"/>
      <x:c r="AV99" s="17"/>
      <x:c r="AW99" s="17"/>
      <x:c r="AX99" s="17"/>
      <x:c r="AY99" s="17"/>
      <x:c r="AZ99" s="17"/>
      <x:c r="BA99" s="17"/>
      <x:c r="BB99" s="17"/>
      <x:c r="BC99" s="18"/>
      <x:c r="BD99" s="18"/>
      <x:c r="BE99" s="19"/>
      <x:c r="BF99" s="22" t="str">
        <x:f>IF(A99="","",IF(BI99&gt;=ReadyThreshold,"Ready",IF(BI99&gt;=PartialThreshold,"Partial","Not Ready")))</x:f>
      </x:c>
      <x:c r="BG99" s="23" t="str">
        <x:f>IF(A99="","",COUNTA(N99,Q99,R99,S99)/4)</x:f>
      </x:c>
      <x:c r="BH99" s="23" t="str">
        <x:f>IF(A99="","",(COUNTA(U99,V99,AE99)+IF(COUNTA(W99,X99,Y99,Z99,AA99)&gt;0,1,0))/4)</x:f>
      </x:c>
      <x:c r="BI99" s="23" t="str">
        <x:f>IF(A99="","",(COUNTIF(AV99:AZ99,"Available")+0.5*COUNTIF(AV99:AZ99,"Partial")+IF(BD99&lt;&gt;"",1,0))/6)</x:f>
      </x:c>
      <x:c r="BJ99" s="22" t="str">
        <x:f>IF(A99="","",IF(AND(F99="",BD99=""),"Blocked",IF(AND(BG99&gt;=ReadyThreshold,BH99&gt;=ReadyThreshold,BI99&gt;=ReadyThreshold),"Ready for Analysis",IF(AVERAGE(BG99,BH99,BI99)&gt;=PartialThreshold,"Partially Ready","Discovery Required"))))</x:f>
      </x:c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8"/>
      <x:c r="BU99" s="17"/>
      <x:c r="BV99" s="17"/>
    </x:row>
    <x:row r="100">
      <x:c r="A100" s="17"/>
      <x:c r="B100" s="17"/>
      <x:c r="C100" s="17"/>
      <x:c r="D100" s="17"/>
      <x:c r="E100" s="18"/>
      <x:c r="F100" s="18"/>
      <x:c r="G100" s="17"/>
      <x:c r="H100" s="17"/>
      <x:c r="I100" s="19"/>
      <x:c r="J100" s="19"/>
      <x:c r="K100" s="17"/>
      <x:c r="L100" s="19"/>
      <x:c r="M100" s="17"/>
      <x:c r="N100" s="18"/>
      <x:c r="O100" s="18"/>
      <x:c r="P100" s="17"/>
      <x:c r="Q100" s="17"/>
      <x:c r="R100" s="17"/>
      <x:c r="S100" s="17"/>
      <x:c r="T100" s="17"/>
      <x:c r="U100" s="18"/>
      <x:c r="V100" s="18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20"/>
      <x:c r="AJ100" s="21"/>
      <x:c r="AK100" s="21"/>
      <x:c r="AL100" s="17"/>
      <x:c r="AM100" s="17"/>
      <x:c r="AN100" s="21"/>
      <x:c r="AO100" s="17"/>
      <x:c r="AP100" s="17"/>
      <x:c r="AQ100" s="17"/>
      <x:c r="AR100" s="17"/>
      <x:c r="AS100" s="17"/>
      <x:c r="AT100" s="17"/>
      <x:c r="AU100" s="18"/>
      <x:c r="AV100" s="17"/>
      <x:c r="AW100" s="17"/>
      <x:c r="AX100" s="17"/>
      <x:c r="AY100" s="17"/>
      <x:c r="AZ100" s="17"/>
      <x:c r="BA100" s="17"/>
      <x:c r="BB100" s="17"/>
      <x:c r="BC100" s="18"/>
      <x:c r="BD100" s="18"/>
      <x:c r="BE100" s="19"/>
      <x:c r="BF100" s="22" t="str">
        <x:f>IF(A100="","",IF(BI100&gt;=ReadyThreshold,"Ready",IF(BI100&gt;=PartialThreshold,"Partial","Not Ready")))</x:f>
      </x:c>
      <x:c r="BG100" s="23" t="str">
        <x:f>IF(A100="","",COUNTA(N100,Q100,R100,S100)/4)</x:f>
      </x:c>
      <x:c r="BH100" s="23" t="str">
        <x:f>IF(A100="","",(COUNTA(U100,V100,AE100)+IF(COUNTA(W100,X100,Y100,Z100,AA100)&gt;0,1,0))/4)</x:f>
      </x:c>
      <x:c r="BI100" s="23" t="str">
        <x:f>IF(A100="","",(COUNTIF(AV100:AZ100,"Available")+0.5*COUNTIF(AV100:AZ100,"Partial")+IF(BD100&lt;&gt;"",1,0))/6)</x:f>
      </x:c>
      <x:c r="BJ100" s="22" t="str">
        <x:f>IF(A100="","",IF(AND(F100="",BD100=""),"Blocked",IF(AND(BG100&gt;=ReadyThreshold,BH100&gt;=ReadyThreshold,BI100&gt;=ReadyThreshold),"Ready for Analysis",IF(AVERAGE(BG100,BH100,BI100)&gt;=PartialThreshold,"Partially Ready","Discovery Required"))))</x:f>
      </x:c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8"/>
      <x:c r="BU100" s="17"/>
      <x:c r="BV100" s="17"/>
    </x:row>
    <x:row r="101">
      <x:c r="A101" s="17"/>
      <x:c r="B101" s="17"/>
      <x:c r="C101" s="17"/>
      <x:c r="D101" s="17"/>
      <x:c r="E101" s="18"/>
      <x:c r="F101" s="18"/>
      <x:c r="G101" s="17"/>
      <x:c r="H101" s="17"/>
      <x:c r="I101" s="19"/>
      <x:c r="J101" s="19"/>
      <x:c r="K101" s="17"/>
      <x:c r="L101" s="19"/>
      <x:c r="M101" s="17"/>
      <x:c r="N101" s="18"/>
      <x:c r="O101" s="18"/>
      <x:c r="P101" s="17"/>
      <x:c r="Q101" s="17"/>
      <x:c r="R101" s="17"/>
      <x:c r="S101" s="17"/>
      <x:c r="T101" s="17"/>
      <x:c r="U101" s="18"/>
      <x:c r="V101" s="18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20"/>
      <x:c r="AJ101" s="21"/>
      <x:c r="AK101" s="21"/>
      <x:c r="AL101" s="17"/>
      <x:c r="AM101" s="17"/>
      <x:c r="AN101" s="21"/>
      <x:c r="AO101" s="17"/>
      <x:c r="AP101" s="17"/>
      <x:c r="AQ101" s="17"/>
      <x:c r="AR101" s="17"/>
      <x:c r="AS101" s="17"/>
      <x:c r="AT101" s="17"/>
      <x:c r="AU101" s="18"/>
      <x:c r="AV101" s="17"/>
      <x:c r="AW101" s="17"/>
      <x:c r="AX101" s="17"/>
      <x:c r="AY101" s="17"/>
      <x:c r="AZ101" s="17"/>
      <x:c r="BA101" s="17"/>
      <x:c r="BB101" s="17"/>
      <x:c r="BC101" s="18"/>
      <x:c r="BD101" s="18"/>
      <x:c r="BE101" s="19"/>
      <x:c r="BF101" s="22" t="str">
        <x:f>IF(A101="","",IF(BI101&gt;=ReadyThreshold,"Ready",IF(BI101&gt;=PartialThreshold,"Partial","Not Ready")))</x:f>
      </x:c>
      <x:c r="BG101" s="23" t="str">
        <x:f>IF(A101="","",COUNTA(N101,Q101,R101,S101)/4)</x:f>
      </x:c>
      <x:c r="BH101" s="23" t="str">
        <x:f>IF(A101="","",(COUNTA(U101,V101,AE101)+IF(COUNTA(W101,X101,Y101,Z101,AA101)&gt;0,1,0))/4)</x:f>
      </x:c>
      <x:c r="BI101" s="23" t="str">
        <x:f>IF(A101="","",(COUNTIF(AV101:AZ101,"Available")+0.5*COUNTIF(AV101:AZ101,"Partial")+IF(BD101&lt;&gt;"",1,0))/6)</x:f>
      </x:c>
      <x:c r="BJ101" s="22" t="str">
        <x:f>IF(A101="","",IF(AND(F101="",BD101=""),"Blocked",IF(AND(BG101&gt;=ReadyThreshold,BH101&gt;=ReadyThreshold,BI101&gt;=ReadyThreshold),"Ready for Analysis",IF(AVERAGE(BG101,BH101,BI101)&gt;=PartialThreshold,"Partially Ready","Discovery Required"))))</x:f>
      </x:c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8"/>
      <x:c r="BU101" s="17"/>
      <x:c r="BV101" s="17"/>
    </x:row>
    <x:row r="102">
      <x:c r="A102" s="17"/>
      <x:c r="B102" s="17"/>
      <x:c r="C102" s="17"/>
      <x:c r="D102" s="17"/>
      <x:c r="E102" s="18"/>
      <x:c r="F102" s="18"/>
      <x:c r="G102" s="17"/>
      <x:c r="H102" s="17"/>
      <x:c r="I102" s="19"/>
      <x:c r="J102" s="19"/>
      <x:c r="K102" s="17"/>
      <x:c r="L102" s="19"/>
      <x:c r="M102" s="17"/>
      <x:c r="N102" s="18"/>
      <x:c r="O102" s="18"/>
      <x:c r="P102" s="17"/>
      <x:c r="Q102" s="17"/>
      <x:c r="R102" s="17"/>
      <x:c r="S102" s="17"/>
      <x:c r="T102" s="17"/>
      <x:c r="U102" s="18"/>
      <x:c r="V102" s="18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20"/>
      <x:c r="AJ102" s="21"/>
      <x:c r="AK102" s="21"/>
      <x:c r="AL102" s="17"/>
      <x:c r="AM102" s="17"/>
      <x:c r="AN102" s="21"/>
      <x:c r="AO102" s="17"/>
      <x:c r="AP102" s="17"/>
      <x:c r="AQ102" s="17"/>
      <x:c r="AR102" s="17"/>
      <x:c r="AS102" s="17"/>
      <x:c r="AT102" s="17"/>
      <x:c r="AU102" s="18"/>
      <x:c r="AV102" s="17"/>
      <x:c r="AW102" s="17"/>
      <x:c r="AX102" s="17"/>
      <x:c r="AY102" s="17"/>
      <x:c r="AZ102" s="17"/>
      <x:c r="BA102" s="17"/>
      <x:c r="BB102" s="17"/>
      <x:c r="BC102" s="18"/>
      <x:c r="BD102" s="18"/>
      <x:c r="BE102" s="19"/>
      <x:c r="BF102" s="22" t="str">
        <x:f>IF(A102="","",IF(BI102&gt;=ReadyThreshold,"Ready",IF(BI102&gt;=PartialThreshold,"Partial","Not Ready")))</x:f>
      </x:c>
      <x:c r="BG102" s="23" t="str">
        <x:f>IF(A102="","",COUNTA(N102,Q102,R102,S102)/4)</x:f>
      </x:c>
      <x:c r="BH102" s="23" t="str">
        <x:f>IF(A102="","",(COUNTA(U102,V102,AE102)+IF(COUNTA(W102,X102,Y102,Z102,AA102)&gt;0,1,0))/4)</x:f>
      </x:c>
      <x:c r="BI102" s="23" t="str">
        <x:f>IF(A102="","",(COUNTIF(AV102:AZ102,"Available")+0.5*COUNTIF(AV102:AZ102,"Partial")+IF(BD102&lt;&gt;"",1,0))/6)</x:f>
      </x:c>
      <x:c r="BJ102" s="22" t="str">
        <x:f>IF(A102="","",IF(AND(F102="",BD102=""),"Blocked",IF(AND(BG102&gt;=ReadyThreshold,BH102&gt;=ReadyThreshold,BI102&gt;=ReadyThreshold),"Ready for Analysis",IF(AVERAGE(BG102,BH102,BI102)&gt;=PartialThreshold,"Partially Ready","Discovery Required"))))</x:f>
      </x:c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8"/>
      <x:c r="BU102" s="17"/>
      <x:c r="BV102" s="17"/>
    </x:row>
    <x:row r="103">
      <x:c r="A103" s="17"/>
      <x:c r="B103" s="17"/>
      <x:c r="C103" s="17"/>
      <x:c r="D103" s="17"/>
      <x:c r="E103" s="18"/>
      <x:c r="F103" s="18"/>
      <x:c r="G103" s="17"/>
      <x:c r="H103" s="17"/>
      <x:c r="I103" s="19"/>
      <x:c r="J103" s="19"/>
      <x:c r="K103" s="17"/>
      <x:c r="L103" s="19"/>
      <x:c r="M103" s="17"/>
      <x:c r="N103" s="18"/>
      <x:c r="O103" s="18"/>
      <x:c r="P103" s="17"/>
      <x:c r="Q103" s="17"/>
      <x:c r="R103" s="17"/>
      <x:c r="S103" s="17"/>
      <x:c r="T103" s="17"/>
      <x:c r="U103" s="18"/>
      <x:c r="V103" s="18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20"/>
      <x:c r="AJ103" s="21"/>
      <x:c r="AK103" s="21"/>
      <x:c r="AL103" s="17"/>
      <x:c r="AM103" s="17"/>
      <x:c r="AN103" s="21"/>
      <x:c r="AO103" s="17"/>
      <x:c r="AP103" s="17"/>
      <x:c r="AQ103" s="17"/>
      <x:c r="AR103" s="17"/>
      <x:c r="AS103" s="17"/>
      <x:c r="AT103" s="17"/>
      <x:c r="AU103" s="18"/>
      <x:c r="AV103" s="17"/>
      <x:c r="AW103" s="17"/>
      <x:c r="AX103" s="17"/>
      <x:c r="AY103" s="17"/>
      <x:c r="AZ103" s="17"/>
      <x:c r="BA103" s="17"/>
      <x:c r="BB103" s="17"/>
      <x:c r="BC103" s="18"/>
      <x:c r="BD103" s="18"/>
      <x:c r="BE103" s="19"/>
      <x:c r="BF103" s="22" t="str">
        <x:f>IF(A103="","",IF(BI103&gt;=ReadyThreshold,"Ready",IF(BI103&gt;=PartialThreshold,"Partial","Not Ready")))</x:f>
      </x:c>
      <x:c r="BG103" s="23" t="str">
        <x:f>IF(A103="","",COUNTA(N103,Q103,R103,S103)/4)</x:f>
      </x:c>
      <x:c r="BH103" s="23" t="str">
        <x:f>IF(A103="","",(COUNTA(U103,V103,AE103)+IF(COUNTA(W103,X103,Y103,Z103,AA103)&gt;0,1,0))/4)</x:f>
      </x:c>
      <x:c r="BI103" s="23" t="str">
        <x:f>IF(A103="","",(COUNTIF(AV103:AZ103,"Available")+0.5*COUNTIF(AV103:AZ103,"Partial")+IF(BD103&lt;&gt;"",1,0))/6)</x:f>
      </x:c>
      <x:c r="BJ103" s="22" t="str">
        <x:f>IF(A103="","",IF(AND(F103="",BD103=""),"Blocked",IF(AND(BG103&gt;=ReadyThreshold,BH103&gt;=ReadyThreshold,BI103&gt;=ReadyThreshold),"Ready for Analysis",IF(AVERAGE(BG103,BH103,BI103)&gt;=PartialThreshold,"Partially Ready","Discovery Required"))))</x:f>
      </x:c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8"/>
      <x:c r="BU103" s="17"/>
      <x:c r="BV103" s="17"/>
    </x:row>
    <x:row r="104">
      <x:c r="A104" s="17"/>
      <x:c r="B104" s="17"/>
      <x:c r="C104" s="17"/>
      <x:c r="D104" s="17"/>
      <x:c r="E104" s="18"/>
      <x:c r="F104" s="18"/>
      <x:c r="G104" s="17"/>
      <x:c r="H104" s="17"/>
      <x:c r="I104" s="19"/>
      <x:c r="J104" s="19"/>
      <x:c r="K104" s="17"/>
      <x:c r="L104" s="19"/>
      <x:c r="M104" s="17"/>
      <x:c r="N104" s="18"/>
      <x:c r="O104" s="18"/>
      <x:c r="P104" s="17"/>
      <x:c r="Q104" s="17"/>
      <x:c r="R104" s="17"/>
      <x:c r="S104" s="17"/>
      <x:c r="T104" s="17"/>
      <x:c r="U104" s="18"/>
      <x:c r="V104" s="18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20"/>
      <x:c r="AJ104" s="21"/>
      <x:c r="AK104" s="21"/>
      <x:c r="AL104" s="17"/>
      <x:c r="AM104" s="17"/>
      <x:c r="AN104" s="21"/>
      <x:c r="AO104" s="17"/>
      <x:c r="AP104" s="17"/>
      <x:c r="AQ104" s="17"/>
      <x:c r="AR104" s="17"/>
      <x:c r="AS104" s="17"/>
      <x:c r="AT104" s="17"/>
      <x:c r="AU104" s="18"/>
      <x:c r="AV104" s="17"/>
      <x:c r="AW104" s="17"/>
      <x:c r="AX104" s="17"/>
      <x:c r="AY104" s="17"/>
      <x:c r="AZ104" s="17"/>
      <x:c r="BA104" s="17"/>
      <x:c r="BB104" s="17"/>
      <x:c r="BC104" s="18"/>
      <x:c r="BD104" s="18"/>
      <x:c r="BE104" s="19"/>
      <x:c r="BF104" s="22" t="str">
        <x:f>IF(A104="","",IF(BI104&gt;=ReadyThreshold,"Ready",IF(BI104&gt;=PartialThreshold,"Partial","Not Ready")))</x:f>
      </x:c>
      <x:c r="BG104" s="23" t="str">
        <x:f>IF(A104="","",COUNTA(N104,Q104,R104,S104)/4)</x:f>
      </x:c>
      <x:c r="BH104" s="23" t="str">
        <x:f>IF(A104="","",(COUNTA(U104,V104,AE104)+IF(COUNTA(W104,X104,Y104,Z104,AA104)&gt;0,1,0))/4)</x:f>
      </x:c>
      <x:c r="BI104" s="23" t="str">
        <x:f>IF(A104="","",(COUNTIF(AV104:AZ104,"Available")+0.5*COUNTIF(AV104:AZ104,"Partial")+IF(BD104&lt;&gt;"",1,0))/6)</x:f>
      </x:c>
      <x:c r="BJ104" s="22" t="str">
        <x:f>IF(A104="","",IF(AND(F104="",BD104=""),"Blocked",IF(AND(BG104&gt;=ReadyThreshold,BH104&gt;=ReadyThreshold,BI104&gt;=ReadyThreshold),"Ready for Analysis",IF(AVERAGE(BG104,BH104,BI104)&gt;=PartialThreshold,"Partially Ready","Discovery Required"))))</x:f>
      </x:c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8"/>
      <x:c r="BU104" s="17"/>
      <x:c r="BV104" s="17"/>
    </x:row>
    <x:row r="105">
      <x:c r="A105" s="17"/>
      <x:c r="B105" s="17"/>
      <x:c r="C105" s="17"/>
      <x:c r="D105" s="17"/>
      <x:c r="E105" s="18"/>
      <x:c r="F105" s="18"/>
      <x:c r="G105" s="17"/>
      <x:c r="H105" s="17"/>
      <x:c r="I105" s="19"/>
      <x:c r="J105" s="19"/>
      <x:c r="K105" s="17"/>
      <x:c r="L105" s="19"/>
      <x:c r="M105" s="17"/>
      <x:c r="N105" s="18"/>
      <x:c r="O105" s="18"/>
      <x:c r="P105" s="17"/>
      <x:c r="Q105" s="17"/>
      <x:c r="R105" s="17"/>
      <x:c r="S105" s="17"/>
      <x:c r="T105" s="17"/>
      <x:c r="U105" s="18"/>
      <x:c r="V105" s="18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20"/>
      <x:c r="AJ105" s="21"/>
      <x:c r="AK105" s="21"/>
      <x:c r="AL105" s="17"/>
      <x:c r="AM105" s="17"/>
      <x:c r="AN105" s="21"/>
      <x:c r="AO105" s="17"/>
      <x:c r="AP105" s="17"/>
      <x:c r="AQ105" s="17"/>
      <x:c r="AR105" s="17"/>
      <x:c r="AS105" s="17"/>
      <x:c r="AT105" s="17"/>
      <x:c r="AU105" s="18"/>
      <x:c r="AV105" s="17"/>
      <x:c r="AW105" s="17"/>
      <x:c r="AX105" s="17"/>
      <x:c r="AY105" s="17"/>
      <x:c r="AZ105" s="17"/>
      <x:c r="BA105" s="17"/>
      <x:c r="BB105" s="17"/>
      <x:c r="BC105" s="18"/>
      <x:c r="BD105" s="18"/>
      <x:c r="BE105" s="19"/>
      <x:c r="BF105" s="22" t="str">
        <x:f>IF(A105="","",IF(BI105&gt;=ReadyThreshold,"Ready",IF(BI105&gt;=PartialThreshold,"Partial","Not Ready")))</x:f>
      </x:c>
      <x:c r="BG105" s="23" t="str">
        <x:f>IF(A105="","",COUNTA(N105,Q105,R105,S105)/4)</x:f>
      </x:c>
      <x:c r="BH105" s="23" t="str">
        <x:f>IF(A105="","",(COUNTA(U105,V105,AE105)+IF(COUNTA(W105,X105,Y105,Z105,AA105)&gt;0,1,0))/4)</x:f>
      </x:c>
      <x:c r="BI105" s="23" t="str">
        <x:f>IF(A105="","",(COUNTIF(AV105:AZ105,"Available")+0.5*COUNTIF(AV105:AZ105,"Partial")+IF(BD105&lt;&gt;"",1,0))/6)</x:f>
      </x:c>
      <x:c r="BJ105" s="22" t="str">
        <x:f>IF(A105="","",IF(AND(F105="",BD105=""),"Blocked",IF(AND(BG105&gt;=ReadyThreshold,BH105&gt;=ReadyThreshold,BI105&gt;=ReadyThreshold),"Ready for Analysis",IF(AVERAGE(BG105,BH105,BI105)&gt;=PartialThreshold,"Partially Ready","Discovery Required"))))</x:f>
      </x:c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8"/>
      <x:c r="BU105" s="17"/>
      <x:c r="BV105" s="17"/>
    </x:row>
    <x:row r="106">
      <x:c r="A106" s="17"/>
      <x:c r="B106" s="17"/>
      <x:c r="C106" s="17"/>
      <x:c r="D106" s="17"/>
      <x:c r="E106" s="18"/>
      <x:c r="F106" s="18"/>
      <x:c r="G106" s="17"/>
      <x:c r="H106" s="17"/>
      <x:c r="I106" s="19"/>
      <x:c r="J106" s="19"/>
      <x:c r="K106" s="17"/>
      <x:c r="L106" s="19"/>
      <x:c r="M106" s="17"/>
      <x:c r="N106" s="18"/>
      <x:c r="O106" s="18"/>
      <x:c r="P106" s="17"/>
      <x:c r="Q106" s="17"/>
      <x:c r="R106" s="17"/>
      <x:c r="S106" s="17"/>
      <x:c r="T106" s="17"/>
      <x:c r="U106" s="18"/>
      <x:c r="V106" s="18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20"/>
      <x:c r="AJ106" s="21"/>
      <x:c r="AK106" s="21"/>
      <x:c r="AL106" s="17"/>
      <x:c r="AM106" s="17"/>
      <x:c r="AN106" s="21"/>
      <x:c r="AO106" s="17"/>
      <x:c r="AP106" s="17"/>
      <x:c r="AQ106" s="17"/>
      <x:c r="AR106" s="17"/>
      <x:c r="AS106" s="17"/>
      <x:c r="AT106" s="17"/>
      <x:c r="AU106" s="18"/>
      <x:c r="AV106" s="17"/>
      <x:c r="AW106" s="17"/>
      <x:c r="AX106" s="17"/>
      <x:c r="AY106" s="17"/>
      <x:c r="AZ106" s="17"/>
      <x:c r="BA106" s="17"/>
      <x:c r="BB106" s="17"/>
      <x:c r="BC106" s="18"/>
      <x:c r="BD106" s="18"/>
      <x:c r="BE106" s="19"/>
      <x:c r="BF106" s="22" t="str">
        <x:f>IF(A106="","",IF(BI106&gt;=ReadyThreshold,"Ready",IF(BI106&gt;=PartialThreshold,"Partial","Not Ready")))</x:f>
      </x:c>
      <x:c r="BG106" s="23" t="str">
        <x:f>IF(A106="","",COUNTA(N106,Q106,R106,S106)/4)</x:f>
      </x:c>
      <x:c r="BH106" s="23" t="str">
        <x:f>IF(A106="","",(COUNTA(U106,V106,AE106)+IF(COUNTA(W106,X106,Y106,Z106,AA106)&gt;0,1,0))/4)</x:f>
      </x:c>
      <x:c r="BI106" s="23" t="str">
        <x:f>IF(A106="","",(COUNTIF(AV106:AZ106,"Available")+0.5*COUNTIF(AV106:AZ106,"Partial")+IF(BD106&lt;&gt;"",1,0))/6)</x:f>
      </x:c>
      <x:c r="BJ106" s="22" t="str">
        <x:f>IF(A106="","",IF(AND(F106="",BD106=""),"Blocked",IF(AND(BG106&gt;=ReadyThreshold,BH106&gt;=ReadyThreshold,BI106&gt;=ReadyThreshold),"Ready for Analysis",IF(AVERAGE(BG106,BH106,BI106)&gt;=PartialThreshold,"Partially Ready","Discovery Required"))))</x:f>
      </x:c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8"/>
      <x:c r="BU106" s="17"/>
      <x:c r="BV106" s="17"/>
    </x:row>
    <x:row r="107">
      <x:c r="A107" s="17"/>
      <x:c r="B107" s="17"/>
      <x:c r="C107" s="17"/>
      <x:c r="D107" s="17"/>
      <x:c r="E107" s="18"/>
      <x:c r="F107" s="18"/>
      <x:c r="G107" s="17"/>
      <x:c r="H107" s="17"/>
      <x:c r="I107" s="19"/>
      <x:c r="J107" s="19"/>
      <x:c r="K107" s="17"/>
      <x:c r="L107" s="19"/>
      <x:c r="M107" s="17"/>
      <x:c r="N107" s="18"/>
      <x:c r="O107" s="18"/>
      <x:c r="P107" s="17"/>
      <x:c r="Q107" s="17"/>
      <x:c r="R107" s="17"/>
      <x:c r="S107" s="17"/>
      <x:c r="T107" s="17"/>
      <x:c r="U107" s="18"/>
      <x:c r="V107" s="18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20"/>
      <x:c r="AJ107" s="21"/>
      <x:c r="AK107" s="21"/>
      <x:c r="AL107" s="17"/>
      <x:c r="AM107" s="17"/>
      <x:c r="AN107" s="21"/>
      <x:c r="AO107" s="17"/>
      <x:c r="AP107" s="17"/>
      <x:c r="AQ107" s="17"/>
      <x:c r="AR107" s="17"/>
      <x:c r="AS107" s="17"/>
      <x:c r="AT107" s="17"/>
      <x:c r="AU107" s="18"/>
      <x:c r="AV107" s="17"/>
      <x:c r="AW107" s="17"/>
      <x:c r="AX107" s="17"/>
      <x:c r="AY107" s="17"/>
      <x:c r="AZ107" s="17"/>
      <x:c r="BA107" s="17"/>
      <x:c r="BB107" s="17"/>
      <x:c r="BC107" s="18"/>
      <x:c r="BD107" s="18"/>
      <x:c r="BE107" s="19"/>
      <x:c r="BF107" s="22" t="str">
        <x:f>IF(A107="","",IF(BI107&gt;=ReadyThreshold,"Ready",IF(BI107&gt;=PartialThreshold,"Partial","Not Ready")))</x:f>
      </x:c>
      <x:c r="BG107" s="23" t="str">
        <x:f>IF(A107="","",COUNTA(N107,Q107,R107,S107)/4)</x:f>
      </x:c>
      <x:c r="BH107" s="23" t="str">
        <x:f>IF(A107="","",(COUNTA(U107,V107,AE107)+IF(COUNTA(W107,X107,Y107,Z107,AA107)&gt;0,1,0))/4)</x:f>
      </x:c>
      <x:c r="BI107" s="23" t="str">
        <x:f>IF(A107="","",(COUNTIF(AV107:AZ107,"Available")+0.5*COUNTIF(AV107:AZ107,"Partial")+IF(BD107&lt;&gt;"",1,0))/6)</x:f>
      </x:c>
      <x:c r="BJ107" s="22" t="str">
        <x:f>IF(A107="","",IF(AND(F107="",BD107=""),"Blocked",IF(AND(BG107&gt;=ReadyThreshold,BH107&gt;=ReadyThreshold,BI107&gt;=ReadyThreshold),"Ready for Analysis",IF(AVERAGE(BG107,BH107,BI107)&gt;=PartialThreshold,"Partially Ready","Discovery Required"))))</x:f>
      </x:c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8"/>
      <x:c r="BU107" s="17"/>
      <x:c r="BV107" s="17"/>
    </x:row>
    <x:row r="108">
      <x:c r="A108" s="17"/>
      <x:c r="B108" s="17"/>
      <x:c r="C108" s="17"/>
      <x:c r="D108" s="17"/>
      <x:c r="E108" s="18"/>
      <x:c r="F108" s="18"/>
      <x:c r="G108" s="17"/>
      <x:c r="H108" s="17"/>
      <x:c r="I108" s="19"/>
      <x:c r="J108" s="19"/>
      <x:c r="K108" s="17"/>
      <x:c r="L108" s="19"/>
      <x:c r="M108" s="17"/>
      <x:c r="N108" s="18"/>
      <x:c r="O108" s="18"/>
      <x:c r="P108" s="17"/>
      <x:c r="Q108" s="17"/>
      <x:c r="R108" s="17"/>
      <x:c r="S108" s="17"/>
      <x:c r="T108" s="17"/>
      <x:c r="U108" s="18"/>
      <x:c r="V108" s="18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20"/>
      <x:c r="AJ108" s="21"/>
      <x:c r="AK108" s="21"/>
      <x:c r="AL108" s="17"/>
      <x:c r="AM108" s="17"/>
      <x:c r="AN108" s="21"/>
      <x:c r="AO108" s="17"/>
      <x:c r="AP108" s="17"/>
      <x:c r="AQ108" s="17"/>
      <x:c r="AR108" s="17"/>
      <x:c r="AS108" s="17"/>
      <x:c r="AT108" s="17"/>
      <x:c r="AU108" s="18"/>
      <x:c r="AV108" s="17"/>
      <x:c r="AW108" s="17"/>
      <x:c r="AX108" s="17"/>
      <x:c r="AY108" s="17"/>
      <x:c r="AZ108" s="17"/>
      <x:c r="BA108" s="17"/>
      <x:c r="BB108" s="17"/>
      <x:c r="BC108" s="18"/>
      <x:c r="BD108" s="18"/>
      <x:c r="BE108" s="19"/>
      <x:c r="BF108" s="22" t="str">
        <x:f>IF(A108="","",IF(BI108&gt;=ReadyThreshold,"Ready",IF(BI108&gt;=PartialThreshold,"Partial","Not Ready")))</x:f>
      </x:c>
      <x:c r="BG108" s="23" t="str">
        <x:f>IF(A108="","",COUNTA(N108,Q108,R108,S108)/4)</x:f>
      </x:c>
      <x:c r="BH108" s="23" t="str">
        <x:f>IF(A108="","",(COUNTA(U108,V108,AE108)+IF(COUNTA(W108,X108,Y108,Z108,AA108)&gt;0,1,0))/4)</x:f>
      </x:c>
      <x:c r="BI108" s="23" t="str">
        <x:f>IF(A108="","",(COUNTIF(AV108:AZ108,"Available")+0.5*COUNTIF(AV108:AZ108,"Partial")+IF(BD108&lt;&gt;"",1,0))/6)</x:f>
      </x:c>
      <x:c r="BJ108" s="22" t="str">
        <x:f>IF(A108="","",IF(AND(F108="",BD108=""),"Blocked",IF(AND(BG108&gt;=ReadyThreshold,BH108&gt;=ReadyThreshold,BI108&gt;=ReadyThreshold),"Ready for Analysis",IF(AVERAGE(BG108,BH108,BI108)&gt;=PartialThreshold,"Partially Ready","Discovery Required"))))</x:f>
      </x:c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8"/>
      <x:c r="BU108" s="17"/>
      <x:c r="BV108" s="17"/>
    </x:row>
    <x:row r="109">
      <x:c r="A109" s="17"/>
      <x:c r="B109" s="17"/>
      <x:c r="C109" s="17"/>
      <x:c r="D109" s="17"/>
      <x:c r="E109" s="18"/>
      <x:c r="F109" s="18"/>
      <x:c r="G109" s="17"/>
      <x:c r="H109" s="17"/>
      <x:c r="I109" s="19"/>
      <x:c r="J109" s="19"/>
      <x:c r="K109" s="17"/>
      <x:c r="L109" s="19"/>
      <x:c r="M109" s="17"/>
      <x:c r="N109" s="18"/>
      <x:c r="O109" s="18"/>
      <x:c r="P109" s="17"/>
      <x:c r="Q109" s="17"/>
      <x:c r="R109" s="17"/>
      <x:c r="S109" s="17"/>
      <x:c r="T109" s="17"/>
      <x:c r="U109" s="18"/>
      <x:c r="V109" s="18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20"/>
      <x:c r="AJ109" s="21"/>
      <x:c r="AK109" s="21"/>
      <x:c r="AL109" s="17"/>
      <x:c r="AM109" s="17"/>
      <x:c r="AN109" s="21"/>
      <x:c r="AO109" s="17"/>
      <x:c r="AP109" s="17"/>
      <x:c r="AQ109" s="17"/>
      <x:c r="AR109" s="17"/>
      <x:c r="AS109" s="17"/>
      <x:c r="AT109" s="17"/>
      <x:c r="AU109" s="18"/>
      <x:c r="AV109" s="17"/>
      <x:c r="AW109" s="17"/>
      <x:c r="AX109" s="17"/>
      <x:c r="AY109" s="17"/>
      <x:c r="AZ109" s="17"/>
      <x:c r="BA109" s="17"/>
      <x:c r="BB109" s="17"/>
      <x:c r="BC109" s="18"/>
      <x:c r="BD109" s="18"/>
      <x:c r="BE109" s="19"/>
      <x:c r="BF109" s="22" t="str">
        <x:f>IF(A109="","",IF(BI109&gt;=ReadyThreshold,"Ready",IF(BI109&gt;=PartialThreshold,"Partial","Not Ready")))</x:f>
      </x:c>
      <x:c r="BG109" s="23" t="str">
        <x:f>IF(A109="","",COUNTA(N109,Q109,R109,S109)/4)</x:f>
      </x:c>
      <x:c r="BH109" s="23" t="str">
        <x:f>IF(A109="","",(COUNTA(U109,V109,AE109)+IF(COUNTA(W109,X109,Y109,Z109,AA109)&gt;0,1,0))/4)</x:f>
      </x:c>
      <x:c r="BI109" s="23" t="str">
        <x:f>IF(A109="","",(COUNTIF(AV109:AZ109,"Available")+0.5*COUNTIF(AV109:AZ109,"Partial")+IF(BD109&lt;&gt;"",1,0))/6)</x:f>
      </x:c>
      <x:c r="BJ109" s="22" t="str">
        <x:f>IF(A109="","",IF(AND(F109="",BD109=""),"Blocked",IF(AND(BG109&gt;=ReadyThreshold,BH109&gt;=ReadyThreshold,BI109&gt;=ReadyThreshold),"Ready for Analysis",IF(AVERAGE(BG109,BH109,BI109)&gt;=PartialThreshold,"Partially Ready","Discovery Required"))))</x:f>
      </x:c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8"/>
      <x:c r="BU109" s="17"/>
      <x:c r="BV109" s="17"/>
    </x:row>
    <x:row r="110">
      <x:c r="A110" s="17"/>
      <x:c r="B110" s="17"/>
      <x:c r="C110" s="17"/>
      <x:c r="D110" s="17"/>
      <x:c r="E110" s="18"/>
      <x:c r="F110" s="18"/>
      <x:c r="G110" s="17"/>
      <x:c r="H110" s="17"/>
      <x:c r="I110" s="19"/>
      <x:c r="J110" s="19"/>
      <x:c r="K110" s="17"/>
      <x:c r="L110" s="19"/>
      <x:c r="M110" s="17"/>
      <x:c r="N110" s="18"/>
      <x:c r="O110" s="18"/>
      <x:c r="P110" s="17"/>
      <x:c r="Q110" s="17"/>
      <x:c r="R110" s="17"/>
      <x:c r="S110" s="17"/>
      <x:c r="T110" s="17"/>
      <x:c r="U110" s="18"/>
      <x:c r="V110" s="18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20"/>
      <x:c r="AJ110" s="21"/>
      <x:c r="AK110" s="21"/>
      <x:c r="AL110" s="17"/>
      <x:c r="AM110" s="17"/>
      <x:c r="AN110" s="21"/>
      <x:c r="AO110" s="17"/>
      <x:c r="AP110" s="17"/>
      <x:c r="AQ110" s="17"/>
      <x:c r="AR110" s="17"/>
      <x:c r="AS110" s="17"/>
      <x:c r="AT110" s="17"/>
      <x:c r="AU110" s="18"/>
      <x:c r="AV110" s="17"/>
      <x:c r="AW110" s="17"/>
      <x:c r="AX110" s="17"/>
      <x:c r="AY110" s="17"/>
      <x:c r="AZ110" s="17"/>
      <x:c r="BA110" s="17"/>
      <x:c r="BB110" s="17"/>
      <x:c r="BC110" s="18"/>
      <x:c r="BD110" s="18"/>
      <x:c r="BE110" s="19"/>
      <x:c r="BF110" s="22" t="str">
        <x:f>IF(A110="","",IF(BI110&gt;=ReadyThreshold,"Ready",IF(BI110&gt;=PartialThreshold,"Partial","Not Ready")))</x:f>
      </x:c>
      <x:c r="BG110" s="23" t="str">
        <x:f>IF(A110="","",COUNTA(N110,Q110,R110,S110)/4)</x:f>
      </x:c>
      <x:c r="BH110" s="23" t="str">
        <x:f>IF(A110="","",(COUNTA(U110,V110,AE110)+IF(COUNTA(W110,X110,Y110,Z110,AA110)&gt;0,1,0))/4)</x:f>
      </x:c>
      <x:c r="BI110" s="23" t="str">
        <x:f>IF(A110="","",(COUNTIF(AV110:AZ110,"Available")+0.5*COUNTIF(AV110:AZ110,"Partial")+IF(BD110&lt;&gt;"",1,0))/6)</x:f>
      </x:c>
      <x:c r="BJ110" s="22" t="str">
        <x:f>IF(A110="","",IF(AND(F110="",BD110=""),"Blocked",IF(AND(BG110&gt;=ReadyThreshold,BH110&gt;=ReadyThreshold,BI110&gt;=ReadyThreshold),"Ready for Analysis",IF(AVERAGE(BG110,BH110,BI110)&gt;=PartialThreshold,"Partially Ready","Discovery Required"))))</x:f>
      </x:c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8"/>
      <x:c r="BU110" s="17"/>
      <x:c r="BV110" s="17"/>
    </x:row>
    <x:row r="111">
      <x:c r="A111" s="17"/>
      <x:c r="B111" s="17"/>
      <x:c r="C111" s="17"/>
      <x:c r="D111" s="17"/>
      <x:c r="E111" s="18"/>
      <x:c r="F111" s="18"/>
      <x:c r="G111" s="17"/>
      <x:c r="H111" s="17"/>
      <x:c r="I111" s="19"/>
      <x:c r="J111" s="19"/>
      <x:c r="K111" s="17"/>
      <x:c r="L111" s="19"/>
      <x:c r="M111" s="17"/>
      <x:c r="N111" s="18"/>
      <x:c r="O111" s="18"/>
      <x:c r="P111" s="17"/>
      <x:c r="Q111" s="17"/>
      <x:c r="R111" s="17"/>
      <x:c r="S111" s="17"/>
      <x:c r="T111" s="17"/>
      <x:c r="U111" s="18"/>
      <x:c r="V111" s="18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20"/>
      <x:c r="AJ111" s="21"/>
      <x:c r="AK111" s="21"/>
      <x:c r="AL111" s="17"/>
      <x:c r="AM111" s="17"/>
      <x:c r="AN111" s="21"/>
      <x:c r="AO111" s="17"/>
      <x:c r="AP111" s="17"/>
      <x:c r="AQ111" s="17"/>
      <x:c r="AR111" s="17"/>
      <x:c r="AS111" s="17"/>
      <x:c r="AT111" s="17"/>
      <x:c r="AU111" s="18"/>
      <x:c r="AV111" s="17"/>
      <x:c r="AW111" s="17"/>
      <x:c r="AX111" s="17"/>
      <x:c r="AY111" s="17"/>
      <x:c r="AZ111" s="17"/>
      <x:c r="BA111" s="17"/>
      <x:c r="BB111" s="17"/>
      <x:c r="BC111" s="18"/>
      <x:c r="BD111" s="18"/>
      <x:c r="BE111" s="19"/>
      <x:c r="BF111" s="22" t="str">
        <x:f>IF(A111="","",IF(BI111&gt;=ReadyThreshold,"Ready",IF(BI111&gt;=PartialThreshold,"Partial","Not Ready")))</x:f>
      </x:c>
      <x:c r="BG111" s="23" t="str">
        <x:f>IF(A111="","",COUNTA(N111,Q111,R111,S111)/4)</x:f>
      </x:c>
      <x:c r="BH111" s="23" t="str">
        <x:f>IF(A111="","",(COUNTA(U111,V111,AE111)+IF(COUNTA(W111,X111,Y111,Z111,AA111)&gt;0,1,0))/4)</x:f>
      </x:c>
      <x:c r="BI111" s="23" t="str">
        <x:f>IF(A111="","",(COUNTIF(AV111:AZ111,"Available")+0.5*COUNTIF(AV111:AZ111,"Partial")+IF(BD111&lt;&gt;"",1,0))/6)</x:f>
      </x:c>
      <x:c r="BJ111" s="22" t="str">
        <x:f>IF(A111="","",IF(AND(F111="",BD111=""),"Blocked",IF(AND(BG111&gt;=ReadyThreshold,BH111&gt;=ReadyThreshold,BI111&gt;=ReadyThreshold),"Ready for Analysis",IF(AVERAGE(BG111,BH111,BI111)&gt;=PartialThreshold,"Partially Ready","Discovery Required"))))</x:f>
      </x:c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8"/>
      <x:c r="BU111" s="17"/>
      <x:c r="BV111" s="17"/>
    </x:row>
    <x:row r="112">
      <x:c r="A112" s="17"/>
      <x:c r="B112" s="17"/>
      <x:c r="C112" s="17"/>
      <x:c r="D112" s="17"/>
      <x:c r="E112" s="18"/>
      <x:c r="F112" s="18"/>
      <x:c r="G112" s="17"/>
      <x:c r="H112" s="17"/>
      <x:c r="I112" s="19"/>
      <x:c r="J112" s="19"/>
      <x:c r="K112" s="17"/>
      <x:c r="L112" s="19"/>
      <x:c r="M112" s="17"/>
      <x:c r="N112" s="18"/>
      <x:c r="O112" s="18"/>
      <x:c r="P112" s="17"/>
      <x:c r="Q112" s="17"/>
      <x:c r="R112" s="17"/>
      <x:c r="S112" s="17"/>
      <x:c r="T112" s="17"/>
      <x:c r="U112" s="18"/>
      <x:c r="V112" s="18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20"/>
      <x:c r="AJ112" s="21"/>
      <x:c r="AK112" s="21"/>
      <x:c r="AL112" s="17"/>
      <x:c r="AM112" s="17"/>
      <x:c r="AN112" s="21"/>
      <x:c r="AO112" s="17"/>
      <x:c r="AP112" s="17"/>
      <x:c r="AQ112" s="17"/>
      <x:c r="AR112" s="17"/>
      <x:c r="AS112" s="17"/>
      <x:c r="AT112" s="17"/>
      <x:c r="AU112" s="18"/>
      <x:c r="AV112" s="17"/>
      <x:c r="AW112" s="17"/>
      <x:c r="AX112" s="17"/>
      <x:c r="AY112" s="17"/>
      <x:c r="AZ112" s="17"/>
      <x:c r="BA112" s="17"/>
      <x:c r="BB112" s="17"/>
      <x:c r="BC112" s="18"/>
      <x:c r="BD112" s="18"/>
      <x:c r="BE112" s="19"/>
      <x:c r="BF112" s="22" t="str">
        <x:f>IF(A112="","",IF(BI112&gt;=ReadyThreshold,"Ready",IF(BI112&gt;=PartialThreshold,"Partial","Not Ready")))</x:f>
      </x:c>
      <x:c r="BG112" s="23" t="str">
        <x:f>IF(A112="","",COUNTA(N112,Q112,R112,S112)/4)</x:f>
      </x:c>
      <x:c r="BH112" s="23" t="str">
        <x:f>IF(A112="","",(COUNTA(U112,V112,AE112)+IF(COUNTA(W112,X112,Y112,Z112,AA112)&gt;0,1,0))/4)</x:f>
      </x:c>
      <x:c r="BI112" s="23" t="str">
        <x:f>IF(A112="","",(COUNTIF(AV112:AZ112,"Available")+0.5*COUNTIF(AV112:AZ112,"Partial")+IF(BD112&lt;&gt;"",1,0))/6)</x:f>
      </x:c>
      <x:c r="BJ112" s="22" t="str">
        <x:f>IF(A112="","",IF(AND(F112="",BD112=""),"Blocked",IF(AND(BG112&gt;=ReadyThreshold,BH112&gt;=ReadyThreshold,BI112&gt;=ReadyThreshold),"Ready for Analysis",IF(AVERAGE(BG112,BH112,BI112)&gt;=PartialThreshold,"Partially Ready","Discovery Required"))))</x:f>
      </x:c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8"/>
      <x:c r="BU112" s="17"/>
      <x:c r="BV112" s="17"/>
    </x:row>
    <x:row r="113">
      <x:c r="A113" s="17"/>
      <x:c r="B113" s="17"/>
      <x:c r="C113" s="17"/>
      <x:c r="D113" s="17"/>
      <x:c r="E113" s="18"/>
      <x:c r="F113" s="18"/>
      <x:c r="G113" s="17"/>
      <x:c r="H113" s="17"/>
      <x:c r="I113" s="19"/>
      <x:c r="J113" s="19"/>
      <x:c r="K113" s="17"/>
      <x:c r="L113" s="19"/>
      <x:c r="M113" s="17"/>
      <x:c r="N113" s="18"/>
      <x:c r="O113" s="18"/>
      <x:c r="P113" s="17"/>
      <x:c r="Q113" s="17"/>
      <x:c r="R113" s="17"/>
      <x:c r="S113" s="17"/>
      <x:c r="T113" s="17"/>
      <x:c r="U113" s="18"/>
      <x:c r="V113" s="18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20"/>
      <x:c r="AJ113" s="21"/>
      <x:c r="AK113" s="21"/>
      <x:c r="AL113" s="17"/>
      <x:c r="AM113" s="17"/>
      <x:c r="AN113" s="21"/>
      <x:c r="AO113" s="17"/>
      <x:c r="AP113" s="17"/>
      <x:c r="AQ113" s="17"/>
      <x:c r="AR113" s="17"/>
      <x:c r="AS113" s="17"/>
      <x:c r="AT113" s="17"/>
      <x:c r="AU113" s="18"/>
      <x:c r="AV113" s="17"/>
      <x:c r="AW113" s="17"/>
      <x:c r="AX113" s="17"/>
      <x:c r="AY113" s="17"/>
      <x:c r="AZ113" s="17"/>
      <x:c r="BA113" s="17"/>
      <x:c r="BB113" s="17"/>
      <x:c r="BC113" s="18"/>
      <x:c r="BD113" s="18"/>
      <x:c r="BE113" s="19"/>
      <x:c r="BF113" s="22" t="str">
        <x:f>IF(A113="","",IF(BI113&gt;=ReadyThreshold,"Ready",IF(BI113&gt;=PartialThreshold,"Partial","Not Ready")))</x:f>
      </x:c>
      <x:c r="BG113" s="23" t="str">
        <x:f>IF(A113="","",COUNTA(N113,Q113,R113,S113)/4)</x:f>
      </x:c>
      <x:c r="BH113" s="23" t="str">
        <x:f>IF(A113="","",(COUNTA(U113,V113,AE113)+IF(COUNTA(W113,X113,Y113,Z113,AA113)&gt;0,1,0))/4)</x:f>
      </x:c>
      <x:c r="BI113" s="23" t="str">
        <x:f>IF(A113="","",(COUNTIF(AV113:AZ113,"Available")+0.5*COUNTIF(AV113:AZ113,"Partial")+IF(BD113&lt;&gt;"",1,0))/6)</x:f>
      </x:c>
      <x:c r="BJ113" s="22" t="str">
        <x:f>IF(A113="","",IF(AND(F113="",BD113=""),"Blocked",IF(AND(BG113&gt;=ReadyThreshold,BH113&gt;=ReadyThreshold,BI113&gt;=ReadyThreshold),"Ready for Analysis",IF(AVERAGE(BG113,BH113,BI113)&gt;=PartialThreshold,"Partially Ready","Discovery Required"))))</x:f>
      </x:c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8"/>
      <x:c r="BU113" s="17"/>
      <x:c r="BV113" s="17"/>
    </x:row>
    <x:row r="114">
      <x:c r="A114" s="17"/>
      <x:c r="B114" s="17"/>
      <x:c r="C114" s="17"/>
      <x:c r="D114" s="17"/>
      <x:c r="E114" s="18"/>
      <x:c r="F114" s="18"/>
      <x:c r="G114" s="17"/>
      <x:c r="H114" s="17"/>
      <x:c r="I114" s="19"/>
      <x:c r="J114" s="19"/>
      <x:c r="K114" s="17"/>
      <x:c r="L114" s="19"/>
      <x:c r="M114" s="17"/>
      <x:c r="N114" s="18"/>
      <x:c r="O114" s="18"/>
      <x:c r="P114" s="17"/>
      <x:c r="Q114" s="17"/>
      <x:c r="R114" s="17"/>
      <x:c r="S114" s="17"/>
      <x:c r="T114" s="17"/>
      <x:c r="U114" s="18"/>
      <x:c r="V114" s="18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20"/>
      <x:c r="AJ114" s="21"/>
      <x:c r="AK114" s="21"/>
      <x:c r="AL114" s="17"/>
      <x:c r="AM114" s="17"/>
      <x:c r="AN114" s="21"/>
      <x:c r="AO114" s="17"/>
      <x:c r="AP114" s="17"/>
      <x:c r="AQ114" s="17"/>
      <x:c r="AR114" s="17"/>
      <x:c r="AS114" s="17"/>
      <x:c r="AT114" s="17"/>
      <x:c r="AU114" s="18"/>
      <x:c r="AV114" s="17"/>
      <x:c r="AW114" s="17"/>
      <x:c r="AX114" s="17"/>
      <x:c r="AY114" s="17"/>
      <x:c r="AZ114" s="17"/>
      <x:c r="BA114" s="17"/>
      <x:c r="BB114" s="17"/>
      <x:c r="BC114" s="18"/>
      <x:c r="BD114" s="18"/>
      <x:c r="BE114" s="19"/>
      <x:c r="BF114" s="22" t="str">
        <x:f>IF(A114="","",IF(BI114&gt;=ReadyThreshold,"Ready",IF(BI114&gt;=PartialThreshold,"Partial","Not Ready")))</x:f>
      </x:c>
      <x:c r="BG114" s="23" t="str">
        <x:f>IF(A114="","",COUNTA(N114,Q114,R114,S114)/4)</x:f>
      </x:c>
      <x:c r="BH114" s="23" t="str">
        <x:f>IF(A114="","",(COUNTA(U114,V114,AE114)+IF(COUNTA(W114,X114,Y114,Z114,AA114)&gt;0,1,0))/4)</x:f>
      </x:c>
      <x:c r="BI114" s="23" t="str">
        <x:f>IF(A114="","",(COUNTIF(AV114:AZ114,"Available")+0.5*COUNTIF(AV114:AZ114,"Partial")+IF(BD114&lt;&gt;"",1,0))/6)</x:f>
      </x:c>
      <x:c r="BJ114" s="22" t="str">
        <x:f>IF(A114="","",IF(AND(F114="",BD114=""),"Blocked",IF(AND(BG114&gt;=ReadyThreshold,BH114&gt;=ReadyThreshold,BI114&gt;=ReadyThreshold),"Ready for Analysis",IF(AVERAGE(BG114,BH114,BI114)&gt;=PartialThreshold,"Partially Ready","Discovery Required"))))</x:f>
      </x:c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8"/>
      <x:c r="BU114" s="17"/>
      <x:c r="BV114" s="17"/>
    </x:row>
    <x:row r="115">
      <x:c r="A115" s="17"/>
      <x:c r="B115" s="17"/>
      <x:c r="C115" s="17"/>
      <x:c r="D115" s="17"/>
      <x:c r="E115" s="18"/>
      <x:c r="F115" s="18"/>
      <x:c r="G115" s="17"/>
      <x:c r="H115" s="17"/>
      <x:c r="I115" s="19"/>
      <x:c r="J115" s="19"/>
      <x:c r="K115" s="17"/>
      <x:c r="L115" s="19"/>
      <x:c r="M115" s="17"/>
      <x:c r="N115" s="18"/>
      <x:c r="O115" s="18"/>
      <x:c r="P115" s="17"/>
      <x:c r="Q115" s="17"/>
      <x:c r="R115" s="17"/>
      <x:c r="S115" s="17"/>
      <x:c r="T115" s="17"/>
      <x:c r="U115" s="18"/>
      <x:c r="V115" s="18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20"/>
      <x:c r="AJ115" s="21"/>
      <x:c r="AK115" s="21"/>
      <x:c r="AL115" s="17"/>
      <x:c r="AM115" s="17"/>
      <x:c r="AN115" s="21"/>
      <x:c r="AO115" s="17"/>
      <x:c r="AP115" s="17"/>
      <x:c r="AQ115" s="17"/>
      <x:c r="AR115" s="17"/>
      <x:c r="AS115" s="17"/>
      <x:c r="AT115" s="17"/>
      <x:c r="AU115" s="18"/>
      <x:c r="AV115" s="17"/>
      <x:c r="AW115" s="17"/>
      <x:c r="AX115" s="17"/>
      <x:c r="AY115" s="17"/>
      <x:c r="AZ115" s="17"/>
      <x:c r="BA115" s="17"/>
      <x:c r="BB115" s="17"/>
      <x:c r="BC115" s="18"/>
      <x:c r="BD115" s="18"/>
      <x:c r="BE115" s="19"/>
      <x:c r="BF115" s="22" t="str">
        <x:f>IF(A115="","",IF(BI115&gt;=ReadyThreshold,"Ready",IF(BI115&gt;=PartialThreshold,"Partial","Not Ready")))</x:f>
      </x:c>
      <x:c r="BG115" s="23" t="str">
        <x:f>IF(A115="","",COUNTA(N115,Q115,R115,S115)/4)</x:f>
      </x:c>
      <x:c r="BH115" s="23" t="str">
        <x:f>IF(A115="","",(COUNTA(U115,V115,AE115)+IF(COUNTA(W115,X115,Y115,Z115,AA115)&gt;0,1,0))/4)</x:f>
      </x:c>
      <x:c r="BI115" s="23" t="str">
        <x:f>IF(A115="","",(COUNTIF(AV115:AZ115,"Available")+0.5*COUNTIF(AV115:AZ115,"Partial")+IF(BD115&lt;&gt;"",1,0))/6)</x:f>
      </x:c>
      <x:c r="BJ115" s="22" t="str">
        <x:f>IF(A115="","",IF(AND(F115="",BD115=""),"Blocked",IF(AND(BG115&gt;=ReadyThreshold,BH115&gt;=ReadyThreshold,BI115&gt;=ReadyThreshold),"Ready for Analysis",IF(AVERAGE(BG115,BH115,BI115)&gt;=PartialThreshold,"Partially Ready","Discovery Required"))))</x:f>
      </x:c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8"/>
      <x:c r="BU115" s="17"/>
      <x:c r="BV115" s="17"/>
    </x:row>
    <x:row r="116">
      <x:c r="A116" s="17"/>
      <x:c r="B116" s="17"/>
      <x:c r="C116" s="17"/>
      <x:c r="D116" s="17"/>
      <x:c r="E116" s="18"/>
      <x:c r="F116" s="18"/>
      <x:c r="G116" s="17"/>
      <x:c r="H116" s="17"/>
      <x:c r="I116" s="19"/>
      <x:c r="J116" s="19"/>
      <x:c r="K116" s="17"/>
      <x:c r="L116" s="19"/>
      <x:c r="M116" s="17"/>
      <x:c r="N116" s="18"/>
      <x:c r="O116" s="18"/>
      <x:c r="P116" s="17"/>
      <x:c r="Q116" s="17"/>
      <x:c r="R116" s="17"/>
      <x:c r="S116" s="17"/>
      <x:c r="T116" s="17"/>
      <x:c r="U116" s="18"/>
      <x:c r="V116" s="18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20"/>
      <x:c r="AJ116" s="21"/>
      <x:c r="AK116" s="21"/>
      <x:c r="AL116" s="17"/>
      <x:c r="AM116" s="17"/>
      <x:c r="AN116" s="21"/>
      <x:c r="AO116" s="17"/>
      <x:c r="AP116" s="17"/>
      <x:c r="AQ116" s="17"/>
      <x:c r="AR116" s="17"/>
      <x:c r="AS116" s="17"/>
      <x:c r="AT116" s="17"/>
      <x:c r="AU116" s="18"/>
      <x:c r="AV116" s="17"/>
      <x:c r="AW116" s="17"/>
      <x:c r="AX116" s="17"/>
      <x:c r="AY116" s="17"/>
      <x:c r="AZ116" s="17"/>
      <x:c r="BA116" s="17"/>
      <x:c r="BB116" s="17"/>
      <x:c r="BC116" s="18"/>
      <x:c r="BD116" s="18"/>
      <x:c r="BE116" s="19"/>
      <x:c r="BF116" s="22" t="str">
        <x:f>IF(A116="","",IF(BI116&gt;=ReadyThreshold,"Ready",IF(BI116&gt;=PartialThreshold,"Partial","Not Ready")))</x:f>
      </x:c>
      <x:c r="BG116" s="23" t="str">
        <x:f>IF(A116="","",COUNTA(N116,Q116,R116,S116)/4)</x:f>
      </x:c>
      <x:c r="BH116" s="23" t="str">
        <x:f>IF(A116="","",(COUNTA(U116,V116,AE116)+IF(COUNTA(W116,X116,Y116,Z116,AA116)&gt;0,1,0))/4)</x:f>
      </x:c>
      <x:c r="BI116" s="23" t="str">
        <x:f>IF(A116="","",(COUNTIF(AV116:AZ116,"Available")+0.5*COUNTIF(AV116:AZ116,"Partial")+IF(BD116&lt;&gt;"",1,0))/6)</x:f>
      </x:c>
      <x:c r="BJ116" s="22" t="str">
        <x:f>IF(A116="","",IF(AND(F116="",BD116=""),"Blocked",IF(AND(BG116&gt;=ReadyThreshold,BH116&gt;=ReadyThreshold,BI116&gt;=ReadyThreshold),"Ready for Analysis",IF(AVERAGE(BG116,BH116,BI116)&gt;=PartialThreshold,"Partially Ready","Discovery Required"))))</x:f>
      </x:c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8"/>
      <x:c r="BU116" s="17"/>
      <x:c r="BV116" s="17"/>
    </x:row>
    <x:row r="117">
      <x:c r="A117" s="17"/>
      <x:c r="B117" s="17"/>
      <x:c r="C117" s="17"/>
      <x:c r="D117" s="17"/>
      <x:c r="E117" s="18"/>
      <x:c r="F117" s="18"/>
      <x:c r="G117" s="17"/>
      <x:c r="H117" s="17"/>
      <x:c r="I117" s="19"/>
      <x:c r="J117" s="19"/>
      <x:c r="K117" s="17"/>
      <x:c r="L117" s="19"/>
      <x:c r="M117" s="17"/>
      <x:c r="N117" s="18"/>
      <x:c r="O117" s="18"/>
      <x:c r="P117" s="17"/>
      <x:c r="Q117" s="17"/>
      <x:c r="R117" s="17"/>
      <x:c r="S117" s="17"/>
      <x:c r="T117" s="17"/>
      <x:c r="U117" s="18"/>
      <x:c r="V117" s="18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20"/>
      <x:c r="AJ117" s="21"/>
      <x:c r="AK117" s="21"/>
      <x:c r="AL117" s="17"/>
      <x:c r="AM117" s="17"/>
      <x:c r="AN117" s="21"/>
      <x:c r="AO117" s="17"/>
      <x:c r="AP117" s="17"/>
      <x:c r="AQ117" s="17"/>
      <x:c r="AR117" s="17"/>
      <x:c r="AS117" s="17"/>
      <x:c r="AT117" s="17"/>
      <x:c r="AU117" s="18"/>
      <x:c r="AV117" s="17"/>
      <x:c r="AW117" s="17"/>
      <x:c r="AX117" s="17"/>
      <x:c r="AY117" s="17"/>
      <x:c r="AZ117" s="17"/>
      <x:c r="BA117" s="17"/>
      <x:c r="BB117" s="17"/>
      <x:c r="BC117" s="18"/>
      <x:c r="BD117" s="18"/>
      <x:c r="BE117" s="19"/>
      <x:c r="BF117" s="22" t="str">
        <x:f>IF(A117="","",IF(BI117&gt;=ReadyThreshold,"Ready",IF(BI117&gt;=PartialThreshold,"Partial","Not Ready")))</x:f>
      </x:c>
      <x:c r="BG117" s="23" t="str">
        <x:f>IF(A117="","",COUNTA(N117,Q117,R117,S117)/4)</x:f>
      </x:c>
      <x:c r="BH117" s="23" t="str">
        <x:f>IF(A117="","",(COUNTA(U117,V117,AE117)+IF(COUNTA(W117,X117,Y117,Z117,AA117)&gt;0,1,0))/4)</x:f>
      </x:c>
      <x:c r="BI117" s="23" t="str">
        <x:f>IF(A117="","",(COUNTIF(AV117:AZ117,"Available")+0.5*COUNTIF(AV117:AZ117,"Partial")+IF(BD117&lt;&gt;"",1,0))/6)</x:f>
      </x:c>
      <x:c r="BJ117" s="22" t="str">
        <x:f>IF(A117="","",IF(AND(F117="",BD117=""),"Blocked",IF(AND(BG117&gt;=ReadyThreshold,BH117&gt;=ReadyThreshold,BI117&gt;=ReadyThreshold),"Ready for Analysis",IF(AVERAGE(BG117,BH117,BI117)&gt;=PartialThreshold,"Partially Ready","Discovery Required"))))</x:f>
      </x:c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8"/>
      <x:c r="BU117" s="17"/>
      <x:c r="BV117" s="17"/>
    </x:row>
    <x:row r="118">
      <x:c r="A118" s="17"/>
      <x:c r="B118" s="17"/>
      <x:c r="C118" s="17"/>
      <x:c r="D118" s="17"/>
      <x:c r="E118" s="18"/>
      <x:c r="F118" s="18"/>
      <x:c r="G118" s="17"/>
      <x:c r="H118" s="17"/>
      <x:c r="I118" s="19"/>
      <x:c r="J118" s="19"/>
      <x:c r="K118" s="17"/>
      <x:c r="L118" s="19"/>
      <x:c r="M118" s="17"/>
      <x:c r="N118" s="18"/>
      <x:c r="O118" s="18"/>
      <x:c r="P118" s="17"/>
      <x:c r="Q118" s="17"/>
      <x:c r="R118" s="17"/>
      <x:c r="S118" s="17"/>
      <x:c r="T118" s="17"/>
      <x:c r="U118" s="18"/>
      <x:c r="V118" s="18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20"/>
      <x:c r="AJ118" s="21"/>
      <x:c r="AK118" s="21"/>
      <x:c r="AL118" s="17"/>
      <x:c r="AM118" s="17"/>
      <x:c r="AN118" s="21"/>
      <x:c r="AO118" s="17"/>
      <x:c r="AP118" s="17"/>
      <x:c r="AQ118" s="17"/>
      <x:c r="AR118" s="17"/>
      <x:c r="AS118" s="17"/>
      <x:c r="AT118" s="17"/>
      <x:c r="AU118" s="18"/>
      <x:c r="AV118" s="17"/>
      <x:c r="AW118" s="17"/>
      <x:c r="AX118" s="17"/>
      <x:c r="AY118" s="17"/>
      <x:c r="AZ118" s="17"/>
      <x:c r="BA118" s="17"/>
      <x:c r="BB118" s="17"/>
      <x:c r="BC118" s="18"/>
      <x:c r="BD118" s="18"/>
      <x:c r="BE118" s="19"/>
      <x:c r="BF118" s="22" t="str">
        <x:f>IF(A118="","",IF(BI118&gt;=ReadyThreshold,"Ready",IF(BI118&gt;=PartialThreshold,"Partial","Not Ready")))</x:f>
      </x:c>
      <x:c r="BG118" s="23" t="str">
        <x:f>IF(A118="","",COUNTA(N118,Q118,R118,S118)/4)</x:f>
      </x:c>
      <x:c r="BH118" s="23" t="str">
        <x:f>IF(A118="","",(COUNTA(U118,V118,AE118)+IF(COUNTA(W118,X118,Y118,Z118,AA118)&gt;0,1,0))/4)</x:f>
      </x:c>
      <x:c r="BI118" s="23" t="str">
        <x:f>IF(A118="","",(COUNTIF(AV118:AZ118,"Available")+0.5*COUNTIF(AV118:AZ118,"Partial")+IF(BD118&lt;&gt;"",1,0))/6)</x:f>
      </x:c>
      <x:c r="BJ118" s="22" t="str">
        <x:f>IF(A118="","",IF(AND(F118="",BD118=""),"Blocked",IF(AND(BG118&gt;=ReadyThreshold,BH118&gt;=ReadyThreshold,BI118&gt;=ReadyThreshold),"Ready for Analysis",IF(AVERAGE(BG118,BH118,BI118)&gt;=PartialThreshold,"Partially Ready","Discovery Required"))))</x:f>
      </x:c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8"/>
      <x:c r="BU118" s="17"/>
      <x:c r="BV118" s="17"/>
    </x:row>
    <x:row r="119">
      <x:c r="A119" s="17"/>
      <x:c r="B119" s="17"/>
      <x:c r="C119" s="17"/>
      <x:c r="D119" s="17"/>
      <x:c r="E119" s="18"/>
      <x:c r="F119" s="18"/>
      <x:c r="G119" s="17"/>
      <x:c r="H119" s="17"/>
      <x:c r="I119" s="19"/>
      <x:c r="J119" s="19"/>
      <x:c r="K119" s="17"/>
      <x:c r="L119" s="19"/>
      <x:c r="M119" s="17"/>
      <x:c r="N119" s="18"/>
      <x:c r="O119" s="18"/>
      <x:c r="P119" s="17"/>
      <x:c r="Q119" s="17"/>
      <x:c r="R119" s="17"/>
      <x:c r="S119" s="17"/>
      <x:c r="T119" s="17"/>
      <x:c r="U119" s="18"/>
      <x:c r="V119" s="18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20"/>
      <x:c r="AJ119" s="21"/>
      <x:c r="AK119" s="21"/>
      <x:c r="AL119" s="17"/>
      <x:c r="AM119" s="17"/>
      <x:c r="AN119" s="21"/>
      <x:c r="AO119" s="17"/>
      <x:c r="AP119" s="17"/>
      <x:c r="AQ119" s="17"/>
      <x:c r="AR119" s="17"/>
      <x:c r="AS119" s="17"/>
      <x:c r="AT119" s="17"/>
      <x:c r="AU119" s="18"/>
      <x:c r="AV119" s="17"/>
      <x:c r="AW119" s="17"/>
      <x:c r="AX119" s="17"/>
      <x:c r="AY119" s="17"/>
      <x:c r="AZ119" s="17"/>
      <x:c r="BA119" s="17"/>
      <x:c r="BB119" s="17"/>
      <x:c r="BC119" s="18"/>
      <x:c r="BD119" s="18"/>
      <x:c r="BE119" s="19"/>
      <x:c r="BF119" s="22" t="str">
        <x:f>IF(A119="","",IF(BI119&gt;=ReadyThreshold,"Ready",IF(BI119&gt;=PartialThreshold,"Partial","Not Ready")))</x:f>
      </x:c>
      <x:c r="BG119" s="23" t="str">
        <x:f>IF(A119="","",COUNTA(N119,Q119,R119,S119)/4)</x:f>
      </x:c>
      <x:c r="BH119" s="23" t="str">
        <x:f>IF(A119="","",(COUNTA(U119,V119,AE119)+IF(COUNTA(W119,X119,Y119,Z119,AA119)&gt;0,1,0))/4)</x:f>
      </x:c>
      <x:c r="BI119" s="23" t="str">
        <x:f>IF(A119="","",(COUNTIF(AV119:AZ119,"Available")+0.5*COUNTIF(AV119:AZ119,"Partial")+IF(BD119&lt;&gt;"",1,0))/6)</x:f>
      </x:c>
      <x:c r="BJ119" s="22" t="str">
        <x:f>IF(A119="","",IF(AND(F119="",BD119=""),"Blocked",IF(AND(BG119&gt;=ReadyThreshold,BH119&gt;=ReadyThreshold,BI119&gt;=ReadyThreshold),"Ready for Analysis",IF(AVERAGE(BG119,BH119,BI119)&gt;=PartialThreshold,"Partially Ready","Discovery Required"))))</x:f>
      </x:c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8"/>
      <x:c r="BU119" s="17"/>
      <x:c r="BV119" s="17"/>
    </x:row>
    <x:row r="120">
      <x:c r="A120" s="17"/>
      <x:c r="B120" s="17"/>
      <x:c r="C120" s="17"/>
      <x:c r="D120" s="17"/>
      <x:c r="E120" s="18"/>
      <x:c r="F120" s="18"/>
      <x:c r="G120" s="17"/>
      <x:c r="H120" s="17"/>
      <x:c r="I120" s="19"/>
      <x:c r="J120" s="19"/>
      <x:c r="K120" s="17"/>
      <x:c r="L120" s="19"/>
      <x:c r="M120" s="17"/>
      <x:c r="N120" s="18"/>
      <x:c r="O120" s="18"/>
      <x:c r="P120" s="17"/>
      <x:c r="Q120" s="17"/>
      <x:c r="R120" s="17"/>
      <x:c r="S120" s="17"/>
      <x:c r="T120" s="17"/>
      <x:c r="U120" s="18"/>
      <x:c r="V120" s="18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20"/>
      <x:c r="AJ120" s="21"/>
      <x:c r="AK120" s="21"/>
      <x:c r="AL120" s="17"/>
      <x:c r="AM120" s="17"/>
      <x:c r="AN120" s="21"/>
      <x:c r="AO120" s="17"/>
      <x:c r="AP120" s="17"/>
      <x:c r="AQ120" s="17"/>
      <x:c r="AR120" s="17"/>
      <x:c r="AS120" s="17"/>
      <x:c r="AT120" s="17"/>
      <x:c r="AU120" s="18"/>
      <x:c r="AV120" s="17"/>
      <x:c r="AW120" s="17"/>
      <x:c r="AX120" s="17"/>
      <x:c r="AY120" s="17"/>
      <x:c r="AZ120" s="17"/>
      <x:c r="BA120" s="17"/>
      <x:c r="BB120" s="17"/>
      <x:c r="BC120" s="18"/>
      <x:c r="BD120" s="18"/>
      <x:c r="BE120" s="19"/>
      <x:c r="BF120" s="22" t="str">
        <x:f>IF(A120="","",IF(BI120&gt;=ReadyThreshold,"Ready",IF(BI120&gt;=PartialThreshold,"Partial","Not Ready")))</x:f>
      </x:c>
      <x:c r="BG120" s="23" t="str">
        <x:f>IF(A120="","",COUNTA(N120,Q120,R120,S120)/4)</x:f>
      </x:c>
      <x:c r="BH120" s="23" t="str">
        <x:f>IF(A120="","",(COUNTA(U120,V120,AE120)+IF(COUNTA(W120,X120,Y120,Z120,AA120)&gt;0,1,0))/4)</x:f>
      </x:c>
      <x:c r="BI120" s="23" t="str">
        <x:f>IF(A120="","",(COUNTIF(AV120:AZ120,"Available")+0.5*COUNTIF(AV120:AZ120,"Partial")+IF(BD120&lt;&gt;"",1,0))/6)</x:f>
      </x:c>
      <x:c r="BJ120" s="22" t="str">
        <x:f>IF(A120="","",IF(AND(F120="",BD120=""),"Blocked",IF(AND(BG120&gt;=ReadyThreshold,BH120&gt;=ReadyThreshold,BI120&gt;=ReadyThreshold),"Ready for Analysis",IF(AVERAGE(BG120,BH120,BI120)&gt;=PartialThreshold,"Partially Ready","Discovery Required"))))</x:f>
      </x:c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8"/>
      <x:c r="BU120" s="17"/>
      <x:c r="BV120" s="17"/>
    </x:row>
    <x:row r="121">
      <x:c r="A121" s="17"/>
      <x:c r="B121" s="17"/>
      <x:c r="C121" s="17"/>
      <x:c r="D121" s="17"/>
      <x:c r="E121" s="18"/>
      <x:c r="F121" s="18"/>
      <x:c r="G121" s="17"/>
      <x:c r="H121" s="17"/>
      <x:c r="I121" s="19"/>
      <x:c r="J121" s="19"/>
      <x:c r="K121" s="17"/>
      <x:c r="L121" s="19"/>
      <x:c r="M121" s="17"/>
      <x:c r="N121" s="18"/>
      <x:c r="O121" s="18"/>
      <x:c r="P121" s="17"/>
      <x:c r="Q121" s="17"/>
      <x:c r="R121" s="17"/>
      <x:c r="S121" s="17"/>
      <x:c r="T121" s="17"/>
      <x:c r="U121" s="18"/>
      <x:c r="V121" s="18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20"/>
      <x:c r="AJ121" s="21"/>
      <x:c r="AK121" s="21"/>
      <x:c r="AL121" s="17"/>
      <x:c r="AM121" s="17"/>
      <x:c r="AN121" s="21"/>
      <x:c r="AO121" s="17"/>
      <x:c r="AP121" s="17"/>
      <x:c r="AQ121" s="17"/>
      <x:c r="AR121" s="17"/>
      <x:c r="AS121" s="17"/>
      <x:c r="AT121" s="17"/>
      <x:c r="AU121" s="18"/>
      <x:c r="AV121" s="17"/>
      <x:c r="AW121" s="17"/>
      <x:c r="AX121" s="17"/>
      <x:c r="AY121" s="17"/>
      <x:c r="AZ121" s="17"/>
      <x:c r="BA121" s="17"/>
      <x:c r="BB121" s="17"/>
      <x:c r="BC121" s="18"/>
      <x:c r="BD121" s="18"/>
      <x:c r="BE121" s="19"/>
      <x:c r="BF121" s="22" t="str">
        <x:f>IF(A121="","",IF(BI121&gt;=ReadyThreshold,"Ready",IF(BI121&gt;=PartialThreshold,"Partial","Not Ready")))</x:f>
      </x:c>
      <x:c r="BG121" s="23" t="str">
        <x:f>IF(A121="","",COUNTA(N121,Q121,R121,S121)/4)</x:f>
      </x:c>
      <x:c r="BH121" s="23" t="str">
        <x:f>IF(A121="","",(COUNTA(U121,V121,AE121)+IF(COUNTA(W121,X121,Y121,Z121,AA121)&gt;0,1,0))/4)</x:f>
      </x:c>
      <x:c r="BI121" s="23" t="str">
        <x:f>IF(A121="","",(COUNTIF(AV121:AZ121,"Available")+0.5*COUNTIF(AV121:AZ121,"Partial")+IF(BD121&lt;&gt;"",1,0))/6)</x:f>
      </x:c>
      <x:c r="BJ121" s="22" t="str">
        <x:f>IF(A121="","",IF(AND(F121="",BD121=""),"Blocked",IF(AND(BG121&gt;=ReadyThreshold,BH121&gt;=ReadyThreshold,BI121&gt;=ReadyThreshold),"Ready for Analysis",IF(AVERAGE(BG121,BH121,BI121)&gt;=PartialThreshold,"Partially Ready","Discovery Required"))))</x:f>
      </x:c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8"/>
      <x:c r="BU121" s="17"/>
      <x:c r="BV121" s="17"/>
    </x:row>
    <x:row r="122">
      <x:c r="A122" s="17"/>
      <x:c r="B122" s="17"/>
      <x:c r="C122" s="17"/>
      <x:c r="D122" s="17"/>
      <x:c r="E122" s="18"/>
      <x:c r="F122" s="18"/>
      <x:c r="G122" s="17"/>
      <x:c r="H122" s="17"/>
      <x:c r="I122" s="19"/>
      <x:c r="J122" s="19"/>
      <x:c r="K122" s="17"/>
      <x:c r="L122" s="19"/>
      <x:c r="M122" s="17"/>
      <x:c r="N122" s="18"/>
      <x:c r="O122" s="18"/>
      <x:c r="P122" s="17"/>
      <x:c r="Q122" s="17"/>
      <x:c r="R122" s="17"/>
      <x:c r="S122" s="17"/>
      <x:c r="T122" s="17"/>
      <x:c r="U122" s="18"/>
      <x:c r="V122" s="18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20"/>
      <x:c r="AJ122" s="21"/>
      <x:c r="AK122" s="21"/>
      <x:c r="AL122" s="17"/>
      <x:c r="AM122" s="17"/>
      <x:c r="AN122" s="21"/>
      <x:c r="AO122" s="17"/>
      <x:c r="AP122" s="17"/>
      <x:c r="AQ122" s="17"/>
      <x:c r="AR122" s="17"/>
      <x:c r="AS122" s="17"/>
      <x:c r="AT122" s="17"/>
      <x:c r="AU122" s="18"/>
      <x:c r="AV122" s="17"/>
      <x:c r="AW122" s="17"/>
      <x:c r="AX122" s="17"/>
      <x:c r="AY122" s="17"/>
      <x:c r="AZ122" s="17"/>
      <x:c r="BA122" s="17"/>
      <x:c r="BB122" s="17"/>
      <x:c r="BC122" s="18"/>
      <x:c r="BD122" s="18"/>
      <x:c r="BE122" s="19"/>
      <x:c r="BF122" s="22" t="str">
        <x:f>IF(A122="","",IF(BI122&gt;=ReadyThreshold,"Ready",IF(BI122&gt;=PartialThreshold,"Partial","Not Ready")))</x:f>
      </x:c>
      <x:c r="BG122" s="23" t="str">
        <x:f>IF(A122="","",COUNTA(N122,Q122,R122,S122)/4)</x:f>
      </x:c>
      <x:c r="BH122" s="23" t="str">
        <x:f>IF(A122="","",(COUNTA(U122,V122,AE122)+IF(COUNTA(W122,X122,Y122,Z122,AA122)&gt;0,1,0))/4)</x:f>
      </x:c>
      <x:c r="BI122" s="23" t="str">
        <x:f>IF(A122="","",(COUNTIF(AV122:AZ122,"Available")+0.5*COUNTIF(AV122:AZ122,"Partial")+IF(BD122&lt;&gt;"",1,0))/6)</x:f>
      </x:c>
      <x:c r="BJ122" s="22" t="str">
        <x:f>IF(A122="","",IF(AND(F122="",BD122=""),"Blocked",IF(AND(BG122&gt;=ReadyThreshold,BH122&gt;=ReadyThreshold,BI122&gt;=ReadyThreshold),"Ready for Analysis",IF(AVERAGE(BG122,BH122,BI122)&gt;=PartialThreshold,"Partially Ready","Discovery Required"))))</x:f>
      </x:c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8"/>
      <x:c r="BU122" s="17"/>
      <x:c r="BV122" s="17"/>
    </x:row>
    <x:row r="123">
      <x:c r="A123" s="17"/>
      <x:c r="B123" s="17"/>
      <x:c r="C123" s="17"/>
      <x:c r="D123" s="17"/>
      <x:c r="E123" s="18"/>
      <x:c r="F123" s="18"/>
      <x:c r="G123" s="17"/>
      <x:c r="H123" s="17"/>
      <x:c r="I123" s="19"/>
      <x:c r="J123" s="19"/>
      <x:c r="K123" s="17"/>
      <x:c r="L123" s="19"/>
      <x:c r="M123" s="17"/>
      <x:c r="N123" s="18"/>
      <x:c r="O123" s="18"/>
      <x:c r="P123" s="17"/>
      <x:c r="Q123" s="17"/>
      <x:c r="R123" s="17"/>
      <x:c r="S123" s="17"/>
      <x:c r="T123" s="17"/>
      <x:c r="U123" s="18"/>
      <x:c r="V123" s="18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20"/>
      <x:c r="AJ123" s="21"/>
      <x:c r="AK123" s="21"/>
      <x:c r="AL123" s="17"/>
      <x:c r="AM123" s="17"/>
      <x:c r="AN123" s="21"/>
      <x:c r="AO123" s="17"/>
      <x:c r="AP123" s="17"/>
      <x:c r="AQ123" s="17"/>
      <x:c r="AR123" s="17"/>
      <x:c r="AS123" s="17"/>
      <x:c r="AT123" s="17"/>
      <x:c r="AU123" s="18"/>
      <x:c r="AV123" s="17"/>
      <x:c r="AW123" s="17"/>
      <x:c r="AX123" s="17"/>
      <x:c r="AY123" s="17"/>
      <x:c r="AZ123" s="17"/>
      <x:c r="BA123" s="17"/>
      <x:c r="BB123" s="17"/>
      <x:c r="BC123" s="18"/>
      <x:c r="BD123" s="18"/>
      <x:c r="BE123" s="19"/>
      <x:c r="BF123" s="22" t="str">
        <x:f>IF(A123="","",IF(BI123&gt;=ReadyThreshold,"Ready",IF(BI123&gt;=PartialThreshold,"Partial","Not Ready")))</x:f>
      </x:c>
      <x:c r="BG123" s="23" t="str">
        <x:f>IF(A123="","",COUNTA(N123,Q123,R123,S123)/4)</x:f>
      </x:c>
      <x:c r="BH123" s="23" t="str">
        <x:f>IF(A123="","",(COUNTA(U123,V123,AE123)+IF(COUNTA(W123,X123,Y123,Z123,AA123)&gt;0,1,0))/4)</x:f>
      </x:c>
      <x:c r="BI123" s="23" t="str">
        <x:f>IF(A123="","",(COUNTIF(AV123:AZ123,"Available")+0.5*COUNTIF(AV123:AZ123,"Partial")+IF(BD123&lt;&gt;"",1,0))/6)</x:f>
      </x:c>
      <x:c r="BJ123" s="22" t="str">
        <x:f>IF(A123="","",IF(AND(F123="",BD123=""),"Blocked",IF(AND(BG123&gt;=ReadyThreshold,BH123&gt;=ReadyThreshold,BI123&gt;=ReadyThreshold),"Ready for Analysis",IF(AVERAGE(BG123,BH123,BI123)&gt;=PartialThreshold,"Partially Ready","Discovery Required"))))</x:f>
      </x:c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8"/>
      <x:c r="BU123" s="17"/>
      <x:c r="BV123" s="17"/>
    </x:row>
    <x:row r="124">
      <x:c r="A124" s="17"/>
      <x:c r="B124" s="17"/>
      <x:c r="C124" s="17"/>
      <x:c r="D124" s="17"/>
      <x:c r="E124" s="18"/>
      <x:c r="F124" s="18"/>
      <x:c r="G124" s="17"/>
      <x:c r="H124" s="17"/>
      <x:c r="I124" s="19"/>
      <x:c r="J124" s="19"/>
      <x:c r="K124" s="17"/>
      <x:c r="L124" s="19"/>
      <x:c r="M124" s="17"/>
      <x:c r="N124" s="18"/>
      <x:c r="O124" s="18"/>
      <x:c r="P124" s="17"/>
      <x:c r="Q124" s="17"/>
      <x:c r="R124" s="17"/>
      <x:c r="S124" s="17"/>
      <x:c r="T124" s="17"/>
      <x:c r="U124" s="18"/>
      <x:c r="V124" s="18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20"/>
      <x:c r="AJ124" s="21"/>
      <x:c r="AK124" s="21"/>
      <x:c r="AL124" s="17"/>
      <x:c r="AM124" s="17"/>
      <x:c r="AN124" s="21"/>
      <x:c r="AO124" s="17"/>
      <x:c r="AP124" s="17"/>
      <x:c r="AQ124" s="17"/>
      <x:c r="AR124" s="17"/>
      <x:c r="AS124" s="17"/>
      <x:c r="AT124" s="17"/>
      <x:c r="AU124" s="18"/>
      <x:c r="AV124" s="17"/>
      <x:c r="AW124" s="17"/>
      <x:c r="AX124" s="17"/>
      <x:c r="AY124" s="17"/>
      <x:c r="AZ124" s="17"/>
      <x:c r="BA124" s="17"/>
      <x:c r="BB124" s="17"/>
      <x:c r="BC124" s="18"/>
      <x:c r="BD124" s="18"/>
      <x:c r="BE124" s="19"/>
      <x:c r="BF124" s="22" t="str">
        <x:f>IF(A124="","",IF(BI124&gt;=ReadyThreshold,"Ready",IF(BI124&gt;=PartialThreshold,"Partial","Not Ready")))</x:f>
      </x:c>
      <x:c r="BG124" s="23" t="str">
        <x:f>IF(A124="","",COUNTA(N124,Q124,R124,S124)/4)</x:f>
      </x:c>
      <x:c r="BH124" s="23" t="str">
        <x:f>IF(A124="","",(COUNTA(U124,V124,AE124)+IF(COUNTA(W124,X124,Y124,Z124,AA124)&gt;0,1,0))/4)</x:f>
      </x:c>
      <x:c r="BI124" s="23" t="str">
        <x:f>IF(A124="","",(COUNTIF(AV124:AZ124,"Available")+0.5*COUNTIF(AV124:AZ124,"Partial")+IF(BD124&lt;&gt;"",1,0))/6)</x:f>
      </x:c>
      <x:c r="BJ124" s="22" t="str">
        <x:f>IF(A124="","",IF(AND(F124="",BD124=""),"Blocked",IF(AND(BG124&gt;=ReadyThreshold,BH124&gt;=ReadyThreshold,BI124&gt;=ReadyThreshold),"Ready for Analysis",IF(AVERAGE(BG124,BH124,BI124)&gt;=PartialThreshold,"Partially Ready","Discovery Required"))))</x:f>
      </x:c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8"/>
      <x:c r="BU124" s="17"/>
      <x:c r="BV124" s="17"/>
    </x:row>
    <x:row r="125">
      <x:c r="A125" s="17"/>
      <x:c r="B125" s="17"/>
      <x:c r="C125" s="17"/>
      <x:c r="D125" s="17"/>
      <x:c r="E125" s="18"/>
      <x:c r="F125" s="18"/>
      <x:c r="G125" s="17"/>
      <x:c r="H125" s="17"/>
      <x:c r="I125" s="19"/>
      <x:c r="J125" s="19"/>
      <x:c r="K125" s="17"/>
      <x:c r="L125" s="19"/>
      <x:c r="M125" s="17"/>
      <x:c r="N125" s="18"/>
      <x:c r="O125" s="18"/>
      <x:c r="P125" s="17"/>
      <x:c r="Q125" s="17"/>
      <x:c r="R125" s="17"/>
      <x:c r="S125" s="17"/>
      <x:c r="T125" s="17"/>
      <x:c r="U125" s="18"/>
      <x:c r="V125" s="18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20"/>
      <x:c r="AJ125" s="21"/>
      <x:c r="AK125" s="21"/>
      <x:c r="AL125" s="17"/>
      <x:c r="AM125" s="17"/>
      <x:c r="AN125" s="21"/>
      <x:c r="AO125" s="17"/>
      <x:c r="AP125" s="17"/>
      <x:c r="AQ125" s="17"/>
      <x:c r="AR125" s="17"/>
      <x:c r="AS125" s="17"/>
      <x:c r="AT125" s="17"/>
      <x:c r="AU125" s="18"/>
      <x:c r="AV125" s="17"/>
      <x:c r="AW125" s="17"/>
      <x:c r="AX125" s="17"/>
      <x:c r="AY125" s="17"/>
      <x:c r="AZ125" s="17"/>
      <x:c r="BA125" s="17"/>
      <x:c r="BB125" s="17"/>
      <x:c r="BC125" s="18"/>
      <x:c r="BD125" s="18"/>
      <x:c r="BE125" s="19"/>
      <x:c r="BF125" s="22" t="str">
        <x:f>IF(A125="","",IF(BI125&gt;=ReadyThreshold,"Ready",IF(BI125&gt;=PartialThreshold,"Partial","Not Ready")))</x:f>
      </x:c>
      <x:c r="BG125" s="23" t="str">
        <x:f>IF(A125="","",COUNTA(N125,Q125,R125,S125)/4)</x:f>
      </x:c>
      <x:c r="BH125" s="23" t="str">
        <x:f>IF(A125="","",(COUNTA(U125,V125,AE125)+IF(COUNTA(W125,X125,Y125,Z125,AA125)&gt;0,1,0))/4)</x:f>
      </x:c>
      <x:c r="BI125" s="23" t="str">
        <x:f>IF(A125="","",(COUNTIF(AV125:AZ125,"Available")+0.5*COUNTIF(AV125:AZ125,"Partial")+IF(BD125&lt;&gt;"",1,0))/6)</x:f>
      </x:c>
      <x:c r="BJ125" s="22" t="str">
        <x:f>IF(A125="","",IF(AND(F125="",BD125=""),"Blocked",IF(AND(BG125&gt;=ReadyThreshold,BH125&gt;=ReadyThreshold,BI125&gt;=ReadyThreshold),"Ready for Analysis",IF(AVERAGE(BG125,BH125,BI125)&gt;=PartialThreshold,"Partially Ready","Discovery Required"))))</x:f>
      </x:c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8"/>
      <x:c r="BU125" s="17"/>
      <x:c r="BV125" s="17"/>
    </x:row>
    <x:row r="126">
      <x:c r="A126" s="17"/>
      <x:c r="B126" s="17"/>
      <x:c r="C126" s="17"/>
      <x:c r="D126" s="17"/>
      <x:c r="E126" s="18"/>
      <x:c r="F126" s="18"/>
      <x:c r="G126" s="17"/>
      <x:c r="H126" s="17"/>
      <x:c r="I126" s="19"/>
      <x:c r="J126" s="19"/>
      <x:c r="K126" s="17"/>
      <x:c r="L126" s="19"/>
      <x:c r="M126" s="17"/>
      <x:c r="N126" s="18"/>
      <x:c r="O126" s="18"/>
      <x:c r="P126" s="17"/>
      <x:c r="Q126" s="17"/>
      <x:c r="R126" s="17"/>
      <x:c r="S126" s="17"/>
      <x:c r="T126" s="17"/>
      <x:c r="U126" s="18"/>
      <x:c r="V126" s="18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20"/>
      <x:c r="AJ126" s="21"/>
      <x:c r="AK126" s="21"/>
      <x:c r="AL126" s="17"/>
      <x:c r="AM126" s="17"/>
      <x:c r="AN126" s="21"/>
      <x:c r="AO126" s="17"/>
      <x:c r="AP126" s="17"/>
      <x:c r="AQ126" s="17"/>
      <x:c r="AR126" s="17"/>
      <x:c r="AS126" s="17"/>
      <x:c r="AT126" s="17"/>
      <x:c r="AU126" s="18"/>
      <x:c r="AV126" s="17"/>
      <x:c r="AW126" s="17"/>
      <x:c r="AX126" s="17"/>
      <x:c r="AY126" s="17"/>
      <x:c r="AZ126" s="17"/>
      <x:c r="BA126" s="17"/>
      <x:c r="BB126" s="17"/>
      <x:c r="BC126" s="18"/>
      <x:c r="BD126" s="18"/>
      <x:c r="BE126" s="19"/>
      <x:c r="BF126" s="22" t="str">
        <x:f>IF(A126="","",IF(BI126&gt;=ReadyThreshold,"Ready",IF(BI126&gt;=PartialThreshold,"Partial","Not Ready")))</x:f>
      </x:c>
      <x:c r="BG126" s="23" t="str">
        <x:f>IF(A126="","",COUNTA(N126,Q126,R126,S126)/4)</x:f>
      </x:c>
      <x:c r="BH126" s="23" t="str">
        <x:f>IF(A126="","",(COUNTA(U126,V126,AE126)+IF(COUNTA(W126,X126,Y126,Z126,AA126)&gt;0,1,0))/4)</x:f>
      </x:c>
      <x:c r="BI126" s="23" t="str">
        <x:f>IF(A126="","",(COUNTIF(AV126:AZ126,"Available")+0.5*COUNTIF(AV126:AZ126,"Partial")+IF(BD126&lt;&gt;"",1,0))/6)</x:f>
      </x:c>
      <x:c r="BJ126" s="22" t="str">
        <x:f>IF(A126="","",IF(AND(F126="",BD126=""),"Blocked",IF(AND(BG126&gt;=ReadyThreshold,BH126&gt;=ReadyThreshold,BI126&gt;=ReadyThreshold),"Ready for Analysis",IF(AVERAGE(BG126,BH126,BI126)&gt;=PartialThreshold,"Partially Ready","Discovery Required"))))</x:f>
      </x:c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8"/>
      <x:c r="BU126" s="17"/>
      <x:c r="BV126" s="17"/>
    </x:row>
    <x:row r="127">
      <x:c r="A127" s="17"/>
      <x:c r="B127" s="17"/>
      <x:c r="C127" s="17"/>
      <x:c r="D127" s="17"/>
      <x:c r="E127" s="18"/>
      <x:c r="F127" s="18"/>
      <x:c r="G127" s="17"/>
      <x:c r="H127" s="17"/>
      <x:c r="I127" s="19"/>
      <x:c r="J127" s="19"/>
      <x:c r="K127" s="17"/>
      <x:c r="L127" s="19"/>
      <x:c r="M127" s="17"/>
      <x:c r="N127" s="18"/>
      <x:c r="O127" s="18"/>
      <x:c r="P127" s="17"/>
      <x:c r="Q127" s="17"/>
      <x:c r="R127" s="17"/>
      <x:c r="S127" s="17"/>
      <x:c r="T127" s="17"/>
      <x:c r="U127" s="18"/>
      <x:c r="V127" s="18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20"/>
      <x:c r="AJ127" s="21"/>
      <x:c r="AK127" s="21"/>
      <x:c r="AL127" s="17"/>
      <x:c r="AM127" s="17"/>
      <x:c r="AN127" s="21"/>
      <x:c r="AO127" s="17"/>
      <x:c r="AP127" s="17"/>
      <x:c r="AQ127" s="17"/>
      <x:c r="AR127" s="17"/>
      <x:c r="AS127" s="17"/>
      <x:c r="AT127" s="17"/>
      <x:c r="AU127" s="18"/>
      <x:c r="AV127" s="17"/>
      <x:c r="AW127" s="17"/>
      <x:c r="AX127" s="17"/>
      <x:c r="AY127" s="17"/>
      <x:c r="AZ127" s="17"/>
      <x:c r="BA127" s="17"/>
      <x:c r="BB127" s="17"/>
      <x:c r="BC127" s="18"/>
      <x:c r="BD127" s="18"/>
      <x:c r="BE127" s="19"/>
      <x:c r="BF127" s="22" t="str">
        <x:f>IF(A127="","",IF(BI127&gt;=ReadyThreshold,"Ready",IF(BI127&gt;=PartialThreshold,"Partial","Not Ready")))</x:f>
      </x:c>
      <x:c r="BG127" s="23" t="str">
        <x:f>IF(A127="","",COUNTA(N127,Q127,R127,S127)/4)</x:f>
      </x:c>
      <x:c r="BH127" s="23" t="str">
        <x:f>IF(A127="","",(COUNTA(U127,V127,AE127)+IF(COUNTA(W127,X127,Y127,Z127,AA127)&gt;0,1,0))/4)</x:f>
      </x:c>
      <x:c r="BI127" s="23" t="str">
        <x:f>IF(A127="","",(COUNTIF(AV127:AZ127,"Available")+0.5*COUNTIF(AV127:AZ127,"Partial")+IF(BD127&lt;&gt;"",1,0))/6)</x:f>
      </x:c>
      <x:c r="BJ127" s="22" t="str">
        <x:f>IF(A127="","",IF(AND(F127="",BD127=""),"Blocked",IF(AND(BG127&gt;=ReadyThreshold,BH127&gt;=ReadyThreshold,BI127&gt;=ReadyThreshold),"Ready for Analysis",IF(AVERAGE(BG127,BH127,BI127)&gt;=PartialThreshold,"Partially Ready","Discovery Required"))))</x:f>
      </x:c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8"/>
      <x:c r="BU127" s="17"/>
      <x:c r="BV127" s="17"/>
    </x:row>
    <x:row r="128">
      <x:c r="A128" s="17"/>
      <x:c r="B128" s="17"/>
      <x:c r="C128" s="17"/>
      <x:c r="D128" s="17"/>
      <x:c r="E128" s="18"/>
      <x:c r="F128" s="18"/>
      <x:c r="G128" s="17"/>
      <x:c r="H128" s="17"/>
      <x:c r="I128" s="19"/>
      <x:c r="J128" s="19"/>
      <x:c r="K128" s="17"/>
      <x:c r="L128" s="19"/>
      <x:c r="M128" s="17"/>
      <x:c r="N128" s="18"/>
      <x:c r="O128" s="18"/>
      <x:c r="P128" s="17"/>
      <x:c r="Q128" s="17"/>
      <x:c r="R128" s="17"/>
      <x:c r="S128" s="17"/>
      <x:c r="T128" s="17"/>
      <x:c r="U128" s="18"/>
      <x:c r="V128" s="18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20"/>
      <x:c r="AJ128" s="21"/>
      <x:c r="AK128" s="21"/>
      <x:c r="AL128" s="17"/>
      <x:c r="AM128" s="17"/>
      <x:c r="AN128" s="21"/>
      <x:c r="AO128" s="17"/>
      <x:c r="AP128" s="17"/>
      <x:c r="AQ128" s="17"/>
      <x:c r="AR128" s="17"/>
      <x:c r="AS128" s="17"/>
      <x:c r="AT128" s="17"/>
      <x:c r="AU128" s="18"/>
      <x:c r="AV128" s="17"/>
      <x:c r="AW128" s="17"/>
      <x:c r="AX128" s="17"/>
      <x:c r="AY128" s="17"/>
      <x:c r="AZ128" s="17"/>
      <x:c r="BA128" s="17"/>
      <x:c r="BB128" s="17"/>
      <x:c r="BC128" s="18"/>
      <x:c r="BD128" s="18"/>
      <x:c r="BE128" s="19"/>
      <x:c r="BF128" s="22" t="str">
        <x:f>IF(A128="","",IF(BI128&gt;=ReadyThreshold,"Ready",IF(BI128&gt;=PartialThreshold,"Partial","Not Ready")))</x:f>
      </x:c>
      <x:c r="BG128" s="23" t="str">
        <x:f>IF(A128="","",COUNTA(N128,Q128,R128,S128)/4)</x:f>
      </x:c>
      <x:c r="BH128" s="23" t="str">
        <x:f>IF(A128="","",(COUNTA(U128,V128,AE128)+IF(COUNTA(W128,X128,Y128,Z128,AA128)&gt;0,1,0))/4)</x:f>
      </x:c>
      <x:c r="BI128" s="23" t="str">
        <x:f>IF(A128="","",(COUNTIF(AV128:AZ128,"Available")+0.5*COUNTIF(AV128:AZ128,"Partial")+IF(BD128&lt;&gt;"",1,0))/6)</x:f>
      </x:c>
      <x:c r="BJ128" s="22" t="str">
        <x:f>IF(A128="","",IF(AND(F128="",BD128=""),"Blocked",IF(AND(BG128&gt;=ReadyThreshold,BH128&gt;=ReadyThreshold,BI128&gt;=ReadyThreshold),"Ready for Analysis",IF(AVERAGE(BG128,BH128,BI128)&gt;=PartialThreshold,"Partially Ready","Discovery Required"))))</x:f>
      </x:c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8"/>
      <x:c r="BU128" s="17"/>
      <x:c r="BV128" s="17"/>
    </x:row>
    <x:row r="129">
      <x:c r="A129" s="17"/>
      <x:c r="B129" s="17"/>
      <x:c r="C129" s="17"/>
      <x:c r="D129" s="17"/>
      <x:c r="E129" s="18"/>
      <x:c r="F129" s="18"/>
      <x:c r="G129" s="17"/>
      <x:c r="H129" s="17"/>
      <x:c r="I129" s="19"/>
      <x:c r="J129" s="19"/>
      <x:c r="K129" s="17"/>
      <x:c r="L129" s="19"/>
      <x:c r="M129" s="17"/>
      <x:c r="N129" s="18"/>
      <x:c r="O129" s="18"/>
      <x:c r="P129" s="17"/>
      <x:c r="Q129" s="17"/>
      <x:c r="R129" s="17"/>
      <x:c r="S129" s="17"/>
      <x:c r="T129" s="17"/>
      <x:c r="U129" s="18"/>
      <x:c r="V129" s="18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20"/>
      <x:c r="AJ129" s="21"/>
      <x:c r="AK129" s="21"/>
      <x:c r="AL129" s="17"/>
      <x:c r="AM129" s="17"/>
      <x:c r="AN129" s="21"/>
      <x:c r="AO129" s="17"/>
      <x:c r="AP129" s="17"/>
      <x:c r="AQ129" s="17"/>
      <x:c r="AR129" s="17"/>
      <x:c r="AS129" s="17"/>
      <x:c r="AT129" s="17"/>
      <x:c r="AU129" s="18"/>
      <x:c r="AV129" s="17"/>
      <x:c r="AW129" s="17"/>
      <x:c r="AX129" s="17"/>
      <x:c r="AY129" s="17"/>
      <x:c r="AZ129" s="17"/>
      <x:c r="BA129" s="17"/>
      <x:c r="BB129" s="17"/>
      <x:c r="BC129" s="18"/>
      <x:c r="BD129" s="18"/>
      <x:c r="BE129" s="19"/>
      <x:c r="BF129" s="22" t="str">
        <x:f>IF(A129="","",IF(BI129&gt;=ReadyThreshold,"Ready",IF(BI129&gt;=PartialThreshold,"Partial","Not Ready")))</x:f>
      </x:c>
      <x:c r="BG129" s="23" t="str">
        <x:f>IF(A129="","",COUNTA(N129,Q129,R129,S129)/4)</x:f>
      </x:c>
      <x:c r="BH129" s="23" t="str">
        <x:f>IF(A129="","",(COUNTA(U129,V129,AE129)+IF(COUNTA(W129,X129,Y129,Z129,AA129)&gt;0,1,0))/4)</x:f>
      </x:c>
      <x:c r="BI129" s="23" t="str">
        <x:f>IF(A129="","",(COUNTIF(AV129:AZ129,"Available")+0.5*COUNTIF(AV129:AZ129,"Partial")+IF(BD129&lt;&gt;"",1,0))/6)</x:f>
      </x:c>
      <x:c r="BJ129" s="22" t="str">
        <x:f>IF(A129="","",IF(AND(F129="",BD129=""),"Blocked",IF(AND(BG129&gt;=ReadyThreshold,BH129&gt;=ReadyThreshold,BI129&gt;=ReadyThreshold),"Ready for Analysis",IF(AVERAGE(BG129,BH129,BI129)&gt;=PartialThreshold,"Partially Ready","Discovery Required"))))</x:f>
      </x:c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8"/>
      <x:c r="BU129" s="17"/>
      <x:c r="BV129" s="17"/>
    </x:row>
    <x:row r="130">
      <x:c r="A130" s="17"/>
      <x:c r="B130" s="17"/>
      <x:c r="C130" s="17"/>
      <x:c r="D130" s="17"/>
      <x:c r="E130" s="18"/>
      <x:c r="F130" s="18"/>
      <x:c r="G130" s="17"/>
      <x:c r="H130" s="17"/>
      <x:c r="I130" s="19"/>
      <x:c r="J130" s="19"/>
      <x:c r="K130" s="17"/>
      <x:c r="L130" s="19"/>
      <x:c r="M130" s="17"/>
      <x:c r="N130" s="18"/>
      <x:c r="O130" s="18"/>
      <x:c r="P130" s="17"/>
      <x:c r="Q130" s="17"/>
      <x:c r="R130" s="17"/>
      <x:c r="S130" s="17"/>
      <x:c r="T130" s="17"/>
      <x:c r="U130" s="18"/>
      <x:c r="V130" s="18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20"/>
      <x:c r="AJ130" s="21"/>
      <x:c r="AK130" s="21"/>
      <x:c r="AL130" s="17"/>
      <x:c r="AM130" s="17"/>
      <x:c r="AN130" s="21"/>
      <x:c r="AO130" s="17"/>
      <x:c r="AP130" s="17"/>
      <x:c r="AQ130" s="17"/>
      <x:c r="AR130" s="17"/>
      <x:c r="AS130" s="17"/>
      <x:c r="AT130" s="17"/>
      <x:c r="AU130" s="18"/>
      <x:c r="AV130" s="17"/>
      <x:c r="AW130" s="17"/>
      <x:c r="AX130" s="17"/>
      <x:c r="AY130" s="17"/>
      <x:c r="AZ130" s="17"/>
      <x:c r="BA130" s="17"/>
      <x:c r="BB130" s="17"/>
      <x:c r="BC130" s="18"/>
      <x:c r="BD130" s="18"/>
      <x:c r="BE130" s="19"/>
      <x:c r="BF130" s="22" t="str">
        <x:f>IF(A130="","",IF(BI130&gt;=ReadyThreshold,"Ready",IF(BI130&gt;=PartialThreshold,"Partial","Not Ready")))</x:f>
      </x:c>
      <x:c r="BG130" s="23" t="str">
        <x:f>IF(A130="","",COUNTA(N130,Q130,R130,S130)/4)</x:f>
      </x:c>
      <x:c r="BH130" s="23" t="str">
        <x:f>IF(A130="","",(COUNTA(U130,V130,AE130)+IF(COUNTA(W130,X130,Y130,Z130,AA130)&gt;0,1,0))/4)</x:f>
      </x:c>
      <x:c r="BI130" s="23" t="str">
        <x:f>IF(A130="","",(COUNTIF(AV130:AZ130,"Available")+0.5*COUNTIF(AV130:AZ130,"Partial")+IF(BD130&lt;&gt;"",1,0))/6)</x:f>
      </x:c>
      <x:c r="BJ130" s="22" t="str">
        <x:f>IF(A130="","",IF(AND(F130="",BD130=""),"Blocked",IF(AND(BG130&gt;=ReadyThreshold,BH130&gt;=ReadyThreshold,BI130&gt;=ReadyThreshold),"Ready for Analysis",IF(AVERAGE(BG130,BH130,BI130)&gt;=PartialThreshold,"Partially Ready","Discovery Required"))))</x:f>
      </x:c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8"/>
      <x:c r="BU130" s="17"/>
      <x:c r="BV130" s="17"/>
    </x:row>
    <x:row r="131">
      <x:c r="A131" s="17"/>
      <x:c r="B131" s="17"/>
      <x:c r="C131" s="17"/>
      <x:c r="D131" s="17"/>
      <x:c r="E131" s="18"/>
      <x:c r="F131" s="18"/>
      <x:c r="G131" s="17"/>
      <x:c r="H131" s="17"/>
      <x:c r="I131" s="19"/>
      <x:c r="J131" s="19"/>
      <x:c r="K131" s="17"/>
      <x:c r="L131" s="19"/>
      <x:c r="M131" s="17"/>
      <x:c r="N131" s="18"/>
      <x:c r="O131" s="18"/>
      <x:c r="P131" s="17"/>
      <x:c r="Q131" s="17"/>
      <x:c r="R131" s="17"/>
      <x:c r="S131" s="17"/>
      <x:c r="T131" s="17"/>
      <x:c r="U131" s="18"/>
      <x:c r="V131" s="18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20"/>
      <x:c r="AJ131" s="21"/>
      <x:c r="AK131" s="21"/>
      <x:c r="AL131" s="17"/>
      <x:c r="AM131" s="17"/>
      <x:c r="AN131" s="21"/>
      <x:c r="AO131" s="17"/>
      <x:c r="AP131" s="17"/>
      <x:c r="AQ131" s="17"/>
      <x:c r="AR131" s="17"/>
      <x:c r="AS131" s="17"/>
      <x:c r="AT131" s="17"/>
      <x:c r="AU131" s="18"/>
      <x:c r="AV131" s="17"/>
      <x:c r="AW131" s="17"/>
      <x:c r="AX131" s="17"/>
      <x:c r="AY131" s="17"/>
      <x:c r="AZ131" s="17"/>
      <x:c r="BA131" s="17"/>
      <x:c r="BB131" s="17"/>
      <x:c r="BC131" s="18"/>
      <x:c r="BD131" s="18"/>
      <x:c r="BE131" s="19"/>
      <x:c r="BF131" s="22" t="str">
        <x:f>IF(A131="","",IF(BI131&gt;=ReadyThreshold,"Ready",IF(BI131&gt;=PartialThreshold,"Partial","Not Ready")))</x:f>
      </x:c>
      <x:c r="BG131" s="23" t="str">
        <x:f>IF(A131="","",COUNTA(N131,Q131,R131,S131)/4)</x:f>
      </x:c>
      <x:c r="BH131" s="23" t="str">
        <x:f>IF(A131="","",(COUNTA(U131,V131,AE131)+IF(COUNTA(W131,X131,Y131,Z131,AA131)&gt;0,1,0))/4)</x:f>
      </x:c>
      <x:c r="BI131" s="23" t="str">
        <x:f>IF(A131="","",(COUNTIF(AV131:AZ131,"Available")+0.5*COUNTIF(AV131:AZ131,"Partial")+IF(BD131&lt;&gt;"",1,0))/6)</x:f>
      </x:c>
      <x:c r="BJ131" s="22" t="str">
        <x:f>IF(A131="","",IF(AND(F131="",BD131=""),"Blocked",IF(AND(BG131&gt;=ReadyThreshold,BH131&gt;=ReadyThreshold,BI131&gt;=ReadyThreshold),"Ready for Analysis",IF(AVERAGE(BG131,BH131,BI131)&gt;=PartialThreshold,"Partially Ready","Discovery Required"))))</x:f>
      </x:c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8"/>
      <x:c r="BU131" s="17"/>
      <x:c r="BV131" s="17"/>
    </x:row>
    <x:row r="132">
      <x:c r="A132" s="17"/>
      <x:c r="B132" s="17"/>
      <x:c r="C132" s="17"/>
      <x:c r="D132" s="17"/>
      <x:c r="E132" s="18"/>
      <x:c r="F132" s="18"/>
      <x:c r="G132" s="17"/>
      <x:c r="H132" s="17"/>
      <x:c r="I132" s="19"/>
      <x:c r="J132" s="19"/>
      <x:c r="K132" s="17"/>
      <x:c r="L132" s="19"/>
      <x:c r="M132" s="17"/>
      <x:c r="N132" s="18"/>
      <x:c r="O132" s="18"/>
      <x:c r="P132" s="17"/>
      <x:c r="Q132" s="17"/>
      <x:c r="R132" s="17"/>
      <x:c r="S132" s="17"/>
      <x:c r="T132" s="17"/>
      <x:c r="U132" s="18"/>
      <x:c r="V132" s="18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20"/>
      <x:c r="AJ132" s="21"/>
      <x:c r="AK132" s="21"/>
      <x:c r="AL132" s="17"/>
      <x:c r="AM132" s="17"/>
      <x:c r="AN132" s="21"/>
      <x:c r="AO132" s="17"/>
      <x:c r="AP132" s="17"/>
      <x:c r="AQ132" s="17"/>
      <x:c r="AR132" s="17"/>
      <x:c r="AS132" s="17"/>
      <x:c r="AT132" s="17"/>
      <x:c r="AU132" s="18"/>
      <x:c r="AV132" s="17"/>
      <x:c r="AW132" s="17"/>
      <x:c r="AX132" s="17"/>
      <x:c r="AY132" s="17"/>
      <x:c r="AZ132" s="17"/>
      <x:c r="BA132" s="17"/>
      <x:c r="BB132" s="17"/>
      <x:c r="BC132" s="18"/>
      <x:c r="BD132" s="18"/>
      <x:c r="BE132" s="19"/>
      <x:c r="BF132" s="22" t="str">
        <x:f>IF(A132="","",IF(BI132&gt;=ReadyThreshold,"Ready",IF(BI132&gt;=PartialThreshold,"Partial","Not Ready")))</x:f>
      </x:c>
      <x:c r="BG132" s="23" t="str">
        <x:f>IF(A132="","",COUNTA(N132,Q132,R132,S132)/4)</x:f>
      </x:c>
      <x:c r="BH132" s="23" t="str">
        <x:f>IF(A132="","",(COUNTA(U132,V132,AE132)+IF(COUNTA(W132,X132,Y132,Z132,AA132)&gt;0,1,0))/4)</x:f>
      </x:c>
      <x:c r="BI132" s="23" t="str">
        <x:f>IF(A132="","",(COUNTIF(AV132:AZ132,"Available")+0.5*COUNTIF(AV132:AZ132,"Partial")+IF(BD132&lt;&gt;"",1,0))/6)</x:f>
      </x:c>
      <x:c r="BJ132" s="22" t="str">
        <x:f>IF(A132="","",IF(AND(F132="",BD132=""),"Blocked",IF(AND(BG132&gt;=ReadyThreshold,BH132&gt;=ReadyThreshold,BI132&gt;=ReadyThreshold),"Ready for Analysis",IF(AVERAGE(BG132,BH132,BI132)&gt;=PartialThreshold,"Partially Ready","Discovery Required"))))</x:f>
      </x:c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8"/>
      <x:c r="BU132" s="17"/>
      <x:c r="BV132" s="17"/>
    </x:row>
    <x:row r="133">
      <x:c r="A133" s="17"/>
      <x:c r="B133" s="17"/>
      <x:c r="C133" s="17"/>
      <x:c r="D133" s="17"/>
      <x:c r="E133" s="18"/>
      <x:c r="F133" s="18"/>
      <x:c r="G133" s="17"/>
      <x:c r="H133" s="17"/>
      <x:c r="I133" s="19"/>
      <x:c r="J133" s="19"/>
      <x:c r="K133" s="17"/>
      <x:c r="L133" s="19"/>
      <x:c r="M133" s="17"/>
      <x:c r="N133" s="18"/>
      <x:c r="O133" s="18"/>
      <x:c r="P133" s="17"/>
      <x:c r="Q133" s="17"/>
      <x:c r="R133" s="17"/>
      <x:c r="S133" s="17"/>
      <x:c r="T133" s="17"/>
      <x:c r="U133" s="18"/>
      <x:c r="V133" s="18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20"/>
      <x:c r="AJ133" s="21"/>
      <x:c r="AK133" s="21"/>
      <x:c r="AL133" s="17"/>
      <x:c r="AM133" s="17"/>
      <x:c r="AN133" s="21"/>
      <x:c r="AO133" s="17"/>
      <x:c r="AP133" s="17"/>
      <x:c r="AQ133" s="17"/>
      <x:c r="AR133" s="17"/>
      <x:c r="AS133" s="17"/>
      <x:c r="AT133" s="17"/>
      <x:c r="AU133" s="18"/>
      <x:c r="AV133" s="17"/>
      <x:c r="AW133" s="17"/>
      <x:c r="AX133" s="17"/>
      <x:c r="AY133" s="17"/>
      <x:c r="AZ133" s="17"/>
      <x:c r="BA133" s="17"/>
      <x:c r="BB133" s="17"/>
      <x:c r="BC133" s="18"/>
      <x:c r="BD133" s="18"/>
      <x:c r="BE133" s="19"/>
      <x:c r="BF133" s="22" t="str">
        <x:f>IF(A133="","",IF(BI133&gt;=ReadyThreshold,"Ready",IF(BI133&gt;=PartialThreshold,"Partial","Not Ready")))</x:f>
      </x:c>
      <x:c r="BG133" s="23" t="str">
        <x:f>IF(A133="","",COUNTA(N133,Q133,R133,S133)/4)</x:f>
      </x:c>
      <x:c r="BH133" s="23" t="str">
        <x:f>IF(A133="","",(COUNTA(U133,V133,AE133)+IF(COUNTA(W133,X133,Y133,Z133,AA133)&gt;0,1,0))/4)</x:f>
      </x:c>
      <x:c r="BI133" s="23" t="str">
        <x:f>IF(A133="","",(COUNTIF(AV133:AZ133,"Available")+0.5*COUNTIF(AV133:AZ133,"Partial")+IF(BD133&lt;&gt;"",1,0))/6)</x:f>
      </x:c>
      <x:c r="BJ133" s="22" t="str">
        <x:f>IF(A133="","",IF(AND(F133="",BD133=""),"Blocked",IF(AND(BG133&gt;=ReadyThreshold,BH133&gt;=ReadyThreshold,BI133&gt;=ReadyThreshold),"Ready for Analysis",IF(AVERAGE(BG133,BH133,BI133)&gt;=PartialThreshold,"Partially Ready","Discovery Required"))))</x:f>
      </x:c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8"/>
      <x:c r="BU133" s="17"/>
      <x:c r="BV133" s="17"/>
    </x:row>
    <x:row r="134">
      <x:c r="A134" s="17"/>
      <x:c r="B134" s="17"/>
      <x:c r="C134" s="17"/>
      <x:c r="D134" s="17"/>
      <x:c r="E134" s="18"/>
      <x:c r="F134" s="18"/>
      <x:c r="G134" s="17"/>
      <x:c r="H134" s="17"/>
      <x:c r="I134" s="19"/>
      <x:c r="J134" s="19"/>
      <x:c r="K134" s="17"/>
      <x:c r="L134" s="19"/>
      <x:c r="M134" s="17"/>
      <x:c r="N134" s="18"/>
      <x:c r="O134" s="18"/>
      <x:c r="P134" s="17"/>
      <x:c r="Q134" s="17"/>
      <x:c r="R134" s="17"/>
      <x:c r="S134" s="17"/>
      <x:c r="T134" s="17"/>
      <x:c r="U134" s="18"/>
      <x:c r="V134" s="18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20"/>
      <x:c r="AJ134" s="21"/>
      <x:c r="AK134" s="21"/>
      <x:c r="AL134" s="17"/>
      <x:c r="AM134" s="17"/>
      <x:c r="AN134" s="21"/>
      <x:c r="AO134" s="17"/>
      <x:c r="AP134" s="17"/>
      <x:c r="AQ134" s="17"/>
      <x:c r="AR134" s="17"/>
      <x:c r="AS134" s="17"/>
      <x:c r="AT134" s="17"/>
      <x:c r="AU134" s="18"/>
      <x:c r="AV134" s="17"/>
      <x:c r="AW134" s="17"/>
      <x:c r="AX134" s="17"/>
      <x:c r="AY134" s="17"/>
      <x:c r="AZ134" s="17"/>
      <x:c r="BA134" s="17"/>
      <x:c r="BB134" s="17"/>
      <x:c r="BC134" s="18"/>
      <x:c r="BD134" s="18"/>
      <x:c r="BE134" s="19"/>
      <x:c r="BF134" s="22" t="str">
        <x:f>IF(A134="","",IF(BI134&gt;=ReadyThreshold,"Ready",IF(BI134&gt;=PartialThreshold,"Partial","Not Ready")))</x:f>
      </x:c>
      <x:c r="BG134" s="23" t="str">
        <x:f>IF(A134="","",COUNTA(N134,Q134,R134,S134)/4)</x:f>
      </x:c>
      <x:c r="BH134" s="23" t="str">
        <x:f>IF(A134="","",(COUNTA(U134,V134,AE134)+IF(COUNTA(W134,X134,Y134,Z134,AA134)&gt;0,1,0))/4)</x:f>
      </x:c>
      <x:c r="BI134" s="23" t="str">
        <x:f>IF(A134="","",(COUNTIF(AV134:AZ134,"Available")+0.5*COUNTIF(AV134:AZ134,"Partial")+IF(BD134&lt;&gt;"",1,0))/6)</x:f>
      </x:c>
      <x:c r="BJ134" s="22" t="str">
        <x:f>IF(A134="","",IF(AND(F134="",BD134=""),"Blocked",IF(AND(BG134&gt;=ReadyThreshold,BH134&gt;=ReadyThreshold,BI134&gt;=ReadyThreshold),"Ready for Analysis",IF(AVERAGE(BG134,BH134,BI134)&gt;=PartialThreshold,"Partially Ready","Discovery Required"))))</x:f>
      </x:c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8"/>
      <x:c r="BU134" s="17"/>
      <x:c r="BV134" s="17"/>
    </x:row>
    <x:row r="135">
      <x:c r="A135" s="17"/>
      <x:c r="B135" s="17"/>
      <x:c r="C135" s="17"/>
      <x:c r="D135" s="17"/>
      <x:c r="E135" s="18"/>
      <x:c r="F135" s="18"/>
      <x:c r="G135" s="17"/>
      <x:c r="H135" s="17"/>
      <x:c r="I135" s="19"/>
      <x:c r="J135" s="19"/>
      <x:c r="K135" s="17"/>
      <x:c r="L135" s="19"/>
      <x:c r="M135" s="17"/>
      <x:c r="N135" s="18"/>
      <x:c r="O135" s="18"/>
      <x:c r="P135" s="17"/>
      <x:c r="Q135" s="17"/>
      <x:c r="R135" s="17"/>
      <x:c r="S135" s="17"/>
      <x:c r="T135" s="17"/>
      <x:c r="U135" s="18"/>
      <x:c r="V135" s="18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20"/>
      <x:c r="AJ135" s="21"/>
      <x:c r="AK135" s="21"/>
      <x:c r="AL135" s="17"/>
      <x:c r="AM135" s="17"/>
      <x:c r="AN135" s="21"/>
      <x:c r="AO135" s="17"/>
      <x:c r="AP135" s="17"/>
      <x:c r="AQ135" s="17"/>
      <x:c r="AR135" s="17"/>
      <x:c r="AS135" s="17"/>
      <x:c r="AT135" s="17"/>
      <x:c r="AU135" s="18"/>
      <x:c r="AV135" s="17"/>
      <x:c r="AW135" s="17"/>
      <x:c r="AX135" s="17"/>
      <x:c r="AY135" s="17"/>
      <x:c r="AZ135" s="17"/>
      <x:c r="BA135" s="17"/>
      <x:c r="BB135" s="17"/>
      <x:c r="BC135" s="18"/>
      <x:c r="BD135" s="18"/>
      <x:c r="BE135" s="19"/>
      <x:c r="BF135" s="22" t="str">
        <x:f>IF(A135="","",IF(BI135&gt;=ReadyThreshold,"Ready",IF(BI135&gt;=PartialThreshold,"Partial","Not Ready")))</x:f>
      </x:c>
      <x:c r="BG135" s="23" t="str">
        <x:f>IF(A135="","",COUNTA(N135,Q135,R135,S135)/4)</x:f>
      </x:c>
      <x:c r="BH135" s="23" t="str">
        <x:f>IF(A135="","",(COUNTA(U135,V135,AE135)+IF(COUNTA(W135,X135,Y135,Z135,AA135)&gt;0,1,0))/4)</x:f>
      </x:c>
      <x:c r="BI135" s="23" t="str">
        <x:f>IF(A135="","",(COUNTIF(AV135:AZ135,"Available")+0.5*COUNTIF(AV135:AZ135,"Partial")+IF(BD135&lt;&gt;"",1,0))/6)</x:f>
      </x:c>
      <x:c r="BJ135" s="22" t="str">
        <x:f>IF(A135="","",IF(AND(F135="",BD135=""),"Blocked",IF(AND(BG135&gt;=ReadyThreshold,BH135&gt;=ReadyThreshold,BI135&gt;=ReadyThreshold),"Ready for Analysis",IF(AVERAGE(BG135,BH135,BI135)&gt;=PartialThreshold,"Partially Ready","Discovery Required"))))</x:f>
      </x:c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8"/>
      <x:c r="BU135" s="17"/>
      <x:c r="BV135" s="17"/>
    </x:row>
    <x:row r="136">
      <x:c r="A136" s="17"/>
      <x:c r="B136" s="17"/>
      <x:c r="C136" s="17"/>
      <x:c r="D136" s="17"/>
      <x:c r="E136" s="18"/>
      <x:c r="F136" s="18"/>
      <x:c r="G136" s="17"/>
      <x:c r="H136" s="17"/>
      <x:c r="I136" s="19"/>
      <x:c r="J136" s="19"/>
      <x:c r="K136" s="17"/>
      <x:c r="L136" s="19"/>
      <x:c r="M136" s="17"/>
      <x:c r="N136" s="18"/>
      <x:c r="O136" s="18"/>
      <x:c r="P136" s="17"/>
      <x:c r="Q136" s="17"/>
      <x:c r="R136" s="17"/>
      <x:c r="S136" s="17"/>
      <x:c r="T136" s="17"/>
      <x:c r="U136" s="18"/>
      <x:c r="V136" s="18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20"/>
      <x:c r="AJ136" s="21"/>
      <x:c r="AK136" s="21"/>
      <x:c r="AL136" s="17"/>
      <x:c r="AM136" s="17"/>
      <x:c r="AN136" s="21"/>
      <x:c r="AO136" s="17"/>
      <x:c r="AP136" s="17"/>
      <x:c r="AQ136" s="17"/>
      <x:c r="AR136" s="17"/>
      <x:c r="AS136" s="17"/>
      <x:c r="AT136" s="17"/>
      <x:c r="AU136" s="18"/>
      <x:c r="AV136" s="17"/>
      <x:c r="AW136" s="17"/>
      <x:c r="AX136" s="17"/>
      <x:c r="AY136" s="17"/>
      <x:c r="AZ136" s="17"/>
      <x:c r="BA136" s="17"/>
      <x:c r="BB136" s="17"/>
      <x:c r="BC136" s="18"/>
      <x:c r="BD136" s="18"/>
      <x:c r="BE136" s="19"/>
      <x:c r="BF136" s="22" t="str">
        <x:f>IF(A136="","",IF(BI136&gt;=ReadyThreshold,"Ready",IF(BI136&gt;=PartialThreshold,"Partial","Not Ready")))</x:f>
      </x:c>
      <x:c r="BG136" s="23" t="str">
        <x:f>IF(A136="","",COUNTA(N136,Q136,R136,S136)/4)</x:f>
      </x:c>
      <x:c r="BH136" s="23" t="str">
        <x:f>IF(A136="","",(COUNTA(U136,V136,AE136)+IF(COUNTA(W136,X136,Y136,Z136,AA136)&gt;0,1,0))/4)</x:f>
      </x:c>
      <x:c r="BI136" s="23" t="str">
        <x:f>IF(A136="","",(COUNTIF(AV136:AZ136,"Available")+0.5*COUNTIF(AV136:AZ136,"Partial")+IF(BD136&lt;&gt;"",1,0))/6)</x:f>
      </x:c>
      <x:c r="BJ136" s="22" t="str">
        <x:f>IF(A136="","",IF(AND(F136="",BD136=""),"Blocked",IF(AND(BG136&gt;=ReadyThreshold,BH136&gt;=ReadyThreshold,BI136&gt;=ReadyThreshold),"Ready for Analysis",IF(AVERAGE(BG136,BH136,BI136)&gt;=PartialThreshold,"Partially Ready","Discovery Required"))))</x:f>
      </x:c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8"/>
      <x:c r="BU136" s="17"/>
      <x:c r="BV136" s="17"/>
    </x:row>
    <x:row r="137">
      <x:c r="A137" s="17"/>
      <x:c r="B137" s="17"/>
      <x:c r="C137" s="17"/>
      <x:c r="D137" s="17"/>
      <x:c r="E137" s="18"/>
      <x:c r="F137" s="18"/>
      <x:c r="G137" s="17"/>
      <x:c r="H137" s="17"/>
      <x:c r="I137" s="19"/>
      <x:c r="J137" s="19"/>
      <x:c r="K137" s="17"/>
      <x:c r="L137" s="19"/>
      <x:c r="M137" s="17"/>
      <x:c r="N137" s="18"/>
      <x:c r="O137" s="18"/>
      <x:c r="P137" s="17"/>
      <x:c r="Q137" s="17"/>
      <x:c r="R137" s="17"/>
      <x:c r="S137" s="17"/>
      <x:c r="T137" s="17"/>
      <x:c r="U137" s="18"/>
      <x:c r="V137" s="18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20"/>
      <x:c r="AJ137" s="21"/>
      <x:c r="AK137" s="21"/>
      <x:c r="AL137" s="17"/>
      <x:c r="AM137" s="17"/>
      <x:c r="AN137" s="21"/>
      <x:c r="AO137" s="17"/>
      <x:c r="AP137" s="17"/>
      <x:c r="AQ137" s="17"/>
      <x:c r="AR137" s="17"/>
      <x:c r="AS137" s="17"/>
      <x:c r="AT137" s="17"/>
      <x:c r="AU137" s="18"/>
      <x:c r="AV137" s="17"/>
      <x:c r="AW137" s="17"/>
      <x:c r="AX137" s="17"/>
      <x:c r="AY137" s="17"/>
      <x:c r="AZ137" s="17"/>
      <x:c r="BA137" s="17"/>
      <x:c r="BB137" s="17"/>
      <x:c r="BC137" s="18"/>
      <x:c r="BD137" s="18"/>
      <x:c r="BE137" s="19"/>
      <x:c r="BF137" s="22" t="str">
        <x:f>IF(A137="","",IF(BI137&gt;=ReadyThreshold,"Ready",IF(BI137&gt;=PartialThreshold,"Partial","Not Ready")))</x:f>
      </x:c>
      <x:c r="BG137" s="23" t="str">
        <x:f>IF(A137="","",COUNTA(N137,Q137,R137,S137)/4)</x:f>
      </x:c>
      <x:c r="BH137" s="23" t="str">
        <x:f>IF(A137="","",(COUNTA(U137,V137,AE137)+IF(COUNTA(W137,X137,Y137,Z137,AA137)&gt;0,1,0))/4)</x:f>
      </x:c>
      <x:c r="BI137" s="23" t="str">
        <x:f>IF(A137="","",(COUNTIF(AV137:AZ137,"Available")+0.5*COUNTIF(AV137:AZ137,"Partial")+IF(BD137&lt;&gt;"",1,0))/6)</x:f>
      </x:c>
      <x:c r="BJ137" s="22" t="str">
        <x:f>IF(A137="","",IF(AND(F137="",BD137=""),"Blocked",IF(AND(BG137&gt;=ReadyThreshold,BH137&gt;=ReadyThreshold,BI137&gt;=ReadyThreshold),"Ready for Analysis",IF(AVERAGE(BG137,BH137,BI137)&gt;=PartialThreshold,"Partially Ready","Discovery Required"))))</x:f>
      </x:c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8"/>
      <x:c r="BU137" s="17"/>
      <x:c r="BV137" s="17"/>
    </x:row>
    <x:row r="138">
      <x:c r="A138" s="17"/>
      <x:c r="B138" s="17"/>
      <x:c r="C138" s="17"/>
      <x:c r="D138" s="17"/>
      <x:c r="E138" s="18"/>
      <x:c r="F138" s="18"/>
      <x:c r="G138" s="17"/>
      <x:c r="H138" s="17"/>
      <x:c r="I138" s="19"/>
      <x:c r="J138" s="19"/>
      <x:c r="K138" s="17"/>
      <x:c r="L138" s="19"/>
      <x:c r="M138" s="17"/>
      <x:c r="N138" s="18"/>
      <x:c r="O138" s="18"/>
      <x:c r="P138" s="17"/>
      <x:c r="Q138" s="17"/>
      <x:c r="R138" s="17"/>
      <x:c r="S138" s="17"/>
      <x:c r="T138" s="17"/>
      <x:c r="U138" s="18"/>
      <x:c r="V138" s="18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20"/>
      <x:c r="AJ138" s="21"/>
      <x:c r="AK138" s="21"/>
      <x:c r="AL138" s="17"/>
      <x:c r="AM138" s="17"/>
      <x:c r="AN138" s="21"/>
      <x:c r="AO138" s="17"/>
      <x:c r="AP138" s="17"/>
      <x:c r="AQ138" s="17"/>
      <x:c r="AR138" s="17"/>
      <x:c r="AS138" s="17"/>
      <x:c r="AT138" s="17"/>
      <x:c r="AU138" s="18"/>
      <x:c r="AV138" s="17"/>
      <x:c r="AW138" s="17"/>
      <x:c r="AX138" s="17"/>
      <x:c r="AY138" s="17"/>
      <x:c r="AZ138" s="17"/>
      <x:c r="BA138" s="17"/>
      <x:c r="BB138" s="17"/>
      <x:c r="BC138" s="18"/>
      <x:c r="BD138" s="18"/>
      <x:c r="BE138" s="19"/>
      <x:c r="BF138" s="22" t="str">
        <x:f>IF(A138="","",IF(BI138&gt;=ReadyThreshold,"Ready",IF(BI138&gt;=PartialThreshold,"Partial","Not Ready")))</x:f>
      </x:c>
      <x:c r="BG138" s="23" t="str">
        <x:f>IF(A138="","",COUNTA(N138,Q138,R138,S138)/4)</x:f>
      </x:c>
      <x:c r="BH138" s="23" t="str">
        <x:f>IF(A138="","",(COUNTA(U138,V138,AE138)+IF(COUNTA(W138,X138,Y138,Z138,AA138)&gt;0,1,0))/4)</x:f>
      </x:c>
      <x:c r="BI138" s="23" t="str">
        <x:f>IF(A138="","",(COUNTIF(AV138:AZ138,"Available")+0.5*COUNTIF(AV138:AZ138,"Partial")+IF(BD138&lt;&gt;"",1,0))/6)</x:f>
      </x:c>
      <x:c r="BJ138" s="22" t="str">
        <x:f>IF(A138="","",IF(AND(F138="",BD138=""),"Blocked",IF(AND(BG138&gt;=ReadyThreshold,BH138&gt;=ReadyThreshold,BI138&gt;=ReadyThreshold),"Ready for Analysis",IF(AVERAGE(BG138,BH138,BI138)&gt;=PartialThreshold,"Partially Ready","Discovery Required"))))</x:f>
      </x:c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8"/>
      <x:c r="BU138" s="17"/>
      <x:c r="BV138" s="17"/>
    </x:row>
    <x:row r="139">
      <x:c r="A139" s="17"/>
      <x:c r="B139" s="17"/>
      <x:c r="C139" s="17"/>
      <x:c r="D139" s="17"/>
      <x:c r="E139" s="18"/>
      <x:c r="F139" s="18"/>
      <x:c r="G139" s="17"/>
      <x:c r="H139" s="17"/>
      <x:c r="I139" s="19"/>
      <x:c r="J139" s="19"/>
      <x:c r="K139" s="17"/>
      <x:c r="L139" s="19"/>
      <x:c r="M139" s="17"/>
      <x:c r="N139" s="18"/>
      <x:c r="O139" s="18"/>
      <x:c r="P139" s="17"/>
      <x:c r="Q139" s="17"/>
      <x:c r="R139" s="17"/>
      <x:c r="S139" s="17"/>
      <x:c r="T139" s="17"/>
      <x:c r="U139" s="18"/>
      <x:c r="V139" s="18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20"/>
      <x:c r="AJ139" s="21"/>
      <x:c r="AK139" s="21"/>
      <x:c r="AL139" s="17"/>
      <x:c r="AM139" s="17"/>
      <x:c r="AN139" s="21"/>
      <x:c r="AO139" s="17"/>
      <x:c r="AP139" s="17"/>
      <x:c r="AQ139" s="17"/>
      <x:c r="AR139" s="17"/>
      <x:c r="AS139" s="17"/>
      <x:c r="AT139" s="17"/>
      <x:c r="AU139" s="18"/>
      <x:c r="AV139" s="17"/>
      <x:c r="AW139" s="17"/>
      <x:c r="AX139" s="17"/>
      <x:c r="AY139" s="17"/>
      <x:c r="AZ139" s="17"/>
      <x:c r="BA139" s="17"/>
      <x:c r="BB139" s="17"/>
      <x:c r="BC139" s="18"/>
      <x:c r="BD139" s="18"/>
      <x:c r="BE139" s="19"/>
      <x:c r="BF139" s="22" t="str">
        <x:f>IF(A139="","",IF(BI139&gt;=ReadyThreshold,"Ready",IF(BI139&gt;=PartialThreshold,"Partial","Not Ready")))</x:f>
      </x:c>
      <x:c r="BG139" s="23" t="str">
        <x:f>IF(A139="","",COUNTA(N139,Q139,R139,S139)/4)</x:f>
      </x:c>
      <x:c r="BH139" s="23" t="str">
        <x:f>IF(A139="","",(COUNTA(U139,V139,AE139)+IF(COUNTA(W139,X139,Y139,Z139,AA139)&gt;0,1,0))/4)</x:f>
      </x:c>
      <x:c r="BI139" s="23" t="str">
        <x:f>IF(A139="","",(COUNTIF(AV139:AZ139,"Available")+0.5*COUNTIF(AV139:AZ139,"Partial")+IF(BD139&lt;&gt;"",1,0))/6)</x:f>
      </x:c>
      <x:c r="BJ139" s="22" t="str">
        <x:f>IF(A139="","",IF(AND(F139="",BD139=""),"Blocked",IF(AND(BG139&gt;=ReadyThreshold,BH139&gt;=ReadyThreshold,BI139&gt;=ReadyThreshold),"Ready for Analysis",IF(AVERAGE(BG139,BH139,BI139)&gt;=PartialThreshold,"Partially Ready","Discovery Required"))))</x:f>
      </x:c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8"/>
      <x:c r="BU139" s="17"/>
      <x:c r="BV139" s="17"/>
    </x:row>
    <x:row r="140">
      <x:c r="A140" s="17"/>
      <x:c r="B140" s="17"/>
      <x:c r="C140" s="17"/>
      <x:c r="D140" s="17"/>
      <x:c r="E140" s="18"/>
      <x:c r="F140" s="18"/>
      <x:c r="G140" s="17"/>
      <x:c r="H140" s="17"/>
      <x:c r="I140" s="19"/>
      <x:c r="J140" s="19"/>
      <x:c r="K140" s="17"/>
      <x:c r="L140" s="19"/>
      <x:c r="M140" s="17"/>
      <x:c r="N140" s="18"/>
      <x:c r="O140" s="18"/>
      <x:c r="P140" s="17"/>
      <x:c r="Q140" s="17"/>
      <x:c r="R140" s="17"/>
      <x:c r="S140" s="17"/>
      <x:c r="T140" s="17"/>
      <x:c r="U140" s="18"/>
      <x:c r="V140" s="18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20"/>
      <x:c r="AJ140" s="21"/>
      <x:c r="AK140" s="21"/>
      <x:c r="AL140" s="17"/>
      <x:c r="AM140" s="17"/>
      <x:c r="AN140" s="21"/>
      <x:c r="AO140" s="17"/>
      <x:c r="AP140" s="17"/>
      <x:c r="AQ140" s="17"/>
      <x:c r="AR140" s="17"/>
      <x:c r="AS140" s="17"/>
      <x:c r="AT140" s="17"/>
      <x:c r="AU140" s="18"/>
      <x:c r="AV140" s="17"/>
      <x:c r="AW140" s="17"/>
      <x:c r="AX140" s="17"/>
      <x:c r="AY140" s="17"/>
      <x:c r="AZ140" s="17"/>
      <x:c r="BA140" s="17"/>
      <x:c r="BB140" s="17"/>
      <x:c r="BC140" s="18"/>
      <x:c r="BD140" s="18"/>
      <x:c r="BE140" s="19"/>
      <x:c r="BF140" s="22" t="str">
        <x:f>IF(A140="","",IF(BI140&gt;=ReadyThreshold,"Ready",IF(BI140&gt;=PartialThreshold,"Partial","Not Ready")))</x:f>
      </x:c>
      <x:c r="BG140" s="23" t="str">
        <x:f>IF(A140="","",COUNTA(N140,Q140,R140,S140)/4)</x:f>
      </x:c>
      <x:c r="BH140" s="23" t="str">
        <x:f>IF(A140="","",(COUNTA(U140,V140,AE140)+IF(COUNTA(W140,X140,Y140,Z140,AA140)&gt;0,1,0))/4)</x:f>
      </x:c>
      <x:c r="BI140" s="23" t="str">
        <x:f>IF(A140="","",(COUNTIF(AV140:AZ140,"Available")+0.5*COUNTIF(AV140:AZ140,"Partial")+IF(BD140&lt;&gt;"",1,0))/6)</x:f>
      </x:c>
      <x:c r="BJ140" s="22" t="str">
        <x:f>IF(A140="","",IF(AND(F140="",BD140=""),"Blocked",IF(AND(BG140&gt;=ReadyThreshold,BH140&gt;=ReadyThreshold,BI140&gt;=ReadyThreshold),"Ready for Analysis",IF(AVERAGE(BG140,BH140,BI140)&gt;=PartialThreshold,"Partially Ready","Discovery Required"))))</x:f>
      </x:c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8"/>
      <x:c r="BU140" s="17"/>
      <x:c r="BV140" s="17"/>
    </x:row>
    <x:row r="141">
      <x:c r="A141" s="17"/>
      <x:c r="B141" s="17"/>
      <x:c r="C141" s="17"/>
      <x:c r="D141" s="17"/>
      <x:c r="E141" s="18"/>
      <x:c r="F141" s="18"/>
      <x:c r="G141" s="17"/>
      <x:c r="H141" s="17"/>
      <x:c r="I141" s="19"/>
      <x:c r="J141" s="19"/>
      <x:c r="K141" s="17"/>
      <x:c r="L141" s="19"/>
      <x:c r="M141" s="17"/>
      <x:c r="N141" s="18"/>
      <x:c r="O141" s="18"/>
      <x:c r="P141" s="17"/>
      <x:c r="Q141" s="17"/>
      <x:c r="R141" s="17"/>
      <x:c r="S141" s="17"/>
      <x:c r="T141" s="17"/>
      <x:c r="U141" s="18"/>
      <x:c r="V141" s="18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20"/>
      <x:c r="AJ141" s="21"/>
      <x:c r="AK141" s="21"/>
      <x:c r="AL141" s="17"/>
      <x:c r="AM141" s="17"/>
      <x:c r="AN141" s="21"/>
      <x:c r="AO141" s="17"/>
      <x:c r="AP141" s="17"/>
      <x:c r="AQ141" s="17"/>
      <x:c r="AR141" s="17"/>
      <x:c r="AS141" s="17"/>
      <x:c r="AT141" s="17"/>
      <x:c r="AU141" s="18"/>
      <x:c r="AV141" s="17"/>
      <x:c r="AW141" s="17"/>
      <x:c r="AX141" s="17"/>
      <x:c r="AY141" s="17"/>
      <x:c r="AZ141" s="17"/>
      <x:c r="BA141" s="17"/>
      <x:c r="BB141" s="17"/>
      <x:c r="BC141" s="18"/>
      <x:c r="BD141" s="18"/>
      <x:c r="BE141" s="19"/>
      <x:c r="BF141" s="22" t="str">
        <x:f>IF(A141="","",IF(BI141&gt;=ReadyThreshold,"Ready",IF(BI141&gt;=PartialThreshold,"Partial","Not Ready")))</x:f>
      </x:c>
      <x:c r="BG141" s="23" t="str">
        <x:f>IF(A141="","",COUNTA(N141,Q141,R141,S141)/4)</x:f>
      </x:c>
      <x:c r="BH141" s="23" t="str">
        <x:f>IF(A141="","",(COUNTA(U141,V141,AE141)+IF(COUNTA(W141,X141,Y141,Z141,AA141)&gt;0,1,0))/4)</x:f>
      </x:c>
      <x:c r="BI141" s="23" t="str">
        <x:f>IF(A141="","",(COUNTIF(AV141:AZ141,"Available")+0.5*COUNTIF(AV141:AZ141,"Partial")+IF(BD141&lt;&gt;"",1,0))/6)</x:f>
      </x:c>
      <x:c r="BJ141" s="22" t="str">
        <x:f>IF(A141="","",IF(AND(F141="",BD141=""),"Blocked",IF(AND(BG141&gt;=ReadyThreshold,BH141&gt;=ReadyThreshold,BI141&gt;=ReadyThreshold),"Ready for Analysis",IF(AVERAGE(BG141,BH141,BI141)&gt;=PartialThreshold,"Partially Ready","Discovery Required"))))</x:f>
      </x:c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8"/>
      <x:c r="BU141" s="17"/>
      <x:c r="BV141" s="17"/>
    </x:row>
    <x:row r="142">
      <x:c r="A142" s="17"/>
      <x:c r="B142" s="17"/>
      <x:c r="C142" s="17"/>
      <x:c r="D142" s="17"/>
      <x:c r="E142" s="18"/>
      <x:c r="F142" s="18"/>
      <x:c r="G142" s="17"/>
      <x:c r="H142" s="17"/>
      <x:c r="I142" s="19"/>
      <x:c r="J142" s="19"/>
      <x:c r="K142" s="17"/>
      <x:c r="L142" s="19"/>
      <x:c r="M142" s="17"/>
      <x:c r="N142" s="18"/>
      <x:c r="O142" s="18"/>
      <x:c r="P142" s="17"/>
      <x:c r="Q142" s="17"/>
      <x:c r="R142" s="17"/>
      <x:c r="S142" s="17"/>
      <x:c r="T142" s="17"/>
      <x:c r="U142" s="18"/>
      <x:c r="V142" s="18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20"/>
      <x:c r="AJ142" s="21"/>
      <x:c r="AK142" s="21"/>
      <x:c r="AL142" s="17"/>
      <x:c r="AM142" s="17"/>
      <x:c r="AN142" s="21"/>
      <x:c r="AO142" s="17"/>
      <x:c r="AP142" s="17"/>
      <x:c r="AQ142" s="17"/>
      <x:c r="AR142" s="17"/>
      <x:c r="AS142" s="17"/>
      <x:c r="AT142" s="17"/>
      <x:c r="AU142" s="18"/>
      <x:c r="AV142" s="17"/>
      <x:c r="AW142" s="17"/>
      <x:c r="AX142" s="17"/>
      <x:c r="AY142" s="17"/>
      <x:c r="AZ142" s="17"/>
      <x:c r="BA142" s="17"/>
      <x:c r="BB142" s="17"/>
      <x:c r="BC142" s="18"/>
      <x:c r="BD142" s="18"/>
      <x:c r="BE142" s="19"/>
      <x:c r="BF142" s="22" t="str">
        <x:f>IF(A142="","",IF(BI142&gt;=ReadyThreshold,"Ready",IF(BI142&gt;=PartialThreshold,"Partial","Not Ready")))</x:f>
      </x:c>
      <x:c r="BG142" s="23" t="str">
        <x:f>IF(A142="","",COUNTA(N142,Q142,R142,S142)/4)</x:f>
      </x:c>
      <x:c r="BH142" s="23" t="str">
        <x:f>IF(A142="","",(COUNTA(U142,V142,AE142)+IF(COUNTA(W142,X142,Y142,Z142,AA142)&gt;0,1,0))/4)</x:f>
      </x:c>
      <x:c r="BI142" s="23" t="str">
        <x:f>IF(A142="","",(COUNTIF(AV142:AZ142,"Available")+0.5*COUNTIF(AV142:AZ142,"Partial")+IF(BD142&lt;&gt;"",1,0))/6)</x:f>
      </x:c>
      <x:c r="BJ142" s="22" t="str">
        <x:f>IF(A142="","",IF(AND(F142="",BD142=""),"Blocked",IF(AND(BG142&gt;=ReadyThreshold,BH142&gt;=ReadyThreshold,BI142&gt;=ReadyThreshold),"Ready for Analysis",IF(AVERAGE(BG142,BH142,BI142)&gt;=PartialThreshold,"Partially Ready","Discovery Required"))))</x:f>
      </x:c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8"/>
      <x:c r="BU142" s="17"/>
      <x:c r="BV142" s="17"/>
    </x:row>
    <x:row r="143">
      <x:c r="A143" s="17"/>
      <x:c r="B143" s="17"/>
      <x:c r="C143" s="17"/>
      <x:c r="D143" s="17"/>
      <x:c r="E143" s="18"/>
      <x:c r="F143" s="18"/>
      <x:c r="G143" s="17"/>
      <x:c r="H143" s="17"/>
      <x:c r="I143" s="19"/>
      <x:c r="J143" s="19"/>
      <x:c r="K143" s="17"/>
      <x:c r="L143" s="19"/>
      <x:c r="M143" s="17"/>
      <x:c r="N143" s="18"/>
      <x:c r="O143" s="18"/>
      <x:c r="P143" s="17"/>
      <x:c r="Q143" s="17"/>
      <x:c r="R143" s="17"/>
      <x:c r="S143" s="17"/>
      <x:c r="T143" s="17"/>
      <x:c r="U143" s="18"/>
      <x:c r="V143" s="18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20"/>
      <x:c r="AJ143" s="21"/>
      <x:c r="AK143" s="21"/>
      <x:c r="AL143" s="17"/>
      <x:c r="AM143" s="17"/>
      <x:c r="AN143" s="21"/>
      <x:c r="AO143" s="17"/>
      <x:c r="AP143" s="17"/>
      <x:c r="AQ143" s="17"/>
      <x:c r="AR143" s="17"/>
      <x:c r="AS143" s="17"/>
      <x:c r="AT143" s="17"/>
      <x:c r="AU143" s="18"/>
      <x:c r="AV143" s="17"/>
      <x:c r="AW143" s="17"/>
      <x:c r="AX143" s="17"/>
      <x:c r="AY143" s="17"/>
      <x:c r="AZ143" s="17"/>
      <x:c r="BA143" s="17"/>
      <x:c r="BB143" s="17"/>
      <x:c r="BC143" s="18"/>
      <x:c r="BD143" s="18"/>
      <x:c r="BE143" s="19"/>
      <x:c r="BF143" s="22" t="str">
        <x:f>IF(A143="","",IF(BI143&gt;=ReadyThreshold,"Ready",IF(BI143&gt;=PartialThreshold,"Partial","Not Ready")))</x:f>
      </x:c>
      <x:c r="BG143" s="23" t="str">
        <x:f>IF(A143="","",COUNTA(N143,Q143,R143,S143)/4)</x:f>
      </x:c>
      <x:c r="BH143" s="23" t="str">
        <x:f>IF(A143="","",(COUNTA(U143,V143,AE143)+IF(COUNTA(W143,X143,Y143,Z143,AA143)&gt;0,1,0))/4)</x:f>
      </x:c>
      <x:c r="BI143" s="23" t="str">
        <x:f>IF(A143="","",(COUNTIF(AV143:AZ143,"Available")+0.5*COUNTIF(AV143:AZ143,"Partial")+IF(BD143&lt;&gt;"",1,0))/6)</x:f>
      </x:c>
      <x:c r="BJ143" s="22" t="str">
        <x:f>IF(A143="","",IF(AND(F143="",BD143=""),"Blocked",IF(AND(BG143&gt;=ReadyThreshold,BH143&gt;=ReadyThreshold,BI143&gt;=ReadyThreshold),"Ready for Analysis",IF(AVERAGE(BG143,BH143,BI143)&gt;=PartialThreshold,"Partially Ready","Discovery Required"))))</x:f>
      </x:c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8"/>
      <x:c r="BU143" s="17"/>
      <x:c r="BV143" s="17"/>
    </x:row>
    <x:row r="144">
      <x:c r="A144" s="17"/>
      <x:c r="B144" s="17"/>
      <x:c r="C144" s="17"/>
      <x:c r="D144" s="17"/>
      <x:c r="E144" s="18"/>
      <x:c r="F144" s="18"/>
      <x:c r="G144" s="17"/>
      <x:c r="H144" s="17"/>
      <x:c r="I144" s="19"/>
      <x:c r="J144" s="19"/>
      <x:c r="K144" s="17"/>
      <x:c r="L144" s="19"/>
      <x:c r="M144" s="17"/>
      <x:c r="N144" s="18"/>
      <x:c r="O144" s="18"/>
      <x:c r="P144" s="17"/>
      <x:c r="Q144" s="17"/>
      <x:c r="R144" s="17"/>
      <x:c r="S144" s="17"/>
      <x:c r="T144" s="17"/>
      <x:c r="U144" s="18"/>
      <x:c r="V144" s="18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20"/>
      <x:c r="AJ144" s="21"/>
      <x:c r="AK144" s="21"/>
      <x:c r="AL144" s="17"/>
      <x:c r="AM144" s="17"/>
      <x:c r="AN144" s="21"/>
      <x:c r="AO144" s="17"/>
      <x:c r="AP144" s="17"/>
      <x:c r="AQ144" s="17"/>
      <x:c r="AR144" s="17"/>
      <x:c r="AS144" s="17"/>
      <x:c r="AT144" s="17"/>
      <x:c r="AU144" s="18"/>
      <x:c r="AV144" s="17"/>
      <x:c r="AW144" s="17"/>
      <x:c r="AX144" s="17"/>
      <x:c r="AY144" s="17"/>
      <x:c r="AZ144" s="17"/>
      <x:c r="BA144" s="17"/>
      <x:c r="BB144" s="17"/>
      <x:c r="BC144" s="18"/>
      <x:c r="BD144" s="18"/>
      <x:c r="BE144" s="19"/>
      <x:c r="BF144" s="22" t="str">
        <x:f>IF(A144="","",IF(BI144&gt;=ReadyThreshold,"Ready",IF(BI144&gt;=PartialThreshold,"Partial","Not Ready")))</x:f>
      </x:c>
      <x:c r="BG144" s="23" t="str">
        <x:f>IF(A144="","",COUNTA(N144,Q144,R144,S144)/4)</x:f>
      </x:c>
      <x:c r="BH144" s="23" t="str">
        <x:f>IF(A144="","",(COUNTA(U144,V144,AE144)+IF(COUNTA(W144,X144,Y144,Z144,AA144)&gt;0,1,0))/4)</x:f>
      </x:c>
      <x:c r="BI144" s="23" t="str">
        <x:f>IF(A144="","",(COUNTIF(AV144:AZ144,"Available")+0.5*COUNTIF(AV144:AZ144,"Partial")+IF(BD144&lt;&gt;"",1,0))/6)</x:f>
      </x:c>
      <x:c r="BJ144" s="22" t="str">
        <x:f>IF(A144="","",IF(AND(F144="",BD144=""),"Blocked",IF(AND(BG144&gt;=ReadyThreshold,BH144&gt;=ReadyThreshold,BI144&gt;=ReadyThreshold),"Ready for Analysis",IF(AVERAGE(BG144,BH144,BI144)&gt;=PartialThreshold,"Partially Ready","Discovery Required"))))</x:f>
      </x:c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8"/>
      <x:c r="BU144" s="17"/>
      <x:c r="BV144" s="17"/>
    </x:row>
    <x:row r="145">
      <x:c r="A145" s="17"/>
      <x:c r="B145" s="17"/>
      <x:c r="C145" s="17"/>
      <x:c r="D145" s="17"/>
      <x:c r="E145" s="18"/>
      <x:c r="F145" s="18"/>
      <x:c r="G145" s="17"/>
      <x:c r="H145" s="17"/>
      <x:c r="I145" s="19"/>
      <x:c r="J145" s="19"/>
      <x:c r="K145" s="17"/>
      <x:c r="L145" s="19"/>
      <x:c r="M145" s="17"/>
      <x:c r="N145" s="18"/>
      <x:c r="O145" s="18"/>
      <x:c r="P145" s="17"/>
      <x:c r="Q145" s="17"/>
      <x:c r="R145" s="17"/>
      <x:c r="S145" s="17"/>
      <x:c r="T145" s="17"/>
      <x:c r="U145" s="18"/>
      <x:c r="V145" s="18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20"/>
      <x:c r="AJ145" s="21"/>
      <x:c r="AK145" s="21"/>
      <x:c r="AL145" s="17"/>
      <x:c r="AM145" s="17"/>
      <x:c r="AN145" s="21"/>
      <x:c r="AO145" s="17"/>
      <x:c r="AP145" s="17"/>
      <x:c r="AQ145" s="17"/>
      <x:c r="AR145" s="17"/>
      <x:c r="AS145" s="17"/>
      <x:c r="AT145" s="17"/>
      <x:c r="AU145" s="18"/>
      <x:c r="AV145" s="17"/>
      <x:c r="AW145" s="17"/>
      <x:c r="AX145" s="17"/>
      <x:c r="AY145" s="17"/>
      <x:c r="AZ145" s="17"/>
      <x:c r="BA145" s="17"/>
      <x:c r="BB145" s="17"/>
      <x:c r="BC145" s="18"/>
      <x:c r="BD145" s="18"/>
      <x:c r="BE145" s="19"/>
      <x:c r="BF145" s="22" t="str">
        <x:f>IF(A145="","",IF(BI145&gt;=ReadyThreshold,"Ready",IF(BI145&gt;=PartialThreshold,"Partial","Not Ready")))</x:f>
      </x:c>
      <x:c r="BG145" s="23" t="str">
        <x:f>IF(A145="","",COUNTA(N145,Q145,R145,S145)/4)</x:f>
      </x:c>
      <x:c r="BH145" s="23" t="str">
        <x:f>IF(A145="","",(COUNTA(U145,V145,AE145)+IF(COUNTA(W145,X145,Y145,Z145,AA145)&gt;0,1,0))/4)</x:f>
      </x:c>
      <x:c r="BI145" s="23" t="str">
        <x:f>IF(A145="","",(COUNTIF(AV145:AZ145,"Available")+0.5*COUNTIF(AV145:AZ145,"Partial")+IF(BD145&lt;&gt;"",1,0))/6)</x:f>
      </x:c>
      <x:c r="BJ145" s="22" t="str">
        <x:f>IF(A145="","",IF(AND(F145="",BD145=""),"Blocked",IF(AND(BG145&gt;=ReadyThreshold,BH145&gt;=ReadyThreshold,BI145&gt;=ReadyThreshold),"Ready for Analysis",IF(AVERAGE(BG145,BH145,BI145)&gt;=PartialThreshold,"Partially Ready","Discovery Required"))))</x:f>
      </x:c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8"/>
      <x:c r="BU145" s="17"/>
      <x:c r="BV145" s="17"/>
    </x:row>
    <x:row r="146">
      <x:c r="A146" s="17"/>
      <x:c r="B146" s="17"/>
      <x:c r="C146" s="17"/>
      <x:c r="D146" s="17"/>
      <x:c r="E146" s="18"/>
      <x:c r="F146" s="18"/>
      <x:c r="G146" s="17"/>
      <x:c r="H146" s="17"/>
      <x:c r="I146" s="19"/>
      <x:c r="J146" s="19"/>
      <x:c r="K146" s="17"/>
      <x:c r="L146" s="19"/>
      <x:c r="M146" s="17"/>
      <x:c r="N146" s="18"/>
      <x:c r="O146" s="18"/>
      <x:c r="P146" s="17"/>
      <x:c r="Q146" s="17"/>
      <x:c r="R146" s="17"/>
      <x:c r="S146" s="17"/>
      <x:c r="T146" s="17"/>
      <x:c r="U146" s="18"/>
      <x:c r="V146" s="18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20"/>
      <x:c r="AJ146" s="21"/>
      <x:c r="AK146" s="21"/>
      <x:c r="AL146" s="17"/>
      <x:c r="AM146" s="17"/>
      <x:c r="AN146" s="21"/>
      <x:c r="AO146" s="17"/>
      <x:c r="AP146" s="17"/>
      <x:c r="AQ146" s="17"/>
      <x:c r="AR146" s="17"/>
      <x:c r="AS146" s="17"/>
      <x:c r="AT146" s="17"/>
      <x:c r="AU146" s="18"/>
      <x:c r="AV146" s="17"/>
      <x:c r="AW146" s="17"/>
      <x:c r="AX146" s="17"/>
      <x:c r="AY146" s="17"/>
      <x:c r="AZ146" s="17"/>
      <x:c r="BA146" s="17"/>
      <x:c r="BB146" s="17"/>
      <x:c r="BC146" s="18"/>
      <x:c r="BD146" s="18"/>
      <x:c r="BE146" s="19"/>
      <x:c r="BF146" s="22" t="str">
        <x:f>IF(A146="","",IF(BI146&gt;=ReadyThreshold,"Ready",IF(BI146&gt;=PartialThreshold,"Partial","Not Ready")))</x:f>
      </x:c>
      <x:c r="BG146" s="23" t="str">
        <x:f>IF(A146="","",COUNTA(N146,Q146,R146,S146)/4)</x:f>
      </x:c>
      <x:c r="BH146" s="23" t="str">
        <x:f>IF(A146="","",(COUNTA(U146,V146,AE146)+IF(COUNTA(W146,X146,Y146,Z146,AA146)&gt;0,1,0))/4)</x:f>
      </x:c>
      <x:c r="BI146" s="23" t="str">
        <x:f>IF(A146="","",(COUNTIF(AV146:AZ146,"Available")+0.5*COUNTIF(AV146:AZ146,"Partial")+IF(BD146&lt;&gt;"",1,0))/6)</x:f>
      </x:c>
      <x:c r="BJ146" s="22" t="str">
        <x:f>IF(A146="","",IF(AND(F146="",BD146=""),"Blocked",IF(AND(BG146&gt;=ReadyThreshold,BH146&gt;=ReadyThreshold,BI146&gt;=ReadyThreshold),"Ready for Analysis",IF(AVERAGE(BG146,BH146,BI146)&gt;=PartialThreshold,"Partially Ready","Discovery Required"))))</x:f>
      </x:c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8"/>
      <x:c r="BU146" s="17"/>
      <x:c r="BV146" s="17"/>
    </x:row>
    <x:row r="147">
      <x:c r="A147" s="17"/>
      <x:c r="B147" s="17"/>
      <x:c r="C147" s="17"/>
      <x:c r="D147" s="17"/>
      <x:c r="E147" s="18"/>
      <x:c r="F147" s="18"/>
      <x:c r="G147" s="17"/>
      <x:c r="H147" s="17"/>
      <x:c r="I147" s="19"/>
      <x:c r="J147" s="19"/>
      <x:c r="K147" s="17"/>
      <x:c r="L147" s="19"/>
      <x:c r="M147" s="17"/>
      <x:c r="N147" s="18"/>
      <x:c r="O147" s="18"/>
      <x:c r="P147" s="17"/>
      <x:c r="Q147" s="17"/>
      <x:c r="R147" s="17"/>
      <x:c r="S147" s="17"/>
      <x:c r="T147" s="17"/>
      <x:c r="U147" s="18"/>
      <x:c r="V147" s="18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20"/>
      <x:c r="AJ147" s="21"/>
      <x:c r="AK147" s="21"/>
      <x:c r="AL147" s="17"/>
      <x:c r="AM147" s="17"/>
      <x:c r="AN147" s="21"/>
      <x:c r="AO147" s="17"/>
      <x:c r="AP147" s="17"/>
      <x:c r="AQ147" s="17"/>
      <x:c r="AR147" s="17"/>
      <x:c r="AS147" s="17"/>
      <x:c r="AT147" s="17"/>
      <x:c r="AU147" s="18"/>
      <x:c r="AV147" s="17"/>
      <x:c r="AW147" s="17"/>
      <x:c r="AX147" s="17"/>
      <x:c r="AY147" s="17"/>
      <x:c r="AZ147" s="17"/>
      <x:c r="BA147" s="17"/>
      <x:c r="BB147" s="17"/>
      <x:c r="BC147" s="18"/>
      <x:c r="BD147" s="18"/>
      <x:c r="BE147" s="19"/>
      <x:c r="BF147" s="22" t="str">
        <x:f>IF(A147="","",IF(BI147&gt;=ReadyThreshold,"Ready",IF(BI147&gt;=PartialThreshold,"Partial","Not Ready")))</x:f>
      </x:c>
      <x:c r="BG147" s="23" t="str">
        <x:f>IF(A147="","",COUNTA(N147,Q147,R147,S147)/4)</x:f>
      </x:c>
      <x:c r="BH147" s="23" t="str">
        <x:f>IF(A147="","",(COUNTA(U147,V147,AE147)+IF(COUNTA(W147,X147,Y147,Z147,AA147)&gt;0,1,0))/4)</x:f>
      </x:c>
      <x:c r="BI147" s="23" t="str">
        <x:f>IF(A147="","",(COUNTIF(AV147:AZ147,"Available")+0.5*COUNTIF(AV147:AZ147,"Partial")+IF(BD147&lt;&gt;"",1,0))/6)</x:f>
      </x:c>
      <x:c r="BJ147" s="22" t="str">
        <x:f>IF(A147="","",IF(AND(F147="",BD147=""),"Blocked",IF(AND(BG147&gt;=ReadyThreshold,BH147&gt;=ReadyThreshold,BI147&gt;=ReadyThreshold),"Ready for Analysis",IF(AVERAGE(BG147,BH147,BI147)&gt;=PartialThreshold,"Partially Ready","Discovery Required"))))</x:f>
      </x:c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8"/>
      <x:c r="BU147" s="17"/>
      <x:c r="BV147" s="17"/>
    </x:row>
    <x:row r="148">
      <x:c r="A148" s="17"/>
      <x:c r="B148" s="17"/>
      <x:c r="C148" s="17"/>
      <x:c r="D148" s="17"/>
      <x:c r="E148" s="18"/>
      <x:c r="F148" s="18"/>
      <x:c r="G148" s="17"/>
      <x:c r="H148" s="17"/>
      <x:c r="I148" s="19"/>
      <x:c r="J148" s="19"/>
      <x:c r="K148" s="17"/>
      <x:c r="L148" s="19"/>
      <x:c r="M148" s="17"/>
      <x:c r="N148" s="18"/>
      <x:c r="O148" s="18"/>
      <x:c r="P148" s="17"/>
      <x:c r="Q148" s="17"/>
      <x:c r="R148" s="17"/>
      <x:c r="S148" s="17"/>
      <x:c r="T148" s="17"/>
      <x:c r="U148" s="18"/>
      <x:c r="V148" s="18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20"/>
      <x:c r="AJ148" s="21"/>
      <x:c r="AK148" s="21"/>
      <x:c r="AL148" s="17"/>
      <x:c r="AM148" s="17"/>
      <x:c r="AN148" s="21"/>
      <x:c r="AO148" s="17"/>
      <x:c r="AP148" s="17"/>
      <x:c r="AQ148" s="17"/>
      <x:c r="AR148" s="17"/>
      <x:c r="AS148" s="17"/>
      <x:c r="AT148" s="17"/>
      <x:c r="AU148" s="18"/>
      <x:c r="AV148" s="17"/>
      <x:c r="AW148" s="17"/>
      <x:c r="AX148" s="17"/>
      <x:c r="AY148" s="17"/>
      <x:c r="AZ148" s="17"/>
      <x:c r="BA148" s="17"/>
      <x:c r="BB148" s="17"/>
      <x:c r="BC148" s="18"/>
      <x:c r="BD148" s="18"/>
      <x:c r="BE148" s="19"/>
      <x:c r="BF148" s="22" t="str">
        <x:f>IF(A148="","",IF(BI148&gt;=ReadyThreshold,"Ready",IF(BI148&gt;=PartialThreshold,"Partial","Not Ready")))</x:f>
      </x:c>
      <x:c r="BG148" s="23" t="str">
        <x:f>IF(A148="","",COUNTA(N148,Q148,R148,S148)/4)</x:f>
      </x:c>
      <x:c r="BH148" s="23" t="str">
        <x:f>IF(A148="","",(COUNTA(U148,V148,AE148)+IF(COUNTA(W148,X148,Y148,Z148,AA148)&gt;0,1,0))/4)</x:f>
      </x:c>
      <x:c r="BI148" s="23" t="str">
        <x:f>IF(A148="","",(COUNTIF(AV148:AZ148,"Available")+0.5*COUNTIF(AV148:AZ148,"Partial")+IF(BD148&lt;&gt;"",1,0))/6)</x:f>
      </x:c>
      <x:c r="BJ148" s="22" t="str">
        <x:f>IF(A148="","",IF(AND(F148="",BD148=""),"Blocked",IF(AND(BG148&gt;=ReadyThreshold,BH148&gt;=ReadyThreshold,BI148&gt;=ReadyThreshold),"Ready for Analysis",IF(AVERAGE(BG148,BH148,BI148)&gt;=PartialThreshold,"Partially Ready","Discovery Required"))))</x:f>
      </x:c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8"/>
      <x:c r="BU148" s="17"/>
      <x:c r="BV148" s="17"/>
    </x:row>
    <x:row r="149">
      <x:c r="A149" s="17"/>
      <x:c r="B149" s="17"/>
      <x:c r="C149" s="17"/>
      <x:c r="D149" s="17"/>
      <x:c r="E149" s="18"/>
      <x:c r="F149" s="18"/>
      <x:c r="G149" s="17"/>
      <x:c r="H149" s="17"/>
      <x:c r="I149" s="19"/>
      <x:c r="J149" s="19"/>
      <x:c r="K149" s="17"/>
      <x:c r="L149" s="19"/>
      <x:c r="M149" s="17"/>
      <x:c r="N149" s="18"/>
      <x:c r="O149" s="18"/>
      <x:c r="P149" s="17"/>
      <x:c r="Q149" s="17"/>
      <x:c r="R149" s="17"/>
      <x:c r="S149" s="17"/>
      <x:c r="T149" s="17"/>
      <x:c r="U149" s="18"/>
      <x:c r="V149" s="18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20"/>
      <x:c r="AJ149" s="21"/>
      <x:c r="AK149" s="21"/>
      <x:c r="AL149" s="17"/>
      <x:c r="AM149" s="17"/>
      <x:c r="AN149" s="21"/>
      <x:c r="AO149" s="17"/>
      <x:c r="AP149" s="17"/>
      <x:c r="AQ149" s="17"/>
      <x:c r="AR149" s="17"/>
      <x:c r="AS149" s="17"/>
      <x:c r="AT149" s="17"/>
      <x:c r="AU149" s="18"/>
      <x:c r="AV149" s="17"/>
      <x:c r="AW149" s="17"/>
      <x:c r="AX149" s="17"/>
      <x:c r="AY149" s="17"/>
      <x:c r="AZ149" s="17"/>
      <x:c r="BA149" s="17"/>
      <x:c r="BB149" s="17"/>
      <x:c r="BC149" s="18"/>
      <x:c r="BD149" s="18"/>
      <x:c r="BE149" s="19"/>
      <x:c r="BF149" s="22" t="str">
        <x:f>IF(A149="","",IF(BI149&gt;=ReadyThreshold,"Ready",IF(BI149&gt;=PartialThreshold,"Partial","Not Ready")))</x:f>
      </x:c>
      <x:c r="BG149" s="23" t="str">
        <x:f>IF(A149="","",COUNTA(N149,Q149,R149,S149)/4)</x:f>
      </x:c>
      <x:c r="BH149" s="23" t="str">
        <x:f>IF(A149="","",(COUNTA(U149,V149,AE149)+IF(COUNTA(W149,X149,Y149,Z149,AA149)&gt;0,1,0))/4)</x:f>
      </x:c>
      <x:c r="BI149" s="23" t="str">
        <x:f>IF(A149="","",(COUNTIF(AV149:AZ149,"Available")+0.5*COUNTIF(AV149:AZ149,"Partial")+IF(BD149&lt;&gt;"",1,0))/6)</x:f>
      </x:c>
      <x:c r="BJ149" s="22" t="str">
        <x:f>IF(A149="","",IF(AND(F149="",BD149=""),"Blocked",IF(AND(BG149&gt;=ReadyThreshold,BH149&gt;=ReadyThreshold,BI149&gt;=ReadyThreshold),"Ready for Analysis",IF(AVERAGE(BG149,BH149,BI149)&gt;=PartialThreshold,"Partially Ready","Discovery Required"))))</x:f>
      </x:c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8"/>
      <x:c r="BU149" s="17"/>
      <x:c r="BV149" s="17"/>
    </x:row>
    <x:row r="150">
      <x:c r="A150" s="17"/>
      <x:c r="B150" s="17"/>
      <x:c r="C150" s="17"/>
      <x:c r="D150" s="17"/>
      <x:c r="E150" s="18"/>
      <x:c r="F150" s="18"/>
      <x:c r="G150" s="17"/>
      <x:c r="H150" s="17"/>
      <x:c r="I150" s="19"/>
      <x:c r="J150" s="19"/>
      <x:c r="K150" s="17"/>
      <x:c r="L150" s="19"/>
      <x:c r="M150" s="17"/>
      <x:c r="N150" s="18"/>
      <x:c r="O150" s="18"/>
      <x:c r="P150" s="17"/>
      <x:c r="Q150" s="17"/>
      <x:c r="R150" s="17"/>
      <x:c r="S150" s="17"/>
      <x:c r="T150" s="17"/>
      <x:c r="U150" s="18"/>
      <x:c r="V150" s="18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20"/>
      <x:c r="AJ150" s="21"/>
      <x:c r="AK150" s="21"/>
      <x:c r="AL150" s="17"/>
      <x:c r="AM150" s="17"/>
      <x:c r="AN150" s="21"/>
      <x:c r="AO150" s="17"/>
      <x:c r="AP150" s="17"/>
      <x:c r="AQ150" s="17"/>
      <x:c r="AR150" s="17"/>
      <x:c r="AS150" s="17"/>
      <x:c r="AT150" s="17"/>
      <x:c r="AU150" s="18"/>
      <x:c r="AV150" s="17"/>
      <x:c r="AW150" s="17"/>
      <x:c r="AX150" s="17"/>
      <x:c r="AY150" s="17"/>
      <x:c r="AZ150" s="17"/>
      <x:c r="BA150" s="17"/>
      <x:c r="BB150" s="17"/>
      <x:c r="BC150" s="18"/>
      <x:c r="BD150" s="18"/>
      <x:c r="BE150" s="19"/>
      <x:c r="BF150" s="22" t="str">
        <x:f>IF(A150="","",IF(BI150&gt;=ReadyThreshold,"Ready",IF(BI150&gt;=PartialThreshold,"Partial","Not Ready")))</x:f>
      </x:c>
      <x:c r="BG150" s="23" t="str">
        <x:f>IF(A150="","",COUNTA(N150,Q150,R150,S150)/4)</x:f>
      </x:c>
      <x:c r="BH150" s="23" t="str">
        <x:f>IF(A150="","",(COUNTA(U150,V150,AE150)+IF(COUNTA(W150,X150,Y150,Z150,AA150)&gt;0,1,0))/4)</x:f>
      </x:c>
      <x:c r="BI150" s="23" t="str">
        <x:f>IF(A150="","",(COUNTIF(AV150:AZ150,"Available")+0.5*COUNTIF(AV150:AZ150,"Partial")+IF(BD150&lt;&gt;"",1,0))/6)</x:f>
      </x:c>
      <x:c r="BJ150" s="22" t="str">
        <x:f>IF(A150="","",IF(AND(F150="",BD150=""),"Blocked",IF(AND(BG150&gt;=ReadyThreshold,BH150&gt;=ReadyThreshold,BI150&gt;=ReadyThreshold),"Ready for Analysis",IF(AVERAGE(BG150,BH150,BI150)&gt;=PartialThreshold,"Partially Ready","Discovery Required"))))</x:f>
      </x:c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8"/>
      <x:c r="BU150" s="17"/>
      <x:c r="BV150" s="17"/>
    </x:row>
    <x:row r="151">
      <x:c r="A151" s="17"/>
      <x:c r="B151" s="17"/>
      <x:c r="C151" s="17"/>
      <x:c r="D151" s="17"/>
      <x:c r="E151" s="18"/>
      <x:c r="F151" s="18"/>
      <x:c r="G151" s="17"/>
      <x:c r="H151" s="17"/>
      <x:c r="I151" s="19"/>
      <x:c r="J151" s="19"/>
      <x:c r="K151" s="17"/>
      <x:c r="L151" s="19"/>
      <x:c r="M151" s="17"/>
      <x:c r="N151" s="18"/>
      <x:c r="O151" s="18"/>
      <x:c r="P151" s="17"/>
      <x:c r="Q151" s="17"/>
      <x:c r="R151" s="17"/>
      <x:c r="S151" s="17"/>
      <x:c r="T151" s="17"/>
      <x:c r="U151" s="18"/>
      <x:c r="V151" s="18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20"/>
      <x:c r="AJ151" s="21"/>
      <x:c r="AK151" s="21"/>
      <x:c r="AL151" s="17"/>
      <x:c r="AM151" s="17"/>
      <x:c r="AN151" s="21"/>
      <x:c r="AO151" s="17"/>
      <x:c r="AP151" s="17"/>
      <x:c r="AQ151" s="17"/>
      <x:c r="AR151" s="17"/>
      <x:c r="AS151" s="17"/>
      <x:c r="AT151" s="17"/>
      <x:c r="AU151" s="18"/>
      <x:c r="AV151" s="17"/>
      <x:c r="AW151" s="17"/>
      <x:c r="AX151" s="17"/>
      <x:c r="AY151" s="17"/>
      <x:c r="AZ151" s="17"/>
      <x:c r="BA151" s="17"/>
      <x:c r="BB151" s="17"/>
      <x:c r="BC151" s="18"/>
      <x:c r="BD151" s="18"/>
      <x:c r="BE151" s="19"/>
      <x:c r="BF151" s="22" t="str">
        <x:f>IF(A151="","",IF(BI151&gt;=ReadyThreshold,"Ready",IF(BI151&gt;=PartialThreshold,"Partial","Not Ready")))</x:f>
      </x:c>
      <x:c r="BG151" s="23" t="str">
        <x:f>IF(A151="","",COUNTA(N151,Q151,R151,S151)/4)</x:f>
      </x:c>
      <x:c r="BH151" s="23" t="str">
        <x:f>IF(A151="","",(COUNTA(U151,V151,AE151)+IF(COUNTA(W151,X151,Y151,Z151,AA151)&gt;0,1,0))/4)</x:f>
      </x:c>
      <x:c r="BI151" s="23" t="str">
        <x:f>IF(A151="","",(COUNTIF(AV151:AZ151,"Available")+0.5*COUNTIF(AV151:AZ151,"Partial")+IF(BD151&lt;&gt;"",1,0))/6)</x:f>
      </x:c>
      <x:c r="BJ151" s="22" t="str">
        <x:f>IF(A151="","",IF(AND(F151="",BD151=""),"Blocked",IF(AND(BG151&gt;=ReadyThreshold,BH151&gt;=ReadyThreshold,BI151&gt;=ReadyThreshold),"Ready for Analysis",IF(AVERAGE(BG151,BH151,BI151)&gt;=PartialThreshold,"Partially Ready","Discovery Required"))))</x:f>
      </x:c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8"/>
      <x:c r="BU151" s="17"/>
      <x:c r="BV151" s="17"/>
    </x:row>
    <x:row r="152">
      <x:c r="A152" s="17"/>
      <x:c r="B152" s="17"/>
      <x:c r="C152" s="17"/>
      <x:c r="D152" s="17"/>
      <x:c r="E152" s="18"/>
      <x:c r="F152" s="18"/>
      <x:c r="G152" s="17"/>
      <x:c r="H152" s="17"/>
      <x:c r="I152" s="19"/>
      <x:c r="J152" s="19"/>
      <x:c r="K152" s="17"/>
      <x:c r="L152" s="19"/>
      <x:c r="M152" s="17"/>
      <x:c r="N152" s="18"/>
      <x:c r="O152" s="18"/>
      <x:c r="P152" s="17"/>
      <x:c r="Q152" s="17"/>
      <x:c r="R152" s="17"/>
      <x:c r="S152" s="17"/>
      <x:c r="T152" s="17"/>
      <x:c r="U152" s="18"/>
      <x:c r="V152" s="18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20"/>
      <x:c r="AJ152" s="21"/>
      <x:c r="AK152" s="21"/>
      <x:c r="AL152" s="17"/>
      <x:c r="AM152" s="17"/>
      <x:c r="AN152" s="21"/>
      <x:c r="AO152" s="17"/>
      <x:c r="AP152" s="17"/>
      <x:c r="AQ152" s="17"/>
      <x:c r="AR152" s="17"/>
      <x:c r="AS152" s="17"/>
      <x:c r="AT152" s="17"/>
      <x:c r="AU152" s="18"/>
      <x:c r="AV152" s="17"/>
      <x:c r="AW152" s="17"/>
      <x:c r="AX152" s="17"/>
      <x:c r="AY152" s="17"/>
      <x:c r="AZ152" s="17"/>
      <x:c r="BA152" s="17"/>
      <x:c r="BB152" s="17"/>
      <x:c r="BC152" s="18"/>
      <x:c r="BD152" s="18"/>
      <x:c r="BE152" s="19"/>
      <x:c r="BF152" s="22" t="str">
        <x:f>IF(A152="","",IF(BI152&gt;=ReadyThreshold,"Ready",IF(BI152&gt;=PartialThreshold,"Partial","Not Ready")))</x:f>
      </x:c>
      <x:c r="BG152" s="23" t="str">
        <x:f>IF(A152="","",COUNTA(N152,Q152,R152,S152)/4)</x:f>
      </x:c>
      <x:c r="BH152" s="23" t="str">
        <x:f>IF(A152="","",(COUNTA(U152,V152,AE152)+IF(COUNTA(W152,X152,Y152,Z152,AA152)&gt;0,1,0))/4)</x:f>
      </x:c>
      <x:c r="BI152" s="23" t="str">
        <x:f>IF(A152="","",(COUNTIF(AV152:AZ152,"Available")+0.5*COUNTIF(AV152:AZ152,"Partial")+IF(BD152&lt;&gt;"",1,0))/6)</x:f>
      </x:c>
      <x:c r="BJ152" s="22" t="str">
        <x:f>IF(A152="","",IF(AND(F152="",BD152=""),"Blocked",IF(AND(BG152&gt;=ReadyThreshold,BH152&gt;=ReadyThreshold,BI152&gt;=ReadyThreshold),"Ready for Analysis",IF(AVERAGE(BG152,BH152,BI152)&gt;=PartialThreshold,"Partially Ready","Discovery Required"))))</x:f>
      </x:c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8"/>
      <x:c r="BU152" s="17"/>
      <x:c r="BV152" s="17"/>
    </x:row>
    <x:row r="153">
      <x:c r="A153" s="17"/>
      <x:c r="B153" s="17"/>
      <x:c r="C153" s="17"/>
      <x:c r="D153" s="17"/>
      <x:c r="E153" s="18"/>
      <x:c r="F153" s="18"/>
      <x:c r="G153" s="17"/>
      <x:c r="H153" s="17"/>
      <x:c r="I153" s="19"/>
      <x:c r="J153" s="19"/>
      <x:c r="K153" s="17"/>
      <x:c r="L153" s="19"/>
      <x:c r="M153" s="17"/>
      <x:c r="N153" s="18"/>
      <x:c r="O153" s="18"/>
      <x:c r="P153" s="17"/>
      <x:c r="Q153" s="17"/>
      <x:c r="R153" s="17"/>
      <x:c r="S153" s="17"/>
      <x:c r="T153" s="17"/>
      <x:c r="U153" s="18"/>
      <x:c r="V153" s="18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20"/>
      <x:c r="AJ153" s="21"/>
      <x:c r="AK153" s="21"/>
      <x:c r="AL153" s="17"/>
      <x:c r="AM153" s="17"/>
      <x:c r="AN153" s="21"/>
      <x:c r="AO153" s="17"/>
      <x:c r="AP153" s="17"/>
      <x:c r="AQ153" s="17"/>
      <x:c r="AR153" s="17"/>
      <x:c r="AS153" s="17"/>
      <x:c r="AT153" s="17"/>
      <x:c r="AU153" s="18"/>
      <x:c r="AV153" s="17"/>
      <x:c r="AW153" s="17"/>
      <x:c r="AX153" s="17"/>
      <x:c r="AY153" s="17"/>
      <x:c r="AZ153" s="17"/>
      <x:c r="BA153" s="17"/>
      <x:c r="BB153" s="17"/>
      <x:c r="BC153" s="18"/>
      <x:c r="BD153" s="18"/>
      <x:c r="BE153" s="19"/>
      <x:c r="BF153" s="22" t="str">
        <x:f>IF(A153="","",IF(BI153&gt;=ReadyThreshold,"Ready",IF(BI153&gt;=PartialThreshold,"Partial","Not Ready")))</x:f>
      </x:c>
      <x:c r="BG153" s="23" t="str">
        <x:f>IF(A153="","",COUNTA(N153,Q153,R153,S153)/4)</x:f>
      </x:c>
      <x:c r="BH153" s="23" t="str">
        <x:f>IF(A153="","",(COUNTA(U153,V153,AE153)+IF(COUNTA(W153,X153,Y153,Z153,AA153)&gt;0,1,0))/4)</x:f>
      </x:c>
      <x:c r="BI153" s="23" t="str">
        <x:f>IF(A153="","",(COUNTIF(AV153:AZ153,"Available")+0.5*COUNTIF(AV153:AZ153,"Partial")+IF(BD153&lt;&gt;"",1,0))/6)</x:f>
      </x:c>
      <x:c r="BJ153" s="22" t="str">
        <x:f>IF(A153="","",IF(AND(F153="",BD153=""),"Blocked",IF(AND(BG153&gt;=ReadyThreshold,BH153&gt;=ReadyThreshold,BI153&gt;=ReadyThreshold),"Ready for Analysis",IF(AVERAGE(BG153,BH153,BI153)&gt;=PartialThreshold,"Partially Ready","Discovery Required"))))</x:f>
      </x:c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8"/>
      <x:c r="BU153" s="17"/>
      <x:c r="BV153" s="17"/>
    </x:row>
    <x:row r="154">
      <x:c r="A154" s="17"/>
      <x:c r="B154" s="17"/>
      <x:c r="C154" s="17"/>
      <x:c r="D154" s="17"/>
      <x:c r="E154" s="18"/>
      <x:c r="F154" s="18"/>
      <x:c r="G154" s="17"/>
      <x:c r="H154" s="17"/>
      <x:c r="I154" s="19"/>
      <x:c r="J154" s="19"/>
      <x:c r="K154" s="17"/>
      <x:c r="L154" s="19"/>
      <x:c r="M154" s="17"/>
      <x:c r="N154" s="18"/>
      <x:c r="O154" s="18"/>
      <x:c r="P154" s="17"/>
      <x:c r="Q154" s="17"/>
      <x:c r="R154" s="17"/>
      <x:c r="S154" s="17"/>
      <x:c r="T154" s="17"/>
      <x:c r="U154" s="18"/>
      <x:c r="V154" s="18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20"/>
      <x:c r="AJ154" s="21"/>
      <x:c r="AK154" s="21"/>
      <x:c r="AL154" s="17"/>
      <x:c r="AM154" s="17"/>
      <x:c r="AN154" s="21"/>
      <x:c r="AO154" s="17"/>
      <x:c r="AP154" s="17"/>
      <x:c r="AQ154" s="17"/>
      <x:c r="AR154" s="17"/>
      <x:c r="AS154" s="17"/>
      <x:c r="AT154" s="17"/>
      <x:c r="AU154" s="18"/>
      <x:c r="AV154" s="17"/>
      <x:c r="AW154" s="17"/>
      <x:c r="AX154" s="17"/>
      <x:c r="AY154" s="17"/>
      <x:c r="AZ154" s="17"/>
      <x:c r="BA154" s="17"/>
      <x:c r="BB154" s="17"/>
      <x:c r="BC154" s="18"/>
      <x:c r="BD154" s="18"/>
      <x:c r="BE154" s="19"/>
      <x:c r="BF154" s="22" t="str">
        <x:f>IF(A154="","",IF(BI154&gt;=ReadyThreshold,"Ready",IF(BI154&gt;=PartialThreshold,"Partial","Not Ready")))</x:f>
      </x:c>
      <x:c r="BG154" s="23" t="str">
        <x:f>IF(A154="","",COUNTA(N154,Q154,R154,S154)/4)</x:f>
      </x:c>
      <x:c r="BH154" s="23" t="str">
        <x:f>IF(A154="","",(COUNTA(U154,V154,AE154)+IF(COUNTA(W154,X154,Y154,Z154,AA154)&gt;0,1,0))/4)</x:f>
      </x:c>
      <x:c r="BI154" s="23" t="str">
        <x:f>IF(A154="","",(COUNTIF(AV154:AZ154,"Available")+0.5*COUNTIF(AV154:AZ154,"Partial")+IF(BD154&lt;&gt;"",1,0))/6)</x:f>
      </x:c>
      <x:c r="BJ154" s="22" t="str">
        <x:f>IF(A154="","",IF(AND(F154="",BD154=""),"Blocked",IF(AND(BG154&gt;=ReadyThreshold,BH154&gt;=ReadyThreshold,BI154&gt;=ReadyThreshold),"Ready for Analysis",IF(AVERAGE(BG154,BH154,BI154)&gt;=PartialThreshold,"Partially Ready","Discovery Required"))))</x:f>
      </x:c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8"/>
      <x:c r="BU154" s="17"/>
      <x:c r="BV154" s="17"/>
    </x:row>
    <x:row r="155">
      <x:c r="A155" s="17"/>
      <x:c r="B155" s="17"/>
      <x:c r="C155" s="17"/>
      <x:c r="D155" s="17"/>
      <x:c r="E155" s="18"/>
      <x:c r="F155" s="18"/>
      <x:c r="G155" s="17"/>
      <x:c r="H155" s="17"/>
      <x:c r="I155" s="19"/>
      <x:c r="J155" s="19"/>
      <x:c r="K155" s="17"/>
      <x:c r="L155" s="19"/>
      <x:c r="M155" s="17"/>
      <x:c r="N155" s="18"/>
      <x:c r="O155" s="18"/>
      <x:c r="P155" s="17"/>
      <x:c r="Q155" s="17"/>
      <x:c r="R155" s="17"/>
      <x:c r="S155" s="17"/>
      <x:c r="T155" s="17"/>
      <x:c r="U155" s="18"/>
      <x:c r="V155" s="18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20"/>
      <x:c r="AJ155" s="21"/>
      <x:c r="AK155" s="21"/>
      <x:c r="AL155" s="17"/>
      <x:c r="AM155" s="17"/>
      <x:c r="AN155" s="21"/>
      <x:c r="AO155" s="17"/>
      <x:c r="AP155" s="17"/>
      <x:c r="AQ155" s="17"/>
      <x:c r="AR155" s="17"/>
      <x:c r="AS155" s="17"/>
      <x:c r="AT155" s="17"/>
      <x:c r="AU155" s="18"/>
      <x:c r="AV155" s="17"/>
      <x:c r="AW155" s="17"/>
      <x:c r="AX155" s="17"/>
      <x:c r="AY155" s="17"/>
      <x:c r="AZ155" s="17"/>
      <x:c r="BA155" s="17"/>
      <x:c r="BB155" s="17"/>
      <x:c r="BC155" s="18"/>
      <x:c r="BD155" s="18"/>
      <x:c r="BE155" s="19"/>
      <x:c r="BF155" s="22" t="str">
        <x:f>IF(A155="","",IF(BI155&gt;=ReadyThreshold,"Ready",IF(BI155&gt;=PartialThreshold,"Partial","Not Ready")))</x:f>
      </x:c>
      <x:c r="BG155" s="23" t="str">
        <x:f>IF(A155="","",COUNTA(N155,Q155,R155,S155)/4)</x:f>
      </x:c>
      <x:c r="BH155" s="23" t="str">
        <x:f>IF(A155="","",(COUNTA(U155,V155,AE155)+IF(COUNTA(W155,X155,Y155,Z155,AA155)&gt;0,1,0))/4)</x:f>
      </x:c>
      <x:c r="BI155" s="23" t="str">
        <x:f>IF(A155="","",(COUNTIF(AV155:AZ155,"Available")+0.5*COUNTIF(AV155:AZ155,"Partial")+IF(BD155&lt;&gt;"",1,0))/6)</x:f>
      </x:c>
      <x:c r="BJ155" s="22" t="str">
        <x:f>IF(A155="","",IF(AND(F155="",BD155=""),"Blocked",IF(AND(BG155&gt;=ReadyThreshold,BH155&gt;=ReadyThreshold,BI155&gt;=ReadyThreshold),"Ready for Analysis",IF(AVERAGE(BG155,BH155,BI155)&gt;=PartialThreshold,"Partially Ready","Discovery Required"))))</x:f>
      </x:c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8"/>
      <x:c r="BU155" s="17"/>
      <x:c r="BV155" s="17"/>
    </x:row>
    <x:row r="156">
      <x:c r="A156" s="17"/>
      <x:c r="B156" s="17"/>
      <x:c r="C156" s="17"/>
      <x:c r="D156" s="17"/>
      <x:c r="E156" s="18"/>
      <x:c r="F156" s="18"/>
      <x:c r="G156" s="17"/>
      <x:c r="H156" s="17"/>
      <x:c r="I156" s="19"/>
      <x:c r="J156" s="19"/>
      <x:c r="K156" s="17"/>
      <x:c r="L156" s="19"/>
      <x:c r="M156" s="17"/>
      <x:c r="N156" s="18"/>
      <x:c r="O156" s="18"/>
      <x:c r="P156" s="17"/>
      <x:c r="Q156" s="17"/>
      <x:c r="R156" s="17"/>
      <x:c r="S156" s="17"/>
      <x:c r="T156" s="17"/>
      <x:c r="U156" s="18"/>
      <x:c r="V156" s="18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20"/>
      <x:c r="AJ156" s="21"/>
      <x:c r="AK156" s="21"/>
      <x:c r="AL156" s="17"/>
      <x:c r="AM156" s="17"/>
      <x:c r="AN156" s="21"/>
      <x:c r="AO156" s="17"/>
      <x:c r="AP156" s="17"/>
      <x:c r="AQ156" s="17"/>
      <x:c r="AR156" s="17"/>
      <x:c r="AS156" s="17"/>
      <x:c r="AT156" s="17"/>
      <x:c r="AU156" s="18"/>
      <x:c r="AV156" s="17"/>
      <x:c r="AW156" s="17"/>
      <x:c r="AX156" s="17"/>
      <x:c r="AY156" s="17"/>
      <x:c r="AZ156" s="17"/>
      <x:c r="BA156" s="17"/>
      <x:c r="BB156" s="17"/>
      <x:c r="BC156" s="18"/>
      <x:c r="BD156" s="18"/>
      <x:c r="BE156" s="19"/>
      <x:c r="BF156" s="22" t="str">
        <x:f>IF(A156="","",IF(BI156&gt;=ReadyThreshold,"Ready",IF(BI156&gt;=PartialThreshold,"Partial","Not Ready")))</x:f>
      </x:c>
      <x:c r="BG156" s="23" t="str">
        <x:f>IF(A156="","",COUNTA(N156,Q156,R156,S156)/4)</x:f>
      </x:c>
      <x:c r="BH156" s="23" t="str">
        <x:f>IF(A156="","",(COUNTA(U156,V156,AE156)+IF(COUNTA(W156,X156,Y156,Z156,AA156)&gt;0,1,0))/4)</x:f>
      </x:c>
      <x:c r="BI156" s="23" t="str">
        <x:f>IF(A156="","",(COUNTIF(AV156:AZ156,"Available")+0.5*COUNTIF(AV156:AZ156,"Partial")+IF(BD156&lt;&gt;"",1,0))/6)</x:f>
      </x:c>
      <x:c r="BJ156" s="22" t="str">
        <x:f>IF(A156="","",IF(AND(F156="",BD156=""),"Blocked",IF(AND(BG156&gt;=ReadyThreshold,BH156&gt;=ReadyThreshold,BI156&gt;=ReadyThreshold),"Ready for Analysis",IF(AVERAGE(BG156,BH156,BI156)&gt;=PartialThreshold,"Partially Ready","Discovery Required"))))</x:f>
      </x:c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8"/>
      <x:c r="BU156" s="17"/>
      <x:c r="BV156" s="17"/>
    </x:row>
    <x:row r="157">
      <x:c r="A157" s="17"/>
      <x:c r="B157" s="17"/>
      <x:c r="C157" s="17"/>
      <x:c r="D157" s="17"/>
      <x:c r="E157" s="18"/>
      <x:c r="F157" s="18"/>
      <x:c r="G157" s="17"/>
      <x:c r="H157" s="17"/>
      <x:c r="I157" s="19"/>
      <x:c r="J157" s="19"/>
      <x:c r="K157" s="17"/>
      <x:c r="L157" s="19"/>
      <x:c r="M157" s="17"/>
      <x:c r="N157" s="18"/>
      <x:c r="O157" s="18"/>
      <x:c r="P157" s="17"/>
      <x:c r="Q157" s="17"/>
      <x:c r="R157" s="17"/>
      <x:c r="S157" s="17"/>
      <x:c r="T157" s="17"/>
      <x:c r="U157" s="18"/>
      <x:c r="V157" s="18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20"/>
      <x:c r="AJ157" s="21"/>
      <x:c r="AK157" s="21"/>
      <x:c r="AL157" s="17"/>
      <x:c r="AM157" s="17"/>
      <x:c r="AN157" s="21"/>
      <x:c r="AO157" s="17"/>
      <x:c r="AP157" s="17"/>
      <x:c r="AQ157" s="17"/>
      <x:c r="AR157" s="17"/>
      <x:c r="AS157" s="17"/>
      <x:c r="AT157" s="17"/>
      <x:c r="AU157" s="18"/>
      <x:c r="AV157" s="17"/>
      <x:c r="AW157" s="17"/>
      <x:c r="AX157" s="17"/>
      <x:c r="AY157" s="17"/>
      <x:c r="AZ157" s="17"/>
      <x:c r="BA157" s="17"/>
      <x:c r="BB157" s="17"/>
      <x:c r="BC157" s="18"/>
      <x:c r="BD157" s="18"/>
      <x:c r="BE157" s="19"/>
      <x:c r="BF157" s="22" t="str">
        <x:f>IF(A157="","",IF(BI157&gt;=ReadyThreshold,"Ready",IF(BI157&gt;=PartialThreshold,"Partial","Not Ready")))</x:f>
      </x:c>
      <x:c r="BG157" s="23" t="str">
        <x:f>IF(A157="","",COUNTA(N157,Q157,R157,S157)/4)</x:f>
      </x:c>
      <x:c r="BH157" s="23" t="str">
        <x:f>IF(A157="","",(COUNTA(U157,V157,AE157)+IF(COUNTA(W157,X157,Y157,Z157,AA157)&gt;0,1,0))/4)</x:f>
      </x:c>
      <x:c r="BI157" s="23" t="str">
        <x:f>IF(A157="","",(COUNTIF(AV157:AZ157,"Available")+0.5*COUNTIF(AV157:AZ157,"Partial")+IF(BD157&lt;&gt;"",1,0))/6)</x:f>
      </x:c>
      <x:c r="BJ157" s="22" t="str">
        <x:f>IF(A157="","",IF(AND(F157="",BD157=""),"Blocked",IF(AND(BG157&gt;=ReadyThreshold,BH157&gt;=ReadyThreshold,BI157&gt;=ReadyThreshold),"Ready for Analysis",IF(AVERAGE(BG157,BH157,BI157)&gt;=PartialThreshold,"Partially Ready","Discovery Required"))))</x:f>
      </x:c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8"/>
      <x:c r="BU157" s="17"/>
      <x:c r="BV157" s="17"/>
    </x:row>
    <x:row r="158">
      <x:c r="A158" s="17"/>
      <x:c r="B158" s="17"/>
      <x:c r="C158" s="17"/>
      <x:c r="D158" s="17"/>
      <x:c r="E158" s="18"/>
      <x:c r="F158" s="18"/>
      <x:c r="G158" s="17"/>
      <x:c r="H158" s="17"/>
      <x:c r="I158" s="19"/>
      <x:c r="J158" s="19"/>
      <x:c r="K158" s="17"/>
      <x:c r="L158" s="19"/>
      <x:c r="M158" s="17"/>
      <x:c r="N158" s="18"/>
      <x:c r="O158" s="18"/>
      <x:c r="P158" s="17"/>
      <x:c r="Q158" s="17"/>
      <x:c r="R158" s="17"/>
      <x:c r="S158" s="17"/>
      <x:c r="T158" s="17"/>
      <x:c r="U158" s="18"/>
      <x:c r="V158" s="18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20"/>
      <x:c r="AJ158" s="21"/>
      <x:c r="AK158" s="21"/>
      <x:c r="AL158" s="17"/>
      <x:c r="AM158" s="17"/>
      <x:c r="AN158" s="21"/>
      <x:c r="AO158" s="17"/>
      <x:c r="AP158" s="17"/>
      <x:c r="AQ158" s="17"/>
      <x:c r="AR158" s="17"/>
      <x:c r="AS158" s="17"/>
      <x:c r="AT158" s="17"/>
      <x:c r="AU158" s="18"/>
      <x:c r="AV158" s="17"/>
      <x:c r="AW158" s="17"/>
      <x:c r="AX158" s="17"/>
      <x:c r="AY158" s="17"/>
      <x:c r="AZ158" s="17"/>
      <x:c r="BA158" s="17"/>
      <x:c r="BB158" s="17"/>
      <x:c r="BC158" s="18"/>
      <x:c r="BD158" s="18"/>
      <x:c r="BE158" s="19"/>
      <x:c r="BF158" s="22" t="str">
        <x:f>IF(A158="","",IF(BI158&gt;=ReadyThreshold,"Ready",IF(BI158&gt;=PartialThreshold,"Partial","Not Ready")))</x:f>
      </x:c>
      <x:c r="BG158" s="23" t="str">
        <x:f>IF(A158="","",COUNTA(N158,Q158,R158,S158)/4)</x:f>
      </x:c>
      <x:c r="BH158" s="23" t="str">
        <x:f>IF(A158="","",(COUNTA(U158,V158,AE158)+IF(COUNTA(W158,X158,Y158,Z158,AA158)&gt;0,1,0))/4)</x:f>
      </x:c>
      <x:c r="BI158" s="23" t="str">
        <x:f>IF(A158="","",(COUNTIF(AV158:AZ158,"Available")+0.5*COUNTIF(AV158:AZ158,"Partial")+IF(BD158&lt;&gt;"",1,0))/6)</x:f>
      </x:c>
      <x:c r="BJ158" s="22" t="str">
        <x:f>IF(A158="","",IF(AND(F158="",BD158=""),"Blocked",IF(AND(BG158&gt;=ReadyThreshold,BH158&gt;=ReadyThreshold,BI158&gt;=ReadyThreshold),"Ready for Analysis",IF(AVERAGE(BG158,BH158,BI158)&gt;=PartialThreshold,"Partially Ready","Discovery Required"))))</x:f>
      </x:c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8"/>
      <x:c r="BU158" s="17"/>
      <x:c r="BV158" s="17"/>
    </x:row>
    <x:row r="159">
      <x:c r="A159" s="17"/>
      <x:c r="B159" s="17"/>
      <x:c r="C159" s="17"/>
      <x:c r="D159" s="17"/>
      <x:c r="E159" s="18"/>
      <x:c r="F159" s="18"/>
      <x:c r="G159" s="17"/>
      <x:c r="H159" s="17"/>
      <x:c r="I159" s="19"/>
      <x:c r="J159" s="19"/>
      <x:c r="K159" s="17"/>
      <x:c r="L159" s="19"/>
      <x:c r="M159" s="17"/>
      <x:c r="N159" s="18"/>
      <x:c r="O159" s="18"/>
      <x:c r="P159" s="17"/>
      <x:c r="Q159" s="17"/>
      <x:c r="R159" s="17"/>
      <x:c r="S159" s="17"/>
      <x:c r="T159" s="17"/>
      <x:c r="U159" s="18"/>
      <x:c r="V159" s="18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20"/>
      <x:c r="AJ159" s="21"/>
      <x:c r="AK159" s="21"/>
      <x:c r="AL159" s="17"/>
      <x:c r="AM159" s="17"/>
      <x:c r="AN159" s="21"/>
      <x:c r="AO159" s="17"/>
      <x:c r="AP159" s="17"/>
      <x:c r="AQ159" s="17"/>
      <x:c r="AR159" s="17"/>
      <x:c r="AS159" s="17"/>
      <x:c r="AT159" s="17"/>
      <x:c r="AU159" s="18"/>
      <x:c r="AV159" s="17"/>
      <x:c r="AW159" s="17"/>
      <x:c r="AX159" s="17"/>
      <x:c r="AY159" s="17"/>
      <x:c r="AZ159" s="17"/>
      <x:c r="BA159" s="17"/>
      <x:c r="BB159" s="17"/>
      <x:c r="BC159" s="18"/>
      <x:c r="BD159" s="18"/>
      <x:c r="BE159" s="19"/>
      <x:c r="BF159" s="22" t="str">
        <x:f>IF(A159="","",IF(BI159&gt;=ReadyThreshold,"Ready",IF(BI159&gt;=PartialThreshold,"Partial","Not Ready")))</x:f>
      </x:c>
      <x:c r="BG159" s="23" t="str">
        <x:f>IF(A159="","",COUNTA(N159,Q159,R159,S159)/4)</x:f>
      </x:c>
      <x:c r="BH159" s="23" t="str">
        <x:f>IF(A159="","",(COUNTA(U159,V159,AE159)+IF(COUNTA(W159,X159,Y159,Z159,AA159)&gt;0,1,0))/4)</x:f>
      </x:c>
      <x:c r="BI159" s="23" t="str">
        <x:f>IF(A159="","",(COUNTIF(AV159:AZ159,"Available")+0.5*COUNTIF(AV159:AZ159,"Partial")+IF(BD159&lt;&gt;"",1,0))/6)</x:f>
      </x:c>
      <x:c r="BJ159" s="22" t="str">
        <x:f>IF(A159="","",IF(AND(F159="",BD159=""),"Blocked",IF(AND(BG159&gt;=ReadyThreshold,BH159&gt;=ReadyThreshold,BI159&gt;=ReadyThreshold),"Ready for Analysis",IF(AVERAGE(BG159,BH159,BI159)&gt;=PartialThreshold,"Partially Ready","Discovery Required"))))</x:f>
      </x:c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8"/>
      <x:c r="BU159" s="17"/>
      <x:c r="BV159" s="17"/>
    </x:row>
    <x:row r="160">
      <x:c r="A160" s="17"/>
      <x:c r="B160" s="17"/>
      <x:c r="C160" s="17"/>
      <x:c r="D160" s="17"/>
      <x:c r="E160" s="18"/>
      <x:c r="F160" s="18"/>
      <x:c r="G160" s="17"/>
      <x:c r="H160" s="17"/>
      <x:c r="I160" s="19"/>
      <x:c r="J160" s="19"/>
      <x:c r="K160" s="17"/>
      <x:c r="L160" s="19"/>
      <x:c r="M160" s="17"/>
      <x:c r="N160" s="18"/>
      <x:c r="O160" s="18"/>
      <x:c r="P160" s="17"/>
      <x:c r="Q160" s="17"/>
      <x:c r="R160" s="17"/>
      <x:c r="S160" s="17"/>
      <x:c r="T160" s="17"/>
      <x:c r="U160" s="18"/>
      <x:c r="V160" s="18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20"/>
      <x:c r="AJ160" s="21"/>
      <x:c r="AK160" s="21"/>
      <x:c r="AL160" s="17"/>
      <x:c r="AM160" s="17"/>
      <x:c r="AN160" s="21"/>
      <x:c r="AO160" s="17"/>
      <x:c r="AP160" s="17"/>
      <x:c r="AQ160" s="17"/>
      <x:c r="AR160" s="17"/>
      <x:c r="AS160" s="17"/>
      <x:c r="AT160" s="17"/>
      <x:c r="AU160" s="18"/>
      <x:c r="AV160" s="17"/>
      <x:c r="AW160" s="17"/>
      <x:c r="AX160" s="17"/>
      <x:c r="AY160" s="17"/>
      <x:c r="AZ160" s="17"/>
      <x:c r="BA160" s="17"/>
      <x:c r="BB160" s="17"/>
      <x:c r="BC160" s="18"/>
      <x:c r="BD160" s="18"/>
      <x:c r="BE160" s="19"/>
      <x:c r="BF160" s="22" t="str">
        <x:f>IF(A160="","",IF(BI160&gt;=ReadyThreshold,"Ready",IF(BI160&gt;=PartialThreshold,"Partial","Not Ready")))</x:f>
      </x:c>
      <x:c r="BG160" s="23" t="str">
        <x:f>IF(A160="","",COUNTA(N160,Q160,R160,S160)/4)</x:f>
      </x:c>
      <x:c r="BH160" s="23" t="str">
        <x:f>IF(A160="","",(COUNTA(U160,V160,AE160)+IF(COUNTA(W160,X160,Y160,Z160,AA160)&gt;0,1,0))/4)</x:f>
      </x:c>
      <x:c r="BI160" s="23" t="str">
        <x:f>IF(A160="","",(COUNTIF(AV160:AZ160,"Available")+0.5*COUNTIF(AV160:AZ160,"Partial")+IF(BD160&lt;&gt;"",1,0))/6)</x:f>
      </x:c>
      <x:c r="BJ160" s="22" t="str">
        <x:f>IF(A160="","",IF(AND(F160="",BD160=""),"Blocked",IF(AND(BG160&gt;=ReadyThreshold,BH160&gt;=ReadyThreshold,BI160&gt;=ReadyThreshold),"Ready for Analysis",IF(AVERAGE(BG160,BH160,BI160)&gt;=PartialThreshold,"Partially Ready","Discovery Required"))))</x:f>
      </x:c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8"/>
      <x:c r="BU160" s="17"/>
      <x:c r="BV160" s="17"/>
    </x:row>
    <x:row r="161">
      <x:c r="A161" s="17"/>
      <x:c r="B161" s="17"/>
      <x:c r="C161" s="17"/>
      <x:c r="D161" s="17"/>
      <x:c r="E161" s="18"/>
      <x:c r="F161" s="18"/>
      <x:c r="G161" s="17"/>
      <x:c r="H161" s="17"/>
      <x:c r="I161" s="19"/>
      <x:c r="J161" s="19"/>
      <x:c r="K161" s="17"/>
      <x:c r="L161" s="19"/>
      <x:c r="M161" s="17"/>
      <x:c r="N161" s="18"/>
      <x:c r="O161" s="18"/>
      <x:c r="P161" s="17"/>
      <x:c r="Q161" s="17"/>
      <x:c r="R161" s="17"/>
      <x:c r="S161" s="17"/>
      <x:c r="T161" s="17"/>
      <x:c r="U161" s="18"/>
      <x:c r="V161" s="18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20"/>
      <x:c r="AJ161" s="21"/>
      <x:c r="AK161" s="21"/>
      <x:c r="AL161" s="17"/>
      <x:c r="AM161" s="17"/>
      <x:c r="AN161" s="21"/>
      <x:c r="AO161" s="17"/>
      <x:c r="AP161" s="17"/>
      <x:c r="AQ161" s="17"/>
      <x:c r="AR161" s="17"/>
      <x:c r="AS161" s="17"/>
      <x:c r="AT161" s="17"/>
      <x:c r="AU161" s="18"/>
      <x:c r="AV161" s="17"/>
      <x:c r="AW161" s="17"/>
      <x:c r="AX161" s="17"/>
      <x:c r="AY161" s="17"/>
      <x:c r="AZ161" s="17"/>
      <x:c r="BA161" s="17"/>
      <x:c r="BB161" s="17"/>
      <x:c r="BC161" s="18"/>
      <x:c r="BD161" s="18"/>
      <x:c r="BE161" s="19"/>
      <x:c r="BF161" s="22" t="str">
        <x:f>IF(A161="","",IF(BI161&gt;=ReadyThreshold,"Ready",IF(BI161&gt;=PartialThreshold,"Partial","Not Ready")))</x:f>
      </x:c>
      <x:c r="BG161" s="23" t="str">
        <x:f>IF(A161="","",COUNTA(N161,Q161,R161,S161)/4)</x:f>
      </x:c>
      <x:c r="BH161" s="23" t="str">
        <x:f>IF(A161="","",(COUNTA(U161,V161,AE161)+IF(COUNTA(W161,X161,Y161,Z161,AA161)&gt;0,1,0))/4)</x:f>
      </x:c>
      <x:c r="BI161" s="23" t="str">
        <x:f>IF(A161="","",(COUNTIF(AV161:AZ161,"Available")+0.5*COUNTIF(AV161:AZ161,"Partial")+IF(BD161&lt;&gt;"",1,0))/6)</x:f>
      </x:c>
      <x:c r="BJ161" s="22" t="str">
        <x:f>IF(A161="","",IF(AND(F161="",BD161=""),"Blocked",IF(AND(BG161&gt;=ReadyThreshold,BH161&gt;=ReadyThreshold,BI161&gt;=ReadyThreshold),"Ready for Analysis",IF(AVERAGE(BG161,BH161,BI161)&gt;=PartialThreshold,"Partially Ready","Discovery Required"))))</x:f>
      </x:c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8"/>
      <x:c r="BU161" s="17"/>
      <x:c r="BV161" s="17"/>
    </x:row>
    <x:row r="162">
      <x:c r="A162" s="17"/>
      <x:c r="B162" s="17"/>
      <x:c r="C162" s="17"/>
      <x:c r="D162" s="17"/>
      <x:c r="E162" s="18"/>
      <x:c r="F162" s="18"/>
      <x:c r="G162" s="17"/>
      <x:c r="H162" s="17"/>
      <x:c r="I162" s="19"/>
      <x:c r="J162" s="19"/>
      <x:c r="K162" s="17"/>
      <x:c r="L162" s="19"/>
      <x:c r="M162" s="17"/>
      <x:c r="N162" s="18"/>
      <x:c r="O162" s="18"/>
      <x:c r="P162" s="17"/>
      <x:c r="Q162" s="17"/>
      <x:c r="R162" s="17"/>
      <x:c r="S162" s="17"/>
      <x:c r="T162" s="17"/>
      <x:c r="U162" s="18"/>
      <x:c r="V162" s="18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20"/>
      <x:c r="AJ162" s="21"/>
      <x:c r="AK162" s="21"/>
      <x:c r="AL162" s="17"/>
      <x:c r="AM162" s="17"/>
      <x:c r="AN162" s="21"/>
      <x:c r="AO162" s="17"/>
      <x:c r="AP162" s="17"/>
      <x:c r="AQ162" s="17"/>
      <x:c r="AR162" s="17"/>
      <x:c r="AS162" s="17"/>
      <x:c r="AT162" s="17"/>
      <x:c r="AU162" s="18"/>
      <x:c r="AV162" s="17"/>
      <x:c r="AW162" s="17"/>
      <x:c r="AX162" s="17"/>
      <x:c r="AY162" s="17"/>
      <x:c r="AZ162" s="17"/>
      <x:c r="BA162" s="17"/>
      <x:c r="BB162" s="17"/>
      <x:c r="BC162" s="18"/>
      <x:c r="BD162" s="18"/>
      <x:c r="BE162" s="19"/>
      <x:c r="BF162" s="22" t="str">
        <x:f>IF(A162="","",IF(BI162&gt;=ReadyThreshold,"Ready",IF(BI162&gt;=PartialThreshold,"Partial","Not Ready")))</x:f>
      </x:c>
      <x:c r="BG162" s="23" t="str">
        <x:f>IF(A162="","",COUNTA(N162,Q162,R162,S162)/4)</x:f>
      </x:c>
      <x:c r="BH162" s="23" t="str">
        <x:f>IF(A162="","",(COUNTA(U162,V162,AE162)+IF(COUNTA(W162,X162,Y162,Z162,AA162)&gt;0,1,0))/4)</x:f>
      </x:c>
      <x:c r="BI162" s="23" t="str">
        <x:f>IF(A162="","",(COUNTIF(AV162:AZ162,"Available")+0.5*COUNTIF(AV162:AZ162,"Partial")+IF(BD162&lt;&gt;"",1,0))/6)</x:f>
      </x:c>
      <x:c r="BJ162" s="22" t="str">
        <x:f>IF(A162="","",IF(AND(F162="",BD162=""),"Blocked",IF(AND(BG162&gt;=ReadyThreshold,BH162&gt;=ReadyThreshold,BI162&gt;=ReadyThreshold),"Ready for Analysis",IF(AVERAGE(BG162,BH162,BI162)&gt;=PartialThreshold,"Partially Ready","Discovery Required"))))</x:f>
      </x:c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8"/>
      <x:c r="BU162" s="17"/>
      <x:c r="BV162" s="17"/>
    </x:row>
    <x:row r="163">
      <x:c r="A163" s="17"/>
      <x:c r="B163" s="17"/>
      <x:c r="C163" s="17"/>
      <x:c r="D163" s="17"/>
      <x:c r="E163" s="18"/>
      <x:c r="F163" s="18"/>
      <x:c r="G163" s="17"/>
      <x:c r="H163" s="17"/>
      <x:c r="I163" s="19"/>
      <x:c r="J163" s="19"/>
      <x:c r="K163" s="17"/>
      <x:c r="L163" s="19"/>
      <x:c r="M163" s="17"/>
      <x:c r="N163" s="18"/>
      <x:c r="O163" s="18"/>
      <x:c r="P163" s="17"/>
      <x:c r="Q163" s="17"/>
      <x:c r="R163" s="17"/>
      <x:c r="S163" s="17"/>
      <x:c r="T163" s="17"/>
      <x:c r="U163" s="18"/>
      <x:c r="V163" s="18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20"/>
      <x:c r="AJ163" s="21"/>
      <x:c r="AK163" s="21"/>
      <x:c r="AL163" s="17"/>
      <x:c r="AM163" s="17"/>
      <x:c r="AN163" s="21"/>
      <x:c r="AO163" s="17"/>
      <x:c r="AP163" s="17"/>
      <x:c r="AQ163" s="17"/>
      <x:c r="AR163" s="17"/>
      <x:c r="AS163" s="17"/>
      <x:c r="AT163" s="17"/>
      <x:c r="AU163" s="18"/>
      <x:c r="AV163" s="17"/>
      <x:c r="AW163" s="17"/>
      <x:c r="AX163" s="17"/>
      <x:c r="AY163" s="17"/>
      <x:c r="AZ163" s="17"/>
      <x:c r="BA163" s="17"/>
      <x:c r="BB163" s="17"/>
      <x:c r="BC163" s="18"/>
      <x:c r="BD163" s="18"/>
      <x:c r="BE163" s="19"/>
      <x:c r="BF163" s="22" t="str">
        <x:f>IF(A163="","",IF(BI163&gt;=ReadyThreshold,"Ready",IF(BI163&gt;=PartialThreshold,"Partial","Not Ready")))</x:f>
      </x:c>
      <x:c r="BG163" s="23" t="str">
        <x:f>IF(A163="","",COUNTA(N163,Q163,R163,S163)/4)</x:f>
      </x:c>
      <x:c r="BH163" s="23" t="str">
        <x:f>IF(A163="","",(COUNTA(U163,V163,AE163)+IF(COUNTA(W163,X163,Y163,Z163,AA163)&gt;0,1,0))/4)</x:f>
      </x:c>
      <x:c r="BI163" s="23" t="str">
        <x:f>IF(A163="","",(COUNTIF(AV163:AZ163,"Available")+0.5*COUNTIF(AV163:AZ163,"Partial")+IF(BD163&lt;&gt;"",1,0))/6)</x:f>
      </x:c>
      <x:c r="BJ163" s="22" t="str">
        <x:f>IF(A163="","",IF(AND(F163="",BD163=""),"Blocked",IF(AND(BG163&gt;=ReadyThreshold,BH163&gt;=ReadyThreshold,BI163&gt;=ReadyThreshold),"Ready for Analysis",IF(AVERAGE(BG163,BH163,BI163)&gt;=PartialThreshold,"Partially Ready","Discovery Required"))))</x:f>
      </x:c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8"/>
      <x:c r="BU163" s="17"/>
      <x:c r="BV163" s="17"/>
    </x:row>
    <x:row r="164">
      <x:c r="A164" s="17"/>
      <x:c r="B164" s="17"/>
      <x:c r="C164" s="17"/>
      <x:c r="D164" s="17"/>
      <x:c r="E164" s="18"/>
      <x:c r="F164" s="18"/>
      <x:c r="G164" s="17"/>
      <x:c r="H164" s="17"/>
      <x:c r="I164" s="19"/>
      <x:c r="J164" s="19"/>
      <x:c r="K164" s="17"/>
      <x:c r="L164" s="19"/>
      <x:c r="M164" s="17"/>
      <x:c r="N164" s="18"/>
      <x:c r="O164" s="18"/>
      <x:c r="P164" s="17"/>
      <x:c r="Q164" s="17"/>
      <x:c r="R164" s="17"/>
      <x:c r="S164" s="17"/>
      <x:c r="T164" s="17"/>
      <x:c r="U164" s="18"/>
      <x:c r="V164" s="18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20"/>
      <x:c r="AJ164" s="21"/>
      <x:c r="AK164" s="21"/>
      <x:c r="AL164" s="17"/>
      <x:c r="AM164" s="17"/>
      <x:c r="AN164" s="21"/>
      <x:c r="AO164" s="17"/>
      <x:c r="AP164" s="17"/>
      <x:c r="AQ164" s="17"/>
      <x:c r="AR164" s="17"/>
      <x:c r="AS164" s="17"/>
      <x:c r="AT164" s="17"/>
      <x:c r="AU164" s="18"/>
      <x:c r="AV164" s="17"/>
      <x:c r="AW164" s="17"/>
      <x:c r="AX164" s="17"/>
      <x:c r="AY164" s="17"/>
      <x:c r="AZ164" s="17"/>
      <x:c r="BA164" s="17"/>
      <x:c r="BB164" s="17"/>
      <x:c r="BC164" s="18"/>
      <x:c r="BD164" s="18"/>
      <x:c r="BE164" s="19"/>
      <x:c r="BF164" s="22" t="str">
        <x:f>IF(A164="","",IF(BI164&gt;=ReadyThreshold,"Ready",IF(BI164&gt;=PartialThreshold,"Partial","Not Ready")))</x:f>
      </x:c>
      <x:c r="BG164" s="23" t="str">
        <x:f>IF(A164="","",COUNTA(N164,Q164,R164,S164)/4)</x:f>
      </x:c>
      <x:c r="BH164" s="23" t="str">
        <x:f>IF(A164="","",(COUNTA(U164,V164,AE164)+IF(COUNTA(W164,X164,Y164,Z164,AA164)&gt;0,1,0))/4)</x:f>
      </x:c>
      <x:c r="BI164" s="23" t="str">
        <x:f>IF(A164="","",(COUNTIF(AV164:AZ164,"Available")+0.5*COUNTIF(AV164:AZ164,"Partial")+IF(BD164&lt;&gt;"",1,0))/6)</x:f>
      </x:c>
      <x:c r="BJ164" s="22" t="str">
        <x:f>IF(A164="","",IF(AND(F164="",BD164=""),"Blocked",IF(AND(BG164&gt;=ReadyThreshold,BH164&gt;=ReadyThreshold,BI164&gt;=ReadyThreshold),"Ready for Analysis",IF(AVERAGE(BG164,BH164,BI164)&gt;=PartialThreshold,"Partially Ready","Discovery Required"))))</x:f>
      </x:c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8"/>
      <x:c r="BU164" s="17"/>
      <x:c r="BV164" s="17"/>
    </x:row>
    <x:row r="165">
      <x:c r="A165" s="17"/>
      <x:c r="B165" s="17"/>
      <x:c r="C165" s="17"/>
      <x:c r="D165" s="17"/>
      <x:c r="E165" s="18"/>
      <x:c r="F165" s="18"/>
      <x:c r="G165" s="17"/>
      <x:c r="H165" s="17"/>
      <x:c r="I165" s="19"/>
      <x:c r="J165" s="19"/>
      <x:c r="K165" s="17"/>
      <x:c r="L165" s="19"/>
      <x:c r="M165" s="17"/>
      <x:c r="N165" s="18"/>
      <x:c r="O165" s="18"/>
      <x:c r="P165" s="17"/>
      <x:c r="Q165" s="17"/>
      <x:c r="R165" s="17"/>
      <x:c r="S165" s="17"/>
      <x:c r="T165" s="17"/>
      <x:c r="U165" s="18"/>
      <x:c r="V165" s="18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20"/>
      <x:c r="AJ165" s="21"/>
      <x:c r="AK165" s="21"/>
      <x:c r="AL165" s="17"/>
      <x:c r="AM165" s="17"/>
      <x:c r="AN165" s="21"/>
      <x:c r="AO165" s="17"/>
      <x:c r="AP165" s="17"/>
      <x:c r="AQ165" s="17"/>
      <x:c r="AR165" s="17"/>
      <x:c r="AS165" s="17"/>
      <x:c r="AT165" s="17"/>
      <x:c r="AU165" s="18"/>
      <x:c r="AV165" s="17"/>
      <x:c r="AW165" s="17"/>
      <x:c r="AX165" s="17"/>
      <x:c r="AY165" s="17"/>
      <x:c r="AZ165" s="17"/>
      <x:c r="BA165" s="17"/>
      <x:c r="BB165" s="17"/>
      <x:c r="BC165" s="18"/>
      <x:c r="BD165" s="18"/>
      <x:c r="BE165" s="19"/>
      <x:c r="BF165" s="22" t="str">
        <x:f>IF(A165="","",IF(BI165&gt;=ReadyThreshold,"Ready",IF(BI165&gt;=PartialThreshold,"Partial","Not Ready")))</x:f>
      </x:c>
      <x:c r="BG165" s="23" t="str">
        <x:f>IF(A165="","",COUNTA(N165,Q165,R165,S165)/4)</x:f>
      </x:c>
      <x:c r="BH165" s="23" t="str">
        <x:f>IF(A165="","",(COUNTA(U165,V165,AE165)+IF(COUNTA(W165,X165,Y165,Z165,AA165)&gt;0,1,0))/4)</x:f>
      </x:c>
      <x:c r="BI165" s="23" t="str">
        <x:f>IF(A165="","",(COUNTIF(AV165:AZ165,"Available")+0.5*COUNTIF(AV165:AZ165,"Partial")+IF(BD165&lt;&gt;"",1,0))/6)</x:f>
      </x:c>
      <x:c r="BJ165" s="22" t="str">
        <x:f>IF(A165="","",IF(AND(F165="",BD165=""),"Blocked",IF(AND(BG165&gt;=ReadyThreshold,BH165&gt;=ReadyThreshold,BI165&gt;=ReadyThreshold),"Ready for Analysis",IF(AVERAGE(BG165,BH165,BI165)&gt;=PartialThreshold,"Partially Ready","Discovery Required"))))</x:f>
      </x:c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8"/>
      <x:c r="BU165" s="17"/>
      <x:c r="BV165" s="17"/>
    </x:row>
    <x:row r="166">
      <x:c r="A166" s="17"/>
      <x:c r="B166" s="17"/>
      <x:c r="C166" s="17"/>
      <x:c r="D166" s="17"/>
      <x:c r="E166" s="18"/>
      <x:c r="F166" s="18"/>
      <x:c r="G166" s="17"/>
      <x:c r="H166" s="17"/>
      <x:c r="I166" s="19"/>
      <x:c r="J166" s="19"/>
      <x:c r="K166" s="17"/>
      <x:c r="L166" s="19"/>
      <x:c r="M166" s="17"/>
      <x:c r="N166" s="18"/>
      <x:c r="O166" s="18"/>
      <x:c r="P166" s="17"/>
      <x:c r="Q166" s="17"/>
      <x:c r="R166" s="17"/>
      <x:c r="S166" s="17"/>
      <x:c r="T166" s="17"/>
      <x:c r="U166" s="18"/>
      <x:c r="V166" s="18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20"/>
      <x:c r="AJ166" s="21"/>
      <x:c r="AK166" s="21"/>
      <x:c r="AL166" s="17"/>
      <x:c r="AM166" s="17"/>
      <x:c r="AN166" s="21"/>
      <x:c r="AO166" s="17"/>
      <x:c r="AP166" s="17"/>
      <x:c r="AQ166" s="17"/>
      <x:c r="AR166" s="17"/>
      <x:c r="AS166" s="17"/>
      <x:c r="AT166" s="17"/>
      <x:c r="AU166" s="18"/>
      <x:c r="AV166" s="17"/>
      <x:c r="AW166" s="17"/>
      <x:c r="AX166" s="17"/>
      <x:c r="AY166" s="17"/>
      <x:c r="AZ166" s="17"/>
      <x:c r="BA166" s="17"/>
      <x:c r="BB166" s="17"/>
      <x:c r="BC166" s="18"/>
      <x:c r="BD166" s="18"/>
      <x:c r="BE166" s="19"/>
      <x:c r="BF166" s="22" t="str">
        <x:f>IF(A166="","",IF(BI166&gt;=ReadyThreshold,"Ready",IF(BI166&gt;=PartialThreshold,"Partial","Not Ready")))</x:f>
      </x:c>
      <x:c r="BG166" s="23" t="str">
        <x:f>IF(A166="","",COUNTA(N166,Q166,R166,S166)/4)</x:f>
      </x:c>
      <x:c r="BH166" s="23" t="str">
        <x:f>IF(A166="","",(COUNTA(U166,V166,AE166)+IF(COUNTA(W166,X166,Y166,Z166,AA166)&gt;0,1,0))/4)</x:f>
      </x:c>
      <x:c r="BI166" s="23" t="str">
        <x:f>IF(A166="","",(COUNTIF(AV166:AZ166,"Available")+0.5*COUNTIF(AV166:AZ166,"Partial")+IF(BD166&lt;&gt;"",1,0))/6)</x:f>
      </x:c>
      <x:c r="BJ166" s="22" t="str">
        <x:f>IF(A166="","",IF(AND(F166="",BD166=""),"Blocked",IF(AND(BG166&gt;=ReadyThreshold,BH166&gt;=ReadyThreshold,BI166&gt;=ReadyThreshold),"Ready for Analysis",IF(AVERAGE(BG166,BH166,BI166)&gt;=PartialThreshold,"Partially Ready","Discovery Required"))))</x:f>
      </x:c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8"/>
      <x:c r="BU166" s="17"/>
      <x:c r="BV166" s="17"/>
    </x:row>
    <x:row r="167">
      <x:c r="A167" s="17"/>
      <x:c r="B167" s="17"/>
      <x:c r="C167" s="17"/>
      <x:c r="D167" s="17"/>
      <x:c r="E167" s="18"/>
      <x:c r="F167" s="18"/>
      <x:c r="G167" s="17"/>
      <x:c r="H167" s="17"/>
      <x:c r="I167" s="19"/>
      <x:c r="J167" s="19"/>
      <x:c r="K167" s="17"/>
      <x:c r="L167" s="19"/>
      <x:c r="M167" s="17"/>
      <x:c r="N167" s="18"/>
      <x:c r="O167" s="18"/>
      <x:c r="P167" s="17"/>
      <x:c r="Q167" s="17"/>
      <x:c r="R167" s="17"/>
      <x:c r="S167" s="17"/>
      <x:c r="T167" s="17"/>
      <x:c r="U167" s="18"/>
      <x:c r="V167" s="18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20"/>
      <x:c r="AJ167" s="21"/>
      <x:c r="AK167" s="21"/>
      <x:c r="AL167" s="17"/>
      <x:c r="AM167" s="17"/>
      <x:c r="AN167" s="21"/>
      <x:c r="AO167" s="17"/>
      <x:c r="AP167" s="17"/>
      <x:c r="AQ167" s="17"/>
      <x:c r="AR167" s="17"/>
      <x:c r="AS167" s="17"/>
      <x:c r="AT167" s="17"/>
      <x:c r="AU167" s="18"/>
      <x:c r="AV167" s="17"/>
      <x:c r="AW167" s="17"/>
      <x:c r="AX167" s="17"/>
      <x:c r="AY167" s="17"/>
      <x:c r="AZ167" s="17"/>
      <x:c r="BA167" s="17"/>
      <x:c r="BB167" s="17"/>
      <x:c r="BC167" s="18"/>
      <x:c r="BD167" s="18"/>
      <x:c r="BE167" s="19"/>
      <x:c r="BF167" s="22" t="str">
        <x:f>IF(A167="","",IF(BI167&gt;=ReadyThreshold,"Ready",IF(BI167&gt;=PartialThreshold,"Partial","Not Ready")))</x:f>
      </x:c>
      <x:c r="BG167" s="23" t="str">
        <x:f>IF(A167="","",COUNTA(N167,Q167,R167,S167)/4)</x:f>
      </x:c>
      <x:c r="BH167" s="23" t="str">
        <x:f>IF(A167="","",(COUNTA(U167,V167,AE167)+IF(COUNTA(W167,X167,Y167,Z167,AA167)&gt;0,1,0))/4)</x:f>
      </x:c>
      <x:c r="BI167" s="23" t="str">
        <x:f>IF(A167="","",(COUNTIF(AV167:AZ167,"Available")+0.5*COUNTIF(AV167:AZ167,"Partial")+IF(BD167&lt;&gt;"",1,0))/6)</x:f>
      </x:c>
      <x:c r="BJ167" s="22" t="str">
        <x:f>IF(A167="","",IF(AND(F167="",BD167=""),"Blocked",IF(AND(BG167&gt;=ReadyThreshold,BH167&gt;=ReadyThreshold,BI167&gt;=ReadyThreshold),"Ready for Analysis",IF(AVERAGE(BG167,BH167,BI167)&gt;=PartialThreshold,"Partially Ready","Discovery Required"))))</x:f>
      </x:c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8"/>
      <x:c r="BU167" s="17"/>
      <x:c r="BV167" s="17"/>
    </x:row>
    <x:row r="168">
      <x:c r="A168" s="17"/>
      <x:c r="B168" s="17"/>
      <x:c r="C168" s="17"/>
      <x:c r="D168" s="17"/>
      <x:c r="E168" s="18"/>
      <x:c r="F168" s="18"/>
      <x:c r="G168" s="17"/>
      <x:c r="H168" s="17"/>
      <x:c r="I168" s="19"/>
      <x:c r="J168" s="19"/>
      <x:c r="K168" s="17"/>
      <x:c r="L168" s="19"/>
      <x:c r="M168" s="17"/>
      <x:c r="N168" s="18"/>
      <x:c r="O168" s="18"/>
      <x:c r="P168" s="17"/>
      <x:c r="Q168" s="17"/>
      <x:c r="R168" s="17"/>
      <x:c r="S168" s="17"/>
      <x:c r="T168" s="17"/>
      <x:c r="U168" s="18"/>
      <x:c r="V168" s="18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20"/>
      <x:c r="AJ168" s="21"/>
      <x:c r="AK168" s="21"/>
      <x:c r="AL168" s="17"/>
      <x:c r="AM168" s="17"/>
      <x:c r="AN168" s="21"/>
      <x:c r="AO168" s="17"/>
      <x:c r="AP168" s="17"/>
      <x:c r="AQ168" s="17"/>
      <x:c r="AR168" s="17"/>
      <x:c r="AS168" s="17"/>
      <x:c r="AT168" s="17"/>
      <x:c r="AU168" s="18"/>
      <x:c r="AV168" s="17"/>
      <x:c r="AW168" s="17"/>
      <x:c r="AX168" s="17"/>
      <x:c r="AY168" s="17"/>
      <x:c r="AZ168" s="17"/>
      <x:c r="BA168" s="17"/>
      <x:c r="BB168" s="17"/>
      <x:c r="BC168" s="18"/>
      <x:c r="BD168" s="18"/>
      <x:c r="BE168" s="19"/>
      <x:c r="BF168" s="22" t="str">
        <x:f>IF(A168="","",IF(BI168&gt;=ReadyThreshold,"Ready",IF(BI168&gt;=PartialThreshold,"Partial","Not Ready")))</x:f>
      </x:c>
      <x:c r="BG168" s="23" t="str">
        <x:f>IF(A168="","",COUNTA(N168,Q168,R168,S168)/4)</x:f>
      </x:c>
      <x:c r="BH168" s="23" t="str">
        <x:f>IF(A168="","",(COUNTA(U168,V168,AE168)+IF(COUNTA(W168,X168,Y168,Z168,AA168)&gt;0,1,0))/4)</x:f>
      </x:c>
      <x:c r="BI168" s="23" t="str">
        <x:f>IF(A168="","",(COUNTIF(AV168:AZ168,"Available")+0.5*COUNTIF(AV168:AZ168,"Partial")+IF(BD168&lt;&gt;"",1,0))/6)</x:f>
      </x:c>
      <x:c r="BJ168" s="22" t="str">
        <x:f>IF(A168="","",IF(AND(F168="",BD168=""),"Blocked",IF(AND(BG168&gt;=ReadyThreshold,BH168&gt;=ReadyThreshold,BI168&gt;=ReadyThreshold),"Ready for Analysis",IF(AVERAGE(BG168,BH168,BI168)&gt;=PartialThreshold,"Partially Ready","Discovery Required"))))</x:f>
      </x:c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8"/>
      <x:c r="BU168" s="17"/>
      <x:c r="BV168" s="17"/>
    </x:row>
    <x:row r="169">
      <x:c r="A169" s="17"/>
      <x:c r="B169" s="17"/>
      <x:c r="C169" s="17"/>
      <x:c r="D169" s="17"/>
      <x:c r="E169" s="18"/>
      <x:c r="F169" s="18"/>
      <x:c r="G169" s="17"/>
      <x:c r="H169" s="17"/>
      <x:c r="I169" s="19"/>
      <x:c r="J169" s="19"/>
      <x:c r="K169" s="17"/>
      <x:c r="L169" s="19"/>
      <x:c r="M169" s="17"/>
      <x:c r="N169" s="18"/>
      <x:c r="O169" s="18"/>
      <x:c r="P169" s="17"/>
      <x:c r="Q169" s="17"/>
      <x:c r="R169" s="17"/>
      <x:c r="S169" s="17"/>
      <x:c r="T169" s="17"/>
      <x:c r="U169" s="18"/>
      <x:c r="V169" s="18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20"/>
      <x:c r="AJ169" s="21"/>
      <x:c r="AK169" s="21"/>
      <x:c r="AL169" s="17"/>
      <x:c r="AM169" s="17"/>
      <x:c r="AN169" s="21"/>
      <x:c r="AO169" s="17"/>
      <x:c r="AP169" s="17"/>
      <x:c r="AQ169" s="17"/>
      <x:c r="AR169" s="17"/>
      <x:c r="AS169" s="17"/>
      <x:c r="AT169" s="17"/>
      <x:c r="AU169" s="18"/>
      <x:c r="AV169" s="17"/>
      <x:c r="AW169" s="17"/>
      <x:c r="AX169" s="17"/>
      <x:c r="AY169" s="17"/>
      <x:c r="AZ169" s="17"/>
      <x:c r="BA169" s="17"/>
      <x:c r="BB169" s="17"/>
      <x:c r="BC169" s="18"/>
      <x:c r="BD169" s="18"/>
      <x:c r="BE169" s="19"/>
      <x:c r="BF169" s="22" t="str">
        <x:f>IF(A169="","",IF(BI169&gt;=ReadyThreshold,"Ready",IF(BI169&gt;=PartialThreshold,"Partial","Not Ready")))</x:f>
      </x:c>
      <x:c r="BG169" s="23" t="str">
        <x:f>IF(A169="","",COUNTA(N169,Q169,R169,S169)/4)</x:f>
      </x:c>
      <x:c r="BH169" s="23" t="str">
        <x:f>IF(A169="","",(COUNTA(U169,V169,AE169)+IF(COUNTA(W169,X169,Y169,Z169,AA169)&gt;0,1,0))/4)</x:f>
      </x:c>
      <x:c r="BI169" s="23" t="str">
        <x:f>IF(A169="","",(COUNTIF(AV169:AZ169,"Available")+0.5*COUNTIF(AV169:AZ169,"Partial")+IF(BD169&lt;&gt;"",1,0))/6)</x:f>
      </x:c>
      <x:c r="BJ169" s="22" t="str">
        <x:f>IF(A169="","",IF(AND(F169="",BD169=""),"Blocked",IF(AND(BG169&gt;=ReadyThreshold,BH169&gt;=ReadyThreshold,BI169&gt;=ReadyThreshold),"Ready for Analysis",IF(AVERAGE(BG169,BH169,BI169)&gt;=PartialThreshold,"Partially Ready","Discovery Required"))))</x:f>
      </x:c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8"/>
      <x:c r="BU169" s="17"/>
      <x:c r="BV169" s="17"/>
    </x:row>
    <x:row r="170">
      <x:c r="A170" s="17"/>
      <x:c r="B170" s="17"/>
      <x:c r="C170" s="17"/>
      <x:c r="D170" s="17"/>
      <x:c r="E170" s="18"/>
      <x:c r="F170" s="18"/>
      <x:c r="G170" s="17"/>
      <x:c r="H170" s="17"/>
      <x:c r="I170" s="19"/>
      <x:c r="J170" s="19"/>
      <x:c r="K170" s="17"/>
      <x:c r="L170" s="19"/>
      <x:c r="M170" s="17"/>
      <x:c r="N170" s="18"/>
      <x:c r="O170" s="18"/>
      <x:c r="P170" s="17"/>
      <x:c r="Q170" s="17"/>
      <x:c r="R170" s="17"/>
      <x:c r="S170" s="17"/>
      <x:c r="T170" s="17"/>
      <x:c r="U170" s="18"/>
      <x:c r="V170" s="18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20"/>
      <x:c r="AJ170" s="21"/>
      <x:c r="AK170" s="21"/>
      <x:c r="AL170" s="17"/>
      <x:c r="AM170" s="17"/>
      <x:c r="AN170" s="21"/>
      <x:c r="AO170" s="17"/>
      <x:c r="AP170" s="17"/>
      <x:c r="AQ170" s="17"/>
      <x:c r="AR170" s="17"/>
      <x:c r="AS170" s="17"/>
      <x:c r="AT170" s="17"/>
      <x:c r="AU170" s="18"/>
      <x:c r="AV170" s="17"/>
      <x:c r="AW170" s="17"/>
      <x:c r="AX170" s="17"/>
      <x:c r="AY170" s="17"/>
      <x:c r="AZ170" s="17"/>
      <x:c r="BA170" s="17"/>
      <x:c r="BB170" s="17"/>
      <x:c r="BC170" s="18"/>
      <x:c r="BD170" s="18"/>
      <x:c r="BE170" s="19"/>
      <x:c r="BF170" s="22" t="str">
        <x:f>IF(A170="","",IF(BI170&gt;=ReadyThreshold,"Ready",IF(BI170&gt;=PartialThreshold,"Partial","Not Ready")))</x:f>
      </x:c>
      <x:c r="BG170" s="23" t="str">
        <x:f>IF(A170="","",COUNTA(N170,Q170,R170,S170)/4)</x:f>
      </x:c>
      <x:c r="BH170" s="23" t="str">
        <x:f>IF(A170="","",(COUNTA(U170,V170,AE170)+IF(COUNTA(W170,X170,Y170,Z170,AA170)&gt;0,1,0))/4)</x:f>
      </x:c>
      <x:c r="BI170" s="23" t="str">
        <x:f>IF(A170="","",(COUNTIF(AV170:AZ170,"Available")+0.5*COUNTIF(AV170:AZ170,"Partial")+IF(BD170&lt;&gt;"",1,0))/6)</x:f>
      </x:c>
      <x:c r="BJ170" s="22" t="str">
        <x:f>IF(A170="","",IF(AND(F170="",BD170=""),"Blocked",IF(AND(BG170&gt;=ReadyThreshold,BH170&gt;=ReadyThreshold,BI170&gt;=ReadyThreshold),"Ready for Analysis",IF(AVERAGE(BG170,BH170,BI170)&gt;=PartialThreshold,"Partially Ready","Discovery Required"))))</x:f>
      </x:c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8"/>
      <x:c r="BU170" s="17"/>
      <x:c r="BV170" s="17"/>
    </x:row>
    <x:row r="171">
      <x:c r="A171" s="17"/>
      <x:c r="B171" s="17"/>
      <x:c r="C171" s="17"/>
      <x:c r="D171" s="17"/>
      <x:c r="E171" s="18"/>
      <x:c r="F171" s="18"/>
      <x:c r="G171" s="17"/>
      <x:c r="H171" s="17"/>
      <x:c r="I171" s="19"/>
      <x:c r="J171" s="19"/>
      <x:c r="K171" s="17"/>
      <x:c r="L171" s="19"/>
      <x:c r="M171" s="17"/>
      <x:c r="N171" s="18"/>
      <x:c r="O171" s="18"/>
      <x:c r="P171" s="17"/>
      <x:c r="Q171" s="17"/>
      <x:c r="R171" s="17"/>
      <x:c r="S171" s="17"/>
      <x:c r="T171" s="17"/>
      <x:c r="U171" s="18"/>
      <x:c r="V171" s="18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20"/>
      <x:c r="AJ171" s="21"/>
      <x:c r="AK171" s="21"/>
      <x:c r="AL171" s="17"/>
      <x:c r="AM171" s="17"/>
      <x:c r="AN171" s="21"/>
      <x:c r="AO171" s="17"/>
      <x:c r="AP171" s="17"/>
      <x:c r="AQ171" s="17"/>
      <x:c r="AR171" s="17"/>
      <x:c r="AS171" s="17"/>
      <x:c r="AT171" s="17"/>
      <x:c r="AU171" s="18"/>
      <x:c r="AV171" s="17"/>
      <x:c r="AW171" s="17"/>
      <x:c r="AX171" s="17"/>
      <x:c r="AY171" s="17"/>
      <x:c r="AZ171" s="17"/>
      <x:c r="BA171" s="17"/>
      <x:c r="BB171" s="17"/>
      <x:c r="BC171" s="18"/>
      <x:c r="BD171" s="18"/>
      <x:c r="BE171" s="19"/>
      <x:c r="BF171" s="22" t="str">
        <x:f>IF(A171="","",IF(BI171&gt;=ReadyThreshold,"Ready",IF(BI171&gt;=PartialThreshold,"Partial","Not Ready")))</x:f>
      </x:c>
      <x:c r="BG171" s="23" t="str">
        <x:f>IF(A171="","",COUNTA(N171,Q171,R171,S171)/4)</x:f>
      </x:c>
      <x:c r="BH171" s="23" t="str">
        <x:f>IF(A171="","",(COUNTA(U171,V171,AE171)+IF(COUNTA(W171,X171,Y171,Z171,AA171)&gt;0,1,0))/4)</x:f>
      </x:c>
      <x:c r="BI171" s="23" t="str">
        <x:f>IF(A171="","",(COUNTIF(AV171:AZ171,"Available")+0.5*COUNTIF(AV171:AZ171,"Partial")+IF(BD171&lt;&gt;"",1,0))/6)</x:f>
      </x:c>
      <x:c r="BJ171" s="22" t="str">
        <x:f>IF(A171="","",IF(AND(F171="",BD171=""),"Blocked",IF(AND(BG171&gt;=ReadyThreshold,BH171&gt;=ReadyThreshold,BI171&gt;=ReadyThreshold),"Ready for Analysis",IF(AVERAGE(BG171,BH171,BI171)&gt;=PartialThreshold,"Partially Ready","Discovery Required"))))</x:f>
      </x:c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8"/>
      <x:c r="BU171" s="17"/>
      <x:c r="BV171" s="17"/>
    </x:row>
    <x:row r="172">
      <x:c r="A172" s="17"/>
      <x:c r="B172" s="17"/>
      <x:c r="C172" s="17"/>
      <x:c r="D172" s="17"/>
      <x:c r="E172" s="18"/>
      <x:c r="F172" s="18"/>
      <x:c r="G172" s="17"/>
      <x:c r="H172" s="17"/>
      <x:c r="I172" s="19"/>
      <x:c r="J172" s="19"/>
      <x:c r="K172" s="17"/>
      <x:c r="L172" s="19"/>
      <x:c r="M172" s="17"/>
      <x:c r="N172" s="18"/>
      <x:c r="O172" s="18"/>
      <x:c r="P172" s="17"/>
      <x:c r="Q172" s="17"/>
      <x:c r="R172" s="17"/>
      <x:c r="S172" s="17"/>
      <x:c r="T172" s="17"/>
      <x:c r="U172" s="18"/>
      <x:c r="V172" s="18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20"/>
      <x:c r="AJ172" s="21"/>
      <x:c r="AK172" s="21"/>
      <x:c r="AL172" s="17"/>
      <x:c r="AM172" s="17"/>
      <x:c r="AN172" s="21"/>
      <x:c r="AO172" s="17"/>
      <x:c r="AP172" s="17"/>
      <x:c r="AQ172" s="17"/>
      <x:c r="AR172" s="17"/>
      <x:c r="AS172" s="17"/>
      <x:c r="AT172" s="17"/>
      <x:c r="AU172" s="18"/>
      <x:c r="AV172" s="17"/>
      <x:c r="AW172" s="17"/>
      <x:c r="AX172" s="17"/>
      <x:c r="AY172" s="17"/>
      <x:c r="AZ172" s="17"/>
      <x:c r="BA172" s="17"/>
      <x:c r="BB172" s="17"/>
      <x:c r="BC172" s="18"/>
      <x:c r="BD172" s="18"/>
      <x:c r="BE172" s="19"/>
      <x:c r="BF172" s="22" t="str">
        <x:f>IF(A172="","",IF(BI172&gt;=ReadyThreshold,"Ready",IF(BI172&gt;=PartialThreshold,"Partial","Not Ready")))</x:f>
      </x:c>
      <x:c r="BG172" s="23" t="str">
        <x:f>IF(A172="","",COUNTA(N172,Q172,R172,S172)/4)</x:f>
      </x:c>
      <x:c r="BH172" s="23" t="str">
        <x:f>IF(A172="","",(COUNTA(U172,V172,AE172)+IF(COUNTA(W172,X172,Y172,Z172,AA172)&gt;0,1,0))/4)</x:f>
      </x:c>
      <x:c r="BI172" s="23" t="str">
        <x:f>IF(A172="","",(COUNTIF(AV172:AZ172,"Available")+0.5*COUNTIF(AV172:AZ172,"Partial")+IF(BD172&lt;&gt;"",1,0))/6)</x:f>
      </x:c>
      <x:c r="BJ172" s="22" t="str">
        <x:f>IF(A172="","",IF(AND(F172="",BD172=""),"Blocked",IF(AND(BG172&gt;=ReadyThreshold,BH172&gt;=ReadyThreshold,BI172&gt;=ReadyThreshold),"Ready for Analysis",IF(AVERAGE(BG172,BH172,BI172)&gt;=PartialThreshold,"Partially Ready","Discovery Required"))))</x:f>
      </x:c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8"/>
      <x:c r="BU172" s="17"/>
      <x:c r="BV172" s="17"/>
    </x:row>
    <x:row r="173">
      <x:c r="A173" s="17"/>
      <x:c r="B173" s="17"/>
      <x:c r="C173" s="17"/>
      <x:c r="D173" s="17"/>
      <x:c r="E173" s="18"/>
      <x:c r="F173" s="18"/>
      <x:c r="G173" s="17"/>
      <x:c r="H173" s="17"/>
      <x:c r="I173" s="19"/>
      <x:c r="J173" s="19"/>
      <x:c r="K173" s="17"/>
      <x:c r="L173" s="19"/>
      <x:c r="M173" s="17"/>
      <x:c r="N173" s="18"/>
      <x:c r="O173" s="18"/>
      <x:c r="P173" s="17"/>
      <x:c r="Q173" s="17"/>
      <x:c r="R173" s="17"/>
      <x:c r="S173" s="17"/>
      <x:c r="T173" s="17"/>
      <x:c r="U173" s="18"/>
      <x:c r="V173" s="18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20"/>
      <x:c r="AJ173" s="21"/>
      <x:c r="AK173" s="21"/>
      <x:c r="AL173" s="17"/>
      <x:c r="AM173" s="17"/>
      <x:c r="AN173" s="21"/>
      <x:c r="AO173" s="17"/>
      <x:c r="AP173" s="17"/>
      <x:c r="AQ173" s="17"/>
      <x:c r="AR173" s="17"/>
      <x:c r="AS173" s="17"/>
      <x:c r="AT173" s="17"/>
      <x:c r="AU173" s="18"/>
      <x:c r="AV173" s="17"/>
      <x:c r="AW173" s="17"/>
      <x:c r="AX173" s="17"/>
      <x:c r="AY173" s="17"/>
      <x:c r="AZ173" s="17"/>
      <x:c r="BA173" s="17"/>
      <x:c r="BB173" s="17"/>
      <x:c r="BC173" s="18"/>
      <x:c r="BD173" s="18"/>
      <x:c r="BE173" s="19"/>
      <x:c r="BF173" s="22" t="str">
        <x:f>IF(A173="","",IF(BI173&gt;=ReadyThreshold,"Ready",IF(BI173&gt;=PartialThreshold,"Partial","Not Ready")))</x:f>
      </x:c>
      <x:c r="BG173" s="23" t="str">
        <x:f>IF(A173="","",COUNTA(N173,Q173,R173,S173)/4)</x:f>
      </x:c>
      <x:c r="BH173" s="23" t="str">
        <x:f>IF(A173="","",(COUNTA(U173,V173,AE173)+IF(COUNTA(W173,X173,Y173,Z173,AA173)&gt;0,1,0))/4)</x:f>
      </x:c>
      <x:c r="BI173" s="23" t="str">
        <x:f>IF(A173="","",(COUNTIF(AV173:AZ173,"Available")+0.5*COUNTIF(AV173:AZ173,"Partial")+IF(BD173&lt;&gt;"",1,0))/6)</x:f>
      </x:c>
      <x:c r="BJ173" s="22" t="str">
        <x:f>IF(A173="","",IF(AND(F173="",BD173=""),"Blocked",IF(AND(BG173&gt;=ReadyThreshold,BH173&gt;=ReadyThreshold,BI173&gt;=ReadyThreshold),"Ready for Analysis",IF(AVERAGE(BG173,BH173,BI173)&gt;=PartialThreshold,"Partially Ready","Discovery Required"))))</x:f>
      </x:c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8"/>
      <x:c r="BU173" s="17"/>
      <x:c r="BV173" s="17"/>
    </x:row>
    <x:row r="174">
      <x:c r="A174" s="17"/>
      <x:c r="B174" s="17"/>
      <x:c r="C174" s="17"/>
      <x:c r="D174" s="17"/>
      <x:c r="E174" s="18"/>
      <x:c r="F174" s="18"/>
      <x:c r="G174" s="17"/>
      <x:c r="H174" s="17"/>
      <x:c r="I174" s="19"/>
      <x:c r="J174" s="19"/>
      <x:c r="K174" s="17"/>
      <x:c r="L174" s="19"/>
      <x:c r="M174" s="17"/>
      <x:c r="N174" s="18"/>
      <x:c r="O174" s="18"/>
      <x:c r="P174" s="17"/>
      <x:c r="Q174" s="17"/>
      <x:c r="R174" s="17"/>
      <x:c r="S174" s="17"/>
      <x:c r="T174" s="17"/>
      <x:c r="U174" s="18"/>
      <x:c r="V174" s="18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20"/>
      <x:c r="AJ174" s="21"/>
      <x:c r="AK174" s="21"/>
      <x:c r="AL174" s="17"/>
      <x:c r="AM174" s="17"/>
      <x:c r="AN174" s="21"/>
      <x:c r="AO174" s="17"/>
      <x:c r="AP174" s="17"/>
      <x:c r="AQ174" s="17"/>
      <x:c r="AR174" s="17"/>
      <x:c r="AS174" s="17"/>
      <x:c r="AT174" s="17"/>
      <x:c r="AU174" s="18"/>
      <x:c r="AV174" s="17"/>
      <x:c r="AW174" s="17"/>
      <x:c r="AX174" s="17"/>
      <x:c r="AY174" s="17"/>
      <x:c r="AZ174" s="17"/>
      <x:c r="BA174" s="17"/>
      <x:c r="BB174" s="17"/>
      <x:c r="BC174" s="18"/>
      <x:c r="BD174" s="18"/>
      <x:c r="BE174" s="19"/>
      <x:c r="BF174" s="22" t="str">
        <x:f>IF(A174="","",IF(BI174&gt;=ReadyThreshold,"Ready",IF(BI174&gt;=PartialThreshold,"Partial","Not Ready")))</x:f>
      </x:c>
      <x:c r="BG174" s="23" t="str">
        <x:f>IF(A174="","",COUNTA(N174,Q174,R174,S174)/4)</x:f>
      </x:c>
      <x:c r="BH174" s="23" t="str">
        <x:f>IF(A174="","",(COUNTA(U174,V174,AE174)+IF(COUNTA(W174,X174,Y174,Z174,AA174)&gt;0,1,0))/4)</x:f>
      </x:c>
      <x:c r="BI174" s="23" t="str">
        <x:f>IF(A174="","",(COUNTIF(AV174:AZ174,"Available")+0.5*COUNTIF(AV174:AZ174,"Partial")+IF(BD174&lt;&gt;"",1,0))/6)</x:f>
      </x:c>
      <x:c r="BJ174" s="22" t="str">
        <x:f>IF(A174="","",IF(AND(F174="",BD174=""),"Blocked",IF(AND(BG174&gt;=ReadyThreshold,BH174&gt;=ReadyThreshold,BI174&gt;=ReadyThreshold),"Ready for Analysis",IF(AVERAGE(BG174,BH174,BI174)&gt;=PartialThreshold,"Partially Ready","Discovery Required"))))</x:f>
      </x:c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8"/>
      <x:c r="BU174" s="17"/>
      <x:c r="BV174" s="17"/>
    </x:row>
    <x:row r="175">
      <x:c r="A175" s="17"/>
      <x:c r="B175" s="17"/>
      <x:c r="C175" s="17"/>
      <x:c r="D175" s="17"/>
      <x:c r="E175" s="18"/>
      <x:c r="F175" s="18"/>
      <x:c r="G175" s="17"/>
      <x:c r="H175" s="17"/>
      <x:c r="I175" s="19"/>
      <x:c r="J175" s="19"/>
      <x:c r="K175" s="17"/>
      <x:c r="L175" s="19"/>
      <x:c r="M175" s="17"/>
      <x:c r="N175" s="18"/>
      <x:c r="O175" s="18"/>
      <x:c r="P175" s="17"/>
      <x:c r="Q175" s="17"/>
      <x:c r="R175" s="17"/>
      <x:c r="S175" s="17"/>
      <x:c r="T175" s="17"/>
      <x:c r="U175" s="18"/>
      <x:c r="V175" s="18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20"/>
      <x:c r="AJ175" s="21"/>
      <x:c r="AK175" s="21"/>
      <x:c r="AL175" s="17"/>
      <x:c r="AM175" s="17"/>
      <x:c r="AN175" s="21"/>
      <x:c r="AO175" s="17"/>
      <x:c r="AP175" s="17"/>
      <x:c r="AQ175" s="17"/>
      <x:c r="AR175" s="17"/>
      <x:c r="AS175" s="17"/>
      <x:c r="AT175" s="17"/>
      <x:c r="AU175" s="18"/>
      <x:c r="AV175" s="17"/>
      <x:c r="AW175" s="17"/>
      <x:c r="AX175" s="17"/>
      <x:c r="AY175" s="17"/>
      <x:c r="AZ175" s="17"/>
      <x:c r="BA175" s="17"/>
      <x:c r="BB175" s="17"/>
      <x:c r="BC175" s="18"/>
      <x:c r="BD175" s="18"/>
      <x:c r="BE175" s="19"/>
      <x:c r="BF175" s="22" t="str">
        <x:f>IF(A175="","",IF(BI175&gt;=ReadyThreshold,"Ready",IF(BI175&gt;=PartialThreshold,"Partial","Not Ready")))</x:f>
      </x:c>
      <x:c r="BG175" s="23" t="str">
        <x:f>IF(A175="","",COUNTA(N175,Q175,R175,S175)/4)</x:f>
      </x:c>
      <x:c r="BH175" s="23" t="str">
        <x:f>IF(A175="","",(COUNTA(U175,V175,AE175)+IF(COUNTA(W175,X175,Y175,Z175,AA175)&gt;0,1,0))/4)</x:f>
      </x:c>
      <x:c r="BI175" s="23" t="str">
        <x:f>IF(A175="","",(COUNTIF(AV175:AZ175,"Available")+0.5*COUNTIF(AV175:AZ175,"Partial")+IF(BD175&lt;&gt;"",1,0))/6)</x:f>
      </x:c>
      <x:c r="BJ175" s="22" t="str">
        <x:f>IF(A175="","",IF(AND(F175="",BD175=""),"Blocked",IF(AND(BG175&gt;=ReadyThreshold,BH175&gt;=ReadyThreshold,BI175&gt;=ReadyThreshold),"Ready for Analysis",IF(AVERAGE(BG175,BH175,BI175)&gt;=PartialThreshold,"Partially Ready","Discovery Required"))))</x:f>
      </x:c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8"/>
      <x:c r="BU175" s="17"/>
      <x:c r="BV175" s="17"/>
    </x:row>
    <x:row r="176">
      <x:c r="A176" s="17"/>
      <x:c r="B176" s="17"/>
      <x:c r="C176" s="17"/>
      <x:c r="D176" s="17"/>
      <x:c r="E176" s="18"/>
      <x:c r="F176" s="18"/>
      <x:c r="G176" s="17"/>
      <x:c r="H176" s="17"/>
      <x:c r="I176" s="19"/>
      <x:c r="J176" s="19"/>
      <x:c r="K176" s="17"/>
      <x:c r="L176" s="19"/>
      <x:c r="M176" s="17"/>
      <x:c r="N176" s="18"/>
      <x:c r="O176" s="18"/>
      <x:c r="P176" s="17"/>
      <x:c r="Q176" s="17"/>
      <x:c r="R176" s="17"/>
      <x:c r="S176" s="17"/>
      <x:c r="T176" s="17"/>
      <x:c r="U176" s="18"/>
      <x:c r="V176" s="18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20"/>
      <x:c r="AJ176" s="21"/>
      <x:c r="AK176" s="21"/>
      <x:c r="AL176" s="17"/>
      <x:c r="AM176" s="17"/>
      <x:c r="AN176" s="21"/>
      <x:c r="AO176" s="17"/>
      <x:c r="AP176" s="17"/>
      <x:c r="AQ176" s="17"/>
      <x:c r="AR176" s="17"/>
      <x:c r="AS176" s="17"/>
      <x:c r="AT176" s="17"/>
      <x:c r="AU176" s="18"/>
      <x:c r="AV176" s="17"/>
      <x:c r="AW176" s="17"/>
      <x:c r="AX176" s="17"/>
      <x:c r="AY176" s="17"/>
      <x:c r="AZ176" s="17"/>
      <x:c r="BA176" s="17"/>
      <x:c r="BB176" s="17"/>
      <x:c r="BC176" s="18"/>
      <x:c r="BD176" s="18"/>
      <x:c r="BE176" s="19"/>
      <x:c r="BF176" s="22" t="str">
        <x:f>IF(A176="","",IF(BI176&gt;=ReadyThreshold,"Ready",IF(BI176&gt;=PartialThreshold,"Partial","Not Ready")))</x:f>
      </x:c>
      <x:c r="BG176" s="23" t="str">
        <x:f>IF(A176="","",COUNTA(N176,Q176,R176,S176)/4)</x:f>
      </x:c>
      <x:c r="BH176" s="23" t="str">
        <x:f>IF(A176="","",(COUNTA(U176,V176,AE176)+IF(COUNTA(W176,X176,Y176,Z176,AA176)&gt;0,1,0))/4)</x:f>
      </x:c>
      <x:c r="BI176" s="23" t="str">
        <x:f>IF(A176="","",(COUNTIF(AV176:AZ176,"Available")+0.5*COUNTIF(AV176:AZ176,"Partial")+IF(BD176&lt;&gt;"",1,0))/6)</x:f>
      </x:c>
      <x:c r="BJ176" s="22" t="str">
        <x:f>IF(A176="","",IF(AND(F176="",BD176=""),"Blocked",IF(AND(BG176&gt;=ReadyThreshold,BH176&gt;=ReadyThreshold,BI176&gt;=ReadyThreshold),"Ready for Analysis",IF(AVERAGE(BG176,BH176,BI176)&gt;=PartialThreshold,"Partially Ready","Discovery Required"))))</x:f>
      </x:c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8"/>
      <x:c r="BU176" s="17"/>
      <x:c r="BV176" s="17"/>
    </x:row>
    <x:row r="177">
      <x:c r="A177" s="17"/>
      <x:c r="B177" s="17"/>
      <x:c r="C177" s="17"/>
      <x:c r="D177" s="17"/>
      <x:c r="E177" s="18"/>
      <x:c r="F177" s="18"/>
      <x:c r="G177" s="17"/>
      <x:c r="H177" s="17"/>
      <x:c r="I177" s="19"/>
      <x:c r="J177" s="19"/>
      <x:c r="K177" s="17"/>
      <x:c r="L177" s="19"/>
      <x:c r="M177" s="17"/>
      <x:c r="N177" s="18"/>
      <x:c r="O177" s="18"/>
      <x:c r="P177" s="17"/>
      <x:c r="Q177" s="17"/>
      <x:c r="R177" s="17"/>
      <x:c r="S177" s="17"/>
      <x:c r="T177" s="17"/>
      <x:c r="U177" s="18"/>
      <x:c r="V177" s="18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20"/>
      <x:c r="AJ177" s="21"/>
      <x:c r="AK177" s="21"/>
      <x:c r="AL177" s="17"/>
      <x:c r="AM177" s="17"/>
      <x:c r="AN177" s="21"/>
      <x:c r="AO177" s="17"/>
      <x:c r="AP177" s="17"/>
      <x:c r="AQ177" s="17"/>
      <x:c r="AR177" s="17"/>
      <x:c r="AS177" s="17"/>
      <x:c r="AT177" s="17"/>
      <x:c r="AU177" s="18"/>
      <x:c r="AV177" s="17"/>
      <x:c r="AW177" s="17"/>
      <x:c r="AX177" s="17"/>
      <x:c r="AY177" s="17"/>
      <x:c r="AZ177" s="17"/>
      <x:c r="BA177" s="17"/>
      <x:c r="BB177" s="17"/>
      <x:c r="BC177" s="18"/>
      <x:c r="BD177" s="18"/>
      <x:c r="BE177" s="19"/>
      <x:c r="BF177" s="22" t="str">
        <x:f>IF(A177="","",IF(BI177&gt;=ReadyThreshold,"Ready",IF(BI177&gt;=PartialThreshold,"Partial","Not Ready")))</x:f>
      </x:c>
      <x:c r="BG177" s="23" t="str">
        <x:f>IF(A177="","",COUNTA(N177,Q177,R177,S177)/4)</x:f>
      </x:c>
      <x:c r="BH177" s="23" t="str">
        <x:f>IF(A177="","",(COUNTA(U177,V177,AE177)+IF(COUNTA(W177,X177,Y177,Z177,AA177)&gt;0,1,0))/4)</x:f>
      </x:c>
      <x:c r="BI177" s="23" t="str">
        <x:f>IF(A177="","",(COUNTIF(AV177:AZ177,"Available")+0.5*COUNTIF(AV177:AZ177,"Partial")+IF(BD177&lt;&gt;"",1,0))/6)</x:f>
      </x:c>
      <x:c r="BJ177" s="22" t="str">
        <x:f>IF(A177="","",IF(AND(F177="",BD177=""),"Blocked",IF(AND(BG177&gt;=ReadyThreshold,BH177&gt;=ReadyThreshold,BI177&gt;=ReadyThreshold),"Ready for Analysis",IF(AVERAGE(BG177,BH177,BI177)&gt;=PartialThreshold,"Partially Ready","Discovery Required"))))</x:f>
      </x:c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8"/>
      <x:c r="BU177" s="17"/>
      <x:c r="BV177" s="17"/>
    </x:row>
    <x:row r="178">
      <x:c r="A178" s="17"/>
      <x:c r="B178" s="17"/>
      <x:c r="C178" s="17"/>
      <x:c r="D178" s="17"/>
      <x:c r="E178" s="18"/>
      <x:c r="F178" s="18"/>
      <x:c r="G178" s="17"/>
      <x:c r="H178" s="17"/>
      <x:c r="I178" s="19"/>
      <x:c r="J178" s="19"/>
      <x:c r="K178" s="17"/>
      <x:c r="L178" s="19"/>
      <x:c r="M178" s="17"/>
      <x:c r="N178" s="18"/>
      <x:c r="O178" s="18"/>
      <x:c r="P178" s="17"/>
      <x:c r="Q178" s="17"/>
      <x:c r="R178" s="17"/>
      <x:c r="S178" s="17"/>
      <x:c r="T178" s="17"/>
      <x:c r="U178" s="18"/>
      <x:c r="V178" s="18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20"/>
      <x:c r="AJ178" s="21"/>
      <x:c r="AK178" s="21"/>
      <x:c r="AL178" s="17"/>
      <x:c r="AM178" s="17"/>
      <x:c r="AN178" s="21"/>
      <x:c r="AO178" s="17"/>
      <x:c r="AP178" s="17"/>
      <x:c r="AQ178" s="17"/>
      <x:c r="AR178" s="17"/>
      <x:c r="AS178" s="17"/>
      <x:c r="AT178" s="17"/>
      <x:c r="AU178" s="18"/>
      <x:c r="AV178" s="17"/>
      <x:c r="AW178" s="17"/>
      <x:c r="AX178" s="17"/>
      <x:c r="AY178" s="17"/>
      <x:c r="AZ178" s="17"/>
      <x:c r="BA178" s="17"/>
      <x:c r="BB178" s="17"/>
      <x:c r="BC178" s="18"/>
      <x:c r="BD178" s="18"/>
      <x:c r="BE178" s="19"/>
      <x:c r="BF178" s="22" t="str">
        <x:f>IF(A178="","",IF(BI178&gt;=ReadyThreshold,"Ready",IF(BI178&gt;=PartialThreshold,"Partial","Not Ready")))</x:f>
      </x:c>
      <x:c r="BG178" s="23" t="str">
        <x:f>IF(A178="","",COUNTA(N178,Q178,R178,S178)/4)</x:f>
      </x:c>
      <x:c r="BH178" s="23" t="str">
        <x:f>IF(A178="","",(COUNTA(U178,V178,AE178)+IF(COUNTA(W178,X178,Y178,Z178,AA178)&gt;0,1,0))/4)</x:f>
      </x:c>
      <x:c r="BI178" s="23" t="str">
        <x:f>IF(A178="","",(COUNTIF(AV178:AZ178,"Available")+0.5*COUNTIF(AV178:AZ178,"Partial")+IF(BD178&lt;&gt;"",1,0))/6)</x:f>
      </x:c>
      <x:c r="BJ178" s="22" t="str">
        <x:f>IF(A178="","",IF(AND(F178="",BD178=""),"Blocked",IF(AND(BG178&gt;=ReadyThreshold,BH178&gt;=ReadyThreshold,BI178&gt;=ReadyThreshold),"Ready for Analysis",IF(AVERAGE(BG178,BH178,BI178)&gt;=PartialThreshold,"Partially Ready","Discovery Required"))))</x:f>
      </x:c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8"/>
      <x:c r="BU178" s="17"/>
      <x:c r="BV178" s="17"/>
    </x:row>
    <x:row r="179">
      <x:c r="A179" s="17"/>
      <x:c r="B179" s="17"/>
      <x:c r="C179" s="17"/>
      <x:c r="D179" s="17"/>
      <x:c r="E179" s="18"/>
      <x:c r="F179" s="18"/>
      <x:c r="G179" s="17"/>
      <x:c r="H179" s="17"/>
      <x:c r="I179" s="19"/>
      <x:c r="J179" s="19"/>
      <x:c r="K179" s="17"/>
      <x:c r="L179" s="19"/>
      <x:c r="M179" s="17"/>
      <x:c r="N179" s="18"/>
      <x:c r="O179" s="18"/>
      <x:c r="P179" s="17"/>
      <x:c r="Q179" s="17"/>
      <x:c r="R179" s="17"/>
      <x:c r="S179" s="17"/>
      <x:c r="T179" s="17"/>
      <x:c r="U179" s="18"/>
      <x:c r="V179" s="18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20"/>
      <x:c r="AJ179" s="21"/>
      <x:c r="AK179" s="21"/>
      <x:c r="AL179" s="17"/>
      <x:c r="AM179" s="17"/>
      <x:c r="AN179" s="21"/>
      <x:c r="AO179" s="17"/>
      <x:c r="AP179" s="17"/>
      <x:c r="AQ179" s="17"/>
      <x:c r="AR179" s="17"/>
      <x:c r="AS179" s="17"/>
      <x:c r="AT179" s="17"/>
      <x:c r="AU179" s="18"/>
      <x:c r="AV179" s="17"/>
      <x:c r="AW179" s="17"/>
      <x:c r="AX179" s="17"/>
      <x:c r="AY179" s="17"/>
      <x:c r="AZ179" s="17"/>
      <x:c r="BA179" s="17"/>
      <x:c r="BB179" s="17"/>
      <x:c r="BC179" s="18"/>
      <x:c r="BD179" s="18"/>
      <x:c r="BE179" s="19"/>
      <x:c r="BF179" s="22" t="str">
        <x:f>IF(A179="","",IF(BI179&gt;=ReadyThreshold,"Ready",IF(BI179&gt;=PartialThreshold,"Partial","Not Ready")))</x:f>
      </x:c>
      <x:c r="BG179" s="23" t="str">
        <x:f>IF(A179="","",COUNTA(N179,Q179,R179,S179)/4)</x:f>
      </x:c>
      <x:c r="BH179" s="23" t="str">
        <x:f>IF(A179="","",(COUNTA(U179,V179,AE179)+IF(COUNTA(W179,X179,Y179,Z179,AA179)&gt;0,1,0))/4)</x:f>
      </x:c>
      <x:c r="BI179" s="23" t="str">
        <x:f>IF(A179="","",(COUNTIF(AV179:AZ179,"Available")+0.5*COUNTIF(AV179:AZ179,"Partial")+IF(BD179&lt;&gt;"",1,0))/6)</x:f>
      </x:c>
      <x:c r="BJ179" s="22" t="str">
        <x:f>IF(A179="","",IF(AND(F179="",BD179=""),"Blocked",IF(AND(BG179&gt;=ReadyThreshold,BH179&gt;=ReadyThreshold,BI179&gt;=ReadyThreshold),"Ready for Analysis",IF(AVERAGE(BG179,BH179,BI179)&gt;=PartialThreshold,"Partially Ready","Discovery Required"))))</x:f>
      </x:c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8"/>
      <x:c r="BU179" s="17"/>
      <x:c r="BV179" s="17"/>
    </x:row>
    <x:row r="180">
      <x:c r="A180" s="17"/>
      <x:c r="B180" s="17"/>
      <x:c r="C180" s="17"/>
      <x:c r="D180" s="17"/>
      <x:c r="E180" s="18"/>
      <x:c r="F180" s="18"/>
      <x:c r="G180" s="17"/>
      <x:c r="H180" s="17"/>
      <x:c r="I180" s="19"/>
      <x:c r="J180" s="19"/>
      <x:c r="K180" s="17"/>
      <x:c r="L180" s="19"/>
      <x:c r="M180" s="17"/>
      <x:c r="N180" s="18"/>
      <x:c r="O180" s="18"/>
      <x:c r="P180" s="17"/>
      <x:c r="Q180" s="17"/>
      <x:c r="R180" s="17"/>
      <x:c r="S180" s="17"/>
      <x:c r="T180" s="17"/>
      <x:c r="U180" s="18"/>
      <x:c r="V180" s="18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20"/>
      <x:c r="AJ180" s="21"/>
      <x:c r="AK180" s="21"/>
      <x:c r="AL180" s="17"/>
      <x:c r="AM180" s="17"/>
      <x:c r="AN180" s="21"/>
      <x:c r="AO180" s="17"/>
      <x:c r="AP180" s="17"/>
      <x:c r="AQ180" s="17"/>
      <x:c r="AR180" s="17"/>
      <x:c r="AS180" s="17"/>
      <x:c r="AT180" s="17"/>
      <x:c r="AU180" s="18"/>
      <x:c r="AV180" s="17"/>
      <x:c r="AW180" s="17"/>
      <x:c r="AX180" s="17"/>
      <x:c r="AY180" s="17"/>
      <x:c r="AZ180" s="17"/>
      <x:c r="BA180" s="17"/>
      <x:c r="BB180" s="17"/>
      <x:c r="BC180" s="18"/>
      <x:c r="BD180" s="18"/>
      <x:c r="BE180" s="19"/>
      <x:c r="BF180" s="22" t="str">
        <x:f>IF(A180="","",IF(BI180&gt;=ReadyThreshold,"Ready",IF(BI180&gt;=PartialThreshold,"Partial","Not Ready")))</x:f>
      </x:c>
      <x:c r="BG180" s="23" t="str">
        <x:f>IF(A180="","",COUNTA(N180,Q180,R180,S180)/4)</x:f>
      </x:c>
      <x:c r="BH180" s="23" t="str">
        <x:f>IF(A180="","",(COUNTA(U180,V180,AE180)+IF(COUNTA(W180,X180,Y180,Z180,AA180)&gt;0,1,0))/4)</x:f>
      </x:c>
      <x:c r="BI180" s="23" t="str">
        <x:f>IF(A180="","",(COUNTIF(AV180:AZ180,"Available")+0.5*COUNTIF(AV180:AZ180,"Partial")+IF(BD180&lt;&gt;"",1,0))/6)</x:f>
      </x:c>
      <x:c r="BJ180" s="22" t="str">
        <x:f>IF(A180="","",IF(AND(F180="",BD180=""),"Blocked",IF(AND(BG180&gt;=ReadyThreshold,BH180&gt;=ReadyThreshold,BI180&gt;=ReadyThreshold),"Ready for Analysis",IF(AVERAGE(BG180,BH180,BI180)&gt;=PartialThreshold,"Partially Ready","Discovery Required"))))</x:f>
      </x:c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8"/>
      <x:c r="BU180" s="17"/>
      <x:c r="BV180" s="17"/>
    </x:row>
    <x:row r="181">
      <x:c r="A181" s="17"/>
      <x:c r="B181" s="17"/>
      <x:c r="C181" s="17"/>
      <x:c r="D181" s="17"/>
      <x:c r="E181" s="18"/>
      <x:c r="F181" s="18"/>
      <x:c r="G181" s="17"/>
      <x:c r="H181" s="17"/>
      <x:c r="I181" s="19"/>
      <x:c r="J181" s="19"/>
      <x:c r="K181" s="17"/>
      <x:c r="L181" s="19"/>
      <x:c r="M181" s="17"/>
      <x:c r="N181" s="18"/>
      <x:c r="O181" s="18"/>
      <x:c r="P181" s="17"/>
      <x:c r="Q181" s="17"/>
      <x:c r="R181" s="17"/>
      <x:c r="S181" s="17"/>
      <x:c r="T181" s="17"/>
      <x:c r="U181" s="18"/>
      <x:c r="V181" s="18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20"/>
      <x:c r="AJ181" s="21"/>
      <x:c r="AK181" s="21"/>
      <x:c r="AL181" s="17"/>
      <x:c r="AM181" s="17"/>
      <x:c r="AN181" s="21"/>
      <x:c r="AO181" s="17"/>
      <x:c r="AP181" s="17"/>
      <x:c r="AQ181" s="17"/>
      <x:c r="AR181" s="17"/>
      <x:c r="AS181" s="17"/>
      <x:c r="AT181" s="17"/>
      <x:c r="AU181" s="18"/>
      <x:c r="AV181" s="17"/>
      <x:c r="AW181" s="17"/>
      <x:c r="AX181" s="17"/>
      <x:c r="AY181" s="17"/>
      <x:c r="AZ181" s="17"/>
      <x:c r="BA181" s="17"/>
      <x:c r="BB181" s="17"/>
      <x:c r="BC181" s="18"/>
      <x:c r="BD181" s="18"/>
      <x:c r="BE181" s="19"/>
      <x:c r="BF181" s="22" t="str">
        <x:f>IF(A181="","",IF(BI181&gt;=ReadyThreshold,"Ready",IF(BI181&gt;=PartialThreshold,"Partial","Not Ready")))</x:f>
      </x:c>
      <x:c r="BG181" s="23" t="str">
        <x:f>IF(A181="","",COUNTA(N181,Q181,R181,S181)/4)</x:f>
      </x:c>
      <x:c r="BH181" s="23" t="str">
        <x:f>IF(A181="","",(COUNTA(U181,V181,AE181)+IF(COUNTA(W181,X181,Y181,Z181,AA181)&gt;0,1,0))/4)</x:f>
      </x:c>
      <x:c r="BI181" s="23" t="str">
        <x:f>IF(A181="","",(COUNTIF(AV181:AZ181,"Available")+0.5*COUNTIF(AV181:AZ181,"Partial")+IF(BD181&lt;&gt;"",1,0))/6)</x:f>
      </x:c>
      <x:c r="BJ181" s="22" t="str">
        <x:f>IF(A181="","",IF(AND(F181="",BD181=""),"Blocked",IF(AND(BG181&gt;=ReadyThreshold,BH181&gt;=ReadyThreshold,BI181&gt;=ReadyThreshold),"Ready for Analysis",IF(AVERAGE(BG181,BH181,BI181)&gt;=PartialThreshold,"Partially Ready","Discovery Required"))))</x:f>
      </x:c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8"/>
      <x:c r="BU181" s="17"/>
      <x:c r="BV181" s="17"/>
    </x:row>
    <x:row r="182">
      <x:c r="A182" s="17"/>
      <x:c r="B182" s="17"/>
      <x:c r="C182" s="17"/>
      <x:c r="D182" s="17"/>
      <x:c r="E182" s="18"/>
      <x:c r="F182" s="18"/>
      <x:c r="G182" s="17"/>
      <x:c r="H182" s="17"/>
      <x:c r="I182" s="19"/>
      <x:c r="J182" s="19"/>
      <x:c r="K182" s="17"/>
      <x:c r="L182" s="19"/>
      <x:c r="M182" s="17"/>
      <x:c r="N182" s="18"/>
      <x:c r="O182" s="18"/>
      <x:c r="P182" s="17"/>
      <x:c r="Q182" s="17"/>
      <x:c r="R182" s="17"/>
      <x:c r="S182" s="17"/>
      <x:c r="T182" s="17"/>
      <x:c r="U182" s="18"/>
      <x:c r="V182" s="18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20"/>
      <x:c r="AJ182" s="21"/>
      <x:c r="AK182" s="21"/>
      <x:c r="AL182" s="17"/>
      <x:c r="AM182" s="17"/>
      <x:c r="AN182" s="21"/>
      <x:c r="AO182" s="17"/>
      <x:c r="AP182" s="17"/>
      <x:c r="AQ182" s="17"/>
      <x:c r="AR182" s="17"/>
      <x:c r="AS182" s="17"/>
      <x:c r="AT182" s="17"/>
      <x:c r="AU182" s="18"/>
      <x:c r="AV182" s="17"/>
      <x:c r="AW182" s="17"/>
      <x:c r="AX182" s="17"/>
      <x:c r="AY182" s="17"/>
      <x:c r="AZ182" s="17"/>
      <x:c r="BA182" s="17"/>
      <x:c r="BB182" s="17"/>
      <x:c r="BC182" s="18"/>
      <x:c r="BD182" s="18"/>
      <x:c r="BE182" s="19"/>
      <x:c r="BF182" s="22" t="str">
        <x:f>IF(A182="","",IF(BI182&gt;=ReadyThreshold,"Ready",IF(BI182&gt;=PartialThreshold,"Partial","Not Ready")))</x:f>
      </x:c>
      <x:c r="BG182" s="23" t="str">
        <x:f>IF(A182="","",COUNTA(N182,Q182,R182,S182)/4)</x:f>
      </x:c>
      <x:c r="BH182" s="23" t="str">
        <x:f>IF(A182="","",(COUNTA(U182,V182,AE182)+IF(COUNTA(W182,X182,Y182,Z182,AA182)&gt;0,1,0))/4)</x:f>
      </x:c>
      <x:c r="BI182" s="23" t="str">
        <x:f>IF(A182="","",(COUNTIF(AV182:AZ182,"Available")+0.5*COUNTIF(AV182:AZ182,"Partial")+IF(BD182&lt;&gt;"",1,0))/6)</x:f>
      </x:c>
      <x:c r="BJ182" s="22" t="str">
        <x:f>IF(A182="","",IF(AND(F182="",BD182=""),"Blocked",IF(AND(BG182&gt;=ReadyThreshold,BH182&gt;=ReadyThreshold,BI182&gt;=ReadyThreshold),"Ready for Analysis",IF(AVERAGE(BG182,BH182,BI182)&gt;=PartialThreshold,"Partially Ready","Discovery Required"))))</x:f>
      </x:c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8"/>
      <x:c r="BU182" s="17"/>
      <x:c r="BV182" s="17"/>
    </x:row>
    <x:row r="183">
      <x:c r="A183" s="17"/>
      <x:c r="B183" s="17"/>
      <x:c r="C183" s="17"/>
      <x:c r="D183" s="17"/>
      <x:c r="E183" s="18"/>
      <x:c r="F183" s="18"/>
      <x:c r="G183" s="17"/>
      <x:c r="H183" s="17"/>
      <x:c r="I183" s="19"/>
      <x:c r="J183" s="19"/>
      <x:c r="K183" s="17"/>
      <x:c r="L183" s="19"/>
      <x:c r="M183" s="17"/>
      <x:c r="N183" s="18"/>
      <x:c r="O183" s="18"/>
      <x:c r="P183" s="17"/>
      <x:c r="Q183" s="17"/>
      <x:c r="R183" s="17"/>
      <x:c r="S183" s="17"/>
      <x:c r="T183" s="17"/>
      <x:c r="U183" s="18"/>
      <x:c r="V183" s="18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20"/>
      <x:c r="AJ183" s="21"/>
      <x:c r="AK183" s="21"/>
      <x:c r="AL183" s="17"/>
      <x:c r="AM183" s="17"/>
      <x:c r="AN183" s="21"/>
      <x:c r="AO183" s="17"/>
      <x:c r="AP183" s="17"/>
      <x:c r="AQ183" s="17"/>
      <x:c r="AR183" s="17"/>
      <x:c r="AS183" s="17"/>
      <x:c r="AT183" s="17"/>
      <x:c r="AU183" s="18"/>
      <x:c r="AV183" s="17"/>
      <x:c r="AW183" s="17"/>
      <x:c r="AX183" s="17"/>
      <x:c r="AY183" s="17"/>
      <x:c r="AZ183" s="17"/>
      <x:c r="BA183" s="17"/>
      <x:c r="BB183" s="17"/>
      <x:c r="BC183" s="18"/>
      <x:c r="BD183" s="18"/>
      <x:c r="BE183" s="19"/>
      <x:c r="BF183" s="22" t="str">
        <x:f>IF(A183="","",IF(BI183&gt;=ReadyThreshold,"Ready",IF(BI183&gt;=PartialThreshold,"Partial","Not Ready")))</x:f>
      </x:c>
      <x:c r="BG183" s="23" t="str">
        <x:f>IF(A183="","",COUNTA(N183,Q183,R183,S183)/4)</x:f>
      </x:c>
      <x:c r="BH183" s="23" t="str">
        <x:f>IF(A183="","",(COUNTA(U183,V183,AE183)+IF(COUNTA(W183,X183,Y183,Z183,AA183)&gt;0,1,0))/4)</x:f>
      </x:c>
      <x:c r="BI183" s="23" t="str">
        <x:f>IF(A183="","",(COUNTIF(AV183:AZ183,"Available")+0.5*COUNTIF(AV183:AZ183,"Partial")+IF(BD183&lt;&gt;"",1,0))/6)</x:f>
      </x:c>
      <x:c r="BJ183" s="22" t="str">
        <x:f>IF(A183="","",IF(AND(F183="",BD183=""),"Blocked",IF(AND(BG183&gt;=ReadyThreshold,BH183&gt;=ReadyThreshold,BI183&gt;=ReadyThreshold),"Ready for Analysis",IF(AVERAGE(BG183,BH183,BI183)&gt;=PartialThreshold,"Partially Ready","Discovery Required"))))</x:f>
      </x:c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8"/>
      <x:c r="BU183" s="17"/>
      <x:c r="BV183" s="17"/>
    </x:row>
    <x:row r="184">
      <x:c r="A184" s="17"/>
      <x:c r="B184" s="17"/>
      <x:c r="C184" s="17"/>
      <x:c r="D184" s="17"/>
      <x:c r="E184" s="18"/>
      <x:c r="F184" s="18"/>
      <x:c r="G184" s="17"/>
      <x:c r="H184" s="17"/>
      <x:c r="I184" s="19"/>
      <x:c r="J184" s="19"/>
      <x:c r="K184" s="17"/>
      <x:c r="L184" s="19"/>
      <x:c r="M184" s="17"/>
      <x:c r="N184" s="18"/>
      <x:c r="O184" s="18"/>
      <x:c r="P184" s="17"/>
      <x:c r="Q184" s="17"/>
      <x:c r="R184" s="17"/>
      <x:c r="S184" s="17"/>
      <x:c r="T184" s="17"/>
      <x:c r="U184" s="18"/>
      <x:c r="V184" s="18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20"/>
      <x:c r="AJ184" s="21"/>
      <x:c r="AK184" s="21"/>
      <x:c r="AL184" s="17"/>
      <x:c r="AM184" s="17"/>
      <x:c r="AN184" s="21"/>
      <x:c r="AO184" s="17"/>
      <x:c r="AP184" s="17"/>
      <x:c r="AQ184" s="17"/>
      <x:c r="AR184" s="17"/>
      <x:c r="AS184" s="17"/>
      <x:c r="AT184" s="17"/>
      <x:c r="AU184" s="18"/>
      <x:c r="AV184" s="17"/>
      <x:c r="AW184" s="17"/>
      <x:c r="AX184" s="17"/>
      <x:c r="AY184" s="17"/>
      <x:c r="AZ184" s="17"/>
      <x:c r="BA184" s="17"/>
      <x:c r="BB184" s="17"/>
      <x:c r="BC184" s="18"/>
      <x:c r="BD184" s="18"/>
      <x:c r="BE184" s="19"/>
      <x:c r="BF184" s="22" t="str">
        <x:f>IF(A184="","",IF(BI184&gt;=ReadyThreshold,"Ready",IF(BI184&gt;=PartialThreshold,"Partial","Not Ready")))</x:f>
      </x:c>
      <x:c r="BG184" s="23" t="str">
        <x:f>IF(A184="","",COUNTA(N184,Q184,R184,S184)/4)</x:f>
      </x:c>
      <x:c r="BH184" s="23" t="str">
        <x:f>IF(A184="","",(COUNTA(U184,V184,AE184)+IF(COUNTA(W184,X184,Y184,Z184,AA184)&gt;0,1,0))/4)</x:f>
      </x:c>
      <x:c r="BI184" s="23" t="str">
        <x:f>IF(A184="","",(COUNTIF(AV184:AZ184,"Available")+0.5*COUNTIF(AV184:AZ184,"Partial")+IF(BD184&lt;&gt;"",1,0))/6)</x:f>
      </x:c>
      <x:c r="BJ184" s="22" t="str">
        <x:f>IF(A184="","",IF(AND(F184="",BD184=""),"Blocked",IF(AND(BG184&gt;=ReadyThreshold,BH184&gt;=ReadyThreshold,BI184&gt;=ReadyThreshold),"Ready for Analysis",IF(AVERAGE(BG184,BH184,BI184)&gt;=PartialThreshold,"Partially Ready","Discovery Required"))))</x:f>
      </x:c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8"/>
      <x:c r="BU184" s="17"/>
      <x:c r="BV184" s="17"/>
    </x:row>
    <x:row r="185">
      <x:c r="A185" s="17"/>
      <x:c r="B185" s="17"/>
      <x:c r="C185" s="17"/>
      <x:c r="D185" s="17"/>
      <x:c r="E185" s="18"/>
      <x:c r="F185" s="18"/>
      <x:c r="G185" s="17"/>
      <x:c r="H185" s="17"/>
      <x:c r="I185" s="19"/>
      <x:c r="J185" s="19"/>
      <x:c r="K185" s="17"/>
      <x:c r="L185" s="19"/>
      <x:c r="M185" s="17"/>
      <x:c r="N185" s="18"/>
      <x:c r="O185" s="18"/>
      <x:c r="P185" s="17"/>
      <x:c r="Q185" s="17"/>
      <x:c r="R185" s="17"/>
      <x:c r="S185" s="17"/>
      <x:c r="T185" s="17"/>
      <x:c r="U185" s="18"/>
      <x:c r="V185" s="18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20"/>
      <x:c r="AJ185" s="21"/>
      <x:c r="AK185" s="21"/>
      <x:c r="AL185" s="17"/>
      <x:c r="AM185" s="17"/>
      <x:c r="AN185" s="21"/>
      <x:c r="AO185" s="17"/>
      <x:c r="AP185" s="17"/>
      <x:c r="AQ185" s="17"/>
      <x:c r="AR185" s="17"/>
      <x:c r="AS185" s="17"/>
      <x:c r="AT185" s="17"/>
      <x:c r="AU185" s="18"/>
      <x:c r="AV185" s="17"/>
      <x:c r="AW185" s="17"/>
      <x:c r="AX185" s="17"/>
      <x:c r="AY185" s="17"/>
      <x:c r="AZ185" s="17"/>
      <x:c r="BA185" s="17"/>
      <x:c r="BB185" s="17"/>
      <x:c r="BC185" s="18"/>
      <x:c r="BD185" s="18"/>
      <x:c r="BE185" s="19"/>
      <x:c r="BF185" s="22" t="str">
        <x:f>IF(A185="","",IF(BI185&gt;=ReadyThreshold,"Ready",IF(BI185&gt;=PartialThreshold,"Partial","Not Ready")))</x:f>
      </x:c>
      <x:c r="BG185" s="23" t="str">
        <x:f>IF(A185="","",COUNTA(N185,Q185,R185,S185)/4)</x:f>
      </x:c>
      <x:c r="BH185" s="23" t="str">
        <x:f>IF(A185="","",(COUNTA(U185,V185,AE185)+IF(COUNTA(W185,X185,Y185,Z185,AA185)&gt;0,1,0))/4)</x:f>
      </x:c>
      <x:c r="BI185" s="23" t="str">
        <x:f>IF(A185="","",(COUNTIF(AV185:AZ185,"Available")+0.5*COUNTIF(AV185:AZ185,"Partial")+IF(BD185&lt;&gt;"",1,0))/6)</x:f>
      </x:c>
      <x:c r="BJ185" s="22" t="str">
        <x:f>IF(A185="","",IF(AND(F185="",BD185=""),"Blocked",IF(AND(BG185&gt;=ReadyThreshold,BH185&gt;=ReadyThreshold,BI185&gt;=ReadyThreshold),"Ready for Analysis",IF(AVERAGE(BG185,BH185,BI185)&gt;=PartialThreshold,"Partially Ready","Discovery Required"))))</x:f>
      </x:c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8"/>
      <x:c r="BU185" s="17"/>
      <x:c r="BV185" s="17"/>
    </x:row>
    <x:row r="186">
      <x:c r="A186" s="17"/>
      <x:c r="B186" s="17"/>
      <x:c r="C186" s="17"/>
      <x:c r="D186" s="17"/>
      <x:c r="E186" s="18"/>
      <x:c r="F186" s="18"/>
      <x:c r="G186" s="17"/>
      <x:c r="H186" s="17"/>
      <x:c r="I186" s="19"/>
      <x:c r="J186" s="19"/>
      <x:c r="K186" s="17"/>
      <x:c r="L186" s="19"/>
      <x:c r="M186" s="17"/>
      <x:c r="N186" s="18"/>
      <x:c r="O186" s="18"/>
      <x:c r="P186" s="17"/>
      <x:c r="Q186" s="17"/>
      <x:c r="R186" s="17"/>
      <x:c r="S186" s="17"/>
      <x:c r="T186" s="17"/>
      <x:c r="U186" s="18"/>
      <x:c r="V186" s="18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20"/>
      <x:c r="AJ186" s="21"/>
      <x:c r="AK186" s="21"/>
      <x:c r="AL186" s="17"/>
      <x:c r="AM186" s="17"/>
      <x:c r="AN186" s="21"/>
      <x:c r="AO186" s="17"/>
      <x:c r="AP186" s="17"/>
      <x:c r="AQ186" s="17"/>
      <x:c r="AR186" s="17"/>
      <x:c r="AS186" s="17"/>
      <x:c r="AT186" s="17"/>
      <x:c r="AU186" s="18"/>
      <x:c r="AV186" s="17"/>
      <x:c r="AW186" s="17"/>
      <x:c r="AX186" s="17"/>
      <x:c r="AY186" s="17"/>
      <x:c r="AZ186" s="17"/>
      <x:c r="BA186" s="17"/>
      <x:c r="BB186" s="17"/>
      <x:c r="BC186" s="18"/>
      <x:c r="BD186" s="18"/>
      <x:c r="BE186" s="19"/>
      <x:c r="BF186" s="22" t="str">
        <x:f>IF(A186="","",IF(BI186&gt;=ReadyThreshold,"Ready",IF(BI186&gt;=PartialThreshold,"Partial","Not Ready")))</x:f>
      </x:c>
      <x:c r="BG186" s="23" t="str">
        <x:f>IF(A186="","",COUNTA(N186,Q186,R186,S186)/4)</x:f>
      </x:c>
      <x:c r="BH186" s="23" t="str">
        <x:f>IF(A186="","",(COUNTA(U186,V186,AE186)+IF(COUNTA(W186,X186,Y186,Z186,AA186)&gt;0,1,0))/4)</x:f>
      </x:c>
      <x:c r="BI186" s="23" t="str">
        <x:f>IF(A186="","",(COUNTIF(AV186:AZ186,"Available")+0.5*COUNTIF(AV186:AZ186,"Partial")+IF(BD186&lt;&gt;"",1,0))/6)</x:f>
      </x:c>
      <x:c r="BJ186" s="22" t="str">
        <x:f>IF(A186="","",IF(AND(F186="",BD186=""),"Blocked",IF(AND(BG186&gt;=ReadyThreshold,BH186&gt;=ReadyThreshold,BI186&gt;=ReadyThreshold),"Ready for Analysis",IF(AVERAGE(BG186,BH186,BI186)&gt;=PartialThreshold,"Partially Ready","Discovery Required"))))</x:f>
      </x:c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8"/>
      <x:c r="BU186" s="17"/>
      <x:c r="BV186" s="17"/>
    </x:row>
    <x:row r="187">
      <x:c r="A187" s="17"/>
      <x:c r="B187" s="17"/>
      <x:c r="C187" s="17"/>
      <x:c r="D187" s="17"/>
      <x:c r="E187" s="18"/>
      <x:c r="F187" s="18"/>
      <x:c r="G187" s="17"/>
      <x:c r="H187" s="17"/>
      <x:c r="I187" s="19"/>
      <x:c r="J187" s="19"/>
      <x:c r="K187" s="17"/>
      <x:c r="L187" s="19"/>
      <x:c r="M187" s="17"/>
      <x:c r="N187" s="18"/>
      <x:c r="O187" s="18"/>
      <x:c r="P187" s="17"/>
      <x:c r="Q187" s="17"/>
      <x:c r="R187" s="17"/>
      <x:c r="S187" s="17"/>
      <x:c r="T187" s="17"/>
      <x:c r="U187" s="18"/>
      <x:c r="V187" s="18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20"/>
      <x:c r="AJ187" s="21"/>
      <x:c r="AK187" s="21"/>
      <x:c r="AL187" s="17"/>
      <x:c r="AM187" s="17"/>
      <x:c r="AN187" s="21"/>
      <x:c r="AO187" s="17"/>
      <x:c r="AP187" s="17"/>
      <x:c r="AQ187" s="17"/>
      <x:c r="AR187" s="17"/>
      <x:c r="AS187" s="17"/>
      <x:c r="AT187" s="17"/>
      <x:c r="AU187" s="18"/>
      <x:c r="AV187" s="17"/>
      <x:c r="AW187" s="17"/>
      <x:c r="AX187" s="17"/>
      <x:c r="AY187" s="17"/>
      <x:c r="AZ187" s="17"/>
      <x:c r="BA187" s="17"/>
      <x:c r="BB187" s="17"/>
      <x:c r="BC187" s="18"/>
      <x:c r="BD187" s="18"/>
      <x:c r="BE187" s="19"/>
      <x:c r="BF187" s="22" t="str">
        <x:f>IF(A187="","",IF(BI187&gt;=ReadyThreshold,"Ready",IF(BI187&gt;=PartialThreshold,"Partial","Not Ready")))</x:f>
      </x:c>
      <x:c r="BG187" s="23" t="str">
        <x:f>IF(A187="","",COUNTA(N187,Q187,R187,S187)/4)</x:f>
      </x:c>
      <x:c r="BH187" s="23" t="str">
        <x:f>IF(A187="","",(COUNTA(U187,V187,AE187)+IF(COUNTA(W187,X187,Y187,Z187,AA187)&gt;0,1,0))/4)</x:f>
      </x:c>
      <x:c r="BI187" s="23" t="str">
        <x:f>IF(A187="","",(COUNTIF(AV187:AZ187,"Available")+0.5*COUNTIF(AV187:AZ187,"Partial")+IF(BD187&lt;&gt;"",1,0))/6)</x:f>
      </x:c>
      <x:c r="BJ187" s="22" t="str">
        <x:f>IF(A187="","",IF(AND(F187="",BD187=""),"Blocked",IF(AND(BG187&gt;=ReadyThreshold,BH187&gt;=ReadyThreshold,BI187&gt;=ReadyThreshold),"Ready for Analysis",IF(AVERAGE(BG187,BH187,BI187)&gt;=PartialThreshold,"Partially Ready","Discovery Required"))))</x:f>
      </x:c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8"/>
      <x:c r="BU187" s="17"/>
      <x:c r="BV187" s="17"/>
    </x:row>
    <x:row r="188">
      <x:c r="A188" s="17"/>
      <x:c r="B188" s="17"/>
      <x:c r="C188" s="17"/>
      <x:c r="D188" s="17"/>
      <x:c r="E188" s="18"/>
      <x:c r="F188" s="18"/>
      <x:c r="G188" s="17"/>
      <x:c r="H188" s="17"/>
      <x:c r="I188" s="19"/>
      <x:c r="J188" s="19"/>
      <x:c r="K188" s="17"/>
      <x:c r="L188" s="19"/>
      <x:c r="M188" s="17"/>
      <x:c r="N188" s="18"/>
      <x:c r="O188" s="18"/>
      <x:c r="P188" s="17"/>
      <x:c r="Q188" s="17"/>
      <x:c r="R188" s="17"/>
      <x:c r="S188" s="17"/>
      <x:c r="T188" s="17"/>
      <x:c r="U188" s="18"/>
      <x:c r="V188" s="18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20"/>
      <x:c r="AJ188" s="21"/>
      <x:c r="AK188" s="21"/>
      <x:c r="AL188" s="17"/>
      <x:c r="AM188" s="17"/>
      <x:c r="AN188" s="21"/>
      <x:c r="AO188" s="17"/>
      <x:c r="AP188" s="17"/>
      <x:c r="AQ188" s="17"/>
      <x:c r="AR188" s="17"/>
      <x:c r="AS188" s="17"/>
      <x:c r="AT188" s="17"/>
      <x:c r="AU188" s="18"/>
      <x:c r="AV188" s="17"/>
      <x:c r="AW188" s="17"/>
      <x:c r="AX188" s="17"/>
      <x:c r="AY188" s="17"/>
      <x:c r="AZ188" s="17"/>
      <x:c r="BA188" s="17"/>
      <x:c r="BB188" s="17"/>
      <x:c r="BC188" s="18"/>
      <x:c r="BD188" s="18"/>
      <x:c r="BE188" s="19"/>
      <x:c r="BF188" s="22" t="str">
        <x:f>IF(A188="","",IF(BI188&gt;=ReadyThreshold,"Ready",IF(BI188&gt;=PartialThreshold,"Partial","Not Ready")))</x:f>
      </x:c>
      <x:c r="BG188" s="23" t="str">
        <x:f>IF(A188="","",COUNTA(N188,Q188,R188,S188)/4)</x:f>
      </x:c>
      <x:c r="BH188" s="23" t="str">
        <x:f>IF(A188="","",(COUNTA(U188,V188,AE188)+IF(COUNTA(W188,X188,Y188,Z188,AA188)&gt;0,1,0))/4)</x:f>
      </x:c>
      <x:c r="BI188" s="23" t="str">
        <x:f>IF(A188="","",(COUNTIF(AV188:AZ188,"Available")+0.5*COUNTIF(AV188:AZ188,"Partial")+IF(BD188&lt;&gt;"",1,0))/6)</x:f>
      </x:c>
      <x:c r="BJ188" s="22" t="str">
        <x:f>IF(A188="","",IF(AND(F188="",BD188=""),"Blocked",IF(AND(BG188&gt;=ReadyThreshold,BH188&gt;=ReadyThreshold,BI188&gt;=ReadyThreshold),"Ready for Analysis",IF(AVERAGE(BG188,BH188,BI188)&gt;=PartialThreshold,"Partially Ready","Discovery Required"))))</x:f>
      </x:c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8"/>
      <x:c r="BU188" s="17"/>
      <x:c r="BV188" s="17"/>
    </x:row>
    <x:row r="189">
      <x:c r="A189" s="17"/>
      <x:c r="B189" s="17"/>
      <x:c r="C189" s="17"/>
      <x:c r="D189" s="17"/>
      <x:c r="E189" s="18"/>
      <x:c r="F189" s="18"/>
      <x:c r="G189" s="17"/>
      <x:c r="H189" s="17"/>
      <x:c r="I189" s="19"/>
      <x:c r="J189" s="19"/>
      <x:c r="K189" s="17"/>
      <x:c r="L189" s="19"/>
      <x:c r="M189" s="17"/>
      <x:c r="N189" s="18"/>
      <x:c r="O189" s="18"/>
      <x:c r="P189" s="17"/>
      <x:c r="Q189" s="17"/>
      <x:c r="R189" s="17"/>
      <x:c r="S189" s="17"/>
      <x:c r="T189" s="17"/>
      <x:c r="U189" s="18"/>
      <x:c r="V189" s="18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20"/>
      <x:c r="AJ189" s="21"/>
      <x:c r="AK189" s="21"/>
      <x:c r="AL189" s="17"/>
      <x:c r="AM189" s="17"/>
      <x:c r="AN189" s="21"/>
      <x:c r="AO189" s="17"/>
      <x:c r="AP189" s="17"/>
      <x:c r="AQ189" s="17"/>
      <x:c r="AR189" s="17"/>
      <x:c r="AS189" s="17"/>
      <x:c r="AT189" s="17"/>
      <x:c r="AU189" s="18"/>
      <x:c r="AV189" s="17"/>
      <x:c r="AW189" s="17"/>
      <x:c r="AX189" s="17"/>
      <x:c r="AY189" s="17"/>
      <x:c r="AZ189" s="17"/>
      <x:c r="BA189" s="17"/>
      <x:c r="BB189" s="17"/>
      <x:c r="BC189" s="18"/>
      <x:c r="BD189" s="18"/>
      <x:c r="BE189" s="19"/>
      <x:c r="BF189" s="22" t="str">
        <x:f>IF(A189="","",IF(BI189&gt;=ReadyThreshold,"Ready",IF(BI189&gt;=PartialThreshold,"Partial","Not Ready")))</x:f>
      </x:c>
      <x:c r="BG189" s="23" t="str">
        <x:f>IF(A189="","",COUNTA(N189,Q189,R189,S189)/4)</x:f>
      </x:c>
      <x:c r="BH189" s="23" t="str">
        <x:f>IF(A189="","",(COUNTA(U189,V189,AE189)+IF(COUNTA(W189,X189,Y189,Z189,AA189)&gt;0,1,0))/4)</x:f>
      </x:c>
      <x:c r="BI189" s="23" t="str">
        <x:f>IF(A189="","",(COUNTIF(AV189:AZ189,"Available")+0.5*COUNTIF(AV189:AZ189,"Partial")+IF(BD189&lt;&gt;"",1,0))/6)</x:f>
      </x:c>
      <x:c r="BJ189" s="22" t="str">
        <x:f>IF(A189="","",IF(AND(F189="",BD189=""),"Blocked",IF(AND(BG189&gt;=ReadyThreshold,BH189&gt;=ReadyThreshold,BI189&gt;=ReadyThreshold),"Ready for Analysis",IF(AVERAGE(BG189,BH189,BI189)&gt;=PartialThreshold,"Partially Ready","Discovery Required"))))</x:f>
      </x:c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8"/>
      <x:c r="BU189" s="17"/>
      <x:c r="BV189" s="17"/>
    </x:row>
    <x:row r="190">
      <x:c r="A190" s="17"/>
      <x:c r="B190" s="17"/>
      <x:c r="C190" s="17"/>
      <x:c r="D190" s="17"/>
      <x:c r="E190" s="18"/>
      <x:c r="F190" s="18"/>
      <x:c r="G190" s="17"/>
      <x:c r="H190" s="17"/>
      <x:c r="I190" s="19"/>
      <x:c r="J190" s="19"/>
      <x:c r="K190" s="17"/>
      <x:c r="L190" s="19"/>
      <x:c r="M190" s="17"/>
      <x:c r="N190" s="18"/>
      <x:c r="O190" s="18"/>
      <x:c r="P190" s="17"/>
      <x:c r="Q190" s="17"/>
      <x:c r="R190" s="17"/>
      <x:c r="S190" s="17"/>
      <x:c r="T190" s="17"/>
      <x:c r="U190" s="18"/>
      <x:c r="V190" s="18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20"/>
      <x:c r="AJ190" s="21"/>
      <x:c r="AK190" s="21"/>
      <x:c r="AL190" s="17"/>
      <x:c r="AM190" s="17"/>
      <x:c r="AN190" s="21"/>
      <x:c r="AO190" s="17"/>
      <x:c r="AP190" s="17"/>
      <x:c r="AQ190" s="17"/>
      <x:c r="AR190" s="17"/>
      <x:c r="AS190" s="17"/>
      <x:c r="AT190" s="17"/>
      <x:c r="AU190" s="18"/>
      <x:c r="AV190" s="17"/>
      <x:c r="AW190" s="17"/>
      <x:c r="AX190" s="17"/>
      <x:c r="AY190" s="17"/>
      <x:c r="AZ190" s="17"/>
      <x:c r="BA190" s="17"/>
      <x:c r="BB190" s="17"/>
      <x:c r="BC190" s="18"/>
      <x:c r="BD190" s="18"/>
      <x:c r="BE190" s="19"/>
      <x:c r="BF190" s="22" t="str">
        <x:f>IF(A190="","",IF(BI190&gt;=ReadyThreshold,"Ready",IF(BI190&gt;=PartialThreshold,"Partial","Not Ready")))</x:f>
      </x:c>
      <x:c r="BG190" s="23" t="str">
        <x:f>IF(A190="","",COUNTA(N190,Q190,R190,S190)/4)</x:f>
      </x:c>
      <x:c r="BH190" s="23" t="str">
        <x:f>IF(A190="","",(COUNTA(U190,V190,AE190)+IF(COUNTA(W190,X190,Y190,Z190,AA190)&gt;0,1,0))/4)</x:f>
      </x:c>
      <x:c r="BI190" s="23" t="str">
        <x:f>IF(A190="","",(COUNTIF(AV190:AZ190,"Available")+0.5*COUNTIF(AV190:AZ190,"Partial")+IF(BD190&lt;&gt;"",1,0))/6)</x:f>
      </x:c>
      <x:c r="BJ190" s="22" t="str">
        <x:f>IF(A190="","",IF(AND(F190="",BD190=""),"Blocked",IF(AND(BG190&gt;=ReadyThreshold,BH190&gt;=ReadyThreshold,BI190&gt;=ReadyThreshold),"Ready for Analysis",IF(AVERAGE(BG190,BH190,BI190)&gt;=PartialThreshold,"Partially Ready","Discovery Required"))))</x:f>
      </x:c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8"/>
      <x:c r="BU190" s="17"/>
      <x:c r="BV190" s="17"/>
    </x:row>
    <x:row r="191">
      <x:c r="A191" s="17"/>
      <x:c r="B191" s="17"/>
      <x:c r="C191" s="17"/>
      <x:c r="D191" s="17"/>
      <x:c r="E191" s="18"/>
      <x:c r="F191" s="18"/>
      <x:c r="G191" s="17"/>
      <x:c r="H191" s="17"/>
      <x:c r="I191" s="19"/>
      <x:c r="J191" s="19"/>
      <x:c r="K191" s="17"/>
      <x:c r="L191" s="19"/>
      <x:c r="M191" s="17"/>
      <x:c r="N191" s="18"/>
      <x:c r="O191" s="18"/>
      <x:c r="P191" s="17"/>
      <x:c r="Q191" s="17"/>
      <x:c r="R191" s="17"/>
      <x:c r="S191" s="17"/>
      <x:c r="T191" s="17"/>
      <x:c r="U191" s="18"/>
      <x:c r="V191" s="18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20"/>
      <x:c r="AJ191" s="21"/>
      <x:c r="AK191" s="21"/>
      <x:c r="AL191" s="17"/>
      <x:c r="AM191" s="17"/>
      <x:c r="AN191" s="21"/>
      <x:c r="AO191" s="17"/>
      <x:c r="AP191" s="17"/>
      <x:c r="AQ191" s="17"/>
      <x:c r="AR191" s="17"/>
      <x:c r="AS191" s="17"/>
      <x:c r="AT191" s="17"/>
      <x:c r="AU191" s="18"/>
      <x:c r="AV191" s="17"/>
      <x:c r="AW191" s="17"/>
      <x:c r="AX191" s="17"/>
      <x:c r="AY191" s="17"/>
      <x:c r="AZ191" s="17"/>
      <x:c r="BA191" s="17"/>
      <x:c r="BB191" s="17"/>
      <x:c r="BC191" s="18"/>
      <x:c r="BD191" s="18"/>
      <x:c r="BE191" s="19"/>
      <x:c r="BF191" s="22" t="str">
        <x:f>IF(A191="","",IF(BI191&gt;=ReadyThreshold,"Ready",IF(BI191&gt;=PartialThreshold,"Partial","Not Ready")))</x:f>
      </x:c>
      <x:c r="BG191" s="23" t="str">
        <x:f>IF(A191="","",COUNTA(N191,Q191,R191,S191)/4)</x:f>
      </x:c>
      <x:c r="BH191" s="23" t="str">
        <x:f>IF(A191="","",(COUNTA(U191,V191,AE191)+IF(COUNTA(W191,X191,Y191,Z191,AA191)&gt;0,1,0))/4)</x:f>
      </x:c>
      <x:c r="BI191" s="23" t="str">
        <x:f>IF(A191="","",(COUNTIF(AV191:AZ191,"Available")+0.5*COUNTIF(AV191:AZ191,"Partial")+IF(BD191&lt;&gt;"",1,0))/6)</x:f>
      </x:c>
      <x:c r="BJ191" s="22" t="str">
        <x:f>IF(A191="","",IF(AND(F191="",BD191=""),"Blocked",IF(AND(BG191&gt;=ReadyThreshold,BH191&gt;=ReadyThreshold,BI191&gt;=ReadyThreshold),"Ready for Analysis",IF(AVERAGE(BG191,BH191,BI191)&gt;=PartialThreshold,"Partially Ready","Discovery Required"))))</x:f>
      </x:c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8"/>
      <x:c r="BU191" s="17"/>
      <x:c r="BV191" s="17"/>
    </x:row>
    <x:row r="192">
      <x:c r="A192" s="17"/>
      <x:c r="B192" s="17"/>
      <x:c r="C192" s="17"/>
      <x:c r="D192" s="17"/>
      <x:c r="E192" s="18"/>
      <x:c r="F192" s="18"/>
      <x:c r="G192" s="17"/>
      <x:c r="H192" s="17"/>
      <x:c r="I192" s="19"/>
      <x:c r="J192" s="19"/>
      <x:c r="K192" s="17"/>
      <x:c r="L192" s="19"/>
      <x:c r="M192" s="17"/>
      <x:c r="N192" s="18"/>
      <x:c r="O192" s="18"/>
      <x:c r="P192" s="17"/>
      <x:c r="Q192" s="17"/>
      <x:c r="R192" s="17"/>
      <x:c r="S192" s="17"/>
      <x:c r="T192" s="17"/>
      <x:c r="U192" s="18"/>
      <x:c r="V192" s="18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20"/>
      <x:c r="AJ192" s="21"/>
      <x:c r="AK192" s="21"/>
      <x:c r="AL192" s="17"/>
      <x:c r="AM192" s="17"/>
      <x:c r="AN192" s="21"/>
      <x:c r="AO192" s="17"/>
      <x:c r="AP192" s="17"/>
      <x:c r="AQ192" s="17"/>
      <x:c r="AR192" s="17"/>
      <x:c r="AS192" s="17"/>
      <x:c r="AT192" s="17"/>
      <x:c r="AU192" s="18"/>
      <x:c r="AV192" s="17"/>
      <x:c r="AW192" s="17"/>
      <x:c r="AX192" s="17"/>
      <x:c r="AY192" s="17"/>
      <x:c r="AZ192" s="17"/>
      <x:c r="BA192" s="17"/>
      <x:c r="BB192" s="17"/>
      <x:c r="BC192" s="18"/>
      <x:c r="BD192" s="18"/>
      <x:c r="BE192" s="19"/>
      <x:c r="BF192" s="22" t="str">
        <x:f>IF(A192="","",IF(BI192&gt;=ReadyThreshold,"Ready",IF(BI192&gt;=PartialThreshold,"Partial","Not Ready")))</x:f>
      </x:c>
      <x:c r="BG192" s="23" t="str">
        <x:f>IF(A192="","",COUNTA(N192,Q192,R192,S192)/4)</x:f>
      </x:c>
      <x:c r="BH192" s="23" t="str">
        <x:f>IF(A192="","",(COUNTA(U192,V192,AE192)+IF(COUNTA(W192,X192,Y192,Z192,AA192)&gt;0,1,0))/4)</x:f>
      </x:c>
      <x:c r="BI192" s="23" t="str">
        <x:f>IF(A192="","",(COUNTIF(AV192:AZ192,"Available")+0.5*COUNTIF(AV192:AZ192,"Partial")+IF(BD192&lt;&gt;"",1,0))/6)</x:f>
      </x:c>
      <x:c r="BJ192" s="22" t="str">
        <x:f>IF(A192="","",IF(AND(F192="",BD192=""),"Blocked",IF(AND(BG192&gt;=ReadyThreshold,BH192&gt;=ReadyThreshold,BI192&gt;=ReadyThreshold),"Ready for Analysis",IF(AVERAGE(BG192,BH192,BI192)&gt;=PartialThreshold,"Partially Ready","Discovery Required"))))</x:f>
      </x:c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8"/>
      <x:c r="BU192" s="17"/>
      <x:c r="BV192" s="17"/>
    </x:row>
    <x:row r="193">
      <x:c r="A193" s="17"/>
      <x:c r="B193" s="17"/>
      <x:c r="C193" s="17"/>
      <x:c r="D193" s="17"/>
      <x:c r="E193" s="18"/>
      <x:c r="F193" s="18"/>
      <x:c r="G193" s="17"/>
      <x:c r="H193" s="17"/>
      <x:c r="I193" s="19"/>
      <x:c r="J193" s="19"/>
      <x:c r="K193" s="17"/>
      <x:c r="L193" s="19"/>
      <x:c r="M193" s="17"/>
      <x:c r="N193" s="18"/>
      <x:c r="O193" s="18"/>
      <x:c r="P193" s="17"/>
      <x:c r="Q193" s="17"/>
      <x:c r="R193" s="17"/>
      <x:c r="S193" s="17"/>
      <x:c r="T193" s="17"/>
      <x:c r="U193" s="18"/>
      <x:c r="V193" s="18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20"/>
      <x:c r="AJ193" s="21"/>
      <x:c r="AK193" s="21"/>
      <x:c r="AL193" s="17"/>
      <x:c r="AM193" s="17"/>
      <x:c r="AN193" s="21"/>
      <x:c r="AO193" s="17"/>
      <x:c r="AP193" s="17"/>
      <x:c r="AQ193" s="17"/>
      <x:c r="AR193" s="17"/>
      <x:c r="AS193" s="17"/>
      <x:c r="AT193" s="17"/>
      <x:c r="AU193" s="18"/>
      <x:c r="AV193" s="17"/>
      <x:c r="AW193" s="17"/>
      <x:c r="AX193" s="17"/>
      <x:c r="AY193" s="17"/>
      <x:c r="AZ193" s="17"/>
      <x:c r="BA193" s="17"/>
      <x:c r="BB193" s="17"/>
      <x:c r="BC193" s="18"/>
      <x:c r="BD193" s="18"/>
      <x:c r="BE193" s="19"/>
      <x:c r="BF193" s="22" t="str">
        <x:f>IF(A193="","",IF(BI193&gt;=ReadyThreshold,"Ready",IF(BI193&gt;=PartialThreshold,"Partial","Not Ready")))</x:f>
      </x:c>
      <x:c r="BG193" s="23" t="str">
        <x:f>IF(A193="","",COUNTA(N193,Q193,R193,S193)/4)</x:f>
      </x:c>
      <x:c r="BH193" s="23" t="str">
        <x:f>IF(A193="","",(COUNTA(U193,V193,AE193)+IF(COUNTA(W193,X193,Y193,Z193,AA193)&gt;0,1,0))/4)</x:f>
      </x:c>
      <x:c r="BI193" s="23" t="str">
        <x:f>IF(A193="","",(COUNTIF(AV193:AZ193,"Available")+0.5*COUNTIF(AV193:AZ193,"Partial")+IF(BD193&lt;&gt;"",1,0))/6)</x:f>
      </x:c>
      <x:c r="BJ193" s="22" t="str">
        <x:f>IF(A193="","",IF(AND(F193="",BD193=""),"Blocked",IF(AND(BG193&gt;=ReadyThreshold,BH193&gt;=ReadyThreshold,BI193&gt;=ReadyThreshold),"Ready for Analysis",IF(AVERAGE(BG193,BH193,BI193)&gt;=PartialThreshold,"Partially Ready","Discovery Required"))))</x:f>
      </x:c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8"/>
      <x:c r="BU193" s="17"/>
      <x:c r="BV193" s="17"/>
    </x:row>
    <x:row r="194">
      <x:c r="A194" s="17"/>
      <x:c r="B194" s="17"/>
      <x:c r="C194" s="17"/>
      <x:c r="D194" s="17"/>
      <x:c r="E194" s="18"/>
      <x:c r="F194" s="18"/>
      <x:c r="G194" s="17"/>
      <x:c r="H194" s="17"/>
      <x:c r="I194" s="19"/>
      <x:c r="J194" s="19"/>
      <x:c r="K194" s="17"/>
      <x:c r="L194" s="19"/>
      <x:c r="M194" s="17"/>
      <x:c r="N194" s="18"/>
      <x:c r="O194" s="18"/>
      <x:c r="P194" s="17"/>
      <x:c r="Q194" s="17"/>
      <x:c r="R194" s="17"/>
      <x:c r="S194" s="17"/>
      <x:c r="T194" s="17"/>
      <x:c r="U194" s="18"/>
      <x:c r="V194" s="18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20"/>
      <x:c r="AJ194" s="21"/>
      <x:c r="AK194" s="21"/>
      <x:c r="AL194" s="17"/>
      <x:c r="AM194" s="17"/>
      <x:c r="AN194" s="21"/>
      <x:c r="AO194" s="17"/>
      <x:c r="AP194" s="17"/>
      <x:c r="AQ194" s="17"/>
      <x:c r="AR194" s="17"/>
      <x:c r="AS194" s="17"/>
      <x:c r="AT194" s="17"/>
      <x:c r="AU194" s="18"/>
      <x:c r="AV194" s="17"/>
      <x:c r="AW194" s="17"/>
      <x:c r="AX194" s="17"/>
      <x:c r="AY194" s="17"/>
      <x:c r="AZ194" s="17"/>
      <x:c r="BA194" s="17"/>
      <x:c r="BB194" s="17"/>
      <x:c r="BC194" s="18"/>
      <x:c r="BD194" s="18"/>
      <x:c r="BE194" s="19"/>
      <x:c r="BF194" s="22" t="str">
        <x:f>IF(A194="","",IF(BI194&gt;=ReadyThreshold,"Ready",IF(BI194&gt;=PartialThreshold,"Partial","Not Ready")))</x:f>
      </x:c>
      <x:c r="BG194" s="23" t="str">
        <x:f>IF(A194="","",COUNTA(N194,Q194,R194,S194)/4)</x:f>
      </x:c>
      <x:c r="BH194" s="23" t="str">
        <x:f>IF(A194="","",(COUNTA(U194,V194,AE194)+IF(COUNTA(W194,X194,Y194,Z194,AA194)&gt;0,1,0))/4)</x:f>
      </x:c>
      <x:c r="BI194" s="23" t="str">
        <x:f>IF(A194="","",(COUNTIF(AV194:AZ194,"Available")+0.5*COUNTIF(AV194:AZ194,"Partial")+IF(BD194&lt;&gt;"",1,0))/6)</x:f>
      </x:c>
      <x:c r="BJ194" s="22" t="str">
        <x:f>IF(A194="","",IF(AND(F194="",BD194=""),"Blocked",IF(AND(BG194&gt;=ReadyThreshold,BH194&gt;=ReadyThreshold,BI194&gt;=ReadyThreshold),"Ready for Analysis",IF(AVERAGE(BG194,BH194,BI194)&gt;=PartialThreshold,"Partially Ready","Discovery Required"))))</x:f>
      </x:c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8"/>
      <x:c r="BU194" s="17"/>
      <x:c r="BV194" s="17"/>
    </x:row>
    <x:row r="195">
      <x:c r="A195" s="17"/>
      <x:c r="B195" s="17"/>
      <x:c r="C195" s="17"/>
      <x:c r="D195" s="17"/>
      <x:c r="E195" s="18"/>
      <x:c r="F195" s="18"/>
      <x:c r="G195" s="17"/>
      <x:c r="H195" s="17"/>
      <x:c r="I195" s="19"/>
      <x:c r="J195" s="19"/>
      <x:c r="K195" s="17"/>
      <x:c r="L195" s="19"/>
      <x:c r="M195" s="17"/>
      <x:c r="N195" s="18"/>
      <x:c r="O195" s="18"/>
      <x:c r="P195" s="17"/>
      <x:c r="Q195" s="17"/>
      <x:c r="R195" s="17"/>
      <x:c r="S195" s="17"/>
      <x:c r="T195" s="17"/>
      <x:c r="U195" s="18"/>
      <x:c r="V195" s="18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20"/>
      <x:c r="AJ195" s="21"/>
      <x:c r="AK195" s="21"/>
      <x:c r="AL195" s="17"/>
      <x:c r="AM195" s="17"/>
      <x:c r="AN195" s="21"/>
      <x:c r="AO195" s="17"/>
      <x:c r="AP195" s="17"/>
      <x:c r="AQ195" s="17"/>
      <x:c r="AR195" s="17"/>
      <x:c r="AS195" s="17"/>
      <x:c r="AT195" s="17"/>
      <x:c r="AU195" s="18"/>
      <x:c r="AV195" s="17"/>
      <x:c r="AW195" s="17"/>
      <x:c r="AX195" s="17"/>
      <x:c r="AY195" s="17"/>
      <x:c r="AZ195" s="17"/>
      <x:c r="BA195" s="17"/>
      <x:c r="BB195" s="17"/>
      <x:c r="BC195" s="18"/>
      <x:c r="BD195" s="18"/>
      <x:c r="BE195" s="19"/>
      <x:c r="BF195" s="22" t="str">
        <x:f>IF(A195="","",IF(BI195&gt;=ReadyThreshold,"Ready",IF(BI195&gt;=PartialThreshold,"Partial","Not Ready")))</x:f>
      </x:c>
      <x:c r="BG195" s="23" t="str">
        <x:f>IF(A195="","",COUNTA(N195,Q195,R195,S195)/4)</x:f>
      </x:c>
      <x:c r="BH195" s="23" t="str">
        <x:f>IF(A195="","",(COUNTA(U195,V195,AE195)+IF(COUNTA(W195,X195,Y195,Z195,AA195)&gt;0,1,0))/4)</x:f>
      </x:c>
      <x:c r="BI195" s="23" t="str">
        <x:f>IF(A195="","",(COUNTIF(AV195:AZ195,"Available")+0.5*COUNTIF(AV195:AZ195,"Partial")+IF(BD195&lt;&gt;"",1,0))/6)</x:f>
      </x:c>
      <x:c r="BJ195" s="22" t="str">
        <x:f>IF(A195="","",IF(AND(F195="",BD195=""),"Blocked",IF(AND(BG195&gt;=ReadyThreshold,BH195&gt;=ReadyThreshold,BI195&gt;=ReadyThreshold),"Ready for Analysis",IF(AVERAGE(BG195,BH195,BI195)&gt;=PartialThreshold,"Partially Ready","Discovery Required"))))</x:f>
      </x:c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8"/>
      <x:c r="BU195" s="17"/>
      <x:c r="BV195" s="17"/>
    </x:row>
    <x:row r="196">
      <x:c r="A196" s="17"/>
      <x:c r="B196" s="17"/>
      <x:c r="C196" s="17"/>
      <x:c r="D196" s="17"/>
      <x:c r="E196" s="18"/>
      <x:c r="F196" s="18"/>
      <x:c r="G196" s="17"/>
      <x:c r="H196" s="17"/>
      <x:c r="I196" s="19"/>
      <x:c r="J196" s="19"/>
      <x:c r="K196" s="17"/>
      <x:c r="L196" s="19"/>
      <x:c r="M196" s="17"/>
      <x:c r="N196" s="18"/>
      <x:c r="O196" s="18"/>
      <x:c r="P196" s="17"/>
      <x:c r="Q196" s="17"/>
      <x:c r="R196" s="17"/>
      <x:c r="S196" s="17"/>
      <x:c r="T196" s="17"/>
      <x:c r="U196" s="18"/>
      <x:c r="V196" s="18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20"/>
      <x:c r="AJ196" s="21"/>
      <x:c r="AK196" s="21"/>
      <x:c r="AL196" s="17"/>
      <x:c r="AM196" s="17"/>
      <x:c r="AN196" s="21"/>
      <x:c r="AO196" s="17"/>
      <x:c r="AP196" s="17"/>
      <x:c r="AQ196" s="17"/>
      <x:c r="AR196" s="17"/>
      <x:c r="AS196" s="17"/>
      <x:c r="AT196" s="17"/>
      <x:c r="AU196" s="18"/>
      <x:c r="AV196" s="17"/>
      <x:c r="AW196" s="17"/>
      <x:c r="AX196" s="17"/>
      <x:c r="AY196" s="17"/>
      <x:c r="AZ196" s="17"/>
      <x:c r="BA196" s="17"/>
      <x:c r="BB196" s="17"/>
      <x:c r="BC196" s="18"/>
      <x:c r="BD196" s="18"/>
      <x:c r="BE196" s="19"/>
      <x:c r="BF196" s="22" t="str">
        <x:f>IF(A196="","",IF(BI196&gt;=ReadyThreshold,"Ready",IF(BI196&gt;=PartialThreshold,"Partial","Not Ready")))</x:f>
      </x:c>
      <x:c r="BG196" s="23" t="str">
        <x:f>IF(A196="","",COUNTA(N196,Q196,R196,S196)/4)</x:f>
      </x:c>
      <x:c r="BH196" s="23" t="str">
        <x:f>IF(A196="","",(COUNTA(U196,V196,AE196)+IF(COUNTA(W196,X196,Y196,Z196,AA196)&gt;0,1,0))/4)</x:f>
      </x:c>
      <x:c r="BI196" s="23" t="str">
        <x:f>IF(A196="","",(COUNTIF(AV196:AZ196,"Available")+0.5*COUNTIF(AV196:AZ196,"Partial")+IF(BD196&lt;&gt;"",1,0))/6)</x:f>
      </x:c>
      <x:c r="BJ196" s="22" t="str">
        <x:f>IF(A196="","",IF(AND(F196="",BD196=""),"Blocked",IF(AND(BG196&gt;=ReadyThreshold,BH196&gt;=ReadyThreshold,BI196&gt;=ReadyThreshold),"Ready for Analysis",IF(AVERAGE(BG196,BH196,BI196)&gt;=PartialThreshold,"Partially Ready","Discovery Required"))))</x:f>
      </x:c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8"/>
      <x:c r="BU196" s="17"/>
      <x:c r="BV196" s="17"/>
    </x:row>
    <x:row r="197">
      <x:c r="A197" s="17"/>
      <x:c r="B197" s="17"/>
      <x:c r="C197" s="17"/>
      <x:c r="D197" s="17"/>
      <x:c r="E197" s="18"/>
      <x:c r="F197" s="18"/>
      <x:c r="G197" s="17"/>
      <x:c r="H197" s="17"/>
      <x:c r="I197" s="19"/>
      <x:c r="J197" s="19"/>
      <x:c r="K197" s="17"/>
      <x:c r="L197" s="19"/>
      <x:c r="M197" s="17"/>
      <x:c r="N197" s="18"/>
      <x:c r="O197" s="18"/>
      <x:c r="P197" s="17"/>
      <x:c r="Q197" s="17"/>
      <x:c r="R197" s="17"/>
      <x:c r="S197" s="17"/>
      <x:c r="T197" s="17"/>
      <x:c r="U197" s="18"/>
      <x:c r="V197" s="18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20"/>
      <x:c r="AJ197" s="21"/>
      <x:c r="AK197" s="21"/>
      <x:c r="AL197" s="17"/>
      <x:c r="AM197" s="17"/>
      <x:c r="AN197" s="21"/>
      <x:c r="AO197" s="17"/>
      <x:c r="AP197" s="17"/>
      <x:c r="AQ197" s="17"/>
      <x:c r="AR197" s="17"/>
      <x:c r="AS197" s="17"/>
      <x:c r="AT197" s="17"/>
      <x:c r="AU197" s="18"/>
      <x:c r="AV197" s="17"/>
      <x:c r="AW197" s="17"/>
      <x:c r="AX197" s="17"/>
      <x:c r="AY197" s="17"/>
      <x:c r="AZ197" s="17"/>
      <x:c r="BA197" s="17"/>
      <x:c r="BB197" s="17"/>
      <x:c r="BC197" s="18"/>
      <x:c r="BD197" s="18"/>
      <x:c r="BE197" s="19"/>
      <x:c r="BF197" s="22" t="str">
        <x:f>IF(A197="","",IF(BI197&gt;=ReadyThreshold,"Ready",IF(BI197&gt;=PartialThreshold,"Partial","Not Ready")))</x:f>
      </x:c>
      <x:c r="BG197" s="23" t="str">
        <x:f>IF(A197="","",COUNTA(N197,Q197,R197,S197)/4)</x:f>
      </x:c>
      <x:c r="BH197" s="23" t="str">
        <x:f>IF(A197="","",(COUNTA(U197,V197,AE197)+IF(COUNTA(W197,X197,Y197,Z197,AA197)&gt;0,1,0))/4)</x:f>
      </x:c>
      <x:c r="BI197" s="23" t="str">
        <x:f>IF(A197="","",(COUNTIF(AV197:AZ197,"Available")+0.5*COUNTIF(AV197:AZ197,"Partial")+IF(BD197&lt;&gt;"",1,0))/6)</x:f>
      </x:c>
      <x:c r="BJ197" s="22" t="str">
        <x:f>IF(A197="","",IF(AND(F197="",BD197=""),"Blocked",IF(AND(BG197&gt;=ReadyThreshold,BH197&gt;=ReadyThreshold,BI197&gt;=ReadyThreshold),"Ready for Analysis",IF(AVERAGE(BG197,BH197,BI197)&gt;=PartialThreshold,"Partially Ready","Discovery Required"))))</x:f>
      </x:c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8"/>
      <x:c r="BU197" s="17"/>
      <x:c r="BV197" s="17"/>
    </x:row>
    <x:row r="198">
      <x:c r="A198" s="17"/>
      <x:c r="B198" s="17"/>
      <x:c r="C198" s="17"/>
      <x:c r="D198" s="17"/>
      <x:c r="E198" s="18"/>
      <x:c r="F198" s="18"/>
      <x:c r="G198" s="17"/>
      <x:c r="H198" s="17"/>
      <x:c r="I198" s="19"/>
      <x:c r="J198" s="19"/>
      <x:c r="K198" s="17"/>
      <x:c r="L198" s="19"/>
      <x:c r="M198" s="17"/>
      <x:c r="N198" s="18"/>
      <x:c r="O198" s="18"/>
      <x:c r="P198" s="17"/>
      <x:c r="Q198" s="17"/>
      <x:c r="R198" s="17"/>
      <x:c r="S198" s="17"/>
      <x:c r="T198" s="17"/>
      <x:c r="U198" s="18"/>
      <x:c r="V198" s="18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20"/>
      <x:c r="AJ198" s="21"/>
      <x:c r="AK198" s="21"/>
      <x:c r="AL198" s="17"/>
      <x:c r="AM198" s="17"/>
      <x:c r="AN198" s="21"/>
      <x:c r="AO198" s="17"/>
      <x:c r="AP198" s="17"/>
      <x:c r="AQ198" s="17"/>
      <x:c r="AR198" s="17"/>
      <x:c r="AS198" s="17"/>
      <x:c r="AT198" s="17"/>
      <x:c r="AU198" s="18"/>
      <x:c r="AV198" s="17"/>
      <x:c r="AW198" s="17"/>
      <x:c r="AX198" s="17"/>
      <x:c r="AY198" s="17"/>
      <x:c r="AZ198" s="17"/>
      <x:c r="BA198" s="17"/>
      <x:c r="BB198" s="17"/>
      <x:c r="BC198" s="18"/>
      <x:c r="BD198" s="18"/>
      <x:c r="BE198" s="19"/>
      <x:c r="BF198" s="22" t="str">
        <x:f>IF(A198="","",IF(BI198&gt;=ReadyThreshold,"Ready",IF(BI198&gt;=PartialThreshold,"Partial","Not Ready")))</x:f>
      </x:c>
      <x:c r="BG198" s="23" t="str">
        <x:f>IF(A198="","",COUNTA(N198,Q198,R198,S198)/4)</x:f>
      </x:c>
      <x:c r="BH198" s="23" t="str">
        <x:f>IF(A198="","",(COUNTA(U198,V198,AE198)+IF(COUNTA(W198,X198,Y198,Z198,AA198)&gt;0,1,0))/4)</x:f>
      </x:c>
      <x:c r="BI198" s="23" t="str">
        <x:f>IF(A198="","",(COUNTIF(AV198:AZ198,"Available")+0.5*COUNTIF(AV198:AZ198,"Partial")+IF(BD198&lt;&gt;"",1,0))/6)</x:f>
      </x:c>
      <x:c r="BJ198" s="22" t="str">
        <x:f>IF(A198="","",IF(AND(F198="",BD198=""),"Blocked",IF(AND(BG198&gt;=ReadyThreshold,BH198&gt;=ReadyThreshold,BI198&gt;=ReadyThreshold),"Ready for Analysis",IF(AVERAGE(BG198,BH198,BI198)&gt;=PartialThreshold,"Partially Ready","Discovery Required"))))</x:f>
      </x:c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8"/>
      <x:c r="BU198" s="17"/>
      <x:c r="BV198" s="17"/>
    </x:row>
    <x:row r="199">
      <x:c r="A199" s="17"/>
      <x:c r="B199" s="17"/>
      <x:c r="C199" s="17"/>
      <x:c r="D199" s="17"/>
      <x:c r="E199" s="18"/>
      <x:c r="F199" s="18"/>
      <x:c r="G199" s="17"/>
      <x:c r="H199" s="17"/>
      <x:c r="I199" s="19"/>
      <x:c r="J199" s="19"/>
      <x:c r="K199" s="17"/>
      <x:c r="L199" s="19"/>
      <x:c r="M199" s="17"/>
      <x:c r="N199" s="18"/>
      <x:c r="O199" s="18"/>
      <x:c r="P199" s="17"/>
      <x:c r="Q199" s="17"/>
      <x:c r="R199" s="17"/>
      <x:c r="S199" s="17"/>
      <x:c r="T199" s="17"/>
      <x:c r="U199" s="18"/>
      <x:c r="V199" s="18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20"/>
      <x:c r="AJ199" s="21"/>
      <x:c r="AK199" s="21"/>
      <x:c r="AL199" s="17"/>
      <x:c r="AM199" s="17"/>
      <x:c r="AN199" s="21"/>
      <x:c r="AO199" s="17"/>
      <x:c r="AP199" s="17"/>
      <x:c r="AQ199" s="17"/>
      <x:c r="AR199" s="17"/>
      <x:c r="AS199" s="17"/>
      <x:c r="AT199" s="17"/>
      <x:c r="AU199" s="18"/>
      <x:c r="AV199" s="17"/>
      <x:c r="AW199" s="17"/>
      <x:c r="AX199" s="17"/>
      <x:c r="AY199" s="17"/>
      <x:c r="AZ199" s="17"/>
      <x:c r="BA199" s="17"/>
      <x:c r="BB199" s="17"/>
      <x:c r="BC199" s="18"/>
      <x:c r="BD199" s="18"/>
      <x:c r="BE199" s="19"/>
      <x:c r="BF199" s="22" t="str">
        <x:f>IF(A199="","",IF(BI199&gt;=ReadyThreshold,"Ready",IF(BI199&gt;=PartialThreshold,"Partial","Not Ready")))</x:f>
      </x:c>
      <x:c r="BG199" s="23" t="str">
        <x:f>IF(A199="","",COUNTA(N199,Q199,R199,S199)/4)</x:f>
      </x:c>
      <x:c r="BH199" s="23" t="str">
        <x:f>IF(A199="","",(COUNTA(U199,V199,AE199)+IF(COUNTA(W199,X199,Y199,Z199,AA199)&gt;0,1,0))/4)</x:f>
      </x:c>
      <x:c r="BI199" s="23" t="str">
        <x:f>IF(A199="","",(COUNTIF(AV199:AZ199,"Available")+0.5*COUNTIF(AV199:AZ199,"Partial")+IF(BD199&lt;&gt;"",1,0))/6)</x:f>
      </x:c>
      <x:c r="BJ199" s="22" t="str">
        <x:f>IF(A199="","",IF(AND(F199="",BD199=""),"Blocked",IF(AND(BG199&gt;=ReadyThreshold,BH199&gt;=ReadyThreshold,BI199&gt;=ReadyThreshold),"Ready for Analysis",IF(AVERAGE(BG199,BH199,BI199)&gt;=PartialThreshold,"Partially Ready","Discovery Required"))))</x:f>
      </x:c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8"/>
      <x:c r="BU199" s="17"/>
      <x:c r="BV199" s="17"/>
    </x:row>
    <x:row r="200">
      <x:c r="A200" s="17"/>
      <x:c r="B200" s="17"/>
      <x:c r="C200" s="17"/>
      <x:c r="D200" s="17"/>
      <x:c r="E200" s="18"/>
      <x:c r="F200" s="18"/>
      <x:c r="G200" s="17"/>
      <x:c r="H200" s="17"/>
      <x:c r="I200" s="19"/>
      <x:c r="J200" s="19"/>
      <x:c r="K200" s="17"/>
      <x:c r="L200" s="19"/>
      <x:c r="M200" s="17"/>
      <x:c r="N200" s="18"/>
      <x:c r="O200" s="18"/>
      <x:c r="P200" s="17"/>
      <x:c r="Q200" s="17"/>
      <x:c r="R200" s="17"/>
      <x:c r="S200" s="17"/>
      <x:c r="T200" s="17"/>
      <x:c r="U200" s="18"/>
      <x:c r="V200" s="18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20"/>
      <x:c r="AJ200" s="21"/>
      <x:c r="AK200" s="21"/>
      <x:c r="AL200" s="17"/>
      <x:c r="AM200" s="17"/>
      <x:c r="AN200" s="21"/>
      <x:c r="AO200" s="17"/>
      <x:c r="AP200" s="17"/>
      <x:c r="AQ200" s="17"/>
      <x:c r="AR200" s="17"/>
      <x:c r="AS200" s="17"/>
      <x:c r="AT200" s="17"/>
      <x:c r="AU200" s="18"/>
      <x:c r="AV200" s="17"/>
      <x:c r="AW200" s="17"/>
      <x:c r="AX200" s="17"/>
      <x:c r="AY200" s="17"/>
      <x:c r="AZ200" s="17"/>
      <x:c r="BA200" s="17"/>
      <x:c r="BB200" s="17"/>
      <x:c r="BC200" s="18"/>
      <x:c r="BD200" s="18"/>
      <x:c r="BE200" s="19"/>
      <x:c r="BF200" s="22" t="str">
        <x:f>IF(A200="","",IF(BI200&gt;=ReadyThreshold,"Ready",IF(BI200&gt;=PartialThreshold,"Partial","Not Ready")))</x:f>
      </x:c>
      <x:c r="BG200" s="23" t="str">
        <x:f>IF(A200="","",COUNTA(N200,Q200,R200,S200)/4)</x:f>
      </x:c>
      <x:c r="BH200" s="23" t="str">
        <x:f>IF(A200="","",(COUNTA(U200,V200,AE200)+IF(COUNTA(W200,X200,Y200,Z200,AA200)&gt;0,1,0))/4)</x:f>
      </x:c>
      <x:c r="BI200" s="23" t="str">
        <x:f>IF(A200="","",(COUNTIF(AV200:AZ200,"Available")+0.5*COUNTIF(AV200:AZ200,"Partial")+IF(BD200&lt;&gt;"",1,0))/6)</x:f>
      </x:c>
      <x:c r="BJ200" s="22" t="str">
        <x:f>IF(A200="","",IF(AND(F200="",BD200=""),"Blocked",IF(AND(BG200&gt;=ReadyThreshold,BH200&gt;=ReadyThreshold,BI200&gt;=ReadyThreshold),"Ready for Analysis",IF(AVERAGE(BG200,BH200,BI200)&gt;=PartialThreshold,"Partially Ready","Discovery Required"))))</x:f>
      </x:c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8"/>
      <x:c r="BU200" s="17"/>
      <x:c r="BV200" s="17"/>
    </x:row>
    <x:row r="201">
      <x:c r="A201" s="17"/>
      <x:c r="B201" s="17"/>
      <x:c r="C201" s="17"/>
      <x:c r="D201" s="17"/>
      <x:c r="E201" s="18"/>
      <x:c r="F201" s="18"/>
      <x:c r="G201" s="17"/>
      <x:c r="H201" s="17"/>
      <x:c r="I201" s="19"/>
      <x:c r="J201" s="19"/>
      <x:c r="K201" s="17"/>
      <x:c r="L201" s="19"/>
      <x:c r="M201" s="17"/>
      <x:c r="N201" s="18"/>
      <x:c r="O201" s="18"/>
      <x:c r="P201" s="17"/>
      <x:c r="Q201" s="17"/>
      <x:c r="R201" s="17"/>
      <x:c r="S201" s="17"/>
      <x:c r="T201" s="17"/>
      <x:c r="U201" s="18"/>
      <x:c r="V201" s="18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20"/>
      <x:c r="AJ201" s="21"/>
      <x:c r="AK201" s="21"/>
      <x:c r="AL201" s="17"/>
      <x:c r="AM201" s="17"/>
      <x:c r="AN201" s="21"/>
      <x:c r="AO201" s="17"/>
      <x:c r="AP201" s="17"/>
      <x:c r="AQ201" s="17"/>
      <x:c r="AR201" s="17"/>
      <x:c r="AS201" s="17"/>
      <x:c r="AT201" s="17"/>
      <x:c r="AU201" s="18"/>
      <x:c r="AV201" s="17"/>
      <x:c r="AW201" s="17"/>
      <x:c r="AX201" s="17"/>
      <x:c r="AY201" s="17"/>
      <x:c r="AZ201" s="17"/>
      <x:c r="BA201" s="17"/>
      <x:c r="BB201" s="17"/>
      <x:c r="BC201" s="18"/>
      <x:c r="BD201" s="18"/>
      <x:c r="BE201" s="19"/>
      <x:c r="BF201" s="22" t="str">
        <x:f>IF(A201="","",IF(BI201&gt;=ReadyThreshold,"Ready",IF(BI201&gt;=PartialThreshold,"Partial","Not Ready")))</x:f>
      </x:c>
      <x:c r="BG201" s="23" t="str">
        <x:f>IF(A201="","",COUNTA(N201,Q201,R201,S201)/4)</x:f>
      </x:c>
      <x:c r="BH201" s="23" t="str">
        <x:f>IF(A201="","",(COUNTA(U201,V201,AE201)+IF(COUNTA(W201,X201,Y201,Z201,AA201)&gt;0,1,0))/4)</x:f>
      </x:c>
      <x:c r="BI201" s="23" t="str">
        <x:f>IF(A201="","",(COUNTIF(AV201:AZ201,"Available")+0.5*COUNTIF(AV201:AZ201,"Partial")+IF(BD201&lt;&gt;"",1,0))/6)</x:f>
      </x:c>
      <x:c r="BJ201" s="22" t="str">
        <x:f>IF(A201="","",IF(AND(F201="",BD201=""),"Blocked",IF(AND(BG201&gt;=ReadyThreshold,BH201&gt;=ReadyThreshold,BI201&gt;=ReadyThreshold),"Ready for Analysis",IF(AVERAGE(BG201,BH201,BI201)&gt;=PartialThreshold,"Partially Ready","Discovery Required"))))</x:f>
      </x:c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8"/>
      <x:c r="BU201" s="17"/>
      <x:c r="BV201" s="17"/>
    </x:row>
    <x:row r="202">
      <x:c r="A202" s="17"/>
      <x:c r="B202" s="17"/>
      <x:c r="C202" s="17"/>
      <x:c r="D202" s="17"/>
      <x:c r="E202" s="18"/>
      <x:c r="F202" s="18"/>
      <x:c r="G202" s="17"/>
      <x:c r="H202" s="17"/>
      <x:c r="I202" s="19"/>
      <x:c r="J202" s="19"/>
      <x:c r="K202" s="17"/>
      <x:c r="L202" s="19"/>
      <x:c r="M202" s="17"/>
      <x:c r="N202" s="18"/>
      <x:c r="O202" s="18"/>
      <x:c r="P202" s="17"/>
      <x:c r="Q202" s="17"/>
      <x:c r="R202" s="17"/>
      <x:c r="S202" s="17"/>
      <x:c r="T202" s="17"/>
      <x:c r="U202" s="18"/>
      <x:c r="V202" s="18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20"/>
      <x:c r="AJ202" s="21"/>
      <x:c r="AK202" s="21"/>
      <x:c r="AL202" s="17"/>
      <x:c r="AM202" s="17"/>
      <x:c r="AN202" s="21"/>
      <x:c r="AO202" s="17"/>
      <x:c r="AP202" s="17"/>
      <x:c r="AQ202" s="17"/>
      <x:c r="AR202" s="17"/>
      <x:c r="AS202" s="17"/>
      <x:c r="AT202" s="17"/>
      <x:c r="AU202" s="18"/>
      <x:c r="AV202" s="17"/>
      <x:c r="AW202" s="17"/>
      <x:c r="AX202" s="17"/>
      <x:c r="AY202" s="17"/>
      <x:c r="AZ202" s="17"/>
      <x:c r="BA202" s="17"/>
      <x:c r="BB202" s="17"/>
      <x:c r="BC202" s="18"/>
      <x:c r="BD202" s="18"/>
      <x:c r="BE202" s="19"/>
      <x:c r="BF202" s="22" t="str">
        <x:f>IF(A202="","",IF(BI202&gt;=ReadyThreshold,"Ready",IF(BI202&gt;=PartialThreshold,"Partial","Not Ready")))</x:f>
      </x:c>
      <x:c r="BG202" s="23" t="str">
        <x:f>IF(A202="","",COUNTA(N202,Q202,R202,S202)/4)</x:f>
      </x:c>
      <x:c r="BH202" s="23" t="str">
        <x:f>IF(A202="","",(COUNTA(U202,V202,AE202)+IF(COUNTA(W202,X202,Y202,Z202,AA202)&gt;0,1,0))/4)</x:f>
      </x:c>
      <x:c r="BI202" s="23" t="str">
        <x:f>IF(A202="","",(COUNTIF(AV202:AZ202,"Available")+0.5*COUNTIF(AV202:AZ202,"Partial")+IF(BD202&lt;&gt;"",1,0))/6)</x:f>
      </x:c>
      <x:c r="BJ202" s="22" t="str">
        <x:f>IF(A202="","",IF(AND(F202="",BD202=""),"Blocked",IF(AND(BG202&gt;=ReadyThreshold,BH202&gt;=ReadyThreshold,BI202&gt;=ReadyThreshold),"Ready for Analysis",IF(AVERAGE(BG202,BH202,BI202)&gt;=PartialThreshold,"Partially Ready","Discovery Required"))))</x:f>
      </x:c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8"/>
      <x:c r="BU202" s="17"/>
      <x:c r="BV202" s="17"/>
    </x:row>
    <x:row r="203">
      <x:c r="A203" s="17"/>
      <x:c r="B203" s="17"/>
      <x:c r="C203" s="17"/>
      <x:c r="D203" s="17"/>
      <x:c r="E203" s="18"/>
      <x:c r="F203" s="18"/>
      <x:c r="G203" s="17"/>
      <x:c r="H203" s="17"/>
      <x:c r="I203" s="19"/>
      <x:c r="J203" s="19"/>
      <x:c r="K203" s="17"/>
      <x:c r="L203" s="19"/>
      <x:c r="M203" s="17"/>
      <x:c r="N203" s="18"/>
      <x:c r="O203" s="18"/>
      <x:c r="P203" s="17"/>
      <x:c r="Q203" s="17"/>
      <x:c r="R203" s="17"/>
      <x:c r="S203" s="17"/>
      <x:c r="T203" s="17"/>
      <x:c r="U203" s="18"/>
      <x:c r="V203" s="18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20"/>
      <x:c r="AJ203" s="21"/>
      <x:c r="AK203" s="21"/>
      <x:c r="AL203" s="17"/>
      <x:c r="AM203" s="17"/>
      <x:c r="AN203" s="21"/>
      <x:c r="AO203" s="17"/>
      <x:c r="AP203" s="17"/>
      <x:c r="AQ203" s="17"/>
      <x:c r="AR203" s="17"/>
      <x:c r="AS203" s="17"/>
      <x:c r="AT203" s="17"/>
      <x:c r="AU203" s="18"/>
      <x:c r="AV203" s="17"/>
      <x:c r="AW203" s="17"/>
      <x:c r="AX203" s="17"/>
      <x:c r="AY203" s="17"/>
      <x:c r="AZ203" s="17"/>
      <x:c r="BA203" s="17"/>
      <x:c r="BB203" s="17"/>
      <x:c r="BC203" s="18"/>
      <x:c r="BD203" s="18"/>
      <x:c r="BE203" s="19"/>
      <x:c r="BF203" s="22" t="str">
        <x:f>IF(A203="","",IF(BI203&gt;=ReadyThreshold,"Ready",IF(BI203&gt;=PartialThreshold,"Partial","Not Ready")))</x:f>
      </x:c>
      <x:c r="BG203" s="23" t="str">
        <x:f>IF(A203="","",COUNTA(N203,Q203,R203,S203)/4)</x:f>
      </x:c>
      <x:c r="BH203" s="23" t="str">
        <x:f>IF(A203="","",(COUNTA(U203,V203,AE203)+IF(COUNTA(W203,X203,Y203,Z203,AA203)&gt;0,1,0))/4)</x:f>
      </x:c>
      <x:c r="BI203" s="23" t="str">
        <x:f>IF(A203="","",(COUNTIF(AV203:AZ203,"Available")+0.5*COUNTIF(AV203:AZ203,"Partial")+IF(BD203&lt;&gt;"",1,0))/6)</x:f>
      </x:c>
      <x:c r="BJ203" s="22" t="str">
        <x:f>IF(A203="","",IF(AND(F203="",BD203=""),"Blocked",IF(AND(BG203&gt;=ReadyThreshold,BH203&gt;=ReadyThreshold,BI203&gt;=ReadyThreshold),"Ready for Analysis",IF(AVERAGE(BG203,BH203,BI203)&gt;=PartialThreshold,"Partially Ready","Discovery Required"))))</x:f>
      </x:c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8"/>
      <x:c r="BU203" s="17"/>
      <x:c r="BV203" s="17"/>
    </x:row>
    <x:row r="204">
      <x:c r="A204" s="17"/>
      <x:c r="B204" s="17"/>
      <x:c r="C204" s="17"/>
      <x:c r="D204" s="17"/>
      <x:c r="E204" s="18"/>
      <x:c r="F204" s="18"/>
      <x:c r="G204" s="17"/>
      <x:c r="H204" s="17"/>
      <x:c r="I204" s="19"/>
      <x:c r="J204" s="19"/>
      <x:c r="K204" s="17"/>
      <x:c r="L204" s="19"/>
      <x:c r="M204" s="17"/>
      <x:c r="N204" s="18"/>
      <x:c r="O204" s="18"/>
      <x:c r="P204" s="17"/>
      <x:c r="Q204" s="17"/>
      <x:c r="R204" s="17"/>
      <x:c r="S204" s="17"/>
      <x:c r="T204" s="17"/>
      <x:c r="U204" s="18"/>
      <x:c r="V204" s="18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20"/>
      <x:c r="AJ204" s="21"/>
      <x:c r="AK204" s="21"/>
      <x:c r="AL204" s="17"/>
      <x:c r="AM204" s="17"/>
      <x:c r="AN204" s="21"/>
      <x:c r="AO204" s="17"/>
      <x:c r="AP204" s="17"/>
      <x:c r="AQ204" s="17"/>
      <x:c r="AR204" s="17"/>
      <x:c r="AS204" s="17"/>
      <x:c r="AT204" s="17"/>
      <x:c r="AU204" s="18"/>
      <x:c r="AV204" s="17"/>
      <x:c r="AW204" s="17"/>
      <x:c r="AX204" s="17"/>
      <x:c r="AY204" s="17"/>
      <x:c r="AZ204" s="17"/>
      <x:c r="BA204" s="17"/>
      <x:c r="BB204" s="17"/>
      <x:c r="BC204" s="18"/>
      <x:c r="BD204" s="18"/>
      <x:c r="BE204" s="19"/>
      <x:c r="BF204" s="22" t="str">
        <x:f>IF(A204="","",IF(BI204&gt;=ReadyThreshold,"Ready",IF(BI204&gt;=PartialThreshold,"Partial","Not Ready")))</x:f>
      </x:c>
      <x:c r="BG204" s="23" t="str">
        <x:f>IF(A204="","",COUNTA(N204,Q204,R204,S204)/4)</x:f>
      </x:c>
      <x:c r="BH204" s="23" t="str">
        <x:f>IF(A204="","",(COUNTA(U204,V204,AE204)+IF(COUNTA(W204,X204,Y204,Z204,AA204)&gt;0,1,0))/4)</x:f>
      </x:c>
      <x:c r="BI204" s="23" t="str">
        <x:f>IF(A204="","",(COUNTIF(AV204:AZ204,"Available")+0.5*COUNTIF(AV204:AZ204,"Partial")+IF(BD204&lt;&gt;"",1,0))/6)</x:f>
      </x:c>
      <x:c r="BJ204" s="22" t="str">
        <x:f>IF(A204="","",IF(AND(F204="",BD204=""),"Blocked",IF(AND(BG204&gt;=ReadyThreshold,BH204&gt;=ReadyThreshold,BI204&gt;=ReadyThreshold),"Ready for Analysis",IF(AVERAGE(BG204,BH204,BI204)&gt;=PartialThreshold,"Partially Ready","Discovery Required"))))</x:f>
      </x:c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8"/>
      <x:c r="BU204" s="17"/>
      <x:c r="BV204" s="17"/>
    </x:row>
    <x:row r="205">
      <x:c r="A205" s="17"/>
      <x:c r="B205" s="17"/>
      <x:c r="C205" s="17"/>
      <x:c r="D205" s="17"/>
      <x:c r="E205" s="18"/>
      <x:c r="F205" s="18"/>
      <x:c r="G205" s="17"/>
      <x:c r="H205" s="17"/>
      <x:c r="I205" s="19"/>
      <x:c r="J205" s="19"/>
      <x:c r="K205" s="17"/>
      <x:c r="L205" s="19"/>
      <x:c r="M205" s="17"/>
      <x:c r="N205" s="18"/>
      <x:c r="O205" s="18"/>
      <x:c r="P205" s="17"/>
      <x:c r="Q205" s="17"/>
      <x:c r="R205" s="17"/>
      <x:c r="S205" s="17"/>
      <x:c r="T205" s="17"/>
      <x:c r="U205" s="18"/>
      <x:c r="V205" s="18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20"/>
      <x:c r="AJ205" s="21"/>
      <x:c r="AK205" s="21"/>
      <x:c r="AL205" s="17"/>
      <x:c r="AM205" s="17"/>
      <x:c r="AN205" s="21"/>
      <x:c r="AO205" s="17"/>
      <x:c r="AP205" s="17"/>
      <x:c r="AQ205" s="17"/>
      <x:c r="AR205" s="17"/>
      <x:c r="AS205" s="17"/>
      <x:c r="AT205" s="17"/>
      <x:c r="AU205" s="18"/>
      <x:c r="AV205" s="17"/>
      <x:c r="AW205" s="17"/>
      <x:c r="AX205" s="17"/>
      <x:c r="AY205" s="17"/>
      <x:c r="AZ205" s="17"/>
      <x:c r="BA205" s="17"/>
      <x:c r="BB205" s="17"/>
      <x:c r="BC205" s="18"/>
      <x:c r="BD205" s="18"/>
      <x:c r="BE205" s="19"/>
      <x:c r="BF205" s="22" t="str">
        <x:f>IF(A205="","",IF(BI205&gt;=ReadyThreshold,"Ready",IF(BI205&gt;=PartialThreshold,"Partial","Not Ready")))</x:f>
      </x:c>
      <x:c r="BG205" s="23" t="str">
        <x:f>IF(A205="","",COUNTA(N205,Q205,R205,S205)/4)</x:f>
      </x:c>
      <x:c r="BH205" s="23" t="str">
        <x:f>IF(A205="","",(COUNTA(U205,V205,AE205)+IF(COUNTA(W205,X205,Y205,Z205,AA205)&gt;0,1,0))/4)</x:f>
      </x:c>
      <x:c r="BI205" s="23" t="str">
        <x:f>IF(A205="","",(COUNTIF(AV205:AZ205,"Available")+0.5*COUNTIF(AV205:AZ205,"Partial")+IF(BD205&lt;&gt;"",1,0))/6)</x:f>
      </x:c>
      <x:c r="BJ205" s="22" t="str">
        <x:f>IF(A205="","",IF(AND(F205="",BD205=""),"Blocked",IF(AND(BG205&gt;=ReadyThreshold,BH205&gt;=ReadyThreshold,BI205&gt;=ReadyThreshold),"Ready for Analysis",IF(AVERAGE(BG205,BH205,BI205)&gt;=PartialThreshold,"Partially Ready","Discovery Required"))))</x:f>
      </x:c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8"/>
      <x:c r="BU205" s="17"/>
      <x:c r="BV205" s="17"/>
    </x:row>
    <x:row r="206">
      <x:c r="A206" s="17"/>
      <x:c r="B206" s="17"/>
      <x:c r="C206" s="17"/>
      <x:c r="D206" s="17"/>
      <x:c r="E206" s="18"/>
      <x:c r="F206" s="18"/>
      <x:c r="G206" s="17"/>
      <x:c r="H206" s="17"/>
      <x:c r="I206" s="19"/>
      <x:c r="J206" s="19"/>
      <x:c r="K206" s="17"/>
      <x:c r="L206" s="19"/>
      <x:c r="M206" s="17"/>
      <x:c r="N206" s="18"/>
      <x:c r="O206" s="18"/>
      <x:c r="P206" s="17"/>
      <x:c r="Q206" s="17"/>
      <x:c r="R206" s="17"/>
      <x:c r="S206" s="17"/>
      <x:c r="T206" s="17"/>
      <x:c r="U206" s="18"/>
      <x:c r="V206" s="18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20"/>
      <x:c r="AJ206" s="21"/>
      <x:c r="AK206" s="21"/>
      <x:c r="AL206" s="17"/>
      <x:c r="AM206" s="17"/>
      <x:c r="AN206" s="21"/>
      <x:c r="AO206" s="17"/>
      <x:c r="AP206" s="17"/>
      <x:c r="AQ206" s="17"/>
      <x:c r="AR206" s="17"/>
      <x:c r="AS206" s="17"/>
      <x:c r="AT206" s="17"/>
      <x:c r="AU206" s="18"/>
      <x:c r="AV206" s="17"/>
      <x:c r="AW206" s="17"/>
      <x:c r="AX206" s="17"/>
      <x:c r="AY206" s="17"/>
      <x:c r="AZ206" s="17"/>
      <x:c r="BA206" s="17"/>
      <x:c r="BB206" s="17"/>
      <x:c r="BC206" s="18"/>
      <x:c r="BD206" s="18"/>
      <x:c r="BE206" s="19"/>
      <x:c r="BF206" s="22" t="str">
        <x:f>IF(A206="","",IF(BI206&gt;=ReadyThreshold,"Ready",IF(BI206&gt;=PartialThreshold,"Partial","Not Ready")))</x:f>
      </x:c>
      <x:c r="BG206" s="23" t="str">
        <x:f>IF(A206="","",COUNTA(N206,Q206,R206,S206)/4)</x:f>
      </x:c>
      <x:c r="BH206" s="23" t="str">
        <x:f>IF(A206="","",(COUNTA(U206,V206,AE206)+IF(COUNTA(W206,X206,Y206,Z206,AA206)&gt;0,1,0))/4)</x:f>
      </x:c>
      <x:c r="BI206" s="23" t="str">
        <x:f>IF(A206="","",(COUNTIF(AV206:AZ206,"Available")+0.5*COUNTIF(AV206:AZ206,"Partial")+IF(BD206&lt;&gt;"",1,0))/6)</x:f>
      </x:c>
      <x:c r="BJ206" s="22" t="str">
        <x:f>IF(A206="","",IF(AND(F206="",BD206=""),"Blocked",IF(AND(BG206&gt;=ReadyThreshold,BH206&gt;=ReadyThreshold,BI206&gt;=ReadyThreshold),"Ready for Analysis",IF(AVERAGE(BG206,BH206,BI206)&gt;=PartialThreshold,"Partially Ready","Discovery Required"))))</x:f>
      </x:c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8"/>
      <x:c r="BU206" s="17"/>
      <x:c r="BV206" s="17"/>
    </x:row>
    <x:row r="207">
      <x:c r="A207" s="17"/>
      <x:c r="B207" s="17"/>
      <x:c r="C207" s="17"/>
      <x:c r="D207" s="17"/>
      <x:c r="E207" s="18"/>
      <x:c r="F207" s="18"/>
      <x:c r="G207" s="17"/>
      <x:c r="H207" s="17"/>
      <x:c r="I207" s="19"/>
      <x:c r="J207" s="19"/>
      <x:c r="K207" s="17"/>
      <x:c r="L207" s="19"/>
      <x:c r="M207" s="17"/>
      <x:c r="N207" s="18"/>
      <x:c r="O207" s="18"/>
      <x:c r="P207" s="17"/>
      <x:c r="Q207" s="17"/>
      <x:c r="R207" s="17"/>
      <x:c r="S207" s="17"/>
      <x:c r="T207" s="17"/>
      <x:c r="U207" s="18"/>
      <x:c r="V207" s="18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20"/>
      <x:c r="AJ207" s="21"/>
      <x:c r="AK207" s="21"/>
      <x:c r="AL207" s="17"/>
      <x:c r="AM207" s="17"/>
      <x:c r="AN207" s="21"/>
      <x:c r="AO207" s="17"/>
      <x:c r="AP207" s="17"/>
      <x:c r="AQ207" s="17"/>
      <x:c r="AR207" s="17"/>
      <x:c r="AS207" s="17"/>
      <x:c r="AT207" s="17"/>
      <x:c r="AU207" s="18"/>
      <x:c r="AV207" s="17"/>
      <x:c r="AW207" s="17"/>
      <x:c r="AX207" s="17"/>
      <x:c r="AY207" s="17"/>
      <x:c r="AZ207" s="17"/>
      <x:c r="BA207" s="17"/>
      <x:c r="BB207" s="17"/>
      <x:c r="BC207" s="18"/>
      <x:c r="BD207" s="18"/>
      <x:c r="BE207" s="19"/>
      <x:c r="BF207" s="22" t="str">
        <x:f>IF(A207="","",IF(BI207&gt;=ReadyThreshold,"Ready",IF(BI207&gt;=PartialThreshold,"Partial","Not Ready")))</x:f>
      </x:c>
      <x:c r="BG207" s="23" t="str">
        <x:f>IF(A207="","",COUNTA(N207,Q207,R207,S207)/4)</x:f>
      </x:c>
      <x:c r="BH207" s="23" t="str">
        <x:f>IF(A207="","",(COUNTA(U207,V207,AE207)+IF(COUNTA(W207,X207,Y207,Z207,AA207)&gt;0,1,0))/4)</x:f>
      </x:c>
      <x:c r="BI207" s="23" t="str">
        <x:f>IF(A207="","",(COUNTIF(AV207:AZ207,"Available")+0.5*COUNTIF(AV207:AZ207,"Partial")+IF(BD207&lt;&gt;"",1,0))/6)</x:f>
      </x:c>
      <x:c r="BJ207" s="22" t="str">
        <x:f>IF(A207="","",IF(AND(F207="",BD207=""),"Blocked",IF(AND(BG207&gt;=ReadyThreshold,BH207&gt;=ReadyThreshold,BI207&gt;=ReadyThreshold),"Ready for Analysis",IF(AVERAGE(BG207,BH207,BI207)&gt;=PartialThreshold,"Partially Ready","Discovery Required"))))</x:f>
      </x:c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8"/>
      <x:c r="BU207" s="17"/>
      <x:c r="BV207" s="17"/>
    </x:row>
    <x:row r="208">
      <x:c r="A208" s="17"/>
      <x:c r="B208" s="17"/>
      <x:c r="C208" s="17"/>
      <x:c r="D208" s="17"/>
      <x:c r="E208" s="18"/>
      <x:c r="F208" s="18"/>
      <x:c r="G208" s="17"/>
      <x:c r="H208" s="17"/>
      <x:c r="I208" s="19"/>
      <x:c r="J208" s="19"/>
      <x:c r="K208" s="17"/>
      <x:c r="L208" s="19"/>
      <x:c r="M208" s="17"/>
      <x:c r="N208" s="18"/>
      <x:c r="O208" s="18"/>
      <x:c r="P208" s="17"/>
      <x:c r="Q208" s="17"/>
      <x:c r="R208" s="17"/>
      <x:c r="S208" s="17"/>
      <x:c r="T208" s="17"/>
      <x:c r="U208" s="18"/>
      <x:c r="V208" s="18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20"/>
      <x:c r="AJ208" s="21"/>
      <x:c r="AK208" s="21"/>
      <x:c r="AL208" s="17"/>
      <x:c r="AM208" s="17"/>
      <x:c r="AN208" s="21"/>
      <x:c r="AO208" s="17"/>
      <x:c r="AP208" s="17"/>
      <x:c r="AQ208" s="17"/>
      <x:c r="AR208" s="17"/>
      <x:c r="AS208" s="17"/>
      <x:c r="AT208" s="17"/>
      <x:c r="AU208" s="18"/>
      <x:c r="AV208" s="17"/>
      <x:c r="AW208" s="17"/>
      <x:c r="AX208" s="17"/>
      <x:c r="AY208" s="17"/>
      <x:c r="AZ208" s="17"/>
      <x:c r="BA208" s="17"/>
      <x:c r="BB208" s="17"/>
      <x:c r="BC208" s="18"/>
      <x:c r="BD208" s="18"/>
      <x:c r="BE208" s="19"/>
      <x:c r="BF208" s="22" t="str">
        <x:f>IF(A208="","",IF(BI208&gt;=ReadyThreshold,"Ready",IF(BI208&gt;=PartialThreshold,"Partial","Not Ready")))</x:f>
      </x:c>
      <x:c r="BG208" s="23" t="str">
        <x:f>IF(A208="","",COUNTA(N208,Q208,R208,S208)/4)</x:f>
      </x:c>
      <x:c r="BH208" s="23" t="str">
        <x:f>IF(A208="","",(COUNTA(U208,V208,AE208)+IF(COUNTA(W208,X208,Y208,Z208,AA208)&gt;0,1,0))/4)</x:f>
      </x:c>
      <x:c r="BI208" s="23" t="str">
        <x:f>IF(A208="","",(COUNTIF(AV208:AZ208,"Available")+0.5*COUNTIF(AV208:AZ208,"Partial")+IF(BD208&lt;&gt;"",1,0))/6)</x:f>
      </x:c>
      <x:c r="BJ208" s="22" t="str">
        <x:f>IF(A208="","",IF(AND(F208="",BD208=""),"Blocked",IF(AND(BG208&gt;=ReadyThreshold,BH208&gt;=ReadyThreshold,BI208&gt;=ReadyThreshold),"Ready for Analysis",IF(AVERAGE(BG208,BH208,BI208)&gt;=PartialThreshold,"Partially Ready","Discovery Required"))))</x:f>
      </x:c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8"/>
      <x:c r="BU208" s="17"/>
      <x:c r="BV208" s="17"/>
    </x:row>
    <x:row r="209">
      <x:c r="A209" s="17"/>
      <x:c r="B209" s="17"/>
      <x:c r="C209" s="17"/>
      <x:c r="D209" s="17"/>
      <x:c r="E209" s="18"/>
      <x:c r="F209" s="18"/>
      <x:c r="G209" s="17"/>
      <x:c r="H209" s="17"/>
      <x:c r="I209" s="19"/>
      <x:c r="J209" s="19"/>
      <x:c r="K209" s="17"/>
      <x:c r="L209" s="19"/>
      <x:c r="M209" s="17"/>
      <x:c r="N209" s="18"/>
      <x:c r="O209" s="18"/>
      <x:c r="P209" s="17"/>
      <x:c r="Q209" s="17"/>
      <x:c r="R209" s="17"/>
      <x:c r="S209" s="17"/>
      <x:c r="T209" s="17"/>
      <x:c r="U209" s="18"/>
      <x:c r="V209" s="18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20"/>
      <x:c r="AJ209" s="21"/>
      <x:c r="AK209" s="21"/>
      <x:c r="AL209" s="17"/>
      <x:c r="AM209" s="17"/>
      <x:c r="AN209" s="21"/>
      <x:c r="AO209" s="17"/>
      <x:c r="AP209" s="17"/>
      <x:c r="AQ209" s="17"/>
      <x:c r="AR209" s="17"/>
      <x:c r="AS209" s="17"/>
      <x:c r="AT209" s="17"/>
      <x:c r="AU209" s="18"/>
      <x:c r="AV209" s="17"/>
      <x:c r="AW209" s="17"/>
      <x:c r="AX209" s="17"/>
      <x:c r="AY209" s="17"/>
      <x:c r="AZ209" s="17"/>
      <x:c r="BA209" s="17"/>
      <x:c r="BB209" s="17"/>
      <x:c r="BC209" s="18"/>
      <x:c r="BD209" s="18"/>
      <x:c r="BE209" s="19"/>
      <x:c r="BF209" s="22" t="str">
        <x:f>IF(A209="","",IF(BI209&gt;=ReadyThreshold,"Ready",IF(BI209&gt;=PartialThreshold,"Partial","Not Ready")))</x:f>
      </x:c>
      <x:c r="BG209" s="23" t="str">
        <x:f>IF(A209="","",COUNTA(N209,Q209,R209,S209)/4)</x:f>
      </x:c>
      <x:c r="BH209" s="23" t="str">
        <x:f>IF(A209="","",(COUNTA(U209,V209,AE209)+IF(COUNTA(W209,X209,Y209,Z209,AA209)&gt;0,1,0))/4)</x:f>
      </x:c>
      <x:c r="BI209" s="23" t="str">
        <x:f>IF(A209="","",(COUNTIF(AV209:AZ209,"Available")+0.5*COUNTIF(AV209:AZ209,"Partial")+IF(BD209&lt;&gt;"",1,0))/6)</x:f>
      </x:c>
      <x:c r="BJ209" s="22" t="str">
        <x:f>IF(A209="","",IF(AND(F209="",BD209=""),"Blocked",IF(AND(BG209&gt;=ReadyThreshold,BH209&gt;=ReadyThreshold,BI209&gt;=ReadyThreshold),"Ready for Analysis",IF(AVERAGE(BG209,BH209,BI209)&gt;=PartialThreshold,"Partially Ready","Discovery Required"))))</x:f>
      </x:c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8"/>
      <x:c r="BU209" s="17"/>
      <x:c r="BV209" s="17"/>
    </x:row>
    <x:row r="210">
      <x:c r="A210" s="17"/>
      <x:c r="B210" s="17"/>
      <x:c r="C210" s="17"/>
      <x:c r="D210" s="17"/>
      <x:c r="E210" s="18"/>
      <x:c r="F210" s="18"/>
      <x:c r="G210" s="17"/>
      <x:c r="H210" s="17"/>
      <x:c r="I210" s="19"/>
      <x:c r="J210" s="19"/>
      <x:c r="K210" s="17"/>
      <x:c r="L210" s="19"/>
      <x:c r="M210" s="17"/>
      <x:c r="N210" s="18"/>
      <x:c r="O210" s="18"/>
      <x:c r="P210" s="17"/>
      <x:c r="Q210" s="17"/>
      <x:c r="R210" s="17"/>
      <x:c r="S210" s="17"/>
      <x:c r="T210" s="17"/>
      <x:c r="U210" s="18"/>
      <x:c r="V210" s="18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20"/>
      <x:c r="AJ210" s="21"/>
      <x:c r="AK210" s="21"/>
      <x:c r="AL210" s="17"/>
      <x:c r="AM210" s="17"/>
      <x:c r="AN210" s="21"/>
      <x:c r="AO210" s="17"/>
      <x:c r="AP210" s="17"/>
      <x:c r="AQ210" s="17"/>
      <x:c r="AR210" s="17"/>
      <x:c r="AS210" s="17"/>
      <x:c r="AT210" s="17"/>
      <x:c r="AU210" s="18"/>
      <x:c r="AV210" s="17"/>
      <x:c r="AW210" s="17"/>
      <x:c r="AX210" s="17"/>
      <x:c r="AY210" s="17"/>
      <x:c r="AZ210" s="17"/>
      <x:c r="BA210" s="17"/>
      <x:c r="BB210" s="17"/>
      <x:c r="BC210" s="18"/>
      <x:c r="BD210" s="18"/>
      <x:c r="BE210" s="19"/>
      <x:c r="BF210" s="22" t="str">
        <x:f>IF(A210="","",IF(BI210&gt;=ReadyThreshold,"Ready",IF(BI210&gt;=PartialThreshold,"Partial","Not Ready")))</x:f>
      </x:c>
      <x:c r="BG210" s="23" t="str">
        <x:f>IF(A210="","",COUNTA(N210,Q210,R210,S210)/4)</x:f>
      </x:c>
      <x:c r="BH210" s="23" t="str">
        <x:f>IF(A210="","",(COUNTA(U210,V210,AE210)+IF(COUNTA(W210,X210,Y210,Z210,AA210)&gt;0,1,0))/4)</x:f>
      </x:c>
      <x:c r="BI210" s="23" t="str">
        <x:f>IF(A210="","",(COUNTIF(AV210:AZ210,"Available")+0.5*COUNTIF(AV210:AZ210,"Partial")+IF(BD210&lt;&gt;"",1,0))/6)</x:f>
      </x:c>
      <x:c r="BJ210" s="22" t="str">
        <x:f>IF(A210="","",IF(AND(F210="",BD210=""),"Blocked",IF(AND(BG210&gt;=ReadyThreshold,BH210&gt;=ReadyThreshold,BI210&gt;=ReadyThreshold),"Ready for Analysis",IF(AVERAGE(BG210,BH210,BI210)&gt;=PartialThreshold,"Partially Ready","Discovery Required"))))</x:f>
      </x:c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8"/>
      <x:c r="BU210" s="17"/>
      <x:c r="BV210" s="17"/>
    </x:row>
    <x:row r="211">
      <x:c r="A211" s="17"/>
      <x:c r="B211" s="17"/>
      <x:c r="C211" s="17"/>
      <x:c r="D211" s="17"/>
      <x:c r="E211" s="18"/>
      <x:c r="F211" s="18"/>
      <x:c r="G211" s="17"/>
      <x:c r="H211" s="17"/>
      <x:c r="I211" s="19"/>
      <x:c r="J211" s="19"/>
      <x:c r="K211" s="17"/>
      <x:c r="L211" s="19"/>
      <x:c r="M211" s="17"/>
      <x:c r="N211" s="18"/>
      <x:c r="O211" s="18"/>
      <x:c r="P211" s="17"/>
      <x:c r="Q211" s="17"/>
      <x:c r="R211" s="17"/>
      <x:c r="S211" s="17"/>
      <x:c r="T211" s="17"/>
      <x:c r="U211" s="18"/>
      <x:c r="V211" s="18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20"/>
      <x:c r="AJ211" s="21"/>
      <x:c r="AK211" s="21"/>
      <x:c r="AL211" s="17"/>
      <x:c r="AM211" s="17"/>
      <x:c r="AN211" s="21"/>
      <x:c r="AO211" s="17"/>
      <x:c r="AP211" s="17"/>
      <x:c r="AQ211" s="17"/>
      <x:c r="AR211" s="17"/>
      <x:c r="AS211" s="17"/>
      <x:c r="AT211" s="17"/>
      <x:c r="AU211" s="18"/>
      <x:c r="AV211" s="17"/>
      <x:c r="AW211" s="17"/>
      <x:c r="AX211" s="17"/>
      <x:c r="AY211" s="17"/>
      <x:c r="AZ211" s="17"/>
      <x:c r="BA211" s="17"/>
      <x:c r="BB211" s="17"/>
      <x:c r="BC211" s="18"/>
      <x:c r="BD211" s="18"/>
      <x:c r="BE211" s="19"/>
      <x:c r="BF211" s="22" t="str">
        <x:f>IF(A211="","",IF(BI211&gt;=ReadyThreshold,"Ready",IF(BI211&gt;=PartialThreshold,"Partial","Not Ready")))</x:f>
      </x:c>
      <x:c r="BG211" s="23" t="str">
        <x:f>IF(A211="","",COUNTA(N211,Q211,R211,S211)/4)</x:f>
      </x:c>
      <x:c r="BH211" s="23" t="str">
        <x:f>IF(A211="","",(COUNTA(U211,V211,AE211)+IF(COUNTA(W211,X211,Y211,Z211,AA211)&gt;0,1,0))/4)</x:f>
      </x:c>
      <x:c r="BI211" s="23" t="str">
        <x:f>IF(A211="","",(COUNTIF(AV211:AZ211,"Available")+0.5*COUNTIF(AV211:AZ211,"Partial")+IF(BD211&lt;&gt;"",1,0))/6)</x:f>
      </x:c>
      <x:c r="BJ211" s="22" t="str">
        <x:f>IF(A211="","",IF(AND(F211="",BD211=""),"Blocked",IF(AND(BG211&gt;=ReadyThreshold,BH211&gt;=ReadyThreshold,BI211&gt;=ReadyThreshold),"Ready for Analysis",IF(AVERAGE(BG211,BH211,BI211)&gt;=PartialThreshold,"Partially Ready","Discovery Required"))))</x:f>
      </x:c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8"/>
      <x:c r="BU211" s="17"/>
      <x:c r="BV211" s="17"/>
    </x:row>
    <x:row r="212">
      <x:c r="A212" s="17"/>
      <x:c r="B212" s="17"/>
      <x:c r="C212" s="17"/>
      <x:c r="D212" s="17"/>
      <x:c r="E212" s="18"/>
      <x:c r="F212" s="18"/>
      <x:c r="G212" s="17"/>
      <x:c r="H212" s="17"/>
      <x:c r="I212" s="19"/>
      <x:c r="J212" s="19"/>
      <x:c r="K212" s="17"/>
      <x:c r="L212" s="19"/>
      <x:c r="M212" s="17"/>
      <x:c r="N212" s="18"/>
      <x:c r="O212" s="18"/>
      <x:c r="P212" s="17"/>
      <x:c r="Q212" s="17"/>
      <x:c r="R212" s="17"/>
      <x:c r="S212" s="17"/>
      <x:c r="T212" s="17"/>
      <x:c r="U212" s="18"/>
      <x:c r="V212" s="18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20"/>
      <x:c r="AJ212" s="21"/>
      <x:c r="AK212" s="21"/>
      <x:c r="AL212" s="17"/>
      <x:c r="AM212" s="17"/>
      <x:c r="AN212" s="21"/>
      <x:c r="AO212" s="17"/>
      <x:c r="AP212" s="17"/>
      <x:c r="AQ212" s="17"/>
      <x:c r="AR212" s="17"/>
      <x:c r="AS212" s="17"/>
      <x:c r="AT212" s="17"/>
      <x:c r="AU212" s="18"/>
      <x:c r="AV212" s="17"/>
      <x:c r="AW212" s="17"/>
      <x:c r="AX212" s="17"/>
      <x:c r="AY212" s="17"/>
      <x:c r="AZ212" s="17"/>
      <x:c r="BA212" s="17"/>
      <x:c r="BB212" s="17"/>
      <x:c r="BC212" s="18"/>
      <x:c r="BD212" s="18"/>
      <x:c r="BE212" s="19"/>
      <x:c r="BF212" s="22" t="str">
        <x:f>IF(A212="","",IF(BI212&gt;=ReadyThreshold,"Ready",IF(BI212&gt;=PartialThreshold,"Partial","Not Ready")))</x:f>
      </x:c>
      <x:c r="BG212" s="23" t="str">
        <x:f>IF(A212="","",COUNTA(N212,Q212,R212,S212)/4)</x:f>
      </x:c>
      <x:c r="BH212" s="23" t="str">
        <x:f>IF(A212="","",(COUNTA(U212,V212,AE212)+IF(COUNTA(W212,X212,Y212,Z212,AA212)&gt;0,1,0))/4)</x:f>
      </x:c>
      <x:c r="BI212" s="23" t="str">
        <x:f>IF(A212="","",(COUNTIF(AV212:AZ212,"Available")+0.5*COUNTIF(AV212:AZ212,"Partial")+IF(BD212&lt;&gt;"",1,0))/6)</x:f>
      </x:c>
      <x:c r="BJ212" s="22" t="str">
        <x:f>IF(A212="","",IF(AND(F212="",BD212=""),"Blocked",IF(AND(BG212&gt;=ReadyThreshold,BH212&gt;=ReadyThreshold,BI212&gt;=ReadyThreshold),"Ready for Analysis",IF(AVERAGE(BG212,BH212,BI212)&gt;=PartialThreshold,"Partially Ready","Discovery Required"))))</x:f>
      </x:c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8"/>
      <x:c r="BU212" s="17"/>
      <x:c r="BV212" s="17"/>
    </x:row>
    <x:row r="213">
      <x:c r="A213" s="17"/>
      <x:c r="B213" s="17"/>
      <x:c r="C213" s="17"/>
      <x:c r="D213" s="17"/>
      <x:c r="E213" s="18"/>
      <x:c r="F213" s="18"/>
      <x:c r="G213" s="17"/>
      <x:c r="H213" s="17"/>
      <x:c r="I213" s="19"/>
      <x:c r="J213" s="19"/>
      <x:c r="K213" s="17"/>
      <x:c r="L213" s="19"/>
      <x:c r="M213" s="17"/>
      <x:c r="N213" s="18"/>
      <x:c r="O213" s="18"/>
      <x:c r="P213" s="17"/>
      <x:c r="Q213" s="17"/>
      <x:c r="R213" s="17"/>
      <x:c r="S213" s="17"/>
      <x:c r="T213" s="17"/>
      <x:c r="U213" s="18"/>
      <x:c r="V213" s="18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20"/>
      <x:c r="AJ213" s="21"/>
      <x:c r="AK213" s="21"/>
      <x:c r="AL213" s="17"/>
      <x:c r="AM213" s="17"/>
      <x:c r="AN213" s="21"/>
      <x:c r="AO213" s="17"/>
      <x:c r="AP213" s="17"/>
      <x:c r="AQ213" s="17"/>
      <x:c r="AR213" s="17"/>
      <x:c r="AS213" s="17"/>
      <x:c r="AT213" s="17"/>
      <x:c r="AU213" s="18"/>
      <x:c r="AV213" s="17"/>
      <x:c r="AW213" s="17"/>
      <x:c r="AX213" s="17"/>
      <x:c r="AY213" s="17"/>
      <x:c r="AZ213" s="17"/>
      <x:c r="BA213" s="17"/>
      <x:c r="BB213" s="17"/>
      <x:c r="BC213" s="18"/>
      <x:c r="BD213" s="18"/>
      <x:c r="BE213" s="19"/>
      <x:c r="BF213" s="22" t="str">
        <x:f>IF(A213="","",IF(BI213&gt;=ReadyThreshold,"Ready",IF(BI213&gt;=PartialThreshold,"Partial","Not Ready")))</x:f>
      </x:c>
      <x:c r="BG213" s="23" t="str">
        <x:f>IF(A213="","",COUNTA(N213,Q213,R213,S213)/4)</x:f>
      </x:c>
      <x:c r="BH213" s="23" t="str">
        <x:f>IF(A213="","",(COUNTA(U213,V213,AE213)+IF(COUNTA(W213,X213,Y213,Z213,AA213)&gt;0,1,0))/4)</x:f>
      </x:c>
      <x:c r="BI213" s="23" t="str">
        <x:f>IF(A213="","",(COUNTIF(AV213:AZ213,"Available")+0.5*COUNTIF(AV213:AZ213,"Partial")+IF(BD213&lt;&gt;"",1,0))/6)</x:f>
      </x:c>
      <x:c r="BJ213" s="22" t="str">
        <x:f>IF(A213="","",IF(AND(F213="",BD213=""),"Blocked",IF(AND(BG213&gt;=ReadyThreshold,BH213&gt;=ReadyThreshold,BI213&gt;=ReadyThreshold),"Ready for Analysis",IF(AVERAGE(BG213,BH213,BI213)&gt;=PartialThreshold,"Partially Ready","Discovery Required"))))</x:f>
      </x:c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8"/>
      <x:c r="BU213" s="17"/>
      <x:c r="BV213" s="17"/>
    </x:row>
    <x:row r="214">
      <x:c r="A214" s="17"/>
      <x:c r="B214" s="17"/>
      <x:c r="C214" s="17"/>
      <x:c r="D214" s="17"/>
      <x:c r="E214" s="18"/>
      <x:c r="F214" s="18"/>
      <x:c r="G214" s="17"/>
      <x:c r="H214" s="17"/>
      <x:c r="I214" s="19"/>
      <x:c r="J214" s="19"/>
      <x:c r="K214" s="17"/>
      <x:c r="L214" s="19"/>
      <x:c r="M214" s="17"/>
      <x:c r="N214" s="18"/>
      <x:c r="O214" s="18"/>
      <x:c r="P214" s="17"/>
      <x:c r="Q214" s="17"/>
      <x:c r="R214" s="17"/>
      <x:c r="S214" s="17"/>
      <x:c r="T214" s="17"/>
      <x:c r="U214" s="18"/>
      <x:c r="V214" s="18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20"/>
      <x:c r="AJ214" s="21"/>
      <x:c r="AK214" s="21"/>
      <x:c r="AL214" s="17"/>
      <x:c r="AM214" s="17"/>
      <x:c r="AN214" s="21"/>
      <x:c r="AO214" s="17"/>
      <x:c r="AP214" s="17"/>
      <x:c r="AQ214" s="17"/>
      <x:c r="AR214" s="17"/>
      <x:c r="AS214" s="17"/>
      <x:c r="AT214" s="17"/>
      <x:c r="AU214" s="18"/>
      <x:c r="AV214" s="17"/>
      <x:c r="AW214" s="17"/>
      <x:c r="AX214" s="17"/>
      <x:c r="AY214" s="17"/>
      <x:c r="AZ214" s="17"/>
      <x:c r="BA214" s="17"/>
      <x:c r="BB214" s="17"/>
      <x:c r="BC214" s="18"/>
      <x:c r="BD214" s="18"/>
      <x:c r="BE214" s="19"/>
      <x:c r="BF214" s="22" t="str">
        <x:f>IF(A214="","",IF(BI214&gt;=ReadyThreshold,"Ready",IF(BI214&gt;=PartialThreshold,"Partial","Not Ready")))</x:f>
      </x:c>
      <x:c r="BG214" s="23" t="str">
        <x:f>IF(A214="","",COUNTA(N214,Q214,R214,S214)/4)</x:f>
      </x:c>
      <x:c r="BH214" s="23" t="str">
        <x:f>IF(A214="","",(COUNTA(U214,V214,AE214)+IF(COUNTA(W214,X214,Y214,Z214,AA214)&gt;0,1,0))/4)</x:f>
      </x:c>
      <x:c r="BI214" s="23" t="str">
        <x:f>IF(A214="","",(COUNTIF(AV214:AZ214,"Available")+0.5*COUNTIF(AV214:AZ214,"Partial")+IF(BD214&lt;&gt;"",1,0))/6)</x:f>
      </x:c>
      <x:c r="BJ214" s="22" t="str">
        <x:f>IF(A214="","",IF(AND(F214="",BD214=""),"Blocked",IF(AND(BG214&gt;=ReadyThreshold,BH214&gt;=ReadyThreshold,BI214&gt;=ReadyThreshold),"Ready for Analysis",IF(AVERAGE(BG214,BH214,BI214)&gt;=PartialThreshold,"Partially Ready","Discovery Required"))))</x:f>
      </x:c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8"/>
      <x:c r="BU214" s="17"/>
      <x:c r="BV214" s="17"/>
    </x:row>
    <x:row r="215">
      <x:c r="A215" s="17"/>
      <x:c r="B215" s="17"/>
      <x:c r="C215" s="17"/>
      <x:c r="D215" s="17"/>
      <x:c r="E215" s="18"/>
      <x:c r="F215" s="18"/>
      <x:c r="G215" s="17"/>
      <x:c r="H215" s="17"/>
      <x:c r="I215" s="19"/>
      <x:c r="J215" s="19"/>
      <x:c r="K215" s="17"/>
      <x:c r="L215" s="19"/>
      <x:c r="M215" s="17"/>
      <x:c r="N215" s="18"/>
      <x:c r="O215" s="18"/>
      <x:c r="P215" s="17"/>
      <x:c r="Q215" s="17"/>
      <x:c r="R215" s="17"/>
      <x:c r="S215" s="17"/>
      <x:c r="T215" s="17"/>
      <x:c r="U215" s="18"/>
      <x:c r="V215" s="18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20"/>
      <x:c r="AJ215" s="21"/>
      <x:c r="AK215" s="21"/>
      <x:c r="AL215" s="17"/>
      <x:c r="AM215" s="17"/>
      <x:c r="AN215" s="21"/>
      <x:c r="AO215" s="17"/>
      <x:c r="AP215" s="17"/>
      <x:c r="AQ215" s="17"/>
      <x:c r="AR215" s="17"/>
      <x:c r="AS215" s="17"/>
      <x:c r="AT215" s="17"/>
      <x:c r="AU215" s="18"/>
      <x:c r="AV215" s="17"/>
      <x:c r="AW215" s="17"/>
      <x:c r="AX215" s="17"/>
      <x:c r="AY215" s="17"/>
      <x:c r="AZ215" s="17"/>
      <x:c r="BA215" s="17"/>
      <x:c r="BB215" s="17"/>
      <x:c r="BC215" s="18"/>
      <x:c r="BD215" s="18"/>
      <x:c r="BE215" s="19"/>
      <x:c r="BF215" s="22" t="str">
        <x:f>IF(A215="","",IF(BI215&gt;=ReadyThreshold,"Ready",IF(BI215&gt;=PartialThreshold,"Partial","Not Ready")))</x:f>
      </x:c>
      <x:c r="BG215" s="23" t="str">
        <x:f>IF(A215="","",COUNTA(N215,Q215,R215,S215)/4)</x:f>
      </x:c>
      <x:c r="BH215" s="23" t="str">
        <x:f>IF(A215="","",(COUNTA(U215,V215,AE215)+IF(COUNTA(W215,X215,Y215,Z215,AA215)&gt;0,1,0))/4)</x:f>
      </x:c>
      <x:c r="BI215" s="23" t="str">
        <x:f>IF(A215="","",(COUNTIF(AV215:AZ215,"Available")+0.5*COUNTIF(AV215:AZ215,"Partial")+IF(BD215&lt;&gt;"",1,0))/6)</x:f>
      </x:c>
      <x:c r="BJ215" s="22" t="str">
        <x:f>IF(A215="","",IF(AND(F215="",BD215=""),"Blocked",IF(AND(BG215&gt;=ReadyThreshold,BH215&gt;=ReadyThreshold,BI215&gt;=ReadyThreshold),"Ready for Analysis",IF(AVERAGE(BG215,BH215,BI215)&gt;=PartialThreshold,"Partially Ready","Discovery Required"))))</x:f>
      </x:c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8"/>
      <x:c r="BU215" s="17"/>
      <x:c r="BV215" s="17"/>
    </x:row>
    <x:row r="216">
      <x:c r="A216" s="17"/>
      <x:c r="B216" s="17"/>
      <x:c r="C216" s="17"/>
      <x:c r="D216" s="17"/>
      <x:c r="E216" s="18"/>
      <x:c r="F216" s="18"/>
      <x:c r="G216" s="17"/>
      <x:c r="H216" s="17"/>
      <x:c r="I216" s="19"/>
      <x:c r="J216" s="19"/>
      <x:c r="K216" s="17"/>
      <x:c r="L216" s="19"/>
      <x:c r="M216" s="17"/>
      <x:c r="N216" s="18"/>
      <x:c r="O216" s="18"/>
      <x:c r="P216" s="17"/>
      <x:c r="Q216" s="17"/>
      <x:c r="R216" s="17"/>
      <x:c r="S216" s="17"/>
      <x:c r="T216" s="17"/>
      <x:c r="U216" s="18"/>
      <x:c r="V216" s="18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20"/>
      <x:c r="AJ216" s="21"/>
      <x:c r="AK216" s="21"/>
      <x:c r="AL216" s="17"/>
      <x:c r="AM216" s="17"/>
      <x:c r="AN216" s="21"/>
      <x:c r="AO216" s="17"/>
      <x:c r="AP216" s="17"/>
      <x:c r="AQ216" s="17"/>
      <x:c r="AR216" s="17"/>
      <x:c r="AS216" s="17"/>
      <x:c r="AT216" s="17"/>
      <x:c r="AU216" s="18"/>
      <x:c r="AV216" s="17"/>
      <x:c r="AW216" s="17"/>
      <x:c r="AX216" s="17"/>
      <x:c r="AY216" s="17"/>
      <x:c r="AZ216" s="17"/>
      <x:c r="BA216" s="17"/>
      <x:c r="BB216" s="17"/>
      <x:c r="BC216" s="18"/>
      <x:c r="BD216" s="18"/>
      <x:c r="BE216" s="19"/>
      <x:c r="BF216" s="22" t="str">
        <x:f>IF(A216="","",IF(BI216&gt;=ReadyThreshold,"Ready",IF(BI216&gt;=PartialThreshold,"Partial","Not Ready")))</x:f>
      </x:c>
      <x:c r="BG216" s="23" t="str">
        <x:f>IF(A216="","",COUNTA(N216,Q216,R216,S216)/4)</x:f>
      </x:c>
      <x:c r="BH216" s="23" t="str">
        <x:f>IF(A216="","",(COUNTA(U216,V216,AE216)+IF(COUNTA(W216,X216,Y216,Z216,AA216)&gt;0,1,0))/4)</x:f>
      </x:c>
      <x:c r="BI216" s="23" t="str">
        <x:f>IF(A216="","",(COUNTIF(AV216:AZ216,"Available")+0.5*COUNTIF(AV216:AZ216,"Partial")+IF(BD216&lt;&gt;"",1,0))/6)</x:f>
      </x:c>
      <x:c r="BJ216" s="22" t="str">
        <x:f>IF(A216="","",IF(AND(F216="",BD216=""),"Blocked",IF(AND(BG216&gt;=ReadyThreshold,BH216&gt;=ReadyThreshold,BI216&gt;=ReadyThreshold),"Ready for Analysis",IF(AVERAGE(BG216,BH216,BI216)&gt;=PartialThreshold,"Partially Ready","Discovery Required"))))</x:f>
      </x:c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8"/>
      <x:c r="BU216" s="17"/>
      <x:c r="BV216" s="17"/>
    </x:row>
    <x:row r="217">
      <x:c r="A217" s="17"/>
      <x:c r="B217" s="17"/>
      <x:c r="C217" s="17"/>
      <x:c r="D217" s="17"/>
      <x:c r="E217" s="18"/>
      <x:c r="F217" s="18"/>
      <x:c r="G217" s="17"/>
      <x:c r="H217" s="17"/>
      <x:c r="I217" s="19"/>
      <x:c r="J217" s="19"/>
      <x:c r="K217" s="17"/>
      <x:c r="L217" s="19"/>
      <x:c r="M217" s="17"/>
      <x:c r="N217" s="18"/>
      <x:c r="O217" s="18"/>
      <x:c r="P217" s="17"/>
      <x:c r="Q217" s="17"/>
      <x:c r="R217" s="17"/>
      <x:c r="S217" s="17"/>
      <x:c r="T217" s="17"/>
      <x:c r="U217" s="18"/>
      <x:c r="V217" s="18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20"/>
      <x:c r="AJ217" s="21"/>
      <x:c r="AK217" s="21"/>
      <x:c r="AL217" s="17"/>
      <x:c r="AM217" s="17"/>
      <x:c r="AN217" s="21"/>
      <x:c r="AO217" s="17"/>
      <x:c r="AP217" s="17"/>
      <x:c r="AQ217" s="17"/>
      <x:c r="AR217" s="17"/>
      <x:c r="AS217" s="17"/>
      <x:c r="AT217" s="17"/>
      <x:c r="AU217" s="18"/>
      <x:c r="AV217" s="17"/>
      <x:c r="AW217" s="17"/>
      <x:c r="AX217" s="17"/>
      <x:c r="AY217" s="17"/>
      <x:c r="AZ217" s="17"/>
      <x:c r="BA217" s="17"/>
      <x:c r="BB217" s="17"/>
      <x:c r="BC217" s="18"/>
      <x:c r="BD217" s="18"/>
      <x:c r="BE217" s="19"/>
      <x:c r="BF217" s="22" t="str">
        <x:f>IF(A217="","",IF(BI217&gt;=ReadyThreshold,"Ready",IF(BI217&gt;=PartialThreshold,"Partial","Not Ready")))</x:f>
      </x:c>
      <x:c r="BG217" s="23" t="str">
        <x:f>IF(A217="","",COUNTA(N217,Q217,R217,S217)/4)</x:f>
      </x:c>
      <x:c r="BH217" s="23" t="str">
        <x:f>IF(A217="","",(COUNTA(U217,V217,AE217)+IF(COUNTA(W217,X217,Y217,Z217,AA217)&gt;0,1,0))/4)</x:f>
      </x:c>
      <x:c r="BI217" s="23" t="str">
        <x:f>IF(A217="","",(COUNTIF(AV217:AZ217,"Available")+0.5*COUNTIF(AV217:AZ217,"Partial")+IF(BD217&lt;&gt;"",1,0))/6)</x:f>
      </x:c>
      <x:c r="BJ217" s="22" t="str">
        <x:f>IF(A217="","",IF(AND(F217="",BD217=""),"Blocked",IF(AND(BG217&gt;=ReadyThreshold,BH217&gt;=ReadyThreshold,BI217&gt;=ReadyThreshold),"Ready for Analysis",IF(AVERAGE(BG217,BH217,BI217)&gt;=PartialThreshold,"Partially Ready","Discovery Required"))))</x:f>
      </x:c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8"/>
      <x:c r="BU217" s="17"/>
      <x:c r="BV217" s="17"/>
    </x:row>
    <x:row r="218">
      <x:c r="A218" s="17"/>
      <x:c r="B218" s="17"/>
      <x:c r="C218" s="17"/>
      <x:c r="D218" s="17"/>
      <x:c r="E218" s="18"/>
      <x:c r="F218" s="18"/>
      <x:c r="G218" s="17"/>
      <x:c r="H218" s="17"/>
      <x:c r="I218" s="19"/>
      <x:c r="J218" s="19"/>
      <x:c r="K218" s="17"/>
      <x:c r="L218" s="19"/>
      <x:c r="M218" s="17"/>
      <x:c r="N218" s="18"/>
      <x:c r="O218" s="18"/>
      <x:c r="P218" s="17"/>
      <x:c r="Q218" s="17"/>
      <x:c r="R218" s="17"/>
      <x:c r="S218" s="17"/>
      <x:c r="T218" s="17"/>
      <x:c r="U218" s="18"/>
      <x:c r="V218" s="18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20"/>
      <x:c r="AJ218" s="21"/>
      <x:c r="AK218" s="21"/>
      <x:c r="AL218" s="17"/>
      <x:c r="AM218" s="17"/>
      <x:c r="AN218" s="21"/>
      <x:c r="AO218" s="17"/>
      <x:c r="AP218" s="17"/>
      <x:c r="AQ218" s="17"/>
      <x:c r="AR218" s="17"/>
      <x:c r="AS218" s="17"/>
      <x:c r="AT218" s="17"/>
      <x:c r="AU218" s="18"/>
      <x:c r="AV218" s="17"/>
      <x:c r="AW218" s="17"/>
      <x:c r="AX218" s="17"/>
      <x:c r="AY218" s="17"/>
      <x:c r="AZ218" s="17"/>
      <x:c r="BA218" s="17"/>
      <x:c r="BB218" s="17"/>
      <x:c r="BC218" s="18"/>
      <x:c r="BD218" s="18"/>
      <x:c r="BE218" s="19"/>
      <x:c r="BF218" s="22" t="str">
        <x:f>IF(A218="","",IF(BI218&gt;=ReadyThreshold,"Ready",IF(BI218&gt;=PartialThreshold,"Partial","Not Ready")))</x:f>
      </x:c>
      <x:c r="BG218" s="23" t="str">
        <x:f>IF(A218="","",COUNTA(N218,Q218,R218,S218)/4)</x:f>
      </x:c>
      <x:c r="BH218" s="23" t="str">
        <x:f>IF(A218="","",(COUNTA(U218,V218,AE218)+IF(COUNTA(W218,X218,Y218,Z218,AA218)&gt;0,1,0))/4)</x:f>
      </x:c>
      <x:c r="BI218" s="23" t="str">
        <x:f>IF(A218="","",(COUNTIF(AV218:AZ218,"Available")+0.5*COUNTIF(AV218:AZ218,"Partial")+IF(BD218&lt;&gt;"",1,0))/6)</x:f>
      </x:c>
      <x:c r="BJ218" s="22" t="str">
        <x:f>IF(A218="","",IF(AND(F218="",BD218=""),"Blocked",IF(AND(BG218&gt;=ReadyThreshold,BH218&gt;=ReadyThreshold,BI218&gt;=ReadyThreshold),"Ready for Analysis",IF(AVERAGE(BG218,BH218,BI218)&gt;=PartialThreshold,"Partially Ready","Discovery Required"))))</x:f>
      </x:c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8"/>
      <x:c r="BU218" s="17"/>
      <x:c r="BV218" s="17"/>
    </x:row>
    <x:row r="219">
      <x:c r="A219" s="17"/>
      <x:c r="B219" s="17"/>
      <x:c r="C219" s="17"/>
      <x:c r="D219" s="17"/>
      <x:c r="E219" s="18"/>
      <x:c r="F219" s="18"/>
      <x:c r="G219" s="17"/>
      <x:c r="H219" s="17"/>
      <x:c r="I219" s="19"/>
      <x:c r="J219" s="19"/>
      <x:c r="K219" s="17"/>
      <x:c r="L219" s="19"/>
      <x:c r="M219" s="17"/>
      <x:c r="N219" s="18"/>
      <x:c r="O219" s="18"/>
      <x:c r="P219" s="17"/>
      <x:c r="Q219" s="17"/>
      <x:c r="R219" s="17"/>
      <x:c r="S219" s="17"/>
      <x:c r="T219" s="17"/>
      <x:c r="U219" s="18"/>
      <x:c r="V219" s="18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20"/>
      <x:c r="AJ219" s="21"/>
      <x:c r="AK219" s="21"/>
      <x:c r="AL219" s="17"/>
      <x:c r="AM219" s="17"/>
      <x:c r="AN219" s="21"/>
      <x:c r="AO219" s="17"/>
      <x:c r="AP219" s="17"/>
      <x:c r="AQ219" s="17"/>
      <x:c r="AR219" s="17"/>
      <x:c r="AS219" s="17"/>
      <x:c r="AT219" s="17"/>
      <x:c r="AU219" s="18"/>
      <x:c r="AV219" s="17"/>
      <x:c r="AW219" s="17"/>
      <x:c r="AX219" s="17"/>
      <x:c r="AY219" s="17"/>
      <x:c r="AZ219" s="17"/>
      <x:c r="BA219" s="17"/>
      <x:c r="BB219" s="17"/>
      <x:c r="BC219" s="18"/>
      <x:c r="BD219" s="18"/>
      <x:c r="BE219" s="19"/>
      <x:c r="BF219" s="22" t="str">
        <x:f>IF(A219="","",IF(BI219&gt;=ReadyThreshold,"Ready",IF(BI219&gt;=PartialThreshold,"Partial","Not Ready")))</x:f>
      </x:c>
      <x:c r="BG219" s="23" t="str">
        <x:f>IF(A219="","",COUNTA(N219,Q219,R219,S219)/4)</x:f>
      </x:c>
      <x:c r="BH219" s="23" t="str">
        <x:f>IF(A219="","",(COUNTA(U219,V219,AE219)+IF(COUNTA(W219,X219,Y219,Z219,AA219)&gt;0,1,0))/4)</x:f>
      </x:c>
      <x:c r="BI219" s="23" t="str">
        <x:f>IF(A219="","",(COUNTIF(AV219:AZ219,"Available")+0.5*COUNTIF(AV219:AZ219,"Partial")+IF(BD219&lt;&gt;"",1,0))/6)</x:f>
      </x:c>
      <x:c r="BJ219" s="22" t="str">
        <x:f>IF(A219="","",IF(AND(F219="",BD219=""),"Blocked",IF(AND(BG219&gt;=ReadyThreshold,BH219&gt;=ReadyThreshold,BI219&gt;=ReadyThreshold),"Ready for Analysis",IF(AVERAGE(BG219,BH219,BI219)&gt;=PartialThreshold,"Partially Ready","Discovery Required"))))</x:f>
      </x:c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8"/>
      <x:c r="BU219" s="17"/>
      <x:c r="BV219" s="17"/>
    </x:row>
    <x:row r="220">
      <x:c r="A220" s="17"/>
      <x:c r="B220" s="17"/>
      <x:c r="C220" s="17"/>
      <x:c r="D220" s="17"/>
      <x:c r="E220" s="18"/>
      <x:c r="F220" s="18"/>
      <x:c r="G220" s="17"/>
      <x:c r="H220" s="17"/>
      <x:c r="I220" s="19"/>
      <x:c r="J220" s="19"/>
      <x:c r="K220" s="17"/>
      <x:c r="L220" s="19"/>
      <x:c r="M220" s="17"/>
      <x:c r="N220" s="18"/>
      <x:c r="O220" s="18"/>
      <x:c r="P220" s="17"/>
      <x:c r="Q220" s="17"/>
      <x:c r="R220" s="17"/>
      <x:c r="S220" s="17"/>
      <x:c r="T220" s="17"/>
      <x:c r="U220" s="18"/>
      <x:c r="V220" s="18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20"/>
      <x:c r="AJ220" s="21"/>
      <x:c r="AK220" s="21"/>
      <x:c r="AL220" s="17"/>
      <x:c r="AM220" s="17"/>
      <x:c r="AN220" s="21"/>
      <x:c r="AO220" s="17"/>
      <x:c r="AP220" s="17"/>
      <x:c r="AQ220" s="17"/>
      <x:c r="AR220" s="17"/>
      <x:c r="AS220" s="17"/>
      <x:c r="AT220" s="17"/>
      <x:c r="AU220" s="18"/>
      <x:c r="AV220" s="17"/>
      <x:c r="AW220" s="17"/>
      <x:c r="AX220" s="17"/>
      <x:c r="AY220" s="17"/>
      <x:c r="AZ220" s="17"/>
      <x:c r="BA220" s="17"/>
      <x:c r="BB220" s="17"/>
      <x:c r="BC220" s="18"/>
      <x:c r="BD220" s="18"/>
      <x:c r="BE220" s="19"/>
      <x:c r="BF220" s="22" t="str">
        <x:f>IF(A220="","",IF(BI220&gt;=ReadyThreshold,"Ready",IF(BI220&gt;=PartialThreshold,"Partial","Not Ready")))</x:f>
      </x:c>
      <x:c r="BG220" s="23" t="str">
        <x:f>IF(A220="","",COUNTA(N220,Q220,R220,S220)/4)</x:f>
      </x:c>
      <x:c r="BH220" s="23" t="str">
        <x:f>IF(A220="","",(COUNTA(U220,V220,AE220)+IF(COUNTA(W220,X220,Y220,Z220,AA220)&gt;0,1,0))/4)</x:f>
      </x:c>
      <x:c r="BI220" s="23" t="str">
        <x:f>IF(A220="","",(COUNTIF(AV220:AZ220,"Available")+0.5*COUNTIF(AV220:AZ220,"Partial")+IF(BD220&lt;&gt;"",1,0))/6)</x:f>
      </x:c>
      <x:c r="BJ220" s="22" t="str">
        <x:f>IF(A220="","",IF(AND(F220="",BD220=""),"Blocked",IF(AND(BG220&gt;=ReadyThreshold,BH220&gt;=ReadyThreshold,BI220&gt;=ReadyThreshold),"Ready for Analysis",IF(AVERAGE(BG220,BH220,BI220)&gt;=PartialThreshold,"Partially Ready","Discovery Required"))))</x:f>
      </x:c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8"/>
      <x:c r="BU220" s="17"/>
      <x:c r="BV220" s="17"/>
    </x:row>
    <x:row r="221">
      <x:c r="A221" s="17"/>
      <x:c r="B221" s="17"/>
      <x:c r="C221" s="17"/>
      <x:c r="D221" s="17"/>
      <x:c r="E221" s="18"/>
      <x:c r="F221" s="18"/>
      <x:c r="G221" s="17"/>
      <x:c r="H221" s="17"/>
      <x:c r="I221" s="19"/>
      <x:c r="J221" s="19"/>
      <x:c r="K221" s="17"/>
      <x:c r="L221" s="19"/>
      <x:c r="M221" s="17"/>
      <x:c r="N221" s="18"/>
      <x:c r="O221" s="18"/>
      <x:c r="P221" s="17"/>
      <x:c r="Q221" s="17"/>
      <x:c r="R221" s="17"/>
      <x:c r="S221" s="17"/>
      <x:c r="T221" s="17"/>
      <x:c r="U221" s="18"/>
      <x:c r="V221" s="18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20"/>
      <x:c r="AJ221" s="21"/>
      <x:c r="AK221" s="21"/>
      <x:c r="AL221" s="17"/>
      <x:c r="AM221" s="17"/>
      <x:c r="AN221" s="21"/>
      <x:c r="AO221" s="17"/>
      <x:c r="AP221" s="17"/>
      <x:c r="AQ221" s="17"/>
      <x:c r="AR221" s="17"/>
      <x:c r="AS221" s="17"/>
      <x:c r="AT221" s="17"/>
      <x:c r="AU221" s="18"/>
      <x:c r="AV221" s="17"/>
      <x:c r="AW221" s="17"/>
      <x:c r="AX221" s="17"/>
      <x:c r="AY221" s="17"/>
      <x:c r="AZ221" s="17"/>
      <x:c r="BA221" s="17"/>
      <x:c r="BB221" s="17"/>
      <x:c r="BC221" s="18"/>
      <x:c r="BD221" s="18"/>
      <x:c r="BE221" s="19"/>
      <x:c r="BF221" s="22" t="str">
        <x:f>IF(A221="","",IF(BI221&gt;=ReadyThreshold,"Ready",IF(BI221&gt;=PartialThreshold,"Partial","Not Ready")))</x:f>
      </x:c>
      <x:c r="BG221" s="23" t="str">
        <x:f>IF(A221="","",COUNTA(N221,Q221,R221,S221)/4)</x:f>
      </x:c>
      <x:c r="BH221" s="23" t="str">
        <x:f>IF(A221="","",(COUNTA(U221,V221,AE221)+IF(COUNTA(W221,X221,Y221,Z221,AA221)&gt;0,1,0))/4)</x:f>
      </x:c>
      <x:c r="BI221" s="23" t="str">
        <x:f>IF(A221="","",(COUNTIF(AV221:AZ221,"Available")+0.5*COUNTIF(AV221:AZ221,"Partial")+IF(BD221&lt;&gt;"",1,0))/6)</x:f>
      </x:c>
      <x:c r="BJ221" s="22" t="str">
        <x:f>IF(A221="","",IF(AND(F221="",BD221=""),"Blocked",IF(AND(BG221&gt;=ReadyThreshold,BH221&gt;=ReadyThreshold,BI221&gt;=ReadyThreshold),"Ready for Analysis",IF(AVERAGE(BG221,BH221,BI221)&gt;=PartialThreshold,"Partially Ready","Discovery Required"))))</x:f>
      </x:c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8"/>
      <x:c r="BU221" s="17"/>
      <x:c r="BV221" s="17"/>
    </x:row>
    <x:row r="222">
      <x:c r="A222" s="17"/>
      <x:c r="B222" s="17"/>
      <x:c r="C222" s="17"/>
      <x:c r="D222" s="17"/>
      <x:c r="E222" s="18"/>
      <x:c r="F222" s="18"/>
      <x:c r="G222" s="17"/>
      <x:c r="H222" s="17"/>
      <x:c r="I222" s="19"/>
      <x:c r="J222" s="19"/>
      <x:c r="K222" s="17"/>
      <x:c r="L222" s="19"/>
      <x:c r="M222" s="17"/>
      <x:c r="N222" s="18"/>
      <x:c r="O222" s="18"/>
      <x:c r="P222" s="17"/>
      <x:c r="Q222" s="17"/>
      <x:c r="R222" s="17"/>
      <x:c r="S222" s="17"/>
      <x:c r="T222" s="17"/>
      <x:c r="U222" s="18"/>
      <x:c r="V222" s="18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20"/>
      <x:c r="AJ222" s="21"/>
      <x:c r="AK222" s="21"/>
      <x:c r="AL222" s="17"/>
      <x:c r="AM222" s="17"/>
      <x:c r="AN222" s="21"/>
      <x:c r="AO222" s="17"/>
      <x:c r="AP222" s="17"/>
      <x:c r="AQ222" s="17"/>
      <x:c r="AR222" s="17"/>
      <x:c r="AS222" s="17"/>
      <x:c r="AT222" s="17"/>
      <x:c r="AU222" s="18"/>
      <x:c r="AV222" s="17"/>
      <x:c r="AW222" s="17"/>
      <x:c r="AX222" s="17"/>
      <x:c r="AY222" s="17"/>
      <x:c r="AZ222" s="17"/>
      <x:c r="BA222" s="17"/>
      <x:c r="BB222" s="17"/>
      <x:c r="BC222" s="18"/>
      <x:c r="BD222" s="18"/>
      <x:c r="BE222" s="19"/>
      <x:c r="BF222" s="22" t="str">
        <x:f>IF(A222="","",IF(BI222&gt;=ReadyThreshold,"Ready",IF(BI222&gt;=PartialThreshold,"Partial","Not Ready")))</x:f>
      </x:c>
      <x:c r="BG222" s="23" t="str">
        <x:f>IF(A222="","",COUNTA(N222,Q222,R222,S222)/4)</x:f>
      </x:c>
      <x:c r="BH222" s="23" t="str">
        <x:f>IF(A222="","",(COUNTA(U222,V222,AE222)+IF(COUNTA(W222,X222,Y222,Z222,AA222)&gt;0,1,0))/4)</x:f>
      </x:c>
      <x:c r="BI222" s="23" t="str">
        <x:f>IF(A222="","",(COUNTIF(AV222:AZ222,"Available")+0.5*COUNTIF(AV222:AZ222,"Partial")+IF(BD222&lt;&gt;"",1,0))/6)</x:f>
      </x:c>
      <x:c r="BJ222" s="22" t="str">
        <x:f>IF(A222="","",IF(AND(F222="",BD222=""),"Blocked",IF(AND(BG222&gt;=ReadyThreshold,BH222&gt;=ReadyThreshold,BI222&gt;=ReadyThreshold),"Ready for Analysis",IF(AVERAGE(BG222,BH222,BI222)&gt;=PartialThreshold,"Partially Ready","Discovery Required"))))</x:f>
      </x:c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8"/>
      <x:c r="BU222" s="17"/>
      <x:c r="BV222" s="17"/>
    </x:row>
    <x:row r="223">
      <x:c r="A223" s="17"/>
      <x:c r="B223" s="17"/>
      <x:c r="C223" s="17"/>
      <x:c r="D223" s="17"/>
      <x:c r="E223" s="18"/>
      <x:c r="F223" s="18"/>
      <x:c r="G223" s="17"/>
      <x:c r="H223" s="17"/>
      <x:c r="I223" s="19"/>
      <x:c r="J223" s="19"/>
      <x:c r="K223" s="17"/>
      <x:c r="L223" s="19"/>
      <x:c r="M223" s="17"/>
      <x:c r="N223" s="18"/>
      <x:c r="O223" s="18"/>
      <x:c r="P223" s="17"/>
      <x:c r="Q223" s="17"/>
      <x:c r="R223" s="17"/>
      <x:c r="S223" s="17"/>
      <x:c r="T223" s="17"/>
      <x:c r="U223" s="18"/>
      <x:c r="V223" s="18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20"/>
      <x:c r="AJ223" s="21"/>
      <x:c r="AK223" s="21"/>
      <x:c r="AL223" s="17"/>
      <x:c r="AM223" s="17"/>
      <x:c r="AN223" s="21"/>
      <x:c r="AO223" s="17"/>
      <x:c r="AP223" s="17"/>
      <x:c r="AQ223" s="17"/>
      <x:c r="AR223" s="17"/>
      <x:c r="AS223" s="17"/>
      <x:c r="AT223" s="17"/>
      <x:c r="AU223" s="18"/>
      <x:c r="AV223" s="17"/>
      <x:c r="AW223" s="17"/>
      <x:c r="AX223" s="17"/>
      <x:c r="AY223" s="17"/>
      <x:c r="AZ223" s="17"/>
      <x:c r="BA223" s="17"/>
      <x:c r="BB223" s="17"/>
      <x:c r="BC223" s="18"/>
      <x:c r="BD223" s="18"/>
      <x:c r="BE223" s="19"/>
      <x:c r="BF223" s="22" t="str">
        <x:f>IF(A223="","",IF(BI223&gt;=ReadyThreshold,"Ready",IF(BI223&gt;=PartialThreshold,"Partial","Not Ready")))</x:f>
      </x:c>
      <x:c r="BG223" s="23" t="str">
        <x:f>IF(A223="","",COUNTA(N223,Q223,R223,S223)/4)</x:f>
      </x:c>
      <x:c r="BH223" s="23" t="str">
        <x:f>IF(A223="","",(COUNTA(U223,V223,AE223)+IF(COUNTA(W223,X223,Y223,Z223,AA223)&gt;0,1,0))/4)</x:f>
      </x:c>
      <x:c r="BI223" s="23" t="str">
        <x:f>IF(A223="","",(COUNTIF(AV223:AZ223,"Available")+0.5*COUNTIF(AV223:AZ223,"Partial")+IF(BD223&lt;&gt;"",1,0))/6)</x:f>
      </x:c>
      <x:c r="BJ223" s="22" t="str">
        <x:f>IF(A223="","",IF(AND(F223="",BD223=""),"Blocked",IF(AND(BG223&gt;=ReadyThreshold,BH223&gt;=ReadyThreshold,BI223&gt;=ReadyThreshold),"Ready for Analysis",IF(AVERAGE(BG223,BH223,BI223)&gt;=PartialThreshold,"Partially Ready","Discovery Required"))))</x:f>
      </x:c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8"/>
      <x:c r="BU223" s="17"/>
      <x:c r="BV223" s="17"/>
    </x:row>
    <x:row r="224">
      <x:c r="A224" s="17"/>
      <x:c r="B224" s="17"/>
      <x:c r="C224" s="17"/>
      <x:c r="D224" s="17"/>
      <x:c r="E224" s="18"/>
      <x:c r="F224" s="18"/>
      <x:c r="G224" s="17"/>
      <x:c r="H224" s="17"/>
      <x:c r="I224" s="19"/>
      <x:c r="J224" s="19"/>
      <x:c r="K224" s="17"/>
      <x:c r="L224" s="19"/>
      <x:c r="M224" s="17"/>
      <x:c r="N224" s="18"/>
      <x:c r="O224" s="18"/>
      <x:c r="P224" s="17"/>
      <x:c r="Q224" s="17"/>
      <x:c r="R224" s="17"/>
      <x:c r="S224" s="17"/>
      <x:c r="T224" s="17"/>
      <x:c r="U224" s="18"/>
      <x:c r="V224" s="18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20"/>
      <x:c r="AJ224" s="21"/>
      <x:c r="AK224" s="21"/>
      <x:c r="AL224" s="17"/>
      <x:c r="AM224" s="17"/>
      <x:c r="AN224" s="21"/>
      <x:c r="AO224" s="17"/>
      <x:c r="AP224" s="17"/>
      <x:c r="AQ224" s="17"/>
      <x:c r="AR224" s="17"/>
      <x:c r="AS224" s="17"/>
      <x:c r="AT224" s="17"/>
      <x:c r="AU224" s="18"/>
      <x:c r="AV224" s="17"/>
      <x:c r="AW224" s="17"/>
      <x:c r="AX224" s="17"/>
      <x:c r="AY224" s="17"/>
      <x:c r="AZ224" s="17"/>
      <x:c r="BA224" s="17"/>
      <x:c r="BB224" s="17"/>
      <x:c r="BC224" s="18"/>
      <x:c r="BD224" s="18"/>
      <x:c r="BE224" s="19"/>
      <x:c r="BF224" s="22" t="str">
        <x:f>IF(A224="","",IF(BI224&gt;=ReadyThreshold,"Ready",IF(BI224&gt;=PartialThreshold,"Partial","Not Ready")))</x:f>
      </x:c>
      <x:c r="BG224" s="23" t="str">
        <x:f>IF(A224="","",COUNTA(N224,Q224,R224,S224)/4)</x:f>
      </x:c>
      <x:c r="BH224" s="23" t="str">
        <x:f>IF(A224="","",(COUNTA(U224,V224,AE224)+IF(COUNTA(W224,X224,Y224,Z224,AA224)&gt;0,1,0))/4)</x:f>
      </x:c>
      <x:c r="BI224" s="23" t="str">
        <x:f>IF(A224="","",(COUNTIF(AV224:AZ224,"Available")+0.5*COUNTIF(AV224:AZ224,"Partial")+IF(BD224&lt;&gt;"",1,0))/6)</x:f>
      </x:c>
      <x:c r="BJ224" s="22" t="str">
        <x:f>IF(A224="","",IF(AND(F224="",BD224=""),"Blocked",IF(AND(BG224&gt;=ReadyThreshold,BH224&gt;=ReadyThreshold,BI224&gt;=ReadyThreshold),"Ready for Analysis",IF(AVERAGE(BG224,BH224,BI224)&gt;=PartialThreshold,"Partially Ready","Discovery Required"))))</x:f>
      </x:c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8"/>
      <x:c r="BU224" s="17"/>
      <x:c r="BV224" s="17"/>
    </x:row>
    <x:row r="225">
      <x:c r="A225" s="17"/>
      <x:c r="B225" s="17"/>
      <x:c r="C225" s="17"/>
      <x:c r="D225" s="17"/>
      <x:c r="E225" s="18"/>
      <x:c r="F225" s="18"/>
      <x:c r="G225" s="17"/>
      <x:c r="H225" s="17"/>
      <x:c r="I225" s="19"/>
      <x:c r="J225" s="19"/>
      <x:c r="K225" s="17"/>
      <x:c r="L225" s="19"/>
      <x:c r="M225" s="17"/>
      <x:c r="N225" s="18"/>
      <x:c r="O225" s="18"/>
      <x:c r="P225" s="17"/>
      <x:c r="Q225" s="17"/>
      <x:c r="R225" s="17"/>
      <x:c r="S225" s="17"/>
      <x:c r="T225" s="17"/>
      <x:c r="U225" s="18"/>
      <x:c r="V225" s="18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20"/>
      <x:c r="AJ225" s="21"/>
      <x:c r="AK225" s="21"/>
      <x:c r="AL225" s="17"/>
      <x:c r="AM225" s="17"/>
      <x:c r="AN225" s="21"/>
      <x:c r="AO225" s="17"/>
      <x:c r="AP225" s="17"/>
      <x:c r="AQ225" s="17"/>
      <x:c r="AR225" s="17"/>
      <x:c r="AS225" s="17"/>
      <x:c r="AT225" s="17"/>
      <x:c r="AU225" s="18"/>
      <x:c r="AV225" s="17"/>
      <x:c r="AW225" s="17"/>
      <x:c r="AX225" s="17"/>
      <x:c r="AY225" s="17"/>
      <x:c r="AZ225" s="17"/>
      <x:c r="BA225" s="17"/>
      <x:c r="BB225" s="17"/>
      <x:c r="BC225" s="18"/>
      <x:c r="BD225" s="18"/>
      <x:c r="BE225" s="19"/>
      <x:c r="BF225" s="22" t="str">
        <x:f>IF(A225="","",IF(BI225&gt;=ReadyThreshold,"Ready",IF(BI225&gt;=PartialThreshold,"Partial","Not Ready")))</x:f>
      </x:c>
      <x:c r="BG225" s="23" t="str">
        <x:f>IF(A225="","",COUNTA(N225,Q225,R225,S225)/4)</x:f>
      </x:c>
      <x:c r="BH225" s="23" t="str">
        <x:f>IF(A225="","",(COUNTA(U225,V225,AE225)+IF(COUNTA(W225,X225,Y225,Z225,AA225)&gt;0,1,0))/4)</x:f>
      </x:c>
      <x:c r="BI225" s="23" t="str">
        <x:f>IF(A225="","",(COUNTIF(AV225:AZ225,"Available")+0.5*COUNTIF(AV225:AZ225,"Partial")+IF(BD225&lt;&gt;"",1,0))/6)</x:f>
      </x:c>
      <x:c r="BJ225" s="22" t="str">
        <x:f>IF(A225="","",IF(AND(F225="",BD225=""),"Blocked",IF(AND(BG225&gt;=ReadyThreshold,BH225&gt;=ReadyThreshold,BI225&gt;=ReadyThreshold),"Ready for Analysis",IF(AVERAGE(BG225,BH225,BI225)&gt;=PartialThreshold,"Partially Ready","Discovery Required"))))</x:f>
      </x:c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8"/>
      <x:c r="BU225" s="17"/>
      <x:c r="BV225" s="17"/>
    </x:row>
    <x:row r="226">
      <x:c r="A226" s="17"/>
      <x:c r="B226" s="17"/>
      <x:c r="C226" s="17"/>
      <x:c r="D226" s="17"/>
      <x:c r="E226" s="18"/>
      <x:c r="F226" s="18"/>
      <x:c r="G226" s="17"/>
      <x:c r="H226" s="17"/>
      <x:c r="I226" s="19"/>
      <x:c r="J226" s="19"/>
      <x:c r="K226" s="17"/>
      <x:c r="L226" s="19"/>
      <x:c r="M226" s="17"/>
      <x:c r="N226" s="18"/>
      <x:c r="O226" s="18"/>
      <x:c r="P226" s="17"/>
      <x:c r="Q226" s="17"/>
      <x:c r="R226" s="17"/>
      <x:c r="S226" s="17"/>
      <x:c r="T226" s="17"/>
      <x:c r="U226" s="18"/>
      <x:c r="V226" s="18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20"/>
      <x:c r="AJ226" s="21"/>
      <x:c r="AK226" s="21"/>
      <x:c r="AL226" s="17"/>
      <x:c r="AM226" s="17"/>
      <x:c r="AN226" s="21"/>
      <x:c r="AO226" s="17"/>
      <x:c r="AP226" s="17"/>
      <x:c r="AQ226" s="17"/>
      <x:c r="AR226" s="17"/>
      <x:c r="AS226" s="17"/>
      <x:c r="AT226" s="17"/>
      <x:c r="AU226" s="18"/>
      <x:c r="AV226" s="17"/>
      <x:c r="AW226" s="17"/>
      <x:c r="AX226" s="17"/>
      <x:c r="AY226" s="17"/>
      <x:c r="AZ226" s="17"/>
      <x:c r="BA226" s="17"/>
      <x:c r="BB226" s="17"/>
      <x:c r="BC226" s="18"/>
      <x:c r="BD226" s="18"/>
      <x:c r="BE226" s="19"/>
      <x:c r="BF226" s="22" t="str">
        <x:f>IF(A226="","",IF(BI226&gt;=ReadyThreshold,"Ready",IF(BI226&gt;=PartialThreshold,"Partial","Not Ready")))</x:f>
      </x:c>
      <x:c r="BG226" s="23" t="str">
        <x:f>IF(A226="","",COUNTA(N226,Q226,R226,S226)/4)</x:f>
      </x:c>
      <x:c r="BH226" s="23" t="str">
        <x:f>IF(A226="","",(COUNTA(U226,V226,AE226)+IF(COUNTA(W226,X226,Y226,Z226,AA226)&gt;0,1,0))/4)</x:f>
      </x:c>
      <x:c r="BI226" s="23" t="str">
        <x:f>IF(A226="","",(COUNTIF(AV226:AZ226,"Available")+0.5*COUNTIF(AV226:AZ226,"Partial")+IF(BD226&lt;&gt;"",1,0))/6)</x:f>
      </x:c>
      <x:c r="BJ226" s="22" t="str">
        <x:f>IF(A226="","",IF(AND(F226="",BD226=""),"Blocked",IF(AND(BG226&gt;=ReadyThreshold,BH226&gt;=ReadyThreshold,BI226&gt;=ReadyThreshold),"Ready for Analysis",IF(AVERAGE(BG226,BH226,BI226)&gt;=PartialThreshold,"Partially Ready","Discovery Required"))))</x:f>
      </x:c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8"/>
      <x:c r="BU226" s="17"/>
      <x:c r="BV226" s="17"/>
    </x:row>
    <x:row r="227">
      <x:c r="A227" s="17"/>
      <x:c r="B227" s="17"/>
      <x:c r="C227" s="17"/>
      <x:c r="D227" s="17"/>
      <x:c r="E227" s="18"/>
      <x:c r="F227" s="18"/>
      <x:c r="G227" s="17"/>
      <x:c r="H227" s="17"/>
      <x:c r="I227" s="19"/>
      <x:c r="J227" s="19"/>
      <x:c r="K227" s="17"/>
      <x:c r="L227" s="19"/>
      <x:c r="M227" s="17"/>
      <x:c r="N227" s="18"/>
      <x:c r="O227" s="18"/>
      <x:c r="P227" s="17"/>
      <x:c r="Q227" s="17"/>
      <x:c r="R227" s="17"/>
      <x:c r="S227" s="17"/>
      <x:c r="T227" s="17"/>
      <x:c r="U227" s="18"/>
      <x:c r="V227" s="18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20"/>
      <x:c r="AJ227" s="21"/>
      <x:c r="AK227" s="21"/>
      <x:c r="AL227" s="17"/>
      <x:c r="AM227" s="17"/>
      <x:c r="AN227" s="21"/>
      <x:c r="AO227" s="17"/>
      <x:c r="AP227" s="17"/>
      <x:c r="AQ227" s="17"/>
      <x:c r="AR227" s="17"/>
      <x:c r="AS227" s="17"/>
      <x:c r="AT227" s="17"/>
      <x:c r="AU227" s="18"/>
      <x:c r="AV227" s="17"/>
      <x:c r="AW227" s="17"/>
      <x:c r="AX227" s="17"/>
      <x:c r="AY227" s="17"/>
      <x:c r="AZ227" s="17"/>
      <x:c r="BA227" s="17"/>
      <x:c r="BB227" s="17"/>
      <x:c r="BC227" s="18"/>
      <x:c r="BD227" s="18"/>
      <x:c r="BE227" s="19"/>
      <x:c r="BF227" s="22" t="str">
        <x:f>IF(A227="","",IF(BI227&gt;=ReadyThreshold,"Ready",IF(BI227&gt;=PartialThreshold,"Partial","Not Ready")))</x:f>
      </x:c>
      <x:c r="BG227" s="23" t="str">
        <x:f>IF(A227="","",COUNTA(N227,Q227,R227,S227)/4)</x:f>
      </x:c>
      <x:c r="BH227" s="23" t="str">
        <x:f>IF(A227="","",(COUNTA(U227,V227,AE227)+IF(COUNTA(W227,X227,Y227,Z227,AA227)&gt;0,1,0))/4)</x:f>
      </x:c>
      <x:c r="BI227" s="23" t="str">
        <x:f>IF(A227="","",(COUNTIF(AV227:AZ227,"Available")+0.5*COUNTIF(AV227:AZ227,"Partial")+IF(BD227&lt;&gt;"",1,0))/6)</x:f>
      </x:c>
      <x:c r="BJ227" s="22" t="str">
        <x:f>IF(A227="","",IF(AND(F227="",BD227=""),"Blocked",IF(AND(BG227&gt;=ReadyThreshold,BH227&gt;=ReadyThreshold,BI227&gt;=ReadyThreshold),"Ready for Analysis",IF(AVERAGE(BG227,BH227,BI227)&gt;=PartialThreshold,"Partially Ready","Discovery Required"))))</x:f>
      </x:c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8"/>
      <x:c r="BU227" s="17"/>
      <x:c r="BV227" s="17"/>
    </x:row>
    <x:row r="228">
      <x:c r="A228" s="17"/>
      <x:c r="B228" s="17"/>
      <x:c r="C228" s="17"/>
      <x:c r="D228" s="17"/>
      <x:c r="E228" s="18"/>
      <x:c r="F228" s="18"/>
      <x:c r="G228" s="17"/>
      <x:c r="H228" s="17"/>
      <x:c r="I228" s="19"/>
      <x:c r="J228" s="19"/>
      <x:c r="K228" s="17"/>
      <x:c r="L228" s="19"/>
      <x:c r="M228" s="17"/>
      <x:c r="N228" s="18"/>
      <x:c r="O228" s="18"/>
      <x:c r="P228" s="17"/>
      <x:c r="Q228" s="17"/>
      <x:c r="R228" s="17"/>
      <x:c r="S228" s="17"/>
      <x:c r="T228" s="17"/>
      <x:c r="U228" s="18"/>
      <x:c r="V228" s="18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20"/>
      <x:c r="AJ228" s="21"/>
      <x:c r="AK228" s="21"/>
      <x:c r="AL228" s="17"/>
      <x:c r="AM228" s="17"/>
      <x:c r="AN228" s="21"/>
      <x:c r="AO228" s="17"/>
      <x:c r="AP228" s="17"/>
      <x:c r="AQ228" s="17"/>
      <x:c r="AR228" s="17"/>
      <x:c r="AS228" s="17"/>
      <x:c r="AT228" s="17"/>
      <x:c r="AU228" s="18"/>
      <x:c r="AV228" s="17"/>
      <x:c r="AW228" s="17"/>
      <x:c r="AX228" s="17"/>
      <x:c r="AY228" s="17"/>
      <x:c r="AZ228" s="17"/>
      <x:c r="BA228" s="17"/>
      <x:c r="BB228" s="17"/>
      <x:c r="BC228" s="18"/>
      <x:c r="BD228" s="18"/>
      <x:c r="BE228" s="19"/>
      <x:c r="BF228" s="22" t="str">
        <x:f>IF(A228="","",IF(BI228&gt;=ReadyThreshold,"Ready",IF(BI228&gt;=PartialThreshold,"Partial","Not Ready")))</x:f>
      </x:c>
      <x:c r="BG228" s="23" t="str">
        <x:f>IF(A228="","",COUNTA(N228,Q228,R228,S228)/4)</x:f>
      </x:c>
      <x:c r="BH228" s="23" t="str">
        <x:f>IF(A228="","",(COUNTA(U228,V228,AE228)+IF(COUNTA(W228,X228,Y228,Z228,AA228)&gt;0,1,0))/4)</x:f>
      </x:c>
      <x:c r="BI228" s="23" t="str">
        <x:f>IF(A228="","",(COUNTIF(AV228:AZ228,"Available")+0.5*COUNTIF(AV228:AZ228,"Partial")+IF(BD228&lt;&gt;"",1,0))/6)</x:f>
      </x:c>
      <x:c r="BJ228" s="22" t="str">
        <x:f>IF(A228="","",IF(AND(F228="",BD228=""),"Blocked",IF(AND(BG228&gt;=ReadyThreshold,BH228&gt;=ReadyThreshold,BI228&gt;=ReadyThreshold),"Ready for Analysis",IF(AVERAGE(BG228,BH228,BI228)&gt;=PartialThreshold,"Partially Ready","Discovery Required"))))</x:f>
      </x:c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8"/>
      <x:c r="BU228" s="17"/>
      <x:c r="BV228" s="17"/>
    </x:row>
    <x:row r="229">
      <x:c r="A229" s="17"/>
      <x:c r="B229" s="17"/>
      <x:c r="C229" s="17"/>
      <x:c r="D229" s="17"/>
      <x:c r="E229" s="18"/>
      <x:c r="F229" s="18"/>
      <x:c r="G229" s="17"/>
      <x:c r="H229" s="17"/>
      <x:c r="I229" s="19"/>
      <x:c r="J229" s="19"/>
      <x:c r="K229" s="17"/>
      <x:c r="L229" s="19"/>
      <x:c r="M229" s="17"/>
      <x:c r="N229" s="18"/>
      <x:c r="O229" s="18"/>
      <x:c r="P229" s="17"/>
      <x:c r="Q229" s="17"/>
      <x:c r="R229" s="17"/>
      <x:c r="S229" s="17"/>
      <x:c r="T229" s="17"/>
      <x:c r="U229" s="18"/>
      <x:c r="V229" s="18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20"/>
      <x:c r="AJ229" s="21"/>
      <x:c r="AK229" s="21"/>
      <x:c r="AL229" s="17"/>
      <x:c r="AM229" s="17"/>
      <x:c r="AN229" s="21"/>
      <x:c r="AO229" s="17"/>
      <x:c r="AP229" s="17"/>
      <x:c r="AQ229" s="17"/>
      <x:c r="AR229" s="17"/>
      <x:c r="AS229" s="17"/>
      <x:c r="AT229" s="17"/>
      <x:c r="AU229" s="18"/>
      <x:c r="AV229" s="17"/>
      <x:c r="AW229" s="17"/>
      <x:c r="AX229" s="17"/>
      <x:c r="AY229" s="17"/>
      <x:c r="AZ229" s="17"/>
      <x:c r="BA229" s="17"/>
      <x:c r="BB229" s="17"/>
      <x:c r="BC229" s="18"/>
      <x:c r="BD229" s="18"/>
      <x:c r="BE229" s="19"/>
      <x:c r="BF229" s="22" t="str">
        <x:f>IF(A229="","",IF(BI229&gt;=ReadyThreshold,"Ready",IF(BI229&gt;=PartialThreshold,"Partial","Not Ready")))</x:f>
      </x:c>
      <x:c r="BG229" s="23" t="str">
        <x:f>IF(A229="","",COUNTA(N229,Q229,R229,S229)/4)</x:f>
      </x:c>
      <x:c r="BH229" s="23" t="str">
        <x:f>IF(A229="","",(COUNTA(U229,V229,AE229)+IF(COUNTA(W229,X229,Y229,Z229,AA229)&gt;0,1,0))/4)</x:f>
      </x:c>
      <x:c r="BI229" s="23" t="str">
        <x:f>IF(A229="","",(COUNTIF(AV229:AZ229,"Available")+0.5*COUNTIF(AV229:AZ229,"Partial")+IF(BD229&lt;&gt;"",1,0))/6)</x:f>
      </x:c>
      <x:c r="BJ229" s="22" t="str">
        <x:f>IF(A229="","",IF(AND(F229="",BD229=""),"Blocked",IF(AND(BG229&gt;=ReadyThreshold,BH229&gt;=ReadyThreshold,BI229&gt;=ReadyThreshold),"Ready for Analysis",IF(AVERAGE(BG229,BH229,BI229)&gt;=PartialThreshold,"Partially Ready","Discovery Required"))))</x:f>
      </x:c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8"/>
      <x:c r="BU229" s="17"/>
      <x:c r="BV229" s="17"/>
    </x:row>
    <x:row r="230">
      <x:c r="A230" s="17"/>
      <x:c r="B230" s="17"/>
      <x:c r="C230" s="17"/>
      <x:c r="D230" s="17"/>
      <x:c r="E230" s="18"/>
      <x:c r="F230" s="18"/>
      <x:c r="G230" s="17"/>
      <x:c r="H230" s="17"/>
      <x:c r="I230" s="19"/>
      <x:c r="J230" s="19"/>
      <x:c r="K230" s="17"/>
      <x:c r="L230" s="19"/>
      <x:c r="M230" s="17"/>
      <x:c r="N230" s="18"/>
      <x:c r="O230" s="18"/>
      <x:c r="P230" s="17"/>
      <x:c r="Q230" s="17"/>
      <x:c r="R230" s="17"/>
      <x:c r="S230" s="17"/>
      <x:c r="T230" s="17"/>
      <x:c r="U230" s="18"/>
      <x:c r="V230" s="18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20"/>
      <x:c r="AJ230" s="21"/>
      <x:c r="AK230" s="21"/>
      <x:c r="AL230" s="17"/>
      <x:c r="AM230" s="17"/>
      <x:c r="AN230" s="21"/>
      <x:c r="AO230" s="17"/>
      <x:c r="AP230" s="17"/>
      <x:c r="AQ230" s="17"/>
      <x:c r="AR230" s="17"/>
      <x:c r="AS230" s="17"/>
      <x:c r="AT230" s="17"/>
      <x:c r="AU230" s="18"/>
      <x:c r="AV230" s="17"/>
      <x:c r="AW230" s="17"/>
      <x:c r="AX230" s="17"/>
      <x:c r="AY230" s="17"/>
      <x:c r="AZ230" s="17"/>
      <x:c r="BA230" s="17"/>
      <x:c r="BB230" s="17"/>
      <x:c r="BC230" s="18"/>
      <x:c r="BD230" s="18"/>
      <x:c r="BE230" s="19"/>
      <x:c r="BF230" s="22" t="str">
        <x:f>IF(A230="","",IF(BI230&gt;=ReadyThreshold,"Ready",IF(BI230&gt;=PartialThreshold,"Partial","Not Ready")))</x:f>
      </x:c>
      <x:c r="BG230" s="23" t="str">
        <x:f>IF(A230="","",COUNTA(N230,Q230,R230,S230)/4)</x:f>
      </x:c>
      <x:c r="BH230" s="23" t="str">
        <x:f>IF(A230="","",(COUNTA(U230,V230,AE230)+IF(COUNTA(W230,X230,Y230,Z230,AA230)&gt;0,1,0))/4)</x:f>
      </x:c>
      <x:c r="BI230" s="23" t="str">
        <x:f>IF(A230="","",(COUNTIF(AV230:AZ230,"Available")+0.5*COUNTIF(AV230:AZ230,"Partial")+IF(BD230&lt;&gt;"",1,0))/6)</x:f>
      </x:c>
      <x:c r="BJ230" s="22" t="str">
        <x:f>IF(A230="","",IF(AND(F230="",BD230=""),"Blocked",IF(AND(BG230&gt;=ReadyThreshold,BH230&gt;=ReadyThreshold,BI230&gt;=ReadyThreshold),"Ready for Analysis",IF(AVERAGE(BG230,BH230,BI230)&gt;=PartialThreshold,"Partially Ready","Discovery Required"))))</x:f>
      </x:c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8"/>
      <x:c r="BU230" s="17"/>
      <x:c r="BV230" s="17"/>
    </x:row>
    <x:row r="231">
      <x:c r="A231" s="17"/>
      <x:c r="B231" s="17"/>
      <x:c r="C231" s="17"/>
      <x:c r="D231" s="17"/>
      <x:c r="E231" s="18"/>
      <x:c r="F231" s="18"/>
      <x:c r="G231" s="17"/>
      <x:c r="H231" s="17"/>
      <x:c r="I231" s="19"/>
      <x:c r="J231" s="19"/>
      <x:c r="K231" s="17"/>
      <x:c r="L231" s="19"/>
      <x:c r="M231" s="17"/>
      <x:c r="N231" s="18"/>
      <x:c r="O231" s="18"/>
      <x:c r="P231" s="17"/>
      <x:c r="Q231" s="17"/>
      <x:c r="R231" s="17"/>
      <x:c r="S231" s="17"/>
      <x:c r="T231" s="17"/>
      <x:c r="U231" s="18"/>
      <x:c r="V231" s="18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20"/>
      <x:c r="AJ231" s="21"/>
      <x:c r="AK231" s="21"/>
      <x:c r="AL231" s="17"/>
      <x:c r="AM231" s="17"/>
      <x:c r="AN231" s="21"/>
      <x:c r="AO231" s="17"/>
      <x:c r="AP231" s="17"/>
      <x:c r="AQ231" s="17"/>
      <x:c r="AR231" s="17"/>
      <x:c r="AS231" s="17"/>
      <x:c r="AT231" s="17"/>
      <x:c r="AU231" s="18"/>
      <x:c r="AV231" s="17"/>
      <x:c r="AW231" s="17"/>
      <x:c r="AX231" s="17"/>
      <x:c r="AY231" s="17"/>
      <x:c r="AZ231" s="17"/>
      <x:c r="BA231" s="17"/>
      <x:c r="BB231" s="17"/>
      <x:c r="BC231" s="18"/>
      <x:c r="BD231" s="18"/>
      <x:c r="BE231" s="19"/>
      <x:c r="BF231" s="22" t="str">
        <x:f>IF(A231="","",IF(BI231&gt;=ReadyThreshold,"Ready",IF(BI231&gt;=PartialThreshold,"Partial","Not Ready")))</x:f>
      </x:c>
      <x:c r="BG231" s="23" t="str">
        <x:f>IF(A231="","",COUNTA(N231,Q231,R231,S231)/4)</x:f>
      </x:c>
      <x:c r="BH231" s="23" t="str">
        <x:f>IF(A231="","",(COUNTA(U231,V231,AE231)+IF(COUNTA(W231,X231,Y231,Z231,AA231)&gt;0,1,0))/4)</x:f>
      </x:c>
      <x:c r="BI231" s="23" t="str">
        <x:f>IF(A231="","",(COUNTIF(AV231:AZ231,"Available")+0.5*COUNTIF(AV231:AZ231,"Partial")+IF(BD231&lt;&gt;"",1,0))/6)</x:f>
      </x:c>
      <x:c r="BJ231" s="22" t="str">
        <x:f>IF(A231="","",IF(AND(F231="",BD231=""),"Blocked",IF(AND(BG231&gt;=ReadyThreshold,BH231&gt;=ReadyThreshold,BI231&gt;=ReadyThreshold),"Ready for Analysis",IF(AVERAGE(BG231,BH231,BI231)&gt;=PartialThreshold,"Partially Ready","Discovery Required"))))</x:f>
      </x:c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8"/>
      <x:c r="BU231" s="17"/>
      <x:c r="BV231" s="17"/>
    </x:row>
    <x:row r="232">
      <x:c r="A232" s="17"/>
      <x:c r="B232" s="17"/>
      <x:c r="C232" s="17"/>
      <x:c r="D232" s="17"/>
      <x:c r="E232" s="18"/>
      <x:c r="F232" s="18"/>
      <x:c r="G232" s="17"/>
      <x:c r="H232" s="17"/>
      <x:c r="I232" s="19"/>
      <x:c r="J232" s="19"/>
      <x:c r="K232" s="17"/>
      <x:c r="L232" s="19"/>
      <x:c r="M232" s="17"/>
      <x:c r="N232" s="18"/>
      <x:c r="O232" s="18"/>
      <x:c r="P232" s="17"/>
      <x:c r="Q232" s="17"/>
      <x:c r="R232" s="17"/>
      <x:c r="S232" s="17"/>
      <x:c r="T232" s="17"/>
      <x:c r="U232" s="18"/>
      <x:c r="V232" s="18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20"/>
      <x:c r="AJ232" s="21"/>
      <x:c r="AK232" s="21"/>
      <x:c r="AL232" s="17"/>
      <x:c r="AM232" s="17"/>
      <x:c r="AN232" s="21"/>
      <x:c r="AO232" s="17"/>
      <x:c r="AP232" s="17"/>
      <x:c r="AQ232" s="17"/>
      <x:c r="AR232" s="17"/>
      <x:c r="AS232" s="17"/>
      <x:c r="AT232" s="17"/>
      <x:c r="AU232" s="18"/>
      <x:c r="AV232" s="17"/>
      <x:c r="AW232" s="17"/>
      <x:c r="AX232" s="17"/>
      <x:c r="AY232" s="17"/>
      <x:c r="AZ232" s="17"/>
      <x:c r="BA232" s="17"/>
      <x:c r="BB232" s="17"/>
      <x:c r="BC232" s="18"/>
      <x:c r="BD232" s="18"/>
      <x:c r="BE232" s="19"/>
      <x:c r="BF232" s="22" t="str">
        <x:f>IF(A232="","",IF(BI232&gt;=ReadyThreshold,"Ready",IF(BI232&gt;=PartialThreshold,"Partial","Not Ready")))</x:f>
      </x:c>
      <x:c r="BG232" s="23" t="str">
        <x:f>IF(A232="","",COUNTA(N232,Q232,R232,S232)/4)</x:f>
      </x:c>
      <x:c r="BH232" s="23" t="str">
        <x:f>IF(A232="","",(COUNTA(U232,V232,AE232)+IF(COUNTA(W232,X232,Y232,Z232,AA232)&gt;0,1,0))/4)</x:f>
      </x:c>
      <x:c r="BI232" s="23" t="str">
        <x:f>IF(A232="","",(COUNTIF(AV232:AZ232,"Available")+0.5*COUNTIF(AV232:AZ232,"Partial")+IF(BD232&lt;&gt;"",1,0))/6)</x:f>
      </x:c>
      <x:c r="BJ232" s="22" t="str">
        <x:f>IF(A232="","",IF(AND(F232="",BD232=""),"Blocked",IF(AND(BG232&gt;=ReadyThreshold,BH232&gt;=ReadyThreshold,BI232&gt;=ReadyThreshold),"Ready for Analysis",IF(AVERAGE(BG232,BH232,BI232)&gt;=PartialThreshold,"Partially Ready","Discovery Required"))))</x:f>
      </x:c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8"/>
      <x:c r="BU232" s="17"/>
      <x:c r="BV232" s="17"/>
    </x:row>
    <x:row r="233">
      <x:c r="A233" s="17"/>
      <x:c r="B233" s="17"/>
      <x:c r="C233" s="17"/>
      <x:c r="D233" s="17"/>
      <x:c r="E233" s="18"/>
      <x:c r="F233" s="18"/>
      <x:c r="G233" s="17"/>
      <x:c r="H233" s="17"/>
      <x:c r="I233" s="19"/>
      <x:c r="J233" s="19"/>
      <x:c r="K233" s="17"/>
      <x:c r="L233" s="19"/>
      <x:c r="M233" s="17"/>
      <x:c r="N233" s="18"/>
      <x:c r="O233" s="18"/>
      <x:c r="P233" s="17"/>
      <x:c r="Q233" s="17"/>
      <x:c r="R233" s="17"/>
      <x:c r="S233" s="17"/>
      <x:c r="T233" s="17"/>
      <x:c r="U233" s="18"/>
      <x:c r="V233" s="18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20"/>
      <x:c r="AJ233" s="21"/>
      <x:c r="AK233" s="21"/>
      <x:c r="AL233" s="17"/>
      <x:c r="AM233" s="17"/>
      <x:c r="AN233" s="21"/>
      <x:c r="AO233" s="17"/>
      <x:c r="AP233" s="17"/>
      <x:c r="AQ233" s="17"/>
      <x:c r="AR233" s="17"/>
      <x:c r="AS233" s="17"/>
      <x:c r="AT233" s="17"/>
      <x:c r="AU233" s="18"/>
      <x:c r="AV233" s="17"/>
      <x:c r="AW233" s="17"/>
      <x:c r="AX233" s="17"/>
      <x:c r="AY233" s="17"/>
      <x:c r="AZ233" s="17"/>
      <x:c r="BA233" s="17"/>
      <x:c r="BB233" s="17"/>
      <x:c r="BC233" s="18"/>
      <x:c r="BD233" s="18"/>
      <x:c r="BE233" s="19"/>
      <x:c r="BF233" s="22" t="str">
        <x:f>IF(A233="","",IF(BI233&gt;=ReadyThreshold,"Ready",IF(BI233&gt;=PartialThreshold,"Partial","Not Ready")))</x:f>
      </x:c>
      <x:c r="BG233" s="23" t="str">
        <x:f>IF(A233="","",COUNTA(N233,Q233,R233,S233)/4)</x:f>
      </x:c>
      <x:c r="BH233" s="23" t="str">
        <x:f>IF(A233="","",(COUNTA(U233,V233,AE233)+IF(COUNTA(W233,X233,Y233,Z233,AA233)&gt;0,1,0))/4)</x:f>
      </x:c>
      <x:c r="BI233" s="23" t="str">
        <x:f>IF(A233="","",(COUNTIF(AV233:AZ233,"Available")+0.5*COUNTIF(AV233:AZ233,"Partial")+IF(BD233&lt;&gt;"",1,0))/6)</x:f>
      </x:c>
      <x:c r="BJ233" s="22" t="str">
        <x:f>IF(A233="","",IF(AND(F233="",BD233=""),"Blocked",IF(AND(BG233&gt;=ReadyThreshold,BH233&gt;=ReadyThreshold,BI233&gt;=ReadyThreshold),"Ready for Analysis",IF(AVERAGE(BG233,BH233,BI233)&gt;=PartialThreshold,"Partially Ready","Discovery Required"))))</x:f>
      </x:c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8"/>
      <x:c r="BU233" s="17"/>
      <x:c r="BV233" s="17"/>
    </x:row>
    <x:row r="234">
      <x:c r="A234" s="17"/>
      <x:c r="B234" s="17"/>
      <x:c r="C234" s="17"/>
      <x:c r="D234" s="17"/>
      <x:c r="E234" s="18"/>
      <x:c r="F234" s="18"/>
      <x:c r="G234" s="17"/>
      <x:c r="H234" s="17"/>
      <x:c r="I234" s="19"/>
      <x:c r="J234" s="19"/>
      <x:c r="K234" s="17"/>
      <x:c r="L234" s="19"/>
      <x:c r="M234" s="17"/>
      <x:c r="N234" s="18"/>
      <x:c r="O234" s="18"/>
      <x:c r="P234" s="17"/>
      <x:c r="Q234" s="17"/>
      <x:c r="R234" s="17"/>
      <x:c r="S234" s="17"/>
      <x:c r="T234" s="17"/>
      <x:c r="U234" s="18"/>
      <x:c r="V234" s="18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20"/>
      <x:c r="AJ234" s="21"/>
      <x:c r="AK234" s="21"/>
      <x:c r="AL234" s="17"/>
      <x:c r="AM234" s="17"/>
      <x:c r="AN234" s="21"/>
      <x:c r="AO234" s="17"/>
      <x:c r="AP234" s="17"/>
      <x:c r="AQ234" s="17"/>
      <x:c r="AR234" s="17"/>
      <x:c r="AS234" s="17"/>
      <x:c r="AT234" s="17"/>
      <x:c r="AU234" s="18"/>
      <x:c r="AV234" s="17"/>
      <x:c r="AW234" s="17"/>
      <x:c r="AX234" s="17"/>
      <x:c r="AY234" s="17"/>
      <x:c r="AZ234" s="17"/>
      <x:c r="BA234" s="17"/>
      <x:c r="BB234" s="17"/>
      <x:c r="BC234" s="18"/>
      <x:c r="BD234" s="18"/>
      <x:c r="BE234" s="19"/>
      <x:c r="BF234" s="22" t="str">
        <x:f>IF(A234="","",IF(BI234&gt;=ReadyThreshold,"Ready",IF(BI234&gt;=PartialThreshold,"Partial","Not Ready")))</x:f>
      </x:c>
      <x:c r="BG234" s="23" t="str">
        <x:f>IF(A234="","",COUNTA(N234,Q234,R234,S234)/4)</x:f>
      </x:c>
      <x:c r="BH234" s="23" t="str">
        <x:f>IF(A234="","",(COUNTA(U234,V234,AE234)+IF(COUNTA(W234,X234,Y234,Z234,AA234)&gt;0,1,0))/4)</x:f>
      </x:c>
      <x:c r="BI234" s="23" t="str">
        <x:f>IF(A234="","",(COUNTIF(AV234:AZ234,"Available")+0.5*COUNTIF(AV234:AZ234,"Partial")+IF(BD234&lt;&gt;"",1,0))/6)</x:f>
      </x:c>
      <x:c r="BJ234" s="22" t="str">
        <x:f>IF(A234="","",IF(AND(F234="",BD234=""),"Blocked",IF(AND(BG234&gt;=ReadyThreshold,BH234&gt;=ReadyThreshold,BI234&gt;=ReadyThreshold),"Ready for Analysis",IF(AVERAGE(BG234,BH234,BI234)&gt;=PartialThreshold,"Partially Ready","Discovery Required"))))</x:f>
      </x:c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8"/>
      <x:c r="BU234" s="17"/>
      <x:c r="BV234" s="17"/>
    </x:row>
    <x:row r="235">
      <x:c r="A235" s="17"/>
      <x:c r="B235" s="17"/>
      <x:c r="C235" s="17"/>
      <x:c r="D235" s="17"/>
      <x:c r="E235" s="18"/>
      <x:c r="F235" s="18"/>
      <x:c r="G235" s="17"/>
      <x:c r="H235" s="17"/>
      <x:c r="I235" s="19"/>
      <x:c r="J235" s="19"/>
      <x:c r="K235" s="17"/>
      <x:c r="L235" s="19"/>
      <x:c r="M235" s="17"/>
      <x:c r="N235" s="18"/>
      <x:c r="O235" s="18"/>
      <x:c r="P235" s="17"/>
      <x:c r="Q235" s="17"/>
      <x:c r="R235" s="17"/>
      <x:c r="S235" s="17"/>
      <x:c r="T235" s="17"/>
      <x:c r="U235" s="18"/>
      <x:c r="V235" s="18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20"/>
      <x:c r="AJ235" s="21"/>
      <x:c r="AK235" s="21"/>
      <x:c r="AL235" s="17"/>
      <x:c r="AM235" s="17"/>
      <x:c r="AN235" s="21"/>
      <x:c r="AO235" s="17"/>
      <x:c r="AP235" s="17"/>
      <x:c r="AQ235" s="17"/>
      <x:c r="AR235" s="17"/>
      <x:c r="AS235" s="17"/>
      <x:c r="AT235" s="17"/>
      <x:c r="AU235" s="18"/>
      <x:c r="AV235" s="17"/>
      <x:c r="AW235" s="17"/>
      <x:c r="AX235" s="17"/>
      <x:c r="AY235" s="17"/>
      <x:c r="AZ235" s="17"/>
      <x:c r="BA235" s="17"/>
      <x:c r="BB235" s="17"/>
      <x:c r="BC235" s="18"/>
      <x:c r="BD235" s="18"/>
      <x:c r="BE235" s="19"/>
      <x:c r="BF235" s="22" t="str">
        <x:f>IF(A235="","",IF(BI235&gt;=ReadyThreshold,"Ready",IF(BI235&gt;=PartialThreshold,"Partial","Not Ready")))</x:f>
      </x:c>
      <x:c r="BG235" s="23" t="str">
        <x:f>IF(A235="","",COUNTA(N235,Q235,R235,S235)/4)</x:f>
      </x:c>
      <x:c r="BH235" s="23" t="str">
        <x:f>IF(A235="","",(COUNTA(U235,V235,AE235)+IF(COUNTA(W235,X235,Y235,Z235,AA235)&gt;0,1,0))/4)</x:f>
      </x:c>
      <x:c r="BI235" s="23" t="str">
        <x:f>IF(A235="","",(COUNTIF(AV235:AZ235,"Available")+0.5*COUNTIF(AV235:AZ235,"Partial")+IF(BD235&lt;&gt;"",1,0))/6)</x:f>
      </x:c>
      <x:c r="BJ235" s="22" t="str">
        <x:f>IF(A235="","",IF(AND(F235="",BD235=""),"Blocked",IF(AND(BG235&gt;=ReadyThreshold,BH235&gt;=ReadyThreshold,BI235&gt;=ReadyThreshold),"Ready for Analysis",IF(AVERAGE(BG235,BH235,BI235)&gt;=PartialThreshold,"Partially Ready","Discovery Required"))))</x:f>
      </x:c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8"/>
      <x:c r="BU235" s="17"/>
      <x:c r="BV235" s="17"/>
    </x:row>
    <x:row r="236">
      <x:c r="A236" s="17"/>
      <x:c r="B236" s="17"/>
      <x:c r="C236" s="17"/>
      <x:c r="D236" s="17"/>
      <x:c r="E236" s="18"/>
      <x:c r="F236" s="18"/>
      <x:c r="G236" s="17"/>
      <x:c r="H236" s="17"/>
      <x:c r="I236" s="19"/>
      <x:c r="J236" s="19"/>
      <x:c r="K236" s="17"/>
      <x:c r="L236" s="19"/>
      <x:c r="M236" s="17"/>
      <x:c r="N236" s="18"/>
      <x:c r="O236" s="18"/>
      <x:c r="P236" s="17"/>
      <x:c r="Q236" s="17"/>
      <x:c r="R236" s="17"/>
      <x:c r="S236" s="17"/>
      <x:c r="T236" s="17"/>
      <x:c r="U236" s="18"/>
      <x:c r="V236" s="18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20"/>
      <x:c r="AJ236" s="21"/>
      <x:c r="AK236" s="21"/>
      <x:c r="AL236" s="17"/>
      <x:c r="AM236" s="17"/>
      <x:c r="AN236" s="21"/>
      <x:c r="AO236" s="17"/>
      <x:c r="AP236" s="17"/>
      <x:c r="AQ236" s="17"/>
      <x:c r="AR236" s="17"/>
      <x:c r="AS236" s="17"/>
      <x:c r="AT236" s="17"/>
      <x:c r="AU236" s="18"/>
      <x:c r="AV236" s="17"/>
      <x:c r="AW236" s="17"/>
      <x:c r="AX236" s="17"/>
      <x:c r="AY236" s="17"/>
      <x:c r="AZ236" s="17"/>
      <x:c r="BA236" s="17"/>
      <x:c r="BB236" s="17"/>
      <x:c r="BC236" s="18"/>
      <x:c r="BD236" s="18"/>
      <x:c r="BE236" s="19"/>
      <x:c r="BF236" s="22" t="str">
        <x:f>IF(A236="","",IF(BI236&gt;=ReadyThreshold,"Ready",IF(BI236&gt;=PartialThreshold,"Partial","Not Ready")))</x:f>
      </x:c>
      <x:c r="BG236" s="23" t="str">
        <x:f>IF(A236="","",COUNTA(N236,Q236,R236,S236)/4)</x:f>
      </x:c>
      <x:c r="BH236" s="23" t="str">
        <x:f>IF(A236="","",(COUNTA(U236,V236,AE236)+IF(COUNTA(W236,X236,Y236,Z236,AA236)&gt;0,1,0))/4)</x:f>
      </x:c>
      <x:c r="BI236" s="23" t="str">
        <x:f>IF(A236="","",(COUNTIF(AV236:AZ236,"Available")+0.5*COUNTIF(AV236:AZ236,"Partial")+IF(BD236&lt;&gt;"",1,0))/6)</x:f>
      </x:c>
      <x:c r="BJ236" s="22" t="str">
        <x:f>IF(A236="","",IF(AND(F236="",BD236=""),"Blocked",IF(AND(BG236&gt;=ReadyThreshold,BH236&gt;=ReadyThreshold,BI236&gt;=ReadyThreshold),"Ready for Analysis",IF(AVERAGE(BG236,BH236,BI236)&gt;=PartialThreshold,"Partially Ready","Discovery Required"))))</x:f>
      </x:c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8"/>
      <x:c r="BU236" s="17"/>
      <x:c r="BV236" s="17"/>
    </x:row>
    <x:row r="237">
      <x:c r="A237" s="17"/>
      <x:c r="B237" s="17"/>
      <x:c r="C237" s="17"/>
      <x:c r="D237" s="17"/>
      <x:c r="E237" s="18"/>
      <x:c r="F237" s="18"/>
      <x:c r="G237" s="17"/>
      <x:c r="H237" s="17"/>
      <x:c r="I237" s="19"/>
      <x:c r="J237" s="19"/>
      <x:c r="K237" s="17"/>
      <x:c r="L237" s="19"/>
      <x:c r="M237" s="17"/>
      <x:c r="N237" s="18"/>
      <x:c r="O237" s="18"/>
      <x:c r="P237" s="17"/>
      <x:c r="Q237" s="17"/>
      <x:c r="R237" s="17"/>
      <x:c r="S237" s="17"/>
      <x:c r="T237" s="17"/>
      <x:c r="U237" s="18"/>
      <x:c r="V237" s="18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20"/>
      <x:c r="AJ237" s="21"/>
      <x:c r="AK237" s="21"/>
      <x:c r="AL237" s="17"/>
      <x:c r="AM237" s="17"/>
      <x:c r="AN237" s="21"/>
      <x:c r="AO237" s="17"/>
      <x:c r="AP237" s="17"/>
      <x:c r="AQ237" s="17"/>
      <x:c r="AR237" s="17"/>
      <x:c r="AS237" s="17"/>
      <x:c r="AT237" s="17"/>
      <x:c r="AU237" s="18"/>
      <x:c r="AV237" s="17"/>
      <x:c r="AW237" s="17"/>
      <x:c r="AX237" s="17"/>
      <x:c r="AY237" s="17"/>
      <x:c r="AZ237" s="17"/>
      <x:c r="BA237" s="17"/>
      <x:c r="BB237" s="17"/>
      <x:c r="BC237" s="18"/>
      <x:c r="BD237" s="18"/>
      <x:c r="BE237" s="19"/>
      <x:c r="BF237" s="22" t="str">
        <x:f>IF(A237="","",IF(BI237&gt;=ReadyThreshold,"Ready",IF(BI237&gt;=PartialThreshold,"Partial","Not Ready")))</x:f>
      </x:c>
      <x:c r="BG237" s="23" t="str">
        <x:f>IF(A237="","",COUNTA(N237,Q237,R237,S237)/4)</x:f>
      </x:c>
      <x:c r="BH237" s="23" t="str">
        <x:f>IF(A237="","",(COUNTA(U237,V237,AE237)+IF(COUNTA(W237,X237,Y237,Z237,AA237)&gt;0,1,0))/4)</x:f>
      </x:c>
      <x:c r="BI237" s="23" t="str">
        <x:f>IF(A237="","",(COUNTIF(AV237:AZ237,"Available")+0.5*COUNTIF(AV237:AZ237,"Partial")+IF(BD237&lt;&gt;"",1,0))/6)</x:f>
      </x:c>
      <x:c r="BJ237" s="22" t="str">
        <x:f>IF(A237="","",IF(AND(F237="",BD237=""),"Blocked",IF(AND(BG237&gt;=ReadyThreshold,BH237&gt;=ReadyThreshold,BI237&gt;=ReadyThreshold),"Ready for Analysis",IF(AVERAGE(BG237,BH237,BI237)&gt;=PartialThreshold,"Partially Ready","Discovery Required"))))</x:f>
      </x:c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8"/>
      <x:c r="BU237" s="17"/>
      <x:c r="BV237" s="17"/>
    </x:row>
    <x:row r="238">
      <x:c r="A238" s="17"/>
      <x:c r="B238" s="17"/>
      <x:c r="C238" s="17"/>
      <x:c r="D238" s="17"/>
      <x:c r="E238" s="18"/>
      <x:c r="F238" s="18"/>
      <x:c r="G238" s="17"/>
      <x:c r="H238" s="17"/>
      <x:c r="I238" s="19"/>
      <x:c r="J238" s="19"/>
      <x:c r="K238" s="17"/>
      <x:c r="L238" s="19"/>
      <x:c r="M238" s="17"/>
      <x:c r="N238" s="18"/>
      <x:c r="O238" s="18"/>
      <x:c r="P238" s="17"/>
      <x:c r="Q238" s="17"/>
      <x:c r="R238" s="17"/>
      <x:c r="S238" s="17"/>
      <x:c r="T238" s="17"/>
      <x:c r="U238" s="18"/>
      <x:c r="V238" s="18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20"/>
      <x:c r="AJ238" s="21"/>
      <x:c r="AK238" s="21"/>
      <x:c r="AL238" s="17"/>
      <x:c r="AM238" s="17"/>
      <x:c r="AN238" s="21"/>
      <x:c r="AO238" s="17"/>
      <x:c r="AP238" s="17"/>
      <x:c r="AQ238" s="17"/>
      <x:c r="AR238" s="17"/>
      <x:c r="AS238" s="17"/>
      <x:c r="AT238" s="17"/>
      <x:c r="AU238" s="18"/>
      <x:c r="AV238" s="17"/>
      <x:c r="AW238" s="17"/>
      <x:c r="AX238" s="17"/>
      <x:c r="AY238" s="17"/>
      <x:c r="AZ238" s="17"/>
      <x:c r="BA238" s="17"/>
      <x:c r="BB238" s="17"/>
      <x:c r="BC238" s="18"/>
      <x:c r="BD238" s="18"/>
      <x:c r="BE238" s="19"/>
      <x:c r="BF238" s="22" t="str">
        <x:f>IF(A238="","",IF(BI238&gt;=ReadyThreshold,"Ready",IF(BI238&gt;=PartialThreshold,"Partial","Not Ready")))</x:f>
      </x:c>
      <x:c r="BG238" s="23" t="str">
        <x:f>IF(A238="","",COUNTA(N238,Q238,R238,S238)/4)</x:f>
      </x:c>
      <x:c r="BH238" s="23" t="str">
        <x:f>IF(A238="","",(COUNTA(U238,V238,AE238)+IF(COUNTA(W238,X238,Y238,Z238,AA238)&gt;0,1,0))/4)</x:f>
      </x:c>
      <x:c r="BI238" s="23" t="str">
        <x:f>IF(A238="","",(COUNTIF(AV238:AZ238,"Available")+0.5*COUNTIF(AV238:AZ238,"Partial")+IF(BD238&lt;&gt;"",1,0))/6)</x:f>
      </x:c>
      <x:c r="BJ238" s="22" t="str">
        <x:f>IF(A238="","",IF(AND(F238="",BD238=""),"Blocked",IF(AND(BG238&gt;=ReadyThreshold,BH238&gt;=ReadyThreshold,BI238&gt;=ReadyThreshold),"Ready for Analysis",IF(AVERAGE(BG238,BH238,BI238)&gt;=PartialThreshold,"Partially Ready","Discovery Required"))))</x:f>
      </x:c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8"/>
      <x:c r="BU238" s="17"/>
      <x:c r="BV238" s="17"/>
    </x:row>
    <x:row r="239">
      <x:c r="A239" s="17"/>
      <x:c r="B239" s="17"/>
      <x:c r="C239" s="17"/>
      <x:c r="D239" s="17"/>
      <x:c r="E239" s="18"/>
      <x:c r="F239" s="18"/>
      <x:c r="G239" s="17"/>
      <x:c r="H239" s="17"/>
      <x:c r="I239" s="19"/>
      <x:c r="J239" s="19"/>
      <x:c r="K239" s="17"/>
      <x:c r="L239" s="19"/>
      <x:c r="M239" s="17"/>
      <x:c r="N239" s="18"/>
      <x:c r="O239" s="18"/>
      <x:c r="P239" s="17"/>
      <x:c r="Q239" s="17"/>
      <x:c r="R239" s="17"/>
      <x:c r="S239" s="17"/>
      <x:c r="T239" s="17"/>
      <x:c r="U239" s="18"/>
      <x:c r="V239" s="18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20"/>
      <x:c r="AJ239" s="21"/>
      <x:c r="AK239" s="21"/>
      <x:c r="AL239" s="17"/>
      <x:c r="AM239" s="17"/>
      <x:c r="AN239" s="21"/>
      <x:c r="AO239" s="17"/>
      <x:c r="AP239" s="17"/>
      <x:c r="AQ239" s="17"/>
      <x:c r="AR239" s="17"/>
      <x:c r="AS239" s="17"/>
      <x:c r="AT239" s="17"/>
      <x:c r="AU239" s="18"/>
      <x:c r="AV239" s="17"/>
      <x:c r="AW239" s="17"/>
      <x:c r="AX239" s="17"/>
      <x:c r="AY239" s="17"/>
      <x:c r="AZ239" s="17"/>
      <x:c r="BA239" s="17"/>
      <x:c r="BB239" s="17"/>
      <x:c r="BC239" s="18"/>
      <x:c r="BD239" s="18"/>
      <x:c r="BE239" s="19"/>
      <x:c r="BF239" s="22" t="str">
        <x:f>IF(A239="","",IF(BI239&gt;=ReadyThreshold,"Ready",IF(BI239&gt;=PartialThreshold,"Partial","Not Ready")))</x:f>
      </x:c>
      <x:c r="BG239" s="23" t="str">
        <x:f>IF(A239="","",COUNTA(N239,Q239,R239,S239)/4)</x:f>
      </x:c>
      <x:c r="BH239" s="23" t="str">
        <x:f>IF(A239="","",(COUNTA(U239,V239,AE239)+IF(COUNTA(W239,X239,Y239,Z239,AA239)&gt;0,1,0))/4)</x:f>
      </x:c>
      <x:c r="BI239" s="23" t="str">
        <x:f>IF(A239="","",(COUNTIF(AV239:AZ239,"Available")+0.5*COUNTIF(AV239:AZ239,"Partial")+IF(BD239&lt;&gt;"",1,0))/6)</x:f>
      </x:c>
      <x:c r="BJ239" s="22" t="str">
        <x:f>IF(A239="","",IF(AND(F239="",BD239=""),"Blocked",IF(AND(BG239&gt;=ReadyThreshold,BH239&gt;=ReadyThreshold,BI239&gt;=ReadyThreshold),"Ready for Analysis",IF(AVERAGE(BG239,BH239,BI239)&gt;=PartialThreshold,"Partially Ready","Discovery Required"))))</x:f>
      </x:c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8"/>
      <x:c r="BU239" s="17"/>
      <x:c r="BV239" s="17"/>
    </x:row>
    <x:row r="240">
      <x:c r="A240" s="17"/>
      <x:c r="B240" s="17"/>
      <x:c r="C240" s="17"/>
      <x:c r="D240" s="17"/>
      <x:c r="E240" s="18"/>
      <x:c r="F240" s="18"/>
      <x:c r="G240" s="17"/>
      <x:c r="H240" s="17"/>
      <x:c r="I240" s="19"/>
      <x:c r="J240" s="19"/>
      <x:c r="K240" s="17"/>
      <x:c r="L240" s="19"/>
      <x:c r="M240" s="17"/>
      <x:c r="N240" s="18"/>
      <x:c r="O240" s="18"/>
      <x:c r="P240" s="17"/>
      <x:c r="Q240" s="17"/>
      <x:c r="R240" s="17"/>
      <x:c r="S240" s="17"/>
      <x:c r="T240" s="17"/>
      <x:c r="U240" s="18"/>
      <x:c r="V240" s="18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20"/>
      <x:c r="AJ240" s="21"/>
      <x:c r="AK240" s="21"/>
      <x:c r="AL240" s="17"/>
      <x:c r="AM240" s="17"/>
      <x:c r="AN240" s="21"/>
      <x:c r="AO240" s="17"/>
      <x:c r="AP240" s="17"/>
      <x:c r="AQ240" s="17"/>
      <x:c r="AR240" s="17"/>
      <x:c r="AS240" s="17"/>
      <x:c r="AT240" s="17"/>
      <x:c r="AU240" s="18"/>
      <x:c r="AV240" s="17"/>
      <x:c r="AW240" s="17"/>
      <x:c r="AX240" s="17"/>
      <x:c r="AY240" s="17"/>
      <x:c r="AZ240" s="17"/>
      <x:c r="BA240" s="17"/>
      <x:c r="BB240" s="17"/>
      <x:c r="BC240" s="18"/>
      <x:c r="BD240" s="18"/>
      <x:c r="BE240" s="19"/>
      <x:c r="BF240" s="22" t="str">
        <x:f>IF(A240="","",IF(BI240&gt;=ReadyThreshold,"Ready",IF(BI240&gt;=PartialThreshold,"Partial","Not Ready")))</x:f>
      </x:c>
      <x:c r="BG240" s="23" t="str">
        <x:f>IF(A240="","",COUNTA(N240,Q240,R240,S240)/4)</x:f>
      </x:c>
      <x:c r="BH240" s="23" t="str">
        <x:f>IF(A240="","",(COUNTA(U240,V240,AE240)+IF(COUNTA(W240,X240,Y240,Z240,AA240)&gt;0,1,0))/4)</x:f>
      </x:c>
      <x:c r="BI240" s="23" t="str">
        <x:f>IF(A240="","",(COUNTIF(AV240:AZ240,"Available")+0.5*COUNTIF(AV240:AZ240,"Partial")+IF(BD240&lt;&gt;"",1,0))/6)</x:f>
      </x:c>
      <x:c r="BJ240" s="22" t="str">
        <x:f>IF(A240="","",IF(AND(F240="",BD240=""),"Blocked",IF(AND(BG240&gt;=ReadyThreshold,BH240&gt;=ReadyThreshold,BI240&gt;=ReadyThreshold),"Ready for Analysis",IF(AVERAGE(BG240,BH240,BI240)&gt;=PartialThreshold,"Partially Ready","Discovery Required"))))</x:f>
      </x:c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8"/>
      <x:c r="BU240" s="17"/>
      <x:c r="BV240" s="17"/>
    </x:row>
    <x:row r="241">
      <x:c r="A241" s="17"/>
      <x:c r="B241" s="17"/>
      <x:c r="C241" s="17"/>
      <x:c r="D241" s="17"/>
      <x:c r="E241" s="18"/>
      <x:c r="F241" s="18"/>
      <x:c r="G241" s="17"/>
      <x:c r="H241" s="17"/>
      <x:c r="I241" s="19"/>
      <x:c r="J241" s="19"/>
      <x:c r="K241" s="17"/>
      <x:c r="L241" s="19"/>
      <x:c r="M241" s="17"/>
      <x:c r="N241" s="18"/>
      <x:c r="O241" s="18"/>
      <x:c r="P241" s="17"/>
      <x:c r="Q241" s="17"/>
      <x:c r="R241" s="17"/>
      <x:c r="S241" s="17"/>
      <x:c r="T241" s="17"/>
      <x:c r="U241" s="18"/>
      <x:c r="V241" s="18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20"/>
      <x:c r="AJ241" s="21"/>
      <x:c r="AK241" s="21"/>
      <x:c r="AL241" s="17"/>
      <x:c r="AM241" s="17"/>
      <x:c r="AN241" s="21"/>
      <x:c r="AO241" s="17"/>
      <x:c r="AP241" s="17"/>
      <x:c r="AQ241" s="17"/>
      <x:c r="AR241" s="17"/>
      <x:c r="AS241" s="17"/>
      <x:c r="AT241" s="17"/>
      <x:c r="AU241" s="18"/>
      <x:c r="AV241" s="17"/>
      <x:c r="AW241" s="17"/>
      <x:c r="AX241" s="17"/>
      <x:c r="AY241" s="17"/>
      <x:c r="AZ241" s="17"/>
      <x:c r="BA241" s="17"/>
      <x:c r="BB241" s="17"/>
      <x:c r="BC241" s="18"/>
      <x:c r="BD241" s="18"/>
      <x:c r="BE241" s="19"/>
      <x:c r="BF241" s="22" t="str">
        <x:f>IF(A241="","",IF(BI241&gt;=ReadyThreshold,"Ready",IF(BI241&gt;=PartialThreshold,"Partial","Not Ready")))</x:f>
      </x:c>
      <x:c r="BG241" s="23" t="str">
        <x:f>IF(A241="","",COUNTA(N241,Q241,R241,S241)/4)</x:f>
      </x:c>
      <x:c r="BH241" s="23" t="str">
        <x:f>IF(A241="","",(COUNTA(U241,V241,AE241)+IF(COUNTA(W241,X241,Y241,Z241,AA241)&gt;0,1,0))/4)</x:f>
      </x:c>
      <x:c r="BI241" s="23" t="str">
        <x:f>IF(A241="","",(COUNTIF(AV241:AZ241,"Available")+0.5*COUNTIF(AV241:AZ241,"Partial")+IF(BD241&lt;&gt;"",1,0))/6)</x:f>
      </x:c>
      <x:c r="BJ241" s="22" t="str">
        <x:f>IF(A241="","",IF(AND(F241="",BD241=""),"Blocked",IF(AND(BG241&gt;=ReadyThreshold,BH241&gt;=ReadyThreshold,BI241&gt;=ReadyThreshold),"Ready for Analysis",IF(AVERAGE(BG241,BH241,BI241)&gt;=PartialThreshold,"Partially Ready","Discovery Required"))))</x:f>
      </x:c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8"/>
      <x:c r="BU241" s="17"/>
      <x:c r="BV241" s="17"/>
    </x:row>
    <x:row r="242">
      <x:c r="A242" s="17"/>
      <x:c r="B242" s="17"/>
      <x:c r="C242" s="17"/>
      <x:c r="D242" s="17"/>
      <x:c r="E242" s="18"/>
      <x:c r="F242" s="18"/>
      <x:c r="G242" s="17"/>
      <x:c r="H242" s="17"/>
      <x:c r="I242" s="19"/>
      <x:c r="J242" s="19"/>
      <x:c r="K242" s="17"/>
      <x:c r="L242" s="19"/>
      <x:c r="M242" s="17"/>
      <x:c r="N242" s="18"/>
      <x:c r="O242" s="18"/>
      <x:c r="P242" s="17"/>
      <x:c r="Q242" s="17"/>
      <x:c r="R242" s="17"/>
      <x:c r="S242" s="17"/>
      <x:c r="T242" s="17"/>
      <x:c r="U242" s="18"/>
      <x:c r="V242" s="18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20"/>
      <x:c r="AJ242" s="21"/>
      <x:c r="AK242" s="21"/>
      <x:c r="AL242" s="17"/>
      <x:c r="AM242" s="17"/>
      <x:c r="AN242" s="21"/>
      <x:c r="AO242" s="17"/>
      <x:c r="AP242" s="17"/>
      <x:c r="AQ242" s="17"/>
      <x:c r="AR242" s="17"/>
      <x:c r="AS242" s="17"/>
      <x:c r="AT242" s="17"/>
      <x:c r="AU242" s="18"/>
      <x:c r="AV242" s="17"/>
      <x:c r="AW242" s="17"/>
      <x:c r="AX242" s="17"/>
      <x:c r="AY242" s="17"/>
      <x:c r="AZ242" s="17"/>
      <x:c r="BA242" s="17"/>
      <x:c r="BB242" s="17"/>
      <x:c r="BC242" s="18"/>
      <x:c r="BD242" s="18"/>
      <x:c r="BE242" s="19"/>
      <x:c r="BF242" s="22" t="str">
        <x:f>IF(A242="","",IF(BI242&gt;=ReadyThreshold,"Ready",IF(BI242&gt;=PartialThreshold,"Partial","Not Ready")))</x:f>
      </x:c>
      <x:c r="BG242" s="23" t="str">
        <x:f>IF(A242="","",COUNTA(N242,Q242,R242,S242)/4)</x:f>
      </x:c>
      <x:c r="BH242" s="23" t="str">
        <x:f>IF(A242="","",(COUNTA(U242,V242,AE242)+IF(COUNTA(W242,X242,Y242,Z242,AA242)&gt;0,1,0))/4)</x:f>
      </x:c>
      <x:c r="BI242" s="23" t="str">
        <x:f>IF(A242="","",(COUNTIF(AV242:AZ242,"Available")+0.5*COUNTIF(AV242:AZ242,"Partial")+IF(BD242&lt;&gt;"",1,0))/6)</x:f>
      </x:c>
      <x:c r="BJ242" s="22" t="str">
        <x:f>IF(A242="","",IF(AND(F242="",BD242=""),"Blocked",IF(AND(BG242&gt;=ReadyThreshold,BH242&gt;=ReadyThreshold,BI242&gt;=ReadyThreshold),"Ready for Analysis",IF(AVERAGE(BG242,BH242,BI242)&gt;=PartialThreshold,"Partially Ready","Discovery Required"))))</x:f>
      </x:c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8"/>
      <x:c r="BU242" s="17"/>
      <x:c r="BV242" s="17"/>
    </x:row>
    <x:row r="243">
      <x:c r="A243" s="17"/>
      <x:c r="B243" s="17"/>
      <x:c r="C243" s="17"/>
      <x:c r="D243" s="17"/>
      <x:c r="E243" s="18"/>
      <x:c r="F243" s="18"/>
      <x:c r="G243" s="17"/>
      <x:c r="H243" s="17"/>
      <x:c r="I243" s="19"/>
      <x:c r="J243" s="19"/>
      <x:c r="K243" s="17"/>
      <x:c r="L243" s="19"/>
      <x:c r="M243" s="17"/>
      <x:c r="N243" s="18"/>
      <x:c r="O243" s="18"/>
      <x:c r="P243" s="17"/>
      <x:c r="Q243" s="17"/>
      <x:c r="R243" s="17"/>
      <x:c r="S243" s="17"/>
      <x:c r="T243" s="17"/>
      <x:c r="U243" s="18"/>
      <x:c r="V243" s="18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20"/>
      <x:c r="AJ243" s="21"/>
      <x:c r="AK243" s="21"/>
      <x:c r="AL243" s="17"/>
      <x:c r="AM243" s="17"/>
      <x:c r="AN243" s="21"/>
      <x:c r="AO243" s="17"/>
      <x:c r="AP243" s="17"/>
      <x:c r="AQ243" s="17"/>
      <x:c r="AR243" s="17"/>
      <x:c r="AS243" s="17"/>
      <x:c r="AT243" s="17"/>
      <x:c r="AU243" s="18"/>
      <x:c r="AV243" s="17"/>
      <x:c r="AW243" s="17"/>
      <x:c r="AX243" s="17"/>
      <x:c r="AY243" s="17"/>
      <x:c r="AZ243" s="17"/>
      <x:c r="BA243" s="17"/>
      <x:c r="BB243" s="17"/>
      <x:c r="BC243" s="18"/>
      <x:c r="BD243" s="18"/>
      <x:c r="BE243" s="19"/>
      <x:c r="BF243" s="22" t="str">
        <x:f>IF(A243="","",IF(BI243&gt;=ReadyThreshold,"Ready",IF(BI243&gt;=PartialThreshold,"Partial","Not Ready")))</x:f>
      </x:c>
      <x:c r="BG243" s="23" t="str">
        <x:f>IF(A243="","",COUNTA(N243,Q243,R243,S243)/4)</x:f>
      </x:c>
      <x:c r="BH243" s="23" t="str">
        <x:f>IF(A243="","",(COUNTA(U243,V243,AE243)+IF(COUNTA(W243,X243,Y243,Z243,AA243)&gt;0,1,0))/4)</x:f>
      </x:c>
      <x:c r="BI243" s="23" t="str">
        <x:f>IF(A243="","",(COUNTIF(AV243:AZ243,"Available")+0.5*COUNTIF(AV243:AZ243,"Partial")+IF(BD243&lt;&gt;"",1,0))/6)</x:f>
      </x:c>
      <x:c r="BJ243" s="22" t="str">
        <x:f>IF(A243="","",IF(AND(F243="",BD243=""),"Blocked",IF(AND(BG243&gt;=ReadyThreshold,BH243&gt;=ReadyThreshold,BI243&gt;=ReadyThreshold),"Ready for Analysis",IF(AVERAGE(BG243,BH243,BI243)&gt;=PartialThreshold,"Partially Ready","Discovery Required"))))</x:f>
      </x:c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8"/>
      <x:c r="BU243" s="17"/>
      <x:c r="BV243" s="17"/>
    </x:row>
    <x:row r="244">
      <x:c r="A244" s="17"/>
      <x:c r="B244" s="17"/>
      <x:c r="C244" s="17"/>
      <x:c r="D244" s="17"/>
      <x:c r="E244" s="18"/>
      <x:c r="F244" s="18"/>
      <x:c r="G244" s="17"/>
      <x:c r="H244" s="17"/>
      <x:c r="I244" s="19"/>
      <x:c r="J244" s="19"/>
      <x:c r="K244" s="17"/>
      <x:c r="L244" s="19"/>
      <x:c r="M244" s="17"/>
      <x:c r="N244" s="18"/>
      <x:c r="O244" s="18"/>
      <x:c r="P244" s="17"/>
      <x:c r="Q244" s="17"/>
      <x:c r="R244" s="17"/>
      <x:c r="S244" s="17"/>
      <x:c r="T244" s="17"/>
      <x:c r="U244" s="18"/>
      <x:c r="V244" s="18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20"/>
      <x:c r="AJ244" s="21"/>
      <x:c r="AK244" s="21"/>
      <x:c r="AL244" s="17"/>
      <x:c r="AM244" s="17"/>
      <x:c r="AN244" s="21"/>
      <x:c r="AO244" s="17"/>
      <x:c r="AP244" s="17"/>
      <x:c r="AQ244" s="17"/>
      <x:c r="AR244" s="17"/>
      <x:c r="AS244" s="17"/>
      <x:c r="AT244" s="17"/>
      <x:c r="AU244" s="18"/>
      <x:c r="AV244" s="17"/>
      <x:c r="AW244" s="17"/>
      <x:c r="AX244" s="17"/>
      <x:c r="AY244" s="17"/>
      <x:c r="AZ244" s="17"/>
      <x:c r="BA244" s="17"/>
      <x:c r="BB244" s="17"/>
      <x:c r="BC244" s="18"/>
      <x:c r="BD244" s="18"/>
      <x:c r="BE244" s="19"/>
      <x:c r="BF244" s="22" t="str">
        <x:f>IF(A244="","",IF(BI244&gt;=ReadyThreshold,"Ready",IF(BI244&gt;=PartialThreshold,"Partial","Not Ready")))</x:f>
      </x:c>
      <x:c r="BG244" s="23" t="str">
        <x:f>IF(A244="","",COUNTA(N244,Q244,R244,S244)/4)</x:f>
      </x:c>
      <x:c r="BH244" s="23" t="str">
        <x:f>IF(A244="","",(COUNTA(U244,V244,AE244)+IF(COUNTA(W244,X244,Y244,Z244,AA244)&gt;0,1,0))/4)</x:f>
      </x:c>
      <x:c r="BI244" s="23" t="str">
        <x:f>IF(A244="","",(COUNTIF(AV244:AZ244,"Available")+0.5*COUNTIF(AV244:AZ244,"Partial")+IF(BD244&lt;&gt;"",1,0))/6)</x:f>
      </x:c>
      <x:c r="BJ244" s="22" t="str">
        <x:f>IF(A244="","",IF(AND(F244="",BD244=""),"Blocked",IF(AND(BG244&gt;=ReadyThreshold,BH244&gt;=ReadyThreshold,BI244&gt;=ReadyThreshold),"Ready for Analysis",IF(AVERAGE(BG244,BH244,BI244)&gt;=PartialThreshold,"Partially Ready","Discovery Required"))))</x:f>
      </x:c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8"/>
      <x:c r="BU244" s="17"/>
      <x:c r="BV244" s="17"/>
    </x:row>
    <x:row r="245">
      <x:c r="A245" s="17"/>
      <x:c r="B245" s="17"/>
      <x:c r="C245" s="17"/>
      <x:c r="D245" s="17"/>
      <x:c r="E245" s="18"/>
      <x:c r="F245" s="18"/>
      <x:c r="G245" s="17"/>
      <x:c r="H245" s="17"/>
      <x:c r="I245" s="19"/>
      <x:c r="J245" s="19"/>
      <x:c r="K245" s="17"/>
      <x:c r="L245" s="19"/>
      <x:c r="M245" s="17"/>
      <x:c r="N245" s="18"/>
      <x:c r="O245" s="18"/>
      <x:c r="P245" s="17"/>
      <x:c r="Q245" s="17"/>
      <x:c r="R245" s="17"/>
      <x:c r="S245" s="17"/>
      <x:c r="T245" s="17"/>
      <x:c r="U245" s="18"/>
      <x:c r="V245" s="18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20"/>
      <x:c r="AJ245" s="21"/>
      <x:c r="AK245" s="21"/>
      <x:c r="AL245" s="17"/>
      <x:c r="AM245" s="17"/>
      <x:c r="AN245" s="21"/>
      <x:c r="AO245" s="17"/>
      <x:c r="AP245" s="17"/>
      <x:c r="AQ245" s="17"/>
      <x:c r="AR245" s="17"/>
      <x:c r="AS245" s="17"/>
      <x:c r="AT245" s="17"/>
      <x:c r="AU245" s="18"/>
      <x:c r="AV245" s="17"/>
      <x:c r="AW245" s="17"/>
      <x:c r="AX245" s="17"/>
      <x:c r="AY245" s="17"/>
      <x:c r="AZ245" s="17"/>
      <x:c r="BA245" s="17"/>
      <x:c r="BB245" s="17"/>
      <x:c r="BC245" s="18"/>
      <x:c r="BD245" s="18"/>
      <x:c r="BE245" s="19"/>
      <x:c r="BF245" s="22" t="str">
        <x:f>IF(A245="","",IF(BI245&gt;=ReadyThreshold,"Ready",IF(BI245&gt;=PartialThreshold,"Partial","Not Ready")))</x:f>
      </x:c>
      <x:c r="BG245" s="23" t="str">
        <x:f>IF(A245="","",COUNTA(N245,Q245,R245,S245)/4)</x:f>
      </x:c>
      <x:c r="BH245" s="23" t="str">
        <x:f>IF(A245="","",(COUNTA(U245,V245,AE245)+IF(COUNTA(W245,X245,Y245,Z245,AA245)&gt;0,1,0))/4)</x:f>
      </x:c>
      <x:c r="BI245" s="23" t="str">
        <x:f>IF(A245="","",(COUNTIF(AV245:AZ245,"Available")+0.5*COUNTIF(AV245:AZ245,"Partial")+IF(BD245&lt;&gt;"",1,0))/6)</x:f>
      </x:c>
      <x:c r="BJ245" s="22" t="str">
        <x:f>IF(A245="","",IF(AND(F245="",BD245=""),"Blocked",IF(AND(BG245&gt;=ReadyThreshold,BH245&gt;=ReadyThreshold,BI245&gt;=ReadyThreshold),"Ready for Analysis",IF(AVERAGE(BG245,BH245,BI245)&gt;=PartialThreshold,"Partially Ready","Discovery Required"))))</x:f>
      </x:c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8"/>
      <x:c r="BU245" s="17"/>
      <x:c r="BV245" s="17"/>
    </x:row>
    <x:row r="246">
      <x:c r="A246" s="17"/>
      <x:c r="B246" s="17"/>
      <x:c r="C246" s="17"/>
      <x:c r="D246" s="17"/>
      <x:c r="E246" s="18"/>
      <x:c r="F246" s="18"/>
      <x:c r="G246" s="17"/>
      <x:c r="H246" s="17"/>
      <x:c r="I246" s="19"/>
      <x:c r="J246" s="19"/>
      <x:c r="K246" s="17"/>
      <x:c r="L246" s="19"/>
      <x:c r="M246" s="17"/>
      <x:c r="N246" s="18"/>
      <x:c r="O246" s="18"/>
      <x:c r="P246" s="17"/>
      <x:c r="Q246" s="17"/>
      <x:c r="R246" s="17"/>
      <x:c r="S246" s="17"/>
      <x:c r="T246" s="17"/>
      <x:c r="U246" s="18"/>
      <x:c r="V246" s="18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20"/>
      <x:c r="AJ246" s="21"/>
      <x:c r="AK246" s="21"/>
      <x:c r="AL246" s="17"/>
      <x:c r="AM246" s="17"/>
      <x:c r="AN246" s="21"/>
      <x:c r="AO246" s="17"/>
      <x:c r="AP246" s="17"/>
      <x:c r="AQ246" s="17"/>
      <x:c r="AR246" s="17"/>
      <x:c r="AS246" s="17"/>
      <x:c r="AT246" s="17"/>
      <x:c r="AU246" s="18"/>
      <x:c r="AV246" s="17"/>
      <x:c r="AW246" s="17"/>
      <x:c r="AX246" s="17"/>
      <x:c r="AY246" s="17"/>
      <x:c r="AZ246" s="17"/>
      <x:c r="BA246" s="17"/>
      <x:c r="BB246" s="17"/>
      <x:c r="BC246" s="18"/>
      <x:c r="BD246" s="18"/>
      <x:c r="BE246" s="19"/>
      <x:c r="BF246" s="22" t="str">
        <x:f>IF(A246="","",IF(BI246&gt;=ReadyThreshold,"Ready",IF(BI246&gt;=PartialThreshold,"Partial","Not Ready")))</x:f>
      </x:c>
      <x:c r="BG246" s="23" t="str">
        <x:f>IF(A246="","",COUNTA(N246,Q246,R246,S246)/4)</x:f>
      </x:c>
      <x:c r="BH246" s="23" t="str">
        <x:f>IF(A246="","",(COUNTA(U246,V246,AE246)+IF(COUNTA(W246,X246,Y246,Z246,AA246)&gt;0,1,0))/4)</x:f>
      </x:c>
      <x:c r="BI246" s="23" t="str">
        <x:f>IF(A246="","",(COUNTIF(AV246:AZ246,"Available")+0.5*COUNTIF(AV246:AZ246,"Partial")+IF(BD246&lt;&gt;"",1,0))/6)</x:f>
      </x:c>
      <x:c r="BJ246" s="22" t="str">
        <x:f>IF(A246="","",IF(AND(F246="",BD246=""),"Blocked",IF(AND(BG246&gt;=ReadyThreshold,BH246&gt;=ReadyThreshold,BI246&gt;=ReadyThreshold),"Ready for Analysis",IF(AVERAGE(BG246,BH246,BI246)&gt;=PartialThreshold,"Partially Ready","Discovery Required"))))</x:f>
      </x:c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8"/>
      <x:c r="BU246" s="17"/>
      <x:c r="BV246" s="17"/>
    </x:row>
    <x:row r="247">
      <x:c r="A247" s="17"/>
      <x:c r="B247" s="17"/>
      <x:c r="C247" s="17"/>
      <x:c r="D247" s="17"/>
      <x:c r="E247" s="18"/>
      <x:c r="F247" s="18"/>
      <x:c r="G247" s="17"/>
      <x:c r="H247" s="17"/>
      <x:c r="I247" s="19"/>
      <x:c r="J247" s="19"/>
      <x:c r="K247" s="17"/>
      <x:c r="L247" s="19"/>
      <x:c r="M247" s="17"/>
      <x:c r="N247" s="18"/>
      <x:c r="O247" s="18"/>
      <x:c r="P247" s="17"/>
      <x:c r="Q247" s="17"/>
      <x:c r="R247" s="17"/>
      <x:c r="S247" s="17"/>
      <x:c r="T247" s="17"/>
      <x:c r="U247" s="18"/>
      <x:c r="V247" s="18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20"/>
      <x:c r="AJ247" s="21"/>
      <x:c r="AK247" s="21"/>
      <x:c r="AL247" s="17"/>
      <x:c r="AM247" s="17"/>
      <x:c r="AN247" s="21"/>
      <x:c r="AO247" s="17"/>
      <x:c r="AP247" s="17"/>
      <x:c r="AQ247" s="17"/>
      <x:c r="AR247" s="17"/>
      <x:c r="AS247" s="17"/>
      <x:c r="AT247" s="17"/>
      <x:c r="AU247" s="18"/>
      <x:c r="AV247" s="17"/>
      <x:c r="AW247" s="17"/>
      <x:c r="AX247" s="17"/>
      <x:c r="AY247" s="17"/>
      <x:c r="AZ247" s="17"/>
      <x:c r="BA247" s="17"/>
      <x:c r="BB247" s="17"/>
      <x:c r="BC247" s="18"/>
      <x:c r="BD247" s="18"/>
      <x:c r="BE247" s="19"/>
      <x:c r="BF247" s="22" t="str">
        <x:f>IF(A247="","",IF(BI247&gt;=ReadyThreshold,"Ready",IF(BI247&gt;=PartialThreshold,"Partial","Not Ready")))</x:f>
      </x:c>
      <x:c r="BG247" s="23" t="str">
        <x:f>IF(A247="","",COUNTA(N247,Q247,R247,S247)/4)</x:f>
      </x:c>
      <x:c r="BH247" s="23" t="str">
        <x:f>IF(A247="","",(COUNTA(U247,V247,AE247)+IF(COUNTA(W247,X247,Y247,Z247,AA247)&gt;0,1,0))/4)</x:f>
      </x:c>
      <x:c r="BI247" s="23" t="str">
        <x:f>IF(A247="","",(COUNTIF(AV247:AZ247,"Available")+0.5*COUNTIF(AV247:AZ247,"Partial")+IF(BD247&lt;&gt;"",1,0))/6)</x:f>
      </x:c>
      <x:c r="BJ247" s="22" t="str">
        <x:f>IF(A247="","",IF(AND(F247="",BD247=""),"Blocked",IF(AND(BG247&gt;=ReadyThreshold,BH247&gt;=ReadyThreshold,BI247&gt;=ReadyThreshold),"Ready for Analysis",IF(AVERAGE(BG247,BH247,BI247)&gt;=PartialThreshold,"Partially Ready","Discovery Required"))))</x:f>
      </x:c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8"/>
      <x:c r="BU247" s="17"/>
      <x:c r="BV247" s="17"/>
    </x:row>
    <x:row r="248">
      <x:c r="A248" s="17"/>
      <x:c r="B248" s="17"/>
      <x:c r="C248" s="17"/>
      <x:c r="D248" s="17"/>
      <x:c r="E248" s="18"/>
      <x:c r="F248" s="18"/>
      <x:c r="G248" s="17"/>
      <x:c r="H248" s="17"/>
      <x:c r="I248" s="19"/>
      <x:c r="J248" s="19"/>
      <x:c r="K248" s="17"/>
      <x:c r="L248" s="19"/>
      <x:c r="M248" s="17"/>
      <x:c r="N248" s="18"/>
      <x:c r="O248" s="18"/>
      <x:c r="P248" s="17"/>
      <x:c r="Q248" s="17"/>
      <x:c r="R248" s="17"/>
      <x:c r="S248" s="17"/>
      <x:c r="T248" s="17"/>
      <x:c r="U248" s="18"/>
      <x:c r="V248" s="18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20"/>
      <x:c r="AJ248" s="21"/>
      <x:c r="AK248" s="21"/>
      <x:c r="AL248" s="17"/>
      <x:c r="AM248" s="17"/>
      <x:c r="AN248" s="21"/>
      <x:c r="AO248" s="17"/>
      <x:c r="AP248" s="17"/>
      <x:c r="AQ248" s="17"/>
      <x:c r="AR248" s="17"/>
      <x:c r="AS248" s="17"/>
      <x:c r="AT248" s="17"/>
      <x:c r="AU248" s="18"/>
      <x:c r="AV248" s="17"/>
      <x:c r="AW248" s="17"/>
      <x:c r="AX248" s="17"/>
      <x:c r="AY248" s="17"/>
      <x:c r="AZ248" s="17"/>
      <x:c r="BA248" s="17"/>
      <x:c r="BB248" s="17"/>
      <x:c r="BC248" s="18"/>
      <x:c r="BD248" s="18"/>
      <x:c r="BE248" s="19"/>
      <x:c r="BF248" s="22" t="str">
        <x:f>IF(A248="","",IF(BI248&gt;=ReadyThreshold,"Ready",IF(BI248&gt;=PartialThreshold,"Partial","Not Ready")))</x:f>
      </x:c>
      <x:c r="BG248" s="23" t="str">
        <x:f>IF(A248="","",COUNTA(N248,Q248,R248,S248)/4)</x:f>
      </x:c>
      <x:c r="BH248" s="23" t="str">
        <x:f>IF(A248="","",(COUNTA(U248,V248,AE248)+IF(COUNTA(W248,X248,Y248,Z248,AA248)&gt;0,1,0))/4)</x:f>
      </x:c>
      <x:c r="BI248" s="23" t="str">
        <x:f>IF(A248="","",(COUNTIF(AV248:AZ248,"Available")+0.5*COUNTIF(AV248:AZ248,"Partial")+IF(BD248&lt;&gt;"",1,0))/6)</x:f>
      </x:c>
      <x:c r="BJ248" s="22" t="str">
        <x:f>IF(A248="","",IF(AND(F248="",BD248=""),"Blocked",IF(AND(BG248&gt;=ReadyThreshold,BH248&gt;=ReadyThreshold,BI248&gt;=ReadyThreshold),"Ready for Analysis",IF(AVERAGE(BG248,BH248,BI248)&gt;=PartialThreshold,"Partially Ready","Discovery Required"))))</x:f>
      </x:c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8"/>
      <x:c r="BU248" s="17"/>
      <x:c r="BV248" s="17"/>
    </x:row>
    <x:row r="249">
      <x:c r="A249" s="17"/>
      <x:c r="B249" s="17"/>
      <x:c r="C249" s="17"/>
      <x:c r="D249" s="17"/>
      <x:c r="E249" s="18"/>
      <x:c r="F249" s="18"/>
      <x:c r="G249" s="17"/>
      <x:c r="H249" s="17"/>
      <x:c r="I249" s="19"/>
      <x:c r="J249" s="19"/>
      <x:c r="K249" s="17"/>
      <x:c r="L249" s="19"/>
      <x:c r="M249" s="17"/>
      <x:c r="N249" s="18"/>
      <x:c r="O249" s="18"/>
      <x:c r="P249" s="17"/>
      <x:c r="Q249" s="17"/>
      <x:c r="R249" s="17"/>
      <x:c r="S249" s="17"/>
      <x:c r="T249" s="17"/>
      <x:c r="U249" s="18"/>
      <x:c r="V249" s="18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20"/>
      <x:c r="AJ249" s="21"/>
      <x:c r="AK249" s="21"/>
      <x:c r="AL249" s="17"/>
      <x:c r="AM249" s="17"/>
      <x:c r="AN249" s="21"/>
      <x:c r="AO249" s="17"/>
      <x:c r="AP249" s="17"/>
      <x:c r="AQ249" s="17"/>
      <x:c r="AR249" s="17"/>
      <x:c r="AS249" s="17"/>
      <x:c r="AT249" s="17"/>
      <x:c r="AU249" s="18"/>
      <x:c r="AV249" s="17"/>
      <x:c r="AW249" s="17"/>
      <x:c r="AX249" s="17"/>
      <x:c r="AY249" s="17"/>
      <x:c r="AZ249" s="17"/>
      <x:c r="BA249" s="17"/>
      <x:c r="BB249" s="17"/>
      <x:c r="BC249" s="18"/>
      <x:c r="BD249" s="18"/>
      <x:c r="BE249" s="19"/>
      <x:c r="BF249" s="22" t="str">
        <x:f>IF(A249="","",IF(BI249&gt;=ReadyThreshold,"Ready",IF(BI249&gt;=PartialThreshold,"Partial","Not Ready")))</x:f>
      </x:c>
      <x:c r="BG249" s="23" t="str">
        <x:f>IF(A249="","",COUNTA(N249,Q249,R249,S249)/4)</x:f>
      </x:c>
      <x:c r="BH249" s="23" t="str">
        <x:f>IF(A249="","",(COUNTA(U249,V249,AE249)+IF(COUNTA(W249,X249,Y249,Z249,AA249)&gt;0,1,0))/4)</x:f>
      </x:c>
      <x:c r="BI249" s="23" t="str">
        <x:f>IF(A249="","",(COUNTIF(AV249:AZ249,"Available")+0.5*COUNTIF(AV249:AZ249,"Partial")+IF(BD249&lt;&gt;"",1,0))/6)</x:f>
      </x:c>
      <x:c r="BJ249" s="22" t="str">
        <x:f>IF(A249="","",IF(AND(F249="",BD249=""),"Blocked",IF(AND(BG249&gt;=ReadyThreshold,BH249&gt;=ReadyThreshold,BI249&gt;=ReadyThreshold),"Ready for Analysis",IF(AVERAGE(BG249,BH249,BI249)&gt;=PartialThreshold,"Partially Ready","Discovery Required"))))</x:f>
      </x:c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8"/>
      <x:c r="BU249" s="17"/>
      <x:c r="BV249" s="17"/>
    </x:row>
    <x:row r="250">
      <x:c r="A250" s="17"/>
      <x:c r="B250" s="17"/>
      <x:c r="C250" s="17"/>
      <x:c r="D250" s="17"/>
      <x:c r="E250" s="18"/>
      <x:c r="F250" s="18"/>
      <x:c r="G250" s="17"/>
      <x:c r="H250" s="17"/>
      <x:c r="I250" s="19"/>
      <x:c r="J250" s="19"/>
      <x:c r="K250" s="17"/>
      <x:c r="L250" s="19"/>
      <x:c r="M250" s="17"/>
      <x:c r="N250" s="18"/>
      <x:c r="O250" s="18"/>
      <x:c r="P250" s="17"/>
      <x:c r="Q250" s="17"/>
      <x:c r="R250" s="17"/>
      <x:c r="S250" s="17"/>
      <x:c r="T250" s="17"/>
      <x:c r="U250" s="18"/>
      <x:c r="V250" s="18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20"/>
      <x:c r="AJ250" s="21"/>
      <x:c r="AK250" s="21"/>
      <x:c r="AL250" s="17"/>
      <x:c r="AM250" s="17"/>
      <x:c r="AN250" s="21"/>
      <x:c r="AO250" s="17"/>
      <x:c r="AP250" s="17"/>
      <x:c r="AQ250" s="17"/>
      <x:c r="AR250" s="17"/>
      <x:c r="AS250" s="17"/>
      <x:c r="AT250" s="17"/>
      <x:c r="AU250" s="18"/>
      <x:c r="AV250" s="17"/>
      <x:c r="AW250" s="17"/>
      <x:c r="AX250" s="17"/>
      <x:c r="AY250" s="17"/>
      <x:c r="AZ250" s="17"/>
      <x:c r="BA250" s="17"/>
      <x:c r="BB250" s="17"/>
      <x:c r="BC250" s="18"/>
      <x:c r="BD250" s="18"/>
      <x:c r="BE250" s="19"/>
      <x:c r="BF250" s="22" t="str">
        <x:f>IF(A250="","",IF(BI250&gt;=ReadyThreshold,"Ready",IF(BI250&gt;=PartialThreshold,"Partial","Not Ready")))</x:f>
      </x:c>
      <x:c r="BG250" s="23" t="str">
        <x:f>IF(A250="","",COUNTA(N250,Q250,R250,S250)/4)</x:f>
      </x:c>
      <x:c r="BH250" s="23" t="str">
        <x:f>IF(A250="","",(COUNTA(U250,V250,AE250)+IF(COUNTA(W250,X250,Y250,Z250,AA250)&gt;0,1,0))/4)</x:f>
      </x:c>
      <x:c r="BI250" s="23" t="str">
        <x:f>IF(A250="","",(COUNTIF(AV250:AZ250,"Available")+0.5*COUNTIF(AV250:AZ250,"Partial")+IF(BD250&lt;&gt;"",1,0))/6)</x:f>
      </x:c>
      <x:c r="BJ250" s="22" t="str">
        <x:f>IF(A250="","",IF(AND(F250="",BD250=""),"Blocked",IF(AND(BG250&gt;=ReadyThreshold,BH250&gt;=ReadyThreshold,BI250&gt;=ReadyThreshold),"Ready for Analysis",IF(AVERAGE(BG250,BH250,BI250)&gt;=PartialThreshold,"Partially Ready","Discovery Required"))))</x:f>
      </x:c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8"/>
      <x:c r="BU250" s="17"/>
      <x:c r="BV250" s="17"/>
    </x:row>
    <x:row r="251">
      <x:c r="A251" s="17"/>
      <x:c r="B251" s="17"/>
      <x:c r="C251" s="17"/>
      <x:c r="D251" s="17"/>
      <x:c r="E251" s="18"/>
      <x:c r="F251" s="18"/>
      <x:c r="G251" s="17"/>
      <x:c r="H251" s="17"/>
      <x:c r="I251" s="19"/>
      <x:c r="J251" s="19"/>
      <x:c r="K251" s="17"/>
      <x:c r="L251" s="19"/>
      <x:c r="M251" s="17"/>
      <x:c r="N251" s="18"/>
      <x:c r="O251" s="18"/>
      <x:c r="P251" s="17"/>
      <x:c r="Q251" s="17"/>
      <x:c r="R251" s="17"/>
      <x:c r="S251" s="17"/>
      <x:c r="T251" s="17"/>
      <x:c r="U251" s="18"/>
      <x:c r="V251" s="18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20"/>
      <x:c r="AJ251" s="21"/>
      <x:c r="AK251" s="21"/>
      <x:c r="AL251" s="17"/>
      <x:c r="AM251" s="17"/>
      <x:c r="AN251" s="21"/>
      <x:c r="AO251" s="17"/>
      <x:c r="AP251" s="17"/>
      <x:c r="AQ251" s="17"/>
      <x:c r="AR251" s="17"/>
      <x:c r="AS251" s="17"/>
      <x:c r="AT251" s="17"/>
      <x:c r="AU251" s="18"/>
      <x:c r="AV251" s="17"/>
      <x:c r="AW251" s="17"/>
      <x:c r="AX251" s="17"/>
      <x:c r="AY251" s="17"/>
      <x:c r="AZ251" s="17"/>
      <x:c r="BA251" s="17"/>
      <x:c r="BB251" s="17"/>
      <x:c r="BC251" s="18"/>
      <x:c r="BD251" s="18"/>
      <x:c r="BE251" s="19"/>
      <x:c r="BF251" s="22" t="str">
        <x:f>IF(A251="","",IF(BI251&gt;=ReadyThreshold,"Ready",IF(BI251&gt;=PartialThreshold,"Partial","Not Ready")))</x:f>
      </x:c>
      <x:c r="BG251" s="23" t="str">
        <x:f>IF(A251="","",COUNTA(N251,Q251,R251,S251)/4)</x:f>
      </x:c>
      <x:c r="BH251" s="23" t="str">
        <x:f>IF(A251="","",(COUNTA(U251,V251,AE251)+IF(COUNTA(W251,X251,Y251,Z251,AA251)&gt;0,1,0))/4)</x:f>
      </x:c>
      <x:c r="BI251" s="23" t="str">
        <x:f>IF(A251="","",(COUNTIF(AV251:AZ251,"Available")+0.5*COUNTIF(AV251:AZ251,"Partial")+IF(BD251&lt;&gt;"",1,0))/6)</x:f>
      </x:c>
      <x:c r="BJ251" s="22" t="str">
        <x:f>IF(A251="","",IF(AND(F251="",BD251=""),"Blocked",IF(AND(BG251&gt;=ReadyThreshold,BH251&gt;=ReadyThreshold,BI251&gt;=ReadyThreshold),"Ready for Analysis",IF(AVERAGE(BG251,BH251,BI251)&gt;=PartialThreshold,"Partially Ready","Discovery Required"))))</x:f>
      </x:c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8"/>
      <x:c r="BU251" s="17"/>
      <x:c r="BV251" s="17"/>
    </x:row>
    <x:row r="252">
      <x:c r="A252" s="17"/>
      <x:c r="B252" s="17"/>
      <x:c r="C252" s="17"/>
      <x:c r="D252" s="17"/>
      <x:c r="E252" s="18"/>
      <x:c r="F252" s="18"/>
      <x:c r="G252" s="17"/>
      <x:c r="H252" s="17"/>
      <x:c r="I252" s="19"/>
      <x:c r="J252" s="19"/>
      <x:c r="K252" s="17"/>
      <x:c r="L252" s="19"/>
      <x:c r="M252" s="17"/>
      <x:c r="N252" s="18"/>
      <x:c r="O252" s="18"/>
      <x:c r="P252" s="17"/>
      <x:c r="Q252" s="17"/>
      <x:c r="R252" s="17"/>
      <x:c r="S252" s="17"/>
      <x:c r="T252" s="17"/>
      <x:c r="U252" s="18"/>
      <x:c r="V252" s="18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20"/>
      <x:c r="AJ252" s="21"/>
      <x:c r="AK252" s="21"/>
      <x:c r="AL252" s="17"/>
      <x:c r="AM252" s="17"/>
      <x:c r="AN252" s="21"/>
      <x:c r="AO252" s="17"/>
      <x:c r="AP252" s="17"/>
      <x:c r="AQ252" s="17"/>
      <x:c r="AR252" s="17"/>
      <x:c r="AS252" s="17"/>
      <x:c r="AT252" s="17"/>
      <x:c r="AU252" s="18"/>
      <x:c r="AV252" s="17"/>
      <x:c r="AW252" s="17"/>
      <x:c r="AX252" s="17"/>
      <x:c r="AY252" s="17"/>
      <x:c r="AZ252" s="17"/>
      <x:c r="BA252" s="17"/>
      <x:c r="BB252" s="17"/>
      <x:c r="BC252" s="18"/>
      <x:c r="BD252" s="18"/>
      <x:c r="BE252" s="19"/>
      <x:c r="BF252" s="22" t="str">
        <x:f>IF(A252="","",IF(BI252&gt;=ReadyThreshold,"Ready",IF(BI252&gt;=PartialThreshold,"Partial","Not Ready")))</x:f>
      </x:c>
      <x:c r="BG252" s="23" t="str">
        <x:f>IF(A252="","",COUNTA(N252,Q252,R252,S252)/4)</x:f>
      </x:c>
      <x:c r="BH252" s="23" t="str">
        <x:f>IF(A252="","",(COUNTA(U252,V252,AE252)+IF(COUNTA(W252,X252,Y252,Z252,AA252)&gt;0,1,0))/4)</x:f>
      </x:c>
      <x:c r="BI252" s="23" t="str">
        <x:f>IF(A252="","",(COUNTIF(AV252:AZ252,"Available")+0.5*COUNTIF(AV252:AZ252,"Partial")+IF(BD252&lt;&gt;"",1,0))/6)</x:f>
      </x:c>
      <x:c r="BJ252" s="22" t="str">
        <x:f>IF(A252="","",IF(AND(F252="",BD252=""),"Blocked",IF(AND(BG252&gt;=ReadyThreshold,BH252&gt;=ReadyThreshold,BI252&gt;=ReadyThreshold),"Ready for Analysis",IF(AVERAGE(BG252,BH252,BI252)&gt;=PartialThreshold,"Partially Ready","Discovery Required"))))</x:f>
      </x:c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8"/>
      <x:c r="BU252" s="17"/>
      <x:c r="BV252" s="17"/>
    </x:row>
    <x:row r="253">
      <x:c r="A253" s="17"/>
      <x:c r="B253" s="17"/>
      <x:c r="C253" s="17"/>
      <x:c r="D253" s="17"/>
      <x:c r="E253" s="18"/>
      <x:c r="F253" s="18"/>
      <x:c r="G253" s="17"/>
      <x:c r="H253" s="17"/>
      <x:c r="I253" s="19"/>
      <x:c r="J253" s="19"/>
      <x:c r="K253" s="17"/>
      <x:c r="L253" s="19"/>
      <x:c r="M253" s="17"/>
      <x:c r="N253" s="18"/>
      <x:c r="O253" s="18"/>
      <x:c r="P253" s="17"/>
      <x:c r="Q253" s="17"/>
      <x:c r="R253" s="17"/>
      <x:c r="S253" s="17"/>
      <x:c r="T253" s="17"/>
      <x:c r="U253" s="18"/>
      <x:c r="V253" s="18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20"/>
      <x:c r="AJ253" s="21"/>
      <x:c r="AK253" s="21"/>
      <x:c r="AL253" s="17"/>
      <x:c r="AM253" s="17"/>
      <x:c r="AN253" s="21"/>
      <x:c r="AO253" s="17"/>
      <x:c r="AP253" s="17"/>
      <x:c r="AQ253" s="17"/>
      <x:c r="AR253" s="17"/>
      <x:c r="AS253" s="17"/>
      <x:c r="AT253" s="17"/>
      <x:c r="AU253" s="18"/>
      <x:c r="AV253" s="17"/>
      <x:c r="AW253" s="17"/>
      <x:c r="AX253" s="17"/>
      <x:c r="AY253" s="17"/>
      <x:c r="AZ253" s="17"/>
      <x:c r="BA253" s="17"/>
      <x:c r="BB253" s="17"/>
      <x:c r="BC253" s="18"/>
      <x:c r="BD253" s="18"/>
      <x:c r="BE253" s="19"/>
      <x:c r="BF253" s="22" t="str">
        <x:f>IF(A253="","",IF(BI253&gt;=ReadyThreshold,"Ready",IF(BI253&gt;=PartialThreshold,"Partial","Not Ready")))</x:f>
      </x:c>
      <x:c r="BG253" s="23" t="str">
        <x:f>IF(A253="","",COUNTA(N253,Q253,R253,S253)/4)</x:f>
      </x:c>
      <x:c r="BH253" s="23" t="str">
        <x:f>IF(A253="","",(COUNTA(U253,V253,AE253)+IF(COUNTA(W253,X253,Y253,Z253,AA253)&gt;0,1,0))/4)</x:f>
      </x:c>
      <x:c r="BI253" s="23" t="str">
        <x:f>IF(A253="","",(COUNTIF(AV253:AZ253,"Available")+0.5*COUNTIF(AV253:AZ253,"Partial")+IF(BD253&lt;&gt;"",1,0))/6)</x:f>
      </x:c>
      <x:c r="BJ253" s="22" t="str">
        <x:f>IF(A253="","",IF(AND(F253="",BD253=""),"Blocked",IF(AND(BG253&gt;=ReadyThreshold,BH253&gt;=ReadyThreshold,BI253&gt;=ReadyThreshold),"Ready for Analysis",IF(AVERAGE(BG253,BH253,BI253)&gt;=PartialThreshold,"Partially Ready","Discovery Required"))))</x:f>
      </x:c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8"/>
      <x:c r="BU253" s="17"/>
      <x:c r="BV253" s="17"/>
    </x:row>
    <x:row r="254">
      <x:c r="A254" s="17"/>
      <x:c r="B254" s="17"/>
      <x:c r="C254" s="17"/>
      <x:c r="D254" s="17"/>
      <x:c r="E254" s="18"/>
      <x:c r="F254" s="18"/>
      <x:c r="G254" s="17"/>
      <x:c r="H254" s="17"/>
      <x:c r="I254" s="19"/>
      <x:c r="J254" s="19"/>
      <x:c r="K254" s="17"/>
      <x:c r="L254" s="19"/>
      <x:c r="M254" s="17"/>
      <x:c r="N254" s="18"/>
      <x:c r="O254" s="18"/>
      <x:c r="P254" s="17"/>
      <x:c r="Q254" s="17"/>
      <x:c r="R254" s="17"/>
      <x:c r="S254" s="17"/>
      <x:c r="T254" s="17"/>
      <x:c r="U254" s="18"/>
      <x:c r="V254" s="18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20"/>
      <x:c r="AJ254" s="21"/>
      <x:c r="AK254" s="21"/>
      <x:c r="AL254" s="17"/>
      <x:c r="AM254" s="17"/>
      <x:c r="AN254" s="21"/>
      <x:c r="AO254" s="17"/>
      <x:c r="AP254" s="17"/>
      <x:c r="AQ254" s="17"/>
      <x:c r="AR254" s="17"/>
      <x:c r="AS254" s="17"/>
      <x:c r="AT254" s="17"/>
      <x:c r="AU254" s="18"/>
      <x:c r="AV254" s="17"/>
      <x:c r="AW254" s="17"/>
      <x:c r="AX254" s="17"/>
      <x:c r="AY254" s="17"/>
      <x:c r="AZ254" s="17"/>
      <x:c r="BA254" s="17"/>
      <x:c r="BB254" s="17"/>
      <x:c r="BC254" s="18"/>
      <x:c r="BD254" s="18"/>
      <x:c r="BE254" s="19"/>
      <x:c r="BF254" s="22" t="str">
        <x:f>IF(A254="","",IF(BI254&gt;=ReadyThreshold,"Ready",IF(BI254&gt;=PartialThreshold,"Partial","Not Ready")))</x:f>
      </x:c>
      <x:c r="BG254" s="23" t="str">
        <x:f>IF(A254="","",COUNTA(N254,Q254,R254,S254)/4)</x:f>
      </x:c>
      <x:c r="BH254" s="23" t="str">
        <x:f>IF(A254="","",(COUNTA(U254,V254,AE254)+IF(COUNTA(W254,X254,Y254,Z254,AA254)&gt;0,1,0))/4)</x:f>
      </x:c>
      <x:c r="BI254" s="23" t="str">
        <x:f>IF(A254="","",(COUNTIF(AV254:AZ254,"Available")+0.5*COUNTIF(AV254:AZ254,"Partial")+IF(BD254&lt;&gt;"",1,0))/6)</x:f>
      </x:c>
      <x:c r="BJ254" s="22" t="str">
        <x:f>IF(A254="","",IF(AND(F254="",BD254=""),"Blocked",IF(AND(BG254&gt;=ReadyThreshold,BH254&gt;=ReadyThreshold,BI254&gt;=ReadyThreshold),"Ready for Analysis",IF(AVERAGE(BG254,BH254,BI254)&gt;=PartialThreshold,"Partially Ready","Discovery Required"))))</x:f>
      </x:c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8"/>
      <x:c r="BU254" s="17"/>
      <x:c r="BV254" s="17"/>
    </x:row>
    <x:row r="255">
      <x:c r="A255" s="17"/>
      <x:c r="B255" s="17"/>
      <x:c r="C255" s="17"/>
      <x:c r="D255" s="17"/>
      <x:c r="E255" s="18"/>
      <x:c r="F255" s="18"/>
      <x:c r="G255" s="17"/>
      <x:c r="H255" s="17"/>
      <x:c r="I255" s="19"/>
      <x:c r="J255" s="19"/>
      <x:c r="K255" s="17"/>
      <x:c r="L255" s="19"/>
      <x:c r="M255" s="17"/>
      <x:c r="N255" s="18"/>
      <x:c r="O255" s="18"/>
      <x:c r="P255" s="17"/>
      <x:c r="Q255" s="17"/>
      <x:c r="R255" s="17"/>
      <x:c r="S255" s="17"/>
      <x:c r="T255" s="17"/>
      <x:c r="U255" s="18"/>
      <x:c r="V255" s="18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20"/>
      <x:c r="AJ255" s="21"/>
      <x:c r="AK255" s="21"/>
      <x:c r="AL255" s="17"/>
      <x:c r="AM255" s="17"/>
      <x:c r="AN255" s="21"/>
      <x:c r="AO255" s="17"/>
      <x:c r="AP255" s="17"/>
      <x:c r="AQ255" s="17"/>
      <x:c r="AR255" s="17"/>
      <x:c r="AS255" s="17"/>
      <x:c r="AT255" s="17"/>
      <x:c r="AU255" s="18"/>
      <x:c r="AV255" s="17"/>
      <x:c r="AW255" s="17"/>
      <x:c r="AX255" s="17"/>
      <x:c r="AY255" s="17"/>
      <x:c r="AZ255" s="17"/>
      <x:c r="BA255" s="17"/>
      <x:c r="BB255" s="17"/>
      <x:c r="BC255" s="18"/>
      <x:c r="BD255" s="18"/>
      <x:c r="BE255" s="19"/>
      <x:c r="BF255" s="22" t="str">
        <x:f>IF(A255="","",IF(BI255&gt;=ReadyThreshold,"Ready",IF(BI255&gt;=PartialThreshold,"Partial","Not Ready")))</x:f>
      </x:c>
      <x:c r="BG255" s="23" t="str">
        <x:f>IF(A255="","",COUNTA(N255,Q255,R255,S255)/4)</x:f>
      </x:c>
      <x:c r="BH255" s="23" t="str">
        <x:f>IF(A255="","",(COUNTA(U255,V255,AE255)+IF(COUNTA(W255,X255,Y255,Z255,AA255)&gt;0,1,0))/4)</x:f>
      </x:c>
      <x:c r="BI255" s="23" t="str">
        <x:f>IF(A255="","",(COUNTIF(AV255:AZ255,"Available")+0.5*COUNTIF(AV255:AZ255,"Partial")+IF(BD255&lt;&gt;"",1,0))/6)</x:f>
      </x:c>
      <x:c r="BJ255" s="22" t="str">
        <x:f>IF(A255="","",IF(AND(F255="",BD255=""),"Blocked",IF(AND(BG255&gt;=ReadyThreshold,BH255&gt;=ReadyThreshold,BI255&gt;=ReadyThreshold),"Ready for Analysis",IF(AVERAGE(BG255,BH255,BI255)&gt;=PartialThreshold,"Partially Ready","Discovery Required"))))</x:f>
      </x:c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8"/>
      <x:c r="BU255" s="17"/>
      <x:c r="BV255" s="17"/>
    </x:row>
    <x:row r="256">
      <x:c r="A256" s="17"/>
      <x:c r="B256" s="17"/>
      <x:c r="C256" s="17"/>
      <x:c r="D256" s="17"/>
      <x:c r="E256" s="18"/>
      <x:c r="F256" s="18"/>
      <x:c r="G256" s="17"/>
      <x:c r="H256" s="17"/>
      <x:c r="I256" s="19"/>
      <x:c r="J256" s="19"/>
      <x:c r="K256" s="17"/>
      <x:c r="L256" s="19"/>
      <x:c r="M256" s="17"/>
      <x:c r="N256" s="18"/>
      <x:c r="O256" s="18"/>
      <x:c r="P256" s="17"/>
      <x:c r="Q256" s="17"/>
      <x:c r="R256" s="17"/>
      <x:c r="S256" s="17"/>
      <x:c r="T256" s="17"/>
      <x:c r="U256" s="18"/>
      <x:c r="V256" s="18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20"/>
      <x:c r="AJ256" s="21"/>
      <x:c r="AK256" s="21"/>
      <x:c r="AL256" s="17"/>
      <x:c r="AM256" s="17"/>
      <x:c r="AN256" s="21"/>
      <x:c r="AO256" s="17"/>
      <x:c r="AP256" s="17"/>
      <x:c r="AQ256" s="17"/>
      <x:c r="AR256" s="17"/>
      <x:c r="AS256" s="17"/>
      <x:c r="AT256" s="17"/>
      <x:c r="AU256" s="18"/>
      <x:c r="AV256" s="17"/>
      <x:c r="AW256" s="17"/>
      <x:c r="AX256" s="17"/>
      <x:c r="AY256" s="17"/>
      <x:c r="AZ256" s="17"/>
      <x:c r="BA256" s="17"/>
      <x:c r="BB256" s="17"/>
      <x:c r="BC256" s="18"/>
      <x:c r="BD256" s="18"/>
      <x:c r="BE256" s="19"/>
      <x:c r="BF256" s="22" t="str">
        <x:f>IF(A256="","",IF(BI256&gt;=ReadyThreshold,"Ready",IF(BI256&gt;=PartialThreshold,"Partial","Not Ready")))</x:f>
      </x:c>
      <x:c r="BG256" s="23" t="str">
        <x:f>IF(A256="","",COUNTA(N256,Q256,R256,S256)/4)</x:f>
      </x:c>
      <x:c r="BH256" s="23" t="str">
        <x:f>IF(A256="","",(COUNTA(U256,V256,AE256)+IF(COUNTA(W256,X256,Y256,Z256,AA256)&gt;0,1,0))/4)</x:f>
      </x:c>
      <x:c r="BI256" s="23" t="str">
        <x:f>IF(A256="","",(COUNTIF(AV256:AZ256,"Available")+0.5*COUNTIF(AV256:AZ256,"Partial")+IF(BD256&lt;&gt;"",1,0))/6)</x:f>
      </x:c>
      <x:c r="BJ256" s="22" t="str">
        <x:f>IF(A256="","",IF(AND(F256="",BD256=""),"Blocked",IF(AND(BG256&gt;=ReadyThreshold,BH256&gt;=ReadyThreshold,BI256&gt;=ReadyThreshold),"Ready for Analysis",IF(AVERAGE(BG256,BH256,BI256)&gt;=PartialThreshold,"Partially Ready","Discovery Required"))))</x:f>
      </x:c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8"/>
      <x:c r="BU256" s="17"/>
      <x:c r="BV256" s="17"/>
    </x:row>
    <x:row r="257">
      <x:c r="A257" s="17"/>
      <x:c r="B257" s="17"/>
      <x:c r="C257" s="17"/>
      <x:c r="D257" s="17"/>
      <x:c r="E257" s="18"/>
      <x:c r="F257" s="18"/>
      <x:c r="G257" s="17"/>
      <x:c r="H257" s="17"/>
      <x:c r="I257" s="19"/>
      <x:c r="J257" s="19"/>
      <x:c r="K257" s="17"/>
      <x:c r="L257" s="19"/>
      <x:c r="M257" s="17"/>
      <x:c r="N257" s="18"/>
      <x:c r="O257" s="18"/>
      <x:c r="P257" s="17"/>
      <x:c r="Q257" s="17"/>
      <x:c r="R257" s="17"/>
      <x:c r="S257" s="17"/>
      <x:c r="T257" s="17"/>
      <x:c r="U257" s="18"/>
      <x:c r="V257" s="18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20"/>
      <x:c r="AJ257" s="21"/>
      <x:c r="AK257" s="21"/>
      <x:c r="AL257" s="17"/>
      <x:c r="AM257" s="17"/>
      <x:c r="AN257" s="21"/>
      <x:c r="AO257" s="17"/>
      <x:c r="AP257" s="17"/>
      <x:c r="AQ257" s="17"/>
      <x:c r="AR257" s="17"/>
      <x:c r="AS257" s="17"/>
      <x:c r="AT257" s="17"/>
      <x:c r="AU257" s="18"/>
      <x:c r="AV257" s="17"/>
      <x:c r="AW257" s="17"/>
      <x:c r="AX257" s="17"/>
      <x:c r="AY257" s="17"/>
      <x:c r="AZ257" s="17"/>
      <x:c r="BA257" s="17"/>
      <x:c r="BB257" s="17"/>
      <x:c r="BC257" s="18"/>
      <x:c r="BD257" s="18"/>
      <x:c r="BE257" s="19"/>
      <x:c r="BF257" s="22" t="str">
        <x:f>IF(A257="","",IF(BI257&gt;=ReadyThreshold,"Ready",IF(BI257&gt;=PartialThreshold,"Partial","Not Ready")))</x:f>
      </x:c>
      <x:c r="BG257" s="23" t="str">
        <x:f>IF(A257="","",COUNTA(N257,Q257,R257,S257)/4)</x:f>
      </x:c>
      <x:c r="BH257" s="23" t="str">
        <x:f>IF(A257="","",(COUNTA(U257,V257,AE257)+IF(COUNTA(W257,X257,Y257,Z257,AA257)&gt;0,1,0))/4)</x:f>
      </x:c>
      <x:c r="BI257" s="23" t="str">
        <x:f>IF(A257="","",(COUNTIF(AV257:AZ257,"Available")+0.5*COUNTIF(AV257:AZ257,"Partial")+IF(BD257&lt;&gt;"",1,0))/6)</x:f>
      </x:c>
      <x:c r="BJ257" s="22" t="str">
        <x:f>IF(A257="","",IF(AND(F257="",BD257=""),"Blocked",IF(AND(BG257&gt;=ReadyThreshold,BH257&gt;=ReadyThreshold,BI257&gt;=ReadyThreshold),"Ready for Analysis",IF(AVERAGE(BG257,BH257,BI257)&gt;=PartialThreshold,"Partially Ready","Discovery Required"))))</x:f>
      </x:c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8"/>
      <x:c r="BU257" s="17"/>
      <x:c r="BV257" s="17"/>
    </x:row>
    <x:row r="258">
      <x:c r="A258" s="17"/>
      <x:c r="B258" s="17"/>
      <x:c r="C258" s="17"/>
      <x:c r="D258" s="17"/>
      <x:c r="E258" s="18"/>
      <x:c r="F258" s="18"/>
      <x:c r="G258" s="17"/>
      <x:c r="H258" s="17"/>
      <x:c r="I258" s="19"/>
      <x:c r="J258" s="19"/>
      <x:c r="K258" s="17"/>
      <x:c r="L258" s="19"/>
      <x:c r="M258" s="17"/>
      <x:c r="N258" s="18"/>
      <x:c r="O258" s="18"/>
      <x:c r="P258" s="17"/>
      <x:c r="Q258" s="17"/>
      <x:c r="R258" s="17"/>
      <x:c r="S258" s="17"/>
      <x:c r="T258" s="17"/>
      <x:c r="U258" s="18"/>
      <x:c r="V258" s="18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20"/>
      <x:c r="AJ258" s="21"/>
      <x:c r="AK258" s="21"/>
      <x:c r="AL258" s="17"/>
      <x:c r="AM258" s="17"/>
      <x:c r="AN258" s="21"/>
      <x:c r="AO258" s="17"/>
      <x:c r="AP258" s="17"/>
      <x:c r="AQ258" s="17"/>
      <x:c r="AR258" s="17"/>
      <x:c r="AS258" s="17"/>
      <x:c r="AT258" s="17"/>
      <x:c r="AU258" s="18"/>
      <x:c r="AV258" s="17"/>
      <x:c r="AW258" s="17"/>
      <x:c r="AX258" s="17"/>
      <x:c r="AY258" s="17"/>
      <x:c r="AZ258" s="17"/>
      <x:c r="BA258" s="17"/>
      <x:c r="BB258" s="17"/>
      <x:c r="BC258" s="18"/>
      <x:c r="BD258" s="18"/>
      <x:c r="BE258" s="19"/>
      <x:c r="BF258" s="22" t="str">
        <x:f>IF(A258="","",IF(BI258&gt;=ReadyThreshold,"Ready",IF(BI258&gt;=PartialThreshold,"Partial","Not Ready")))</x:f>
      </x:c>
      <x:c r="BG258" s="23" t="str">
        <x:f>IF(A258="","",COUNTA(N258,Q258,R258,S258)/4)</x:f>
      </x:c>
      <x:c r="BH258" s="23" t="str">
        <x:f>IF(A258="","",(COUNTA(U258,V258,AE258)+IF(COUNTA(W258,X258,Y258,Z258,AA258)&gt;0,1,0))/4)</x:f>
      </x:c>
      <x:c r="BI258" s="23" t="str">
        <x:f>IF(A258="","",(COUNTIF(AV258:AZ258,"Available")+0.5*COUNTIF(AV258:AZ258,"Partial")+IF(BD258&lt;&gt;"",1,0))/6)</x:f>
      </x:c>
      <x:c r="BJ258" s="22" t="str">
        <x:f>IF(A258="","",IF(AND(F258="",BD258=""),"Blocked",IF(AND(BG258&gt;=ReadyThreshold,BH258&gt;=ReadyThreshold,BI258&gt;=ReadyThreshold),"Ready for Analysis",IF(AVERAGE(BG258,BH258,BI258)&gt;=PartialThreshold,"Partially Ready","Discovery Required"))))</x:f>
      </x:c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8"/>
      <x:c r="BU258" s="17"/>
      <x:c r="BV258" s="17"/>
    </x:row>
    <x:row r="259">
      <x:c r="A259" s="17"/>
      <x:c r="B259" s="17"/>
      <x:c r="C259" s="17"/>
      <x:c r="D259" s="17"/>
      <x:c r="E259" s="18"/>
      <x:c r="F259" s="18"/>
      <x:c r="G259" s="17"/>
      <x:c r="H259" s="17"/>
      <x:c r="I259" s="19"/>
      <x:c r="J259" s="19"/>
      <x:c r="K259" s="17"/>
      <x:c r="L259" s="19"/>
      <x:c r="M259" s="17"/>
      <x:c r="N259" s="18"/>
      <x:c r="O259" s="18"/>
      <x:c r="P259" s="17"/>
      <x:c r="Q259" s="17"/>
      <x:c r="R259" s="17"/>
      <x:c r="S259" s="17"/>
      <x:c r="T259" s="17"/>
      <x:c r="U259" s="18"/>
      <x:c r="V259" s="18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20"/>
      <x:c r="AJ259" s="21"/>
      <x:c r="AK259" s="21"/>
      <x:c r="AL259" s="17"/>
      <x:c r="AM259" s="17"/>
      <x:c r="AN259" s="21"/>
      <x:c r="AO259" s="17"/>
      <x:c r="AP259" s="17"/>
      <x:c r="AQ259" s="17"/>
      <x:c r="AR259" s="17"/>
      <x:c r="AS259" s="17"/>
      <x:c r="AT259" s="17"/>
      <x:c r="AU259" s="18"/>
      <x:c r="AV259" s="17"/>
      <x:c r="AW259" s="17"/>
      <x:c r="AX259" s="17"/>
      <x:c r="AY259" s="17"/>
      <x:c r="AZ259" s="17"/>
      <x:c r="BA259" s="17"/>
      <x:c r="BB259" s="17"/>
      <x:c r="BC259" s="18"/>
      <x:c r="BD259" s="18"/>
      <x:c r="BE259" s="19"/>
      <x:c r="BF259" s="22" t="str">
        <x:f>IF(A259="","",IF(BI259&gt;=ReadyThreshold,"Ready",IF(BI259&gt;=PartialThreshold,"Partial","Not Ready")))</x:f>
      </x:c>
      <x:c r="BG259" s="23" t="str">
        <x:f>IF(A259="","",COUNTA(N259,Q259,R259,S259)/4)</x:f>
      </x:c>
      <x:c r="BH259" s="23" t="str">
        <x:f>IF(A259="","",(COUNTA(U259,V259,AE259)+IF(COUNTA(W259,X259,Y259,Z259,AA259)&gt;0,1,0))/4)</x:f>
      </x:c>
      <x:c r="BI259" s="23" t="str">
        <x:f>IF(A259="","",(COUNTIF(AV259:AZ259,"Available")+0.5*COUNTIF(AV259:AZ259,"Partial")+IF(BD259&lt;&gt;"",1,0))/6)</x:f>
      </x:c>
      <x:c r="BJ259" s="22" t="str">
        <x:f>IF(A259="","",IF(AND(F259="",BD259=""),"Blocked",IF(AND(BG259&gt;=ReadyThreshold,BH259&gt;=ReadyThreshold,BI259&gt;=ReadyThreshold),"Ready for Analysis",IF(AVERAGE(BG259,BH259,BI259)&gt;=PartialThreshold,"Partially Ready","Discovery Required"))))</x:f>
      </x:c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8"/>
      <x:c r="BU259" s="17"/>
      <x:c r="BV259" s="17"/>
    </x:row>
    <x:row r="260">
      <x:c r="A260" s="17"/>
      <x:c r="B260" s="17"/>
      <x:c r="C260" s="17"/>
      <x:c r="D260" s="17"/>
      <x:c r="E260" s="18"/>
      <x:c r="F260" s="18"/>
      <x:c r="G260" s="17"/>
      <x:c r="H260" s="17"/>
      <x:c r="I260" s="19"/>
      <x:c r="J260" s="19"/>
      <x:c r="K260" s="17"/>
      <x:c r="L260" s="19"/>
      <x:c r="M260" s="17"/>
      <x:c r="N260" s="18"/>
      <x:c r="O260" s="18"/>
      <x:c r="P260" s="17"/>
      <x:c r="Q260" s="17"/>
      <x:c r="R260" s="17"/>
      <x:c r="S260" s="17"/>
      <x:c r="T260" s="17"/>
      <x:c r="U260" s="18"/>
      <x:c r="V260" s="18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20"/>
      <x:c r="AJ260" s="21"/>
      <x:c r="AK260" s="21"/>
      <x:c r="AL260" s="17"/>
      <x:c r="AM260" s="17"/>
      <x:c r="AN260" s="21"/>
      <x:c r="AO260" s="17"/>
      <x:c r="AP260" s="17"/>
      <x:c r="AQ260" s="17"/>
      <x:c r="AR260" s="17"/>
      <x:c r="AS260" s="17"/>
      <x:c r="AT260" s="17"/>
      <x:c r="AU260" s="18"/>
      <x:c r="AV260" s="17"/>
      <x:c r="AW260" s="17"/>
      <x:c r="AX260" s="17"/>
      <x:c r="AY260" s="17"/>
      <x:c r="AZ260" s="17"/>
      <x:c r="BA260" s="17"/>
      <x:c r="BB260" s="17"/>
      <x:c r="BC260" s="18"/>
      <x:c r="BD260" s="18"/>
      <x:c r="BE260" s="19"/>
      <x:c r="BF260" s="22" t="str">
        <x:f>IF(A260="","",IF(BI260&gt;=ReadyThreshold,"Ready",IF(BI260&gt;=PartialThreshold,"Partial","Not Ready")))</x:f>
      </x:c>
      <x:c r="BG260" s="23" t="str">
        <x:f>IF(A260="","",COUNTA(N260,Q260,R260,S260)/4)</x:f>
      </x:c>
      <x:c r="BH260" s="23" t="str">
        <x:f>IF(A260="","",(COUNTA(U260,V260,AE260)+IF(COUNTA(W260,X260,Y260,Z260,AA260)&gt;0,1,0))/4)</x:f>
      </x:c>
      <x:c r="BI260" s="23" t="str">
        <x:f>IF(A260="","",(COUNTIF(AV260:AZ260,"Available")+0.5*COUNTIF(AV260:AZ260,"Partial")+IF(BD260&lt;&gt;"",1,0))/6)</x:f>
      </x:c>
      <x:c r="BJ260" s="22" t="str">
        <x:f>IF(A260="","",IF(AND(F260="",BD260=""),"Blocked",IF(AND(BG260&gt;=ReadyThreshold,BH260&gt;=ReadyThreshold,BI260&gt;=ReadyThreshold),"Ready for Analysis",IF(AVERAGE(BG260,BH260,BI260)&gt;=PartialThreshold,"Partially Ready","Discovery Required"))))</x:f>
      </x:c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8"/>
      <x:c r="BU260" s="17"/>
      <x:c r="BV260" s="17"/>
    </x:row>
    <x:row r="261">
      <x:c r="A261" s="17"/>
      <x:c r="B261" s="17"/>
      <x:c r="C261" s="17"/>
      <x:c r="D261" s="17"/>
      <x:c r="E261" s="18"/>
      <x:c r="F261" s="18"/>
      <x:c r="G261" s="17"/>
      <x:c r="H261" s="17"/>
      <x:c r="I261" s="19"/>
      <x:c r="J261" s="19"/>
      <x:c r="K261" s="17"/>
      <x:c r="L261" s="19"/>
      <x:c r="M261" s="17"/>
      <x:c r="N261" s="18"/>
      <x:c r="O261" s="18"/>
      <x:c r="P261" s="17"/>
      <x:c r="Q261" s="17"/>
      <x:c r="R261" s="17"/>
      <x:c r="S261" s="17"/>
      <x:c r="T261" s="17"/>
      <x:c r="U261" s="18"/>
      <x:c r="V261" s="18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20"/>
      <x:c r="AJ261" s="21"/>
      <x:c r="AK261" s="21"/>
      <x:c r="AL261" s="17"/>
      <x:c r="AM261" s="17"/>
      <x:c r="AN261" s="21"/>
      <x:c r="AO261" s="17"/>
      <x:c r="AP261" s="17"/>
      <x:c r="AQ261" s="17"/>
      <x:c r="AR261" s="17"/>
      <x:c r="AS261" s="17"/>
      <x:c r="AT261" s="17"/>
      <x:c r="AU261" s="18"/>
      <x:c r="AV261" s="17"/>
      <x:c r="AW261" s="17"/>
      <x:c r="AX261" s="17"/>
      <x:c r="AY261" s="17"/>
      <x:c r="AZ261" s="17"/>
      <x:c r="BA261" s="17"/>
      <x:c r="BB261" s="17"/>
      <x:c r="BC261" s="18"/>
      <x:c r="BD261" s="18"/>
      <x:c r="BE261" s="19"/>
      <x:c r="BF261" s="22" t="str">
        <x:f>IF(A261="","",IF(BI261&gt;=ReadyThreshold,"Ready",IF(BI261&gt;=PartialThreshold,"Partial","Not Ready")))</x:f>
      </x:c>
      <x:c r="BG261" s="23" t="str">
        <x:f>IF(A261="","",COUNTA(N261,Q261,R261,S261)/4)</x:f>
      </x:c>
      <x:c r="BH261" s="23" t="str">
        <x:f>IF(A261="","",(COUNTA(U261,V261,AE261)+IF(COUNTA(W261,X261,Y261,Z261,AA261)&gt;0,1,0))/4)</x:f>
      </x:c>
      <x:c r="BI261" s="23" t="str">
        <x:f>IF(A261="","",(COUNTIF(AV261:AZ261,"Available")+0.5*COUNTIF(AV261:AZ261,"Partial")+IF(BD261&lt;&gt;"",1,0))/6)</x:f>
      </x:c>
      <x:c r="BJ261" s="22" t="str">
        <x:f>IF(A261="","",IF(AND(F261="",BD261=""),"Blocked",IF(AND(BG261&gt;=ReadyThreshold,BH261&gt;=ReadyThreshold,BI261&gt;=ReadyThreshold),"Ready for Analysis",IF(AVERAGE(BG261,BH261,BI261)&gt;=PartialThreshold,"Partially Ready","Discovery Required"))))</x:f>
      </x:c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8"/>
      <x:c r="BU261" s="17"/>
      <x:c r="BV261" s="17"/>
    </x:row>
    <x:row r="262">
      <x:c r="A262" s="17"/>
      <x:c r="B262" s="17"/>
      <x:c r="C262" s="17"/>
      <x:c r="D262" s="17"/>
      <x:c r="E262" s="18"/>
      <x:c r="F262" s="18"/>
      <x:c r="G262" s="17"/>
      <x:c r="H262" s="17"/>
      <x:c r="I262" s="19"/>
      <x:c r="J262" s="19"/>
      <x:c r="K262" s="17"/>
      <x:c r="L262" s="19"/>
      <x:c r="M262" s="17"/>
      <x:c r="N262" s="18"/>
      <x:c r="O262" s="18"/>
      <x:c r="P262" s="17"/>
      <x:c r="Q262" s="17"/>
      <x:c r="R262" s="17"/>
      <x:c r="S262" s="17"/>
      <x:c r="T262" s="17"/>
      <x:c r="U262" s="18"/>
      <x:c r="V262" s="18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20"/>
      <x:c r="AJ262" s="21"/>
      <x:c r="AK262" s="21"/>
      <x:c r="AL262" s="17"/>
      <x:c r="AM262" s="17"/>
      <x:c r="AN262" s="21"/>
      <x:c r="AO262" s="17"/>
      <x:c r="AP262" s="17"/>
      <x:c r="AQ262" s="17"/>
      <x:c r="AR262" s="17"/>
      <x:c r="AS262" s="17"/>
      <x:c r="AT262" s="17"/>
      <x:c r="AU262" s="18"/>
      <x:c r="AV262" s="17"/>
      <x:c r="AW262" s="17"/>
      <x:c r="AX262" s="17"/>
      <x:c r="AY262" s="17"/>
      <x:c r="AZ262" s="17"/>
      <x:c r="BA262" s="17"/>
      <x:c r="BB262" s="17"/>
      <x:c r="BC262" s="18"/>
      <x:c r="BD262" s="18"/>
      <x:c r="BE262" s="19"/>
      <x:c r="BF262" s="22" t="str">
        <x:f>IF(A262="","",IF(BI262&gt;=ReadyThreshold,"Ready",IF(BI262&gt;=PartialThreshold,"Partial","Not Ready")))</x:f>
      </x:c>
      <x:c r="BG262" s="23" t="str">
        <x:f>IF(A262="","",COUNTA(N262,Q262,R262,S262)/4)</x:f>
      </x:c>
      <x:c r="BH262" s="23" t="str">
        <x:f>IF(A262="","",(COUNTA(U262,V262,AE262)+IF(COUNTA(W262,X262,Y262,Z262,AA262)&gt;0,1,0))/4)</x:f>
      </x:c>
      <x:c r="BI262" s="23" t="str">
        <x:f>IF(A262="","",(COUNTIF(AV262:AZ262,"Available")+0.5*COUNTIF(AV262:AZ262,"Partial")+IF(BD262&lt;&gt;"",1,0))/6)</x:f>
      </x:c>
      <x:c r="BJ262" s="22" t="str">
        <x:f>IF(A262="","",IF(AND(F262="",BD262=""),"Blocked",IF(AND(BG262&gt;=ReadyThreshold,BH262&gt;=ReadyThreshold,BI262&gt;=ReadyThreshold),"Ready for Analysis",IF(AVERAGE(BG262,BH262,BI262)&gt;=PartialThreshold,"Partially Ready","Discovery Required"))))</x:f>
      </x:c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8"/>
      <x:c r="BU262" s="17"/>
      <x:c r="BV262" s="17"/>
    </x:row>
    <x:row r="263">
      <x:c r="A263" s="17"/>
      <x:c r="B263" s="17"/>
      <x:c r="C263" s="17"/>
      <x:c r="D263" s="17"/>
      <x:c r="E263" s="18"/>
      <x:c r="F263" s="18"/>
      <x:c r="G263" s="17"/>
      <x:c r="H263" s="17"/>
      <x:c r="I263" s="19"/>
      <x:c r="J263" s="19"/>
      <x:c r="K263" s="17"/>
      <x:c r="L263" s="19"/>
      <x:c r="M263" s="17"/>
      <x:c r="N263" s="18"/>
      <x:c r="O263" s="18"/>
      <x:c r="P263" s="17"/>
      <x:c r="Q263" s="17"/>
      <x:c r="R263" s="17"/>
      <x:c r="S263" s="17"/>
      <x:c r="T263" s="17"/>
      <x:c r="U263" s="18"/>
      <x:c r="V263" s="18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20"/>
      <x:c r="AJ263" s="21"/>
      <x:c r="AK263" s="21"/>
      <x:c r="AL263" s="17"/>
      <x:c r="AM263" s="17"/>
      <x:c r="AN263" s="21"/>
      <x:c r="AO263" s="17"/>
      <x:c r="AP263" s="17"/>
      <x:c r="AQ263" s="17"/>
      <x:c r="AR263" s="17"/>
      <x:c r="AS263" s="17"/>
      <x:c r="AT263" s="17"/>
      <x:c r="AU263" s="18"/>
      <x:c r="AV263" s="17"/>
      <x:c r="AW263" s="17"/>
      <x:c r="AX263" s="17"/>
      <x:c r="AY263" s="17"/>
      <x:c r="AZ263" s="17"/>
      <x:c r="BA263" s="17"/>
      <x:c r="BB263" s="17"/>
      <x:c r="BC263" s="18"/>
      <x:c r="BD263" s="18"/>
      <x:c r="BE263" s="19"/>
      <x:c r="BF263" s="22" t="str">
        <x:f>IF(A263="","",IF(BI263&gt;=ReadyThreshold,"Ready",IF(BI263&gt;=PartialThreshold,"Partial","Not Ready")))</x:f>
      </x:c>
      <x:c r="BG263" s="23" t="str">
        <x:f>IF(A263="","",COUNTA(N263,Q263,R263,S263)/4)</x:f>
      </x:c>
      <x:c r="BH263" s="23" t="str">
        <x:f>IF(A263="","",(COUNTA(U263,V263,AE263)+IF(COUNTA(W263,X263,Y263,Z263,AA263)&gt;0,1,0))/4)</x:f>
      </x:c>
      <x:c r="BI263" s="23" t="str">
        <x:f>IF(A263="","",(COUNTIF(AV263:AZ263,"Available")+0.5*COUNTIF(AV263:AZ263,"Partial")+IF(BD263&lt;&gt;"",1,0))/6)</x:f>
      </x:c>
      <x:c r="BJ263" s="22" t="str">
        <x:f>IF(A263="","",IF(AND(F263="",BD263=""),"Blocked",IF(AND(BG263&gt;=ReadyThreshold,BH263&gt;=ReadyThreshold,BI263&gt;=ReadyThreshold),"Ready for Analysis",IF(AVERAGE(BG263,BH263,BI263)&gt;=PartialThreshold,"Partially Ready","Discovery Required"))))</x:f>
      </x:c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8"/>
      <x:c r="BU263" s="17"/>
      <x:c r="BV263" s="17"/>
    </x:row>
    <x:row r="264">
      <x:c r="A264" s="17"/>
      <x:c r="B264" s="17"/>
      <x:c r="C264" s="17"/>
      <x:c r="D264" s="17"/>
      <x:c r="E264" s="18"/>
      <x:c r="F264" s="18"/>
      <x:c r="G264" s="17"/>
      <x:c r="H264" s="17"/>
      <x:c r="I264" s="19"/>
      <x:c r="J264" s="19"/>
      <x:c r="K264" s="17"/>
      <x:c r="L264" s="19"/>
      <x:c r="M264" s="17"/>
      <x:c r="N264" s="18"/>
      <x:c r="O264" s="18"/>
      <x:c r="P264" s="17"/>
      <x:c r="Q264" s="17"/>
      <x:c r="R264" s="17"/>
      <x:c r="S264" s="17"/>
      <x:c r="T264" s="17"/>
      <x:c r="U264" s="18"/>
      <x:c r="V264" s="18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20"/>
      <x:c r="AJ264" s="21"/>
      <x:c r="AK264" s="21"/>
      <x:c r="AL264" s="17"/>
      <x:c r="AM264" s="17"/>
      <x:c r="AN264" s="21"/>
      <x:c r="AO264" s="17"/>
      <x:c r="AP264" s="17"/>
      <x:c r="AQ264" s="17"/>
      <x:c r="AR264" s="17"/>
      <x:c r="AS264" s="17"/>
      <x:c r="AT264" s="17"/>
      <x:c r="AU264" s="18"/>
      <x:c r="AV264" s="17"/>
      <x:c r="AW264" s="17"/>
      <x:c r="AX264" s="17"/>
      <x:c r="AY264" s="17"/>
      <x:c r="AZ264" s="17"/>
      <x:c r="BA264" s="17"/>
      <x:c r="BB264" s="17"/>
      <x:c r="BC264" s="18"/>
      <x:c r="BD264" s="18"/>
      <x:c r="BE264" s="19"/>
      <x:c r="BF264" s="22" t="str">
        <x:f>IF(A264="","",IF(BI264&gt;=ReadyThreshold,"Ready",IF(BI264&gt;=PartialThreshold,"Partial","Not Ready")))</x:f>
      </x:c>
      <x:c r="BG264" s="23" t="str">
        <x:f>IF(A264="","",COUNTA(N264,Q264,R264,S264)/4)</x:f>
      </x:c>
      <x:c r="BH264" s="23" t="str">
        <x:f>IF(A264="","",(COUNTA(U264,V264,AE264)+IF(COUNTA(W264,X264,Y264,Z264,AA264)&gt;0,1,0))/4)</x:f>
      </x:c>
      <x:c r="BI264" s="23" t="str">
        <x:f>IF(A264="","",(COUNTIF(AV264:AZ264,"Available")+0.5*COUNTIF(AV264:AZ264,"Partial")+IF(BD264&lt;&gt;"",1,0))/6)</x:f>
      </x:c>
      <x:c r="BJ264" s="22" t="str">
        <x:f>IF(A264="","",IF(AND(F264="",BD264=""),"Blocked",IF(AND(BG264&gt;=ReadyThreshold,BH264&gt;=ReadyThreshold,BI264&gt;=ReadyThreshold),"Ready for Analysis",IF(AVERAGE(BG264,BH264,BI264)&gt;=PartialThreshold,"Partially Ready","Discovery Required"))))</x:f>
      </x:c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8"/>
      <x:c r="BU264" s="17"/>
      <x:c r="BV264" s="17"/>
    </x:row>
    <x:row r="265">
      <x:c r="A265" s="17"/>
      <x:c r="B265" s="17"/>
      <x:c r="C265" s="17"/>
      <x:c r="D265" s="17"/>
      <x:c r="E265" s="18"/>
      <x:c r="F265" s="18"/>
      <x:c r="G265" s="17"/>
      <x:c r="H265" s="17"/>
      <x:c r="I265" s="19"/>
      <x:c r="J265" s="19"/>
      <x:c r="K265" s="17"/>
      <x:c r="L265" s="19"/>
      <x:c r="M265" s="17"/>
      <x:c r="N265" s="18"/>
      <x:c r="O265" s="18"/>
      <x:c r="P265" s="17"/>
      <x:c r="Q265" s="17"/>
      <x:c r="R265" s="17"/>
      <x:c r="S265" s="17"/>
      <x:c r="T265" s="17"/>
      <x:c r="U265" s="18"/>
      <x:c r="V265" s="18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20"/>
      <x:c r="AJ265" s="21"/>
      <x:c r="AK265" s="21"/>
      <x:c r="AL265" s="17"/>
      <x:c r="AM265" s="17"/>
      <x:c r="AN265" s="21"/>
      <x:c r="AO265" s="17"/>
      <x:c r="AP265" s="17"/>
      <x:c r="AQ265" s="17"/>
      <x:c r="AR265" s="17"/>
      <x:c r="AS265" s="17"/>
      <x:c r="AT265" s="17"/>
      <x:c r="AU265" s="18"/>
      <x:c r="AV265" s="17"/>
      <x:c r="AW265" s="17"/>
      <x:c r="AX265" s="17"/>
      <x:c r="AY265" s="17"/>
      <x:c r="AZ265" s="17"/>
      <x:c r="BA265" s="17"/>
      <x:c r="BB265" s="17"/>
      <x:c r="BC265" s="18"/>
      <x:c r="BD265" s="18"/>
      <x:c r="BE265" s="19"/>
      <x:c r="BF265" s="22" t="str">
        <x:f>IF(A265="","",IF(BI265&gt;=ReadyThreshold,"Ready",IF(BI265&gt;=PartialThreshold,"Partial","Not Ready")))</x:f>
      </x:c>
      <x:c r="BG265" s="23" t="str">
        <x:f>IF(A265="","",COUNTA(N265,Q265,R265,S265)/4)</x:f>
      </x:c>
      <x:c r="BH265" s="23" t="str">
        <x:f>IF(A265="","",(COUNTA(U265,V265,AE265)+IF(COUNTA(W265,X265,Y265,Z265,AA265)&gt;0,1,0))/4)</x:f>
      </x:c>
      <x:c r="BI265" s="23" t="str">
        <x:f>IF(A265="","",(COUNTIF(AV265:AZ265,"Available")+0.5*COUNTIF(AV265:AZ265,"Partial")+IF(BD265&lt;&gt;"",1,0))/6)</x:f>
      </x:c>
      <x:c r="BJ265" s="22" t="str">
        <x:f>IF(A265="","",IF(AND(F265="",BD265=""),"Blocked",IF(AND(BG265&gt;=ReadyThreshold,BH265&gt;=ReadyThreshold,BI265&gt;=ReadyThreshold),"Ready for Analysis",IF(AVERAGE(BG265,BH265,BI265)&gt;=PartialThreshold,"Partially Ready","Discovery Required"))))</x:f>
      </x:c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8"/>
      <x:c r="BU265" s="17"/>
      <x:c r="BV265" s="17"/>
    </x:row>
    <x:row r="266">
      <x:c r="A266" s="17"/>
      <x:c r="B266" s="17"/>
      <x:c r="C266" s="17"/>
      <x:c r="D266" s="17"/>
      <x:c r="E266" s="18"/>
      <x:c r="F266" s="18"/>
      <x:c r="G266" s="17"/>
      <x:c r="H266" s="17"/>
      <x:c r="I266" s="19"/>
      <x:c r="J266" s="19"/>
      <x:c r="K266" s="17"/>
      <x:c r="L266" s="19"/>
      <x:c r="M266" s="17"/>
      <x:c r="N266" s="18"/>
      <x:c r="O266" s="18"/>
      <x:c r="P266" s="17"/>
      <x:c r="Q266" s="17"/>
      <x:c r="R266" s="17"/>
      <x:c r="S266" s="17"/>
      <x:c r="T266" s="17"/>
      <x:c r="U266" s="18"/>
      <x:c r="V266" s="18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20"/>
      <x:c r="AJ266" s="21"/>
      <x:c r="AK266" s="21"/>
      <x:c r="AL266" s="17"/>
      <x:c r="AM266" s="17"/>
      <x:c r="AN266" s="21"/>
      <x:c r="AO266" s="17"/>
      <x:c r="AP266" s="17"/>
      <x:c r="AQ266" s="17"/>
      <x:c r="AR266" s="17"/>
      <x:c r="AS266" s="17"/>
      <x:c r="AT266" s="17"/>
      <x:c r="AU266" s="18"/>
      <x:c r="AV266" s="17"/>
      <x:c r="AW266" s="17"/>
      <x:c r="AX266" s="17"/>
      <x:c r="AY266" s="17"/>
      <x:c r="AZ266" s="17"/>
      <x:c r="BA266" s="17"/>
      <x:c r="BB266" s="17"/>
      <x:c r="BC266" s="18"/>
      <x:c r="BD266" s="18"/>
      <x:c r="BE266" s="19"/>
      <x:c r="BF266" s="22" t="str">
        <x:f>IF(A266="","",IF(BI266&gt;=ReadyThreshold,"Ready",IF(BI266&gt;=PartialThreshold,"Partial","Not Ready")))</x:f>
      </x:c>
      <x:c r="BG266" s="23" t="str">
        <x:f>IF(A266="","",COUNTA(N266,Q266,R266,S266)/4)</x:f>
      </x:c>
      <x:c r="BH266" s="23" t="str">
        <x:f>IF(A266="","",(COUNTA(U266,V266,AE266)+IF(COUNTA(W266,X266,Y266,Z266,AA266)&gt;0,1,0))/4)</x:f>
      </x:c>
      <x:c r="BI266" s="23" t="str">
        <x:f>IF(A266="","",(COUNTIF(AV266:AZ266,"Available")+0.5*COUNTIF(AV266:AZ266,"Partial")+IF(BD266&lt;&gt;"",1,0))/6)</x:f>
      </x:c>
      <x:c r="BJ266" s="22" t="str">
        <x:f>IF(A266="","",IF(AND(F266="",BD266=""),"Blocked",IF(AND(BG266&gt;=ReadyThreshold,BH266&gt;=ReadyThreshold,BI266&gt;=ReadyThreshold),"Ready for Analysis",IF(AVERAGE(BG266,BH266,BI266)&gt;=PartialThreshold,"Partially Ready","Discovery Required"))))</x:f>
      </x:c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8"/>
      <x:c r="BU266" s="17"/>
      <x:c r="BV266" s="17"/>
    </x:row>
    <x:row r="267">
      <x:c r="A267" s="17"/>
      <x:c r="B267" s="17"/>
      <x:c r="C267" s="17"/>
      <x:c r="D267" s="17"/>
      <x:c r="E267" s="18"/>
      <x:c r="F267" s="18"/>
      <x:c r="G267" s="17"/>
      <x:c r="H267" s="17"/>
      <x:c r="I267" s="19"/>
      <x:c r="J267" s="19"/>
      <x:c r="K267" s="17"/>
      <x:c r="L267" s="19"/>
      <x:c r="M267" s="17"/>
      <x:c r="N267" s="18"/>
      <x:c r="O267" s="18"/>
      <x:c r="P267" s="17"/>
      <x:c r="Q267" s="17"/>
      <x:c r="R267" s="17"/>
      <x:c r="S267" s="17"/>
      <x:c r="T267" s="17"/>
      <x:c r="U267" s="18"/>
      <x:c r="V267" s="18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20"/>
      <x:c r="AJ267" s="21"/>
      <x:c r="AK267" s="21"/>
      <x:c r="AL267" s="17"/>
      <x:c r="AM267" s="17"/>
      <x:c r="AN267" s="21"/>
      <x:c r="AO267" s="17"/>
      <x:c r="AP267" s="17"/>
      <x:c r="AQ267" s="17"/>
      <x:c r="AR267" s="17"/>
      <x:c r="AS267" s="17"/>
      <x:c r="AT267" s="17"/>
      <x:c r="AU267" s="18"/>
      <x:c r="AV267" s="17"/>
      <x:c r="AW267" s="17"/>
      <x:c r="AX267" s="17"/>
      <x:c r="AY267" s="17"/>
      <x:c r="AZ267" s="17"/>
      <x:c r="BA267" s="17"/>
      <x:c r="BB267" s="17"/>
      <x:c r="BC267" s="18"/>
      <x:c r="BD267" s="18"/>
      <x:c r="BE267" s="19"/>
      <x:c r="BF267" s="22" t="str">
        <x:f>IF(A267="","",IF(BI267&gt;=ReadyThreshold,"Ready",IF(BI267&gt;=PartialThreshold,"Partial","Not Ready")))</x:f>
      </x:c>
      <x:c r="BG267" s="23" t="str">
        <x:f>IF(A267="","",COUNTA(N267,Q267,R267,S267)/4)</x:f>
      </x:c>
      <x:c r="BH267" s="23" t="str">
        <x:f>IF(A267="","",(COUNTA(U267,V267,AE267)+IF(COUNTA(W267,X267,Y267,Z267,AA267)&gt;0,1,0))/4)</x:f>
      </x:c>
      <x:c r="BI267" s="23" t="str">
        <x:f>IF(A267="","",(COUNTIF(AV267:AZ267,"Available")+0.5*COUNTIF(AV267:AZ267,"Partial")+IF(BD267&lt;&gt;"",1,0))/6)</x:f>
      </x:c>
      <x:c r="BJ267" s="22" t="str">
        <x:f>IF(A267="","",IF(AND(F267="",BD267=""),"Blocked",IF(AND(BG267&gt;=ReadyThreshold,BH267&gt;=ReadyThreshold,BI267&gt;=ReadyThreshold),"Ready for Analysis",IF(AVERAGE(BG267,BH267,BI267)&gt;=PartialThreshold,"Partially Ready","Discovery Required"))))</x:f>
      </x:c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8"/>
      <x:c r="BU267" s="17"/>
      <x:c r="BV267" s="17"/>
    </x:row>
    <x:row r="268">
      <x:c r="A268" s="17"/>
      <x:c r="B268" s="17"/>
      <x:c r="C268" s="17"/>
      <x:c r="D268" s="17"/>
      <x:c r="E268" s="18"/>
      <x:c r="F268" s="18"/>
      <x:c r="G268" s="17"/>
      <x:c r="H268" s="17"/>
      <x:c r="I268" s="19"/>
      <x:c r="J268" s="19"/>
      <x:c r="K268" s="17"/>
      <x:c r="L268" s="19"/>
      <x:c r="M268" s="17"/>
      <x:c r="N268" s="18"/>
      <x:c r="O268" s="18"/>
      <x:c r="P268" s="17"/>
      <x:c r="Q268" s="17"/>
      <x:c r="R268" s="17"/>
      <x:c r="S268" s="17"/>
      <x:c r="T268" s="17"/>
      <x:c r="U268" s="18"/>
      <x:c r="V268" s="18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20"/>
      <x:c r="AJ268" s="21"/>
      <x:c r="AK268" s="21"/>
      <x:c r="AL268" s="17"/>
      <x:c r="AM268" s="17"/>
      <x:c r="AN268" s="21"/>
      <x:c r="AO268" s="17"/>
      <x:c r="AP268" s="17"/>
      <x:c r="AQ268" s="17"/>
      <x:c r="AR268" s="17"/>
      <x:c r="AS268" s="17"/>
      <x:c r="AT268" s="17"/>
      <x:c r="AU268" s="18"/>
      <x:c r="AV268" s="17"/>
      <x:c r="AW268" s="17"/>
      <x:c r="AX268" s="17"/>
      <x:c r="AY268" s="17"/>
      <x:c r="AZ268" s="17"/>
      <x:c r="BA268" s="17"/>
      <x:c r="BB268" s="17"/>
      <x:c r="BC268" s="18"/>
      <x:c r="BD268" s="18"/>
      <x:c r="BE268" s="19"/>
      <x:c r="BF268" s="22" t="str">
        <x:f>IF(A268="","",IF(BI268&gt;=ReadyThreshold,"Ready",IF(BI268&gt;=PartialThreshold,"Partial","Not Ready")))</x:f>
      </x:c>
      <x:c r="BG268" s="23" t="str">
        <x:f>IF(A268="","",COUNTA(N268,Q268,R268,S268)/4)</x:f>
      </x:c>
      <x:c r="BH268" s="23" t="str">
        <x:f>IF(A268="","",(COUNTA(U268,V268,AE268)+IF(COUNTA(W268,X268,Y268,Z268,AA268)&gt;0,1,0))/4)</x:f>
      </x:c>
      <x:c r="BI268" s="23" t="str">
        <x:f>IF(A268="","",(COUNTIF(AV268:AZ268,"Available")+0.5*COUNTIF(AV268:AZ268,"Partial")+IF(BD268&lt;&gt;"",1,0))/6)</x:f>
      </x:c>
      <x:c r="BJ268" s="22" t="str">
        <x:f>IF(A268="","",IF(AND(F268="",BD268=""),"Blocked",IF(AND(BG268&gt;=ReadyThreshold,BH268&gt;=ReadyThreshold,BI268&gt;=ReadyThreshold),"Ready for Analysis",IF(AVERAGE(BG268,BH268,BI268)&gt;=PartialThreshold,"Partially Ready","Discovery Required"))))</x:f>
      </x:c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8"/>
      <x:c r="BU268" s="17"/>
      <x:c r="BV268" s="17"/>
    </x:row>
    <x:row r="269">
      <x:c r="A269" s="17"/>
      <x:c r="B269" s="17"/>
      <x:c r="C269" s="17"/>
      <x:c r="D269" s="17"/>
      <x:c r="E269" s="18"/>
      <x:c r="F269" s="18"/>
      <x:c r="G269" s="17"/>
      <x:c r="H269" s="17"/>
      <x:c r="I269" s="19"/>
      <x:c r="J269" s="19"/>
      <x:c r="K269" s="17"/>
      <x:c r="L269" s="19"/>
      <x:c r="M269" s="17"/>
      <x:c r="N269" s="18"/>
      <x:c r="O269" s="18"/>
      <x:c r="P269" s="17"/>
      <x:c r="Q269" s="17"/>
      <x:c r="R269" s="17"/>
      <x:c r="S269" s="17"/>
      <x:c r="T269" s="17"/>
      <x:c r="U269" s="18"/>
      <x:c r="V269" s="18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20"/>
      <x:c r="AJ269" s="21"/>
      <x:c r="AK269" s="21"/>
      <x:c r="AL269" s="17"/>
      <x:c r="AM269" s="17"/>
      <x:c r="AN269" s="21"/>
      <x:c r="AO269" s="17"/>
      <x:c r="AP269" s="17"/>
      <x:c r="AQ269" s="17"/>
      <x:c r="AR269" s="17"/>
      <x:c r="AS269" s="17"/>
      <x:c r="AT269" s="17"/>
      <x:c r="AU269" s="18"/>
      <x:c r="AV269" s="17"/>
      <x:c r="AW269" s="17"/>
      <x:c r="AX269" s="17"/>
      <x:c r="AY269" s="17"/>
      <x:c r="AZ269" s="17"/>
      <x:c r="BA269" s="17"/>
      <x:c r="BB269" s="17"/>
      <x:c r="BC269" s="18"/>
      <x:c r="BD269" s="18"/>
      <x:c r="BE269" s="19"/>
      <x:c r="BF269" s="22" t="str">
        <x:f>IF(A269="","",IF(BI269&gt;=ReadyThreshold,"Ready",IF(BI269&gt;=PartialThreshold,"Partial","Not Ready")))</x:f>
      </x:c>
      <x:c r="BG269" s="23" t="str">
        <x:f>IF(A269="","",COUNTA(N269,Q269,R269,S269)/4)</x:f>
      </x:c>
      <x:c r="BH269" s="23" t="str">
        <x:f>IF(A269="","",(COUNTA(U269,V269,AE269)+IF(COUNTA(W269,X269,Y269,Z269,AA269)&gt;0,1,0))/4)</x:f>
      </x:c>
      <x:c r="BI269" s="23" t="str">
        <x:f>IF(A269="","",(COUNTIF(AV269:AZ269,"Available")+0.5*COUNTIF(AV269:AZ269,"Partial")+IF(BD269&lt;&gt;"",1,0))/6)</x:f>
      </x:c>
      <x:c r="BJ269" s="22" t="str">
        <x:f>IF(A269="","",IF(AND(F269="",BD269=""),"Blocked",IF(AND(BG269&gt;=ReadyThreshold,BH269&gt;=ReadyThreshold,BI269&gt;=ReadyThreshold),"Ready for Analysis",IF(AVERAGE(BG269,BH269,BI269)&gt;=PartialThreshold,"Partially Ready","Discovery Required"))))</x:f>
      </x:c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8"/>
      <x:c r="BU269" s="17"/>
      <x:c r="BV269" s="17"/>
    </x:row>
    <x:row r="270">
      <x:c r="A270" s="17"/>
      <x:c r="B270" s="17"/>
      <x:c r="C270" s="17"/>
      <x:c r="D270" s="17"/>
      <x:c r="E270" s="18"/>
      <x:c r="F270" s="18"/>
      <x:c r="G270" s="17"/>
      <x:c r="H270" s="17"/>
      <x:c r="I270" s="19"/>
      <x:c r="J270" s="19"/>
      <x:c r="K270" s="17"/>
      <x:c r="L270" s="19"/>
      <x:c r="M270" s="17"/>
      <x:c r="N270" s="18"/>
      <x:c r="O270" s="18"/>
      <x:c r="P270" s="17"/>
      <x:c r="Q270" s="17"/>
      <x:c r="R270" s="17"/>
      <x:c r="S270" s="17"/>
      <x:c r="T270" s="17"/>
      <x:c r="U270" s="18"/>
      <x:c r="V270" s="18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20"/>
      <x:c r="AJ270" s="21"/>
      <x:c r="AK270" s="21"/>
      <x:c r="AL270" s="17"/>
      <x:c r="AM270" s="17"/>
      <x:c r="AN270" s="21"/>
      <x:c r="AO270" s="17"/>
      <x:c r="AP270" s="17"/>
      <x:c r="AQ270" s="17"/>
      <x:c r="AR270" s="17"/>
      <x:c r="AS270" s="17"/>
      <x:c r="AT270" s="17"/>
      <x:c r="AU270" s="18"/>
      <x:c r="AV270" s="17"/>
      <x:c r="AW270" s="17"/>
      <x:c r="AX270" s="17"/>
      <x:c r="AY270" s="17"/>
      <x:c r="AZ270" s="17"/>
      <x:c r="BA270" s="17"/>
      <x:c r="BB270" s="17"/>
      <x:c r="BC270" s="18"/>
      <x:c r="BD270" s="18"/>
      <x:c r="BE270" s="19"/>
      <x:c r="BF270" s="22" t="str">
        <x:f>IF(A270="","",IF(BI270&gt;=ReadyThreshold,"Ready",IF(BI270&gt;=PartialThreshold,"Partial","Not Ready")))</x:f>
      </x:c>
      <x:c r="BG270" s="23" t="str">
        <x:f>IF(A270="","",COUNTA(N270,Q270,R270,S270)/4)</x:f>
      </x:c>
      <x:c r="BH270" s="23" t="str">
        <x:f>IF(A270="","",(COUNTA(U270,V270,AE270)+IF(COUNTA(W270,X270,Y270,Z270,AA270)&gt;0,1,0))/4)</x:f>
      </x:c>
      <x:c r="BI270" s="23" t="str">
        <x:f>IF(A270="","",(COUNTIF(AV270:AZ270,"Available")+0.5*COUNTIF(AV270:AZ270,"Partial")+IF(BD270&lt;&gt;"",1,0))/6)</x:f>
      </x:c>
      <x:c r="BJ270" s="22" t="str">
        <x:f>IF(A270="","",IF(AND(F270="",BD270=""),"Blocked",IF(AND(BG270&gt;=ReadyThreshold,BH270&gt;=ReadyThreshold,BI270&gt;=ReadyThreshold),"Ready for Analysis",IF(AVERAGE(BG270,BH270,BI270)&gt;=PartialThreshold,"Partially Ready","Discovery Required"))))</x:f>
      </x:c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8"/>
      <x:c r="BU270" s="17"/>
      <x:c r="BV270" s="17"/>
    </x:row>
    <x:row r="271">
      <x:c r="A271" s="17"/>
      <x:c r="B271" s="17"/>
      <x:c r="C271" s="17"/>
      <x:c r="D271" s="17"/>
      <x:c r="E271" s="18"/>
      <x:c r="F271" s="18"/>
      <x:c r="G271" s="17"/>
      <x:c r="H271" s="17"/>
      <x:c r="I271" s="19"/>
      <x:c r="J271" s="19"/>
      <x:c r="K271" s="17"/>
      <x:c r="L271" s="19"/>
      <x:c r="M271" s="17"/>
      <x:c r="N271" s="18"/>
      <x:c r="O271" s="18"/>
      <x:c r="P271" s="17"/>
      <x:c r="Q271" s="17"/>
      <x:c r="R271" s="17"/>
      <x:c r="S271" s="17"/>
      <x:c r="T271" s="17"/>
      <x:c r="U271" s="18"/>
      <x:c r="V271" s="18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20"/>
      <x:c r="AJ271" s="21"/>
      <x:c r="AK271" s="21"/>
      <x:c r="AL271" s="17"/>
      <x:c r="AM271" s="17"/>
      <x:c r="AN271" s="21"/>
      <x:c r="AO271" s="17"/>
      <x:c r="AP271" s="17"/>
      <x:c r="AQ271" s="17"/>
      <x:c r="AR271" s="17"/>
      <x:c r="AS271" s="17"/>
      <x:c r="AT271" s="17"/>
      <x:c r="AU271" s="18"/>
      <x:c r="AV271" s="17"/>
      <x:c r="AW271" s="17"/>
      <x:c r="AX271" s="17"/>
      <x:c r="AY271" s="17"/>
      <x:c r="AZ271" s="17"/>
      <x:c r="BA271" s="17"/>
      <x:c r="BB271" s="17"/>
      <x:c r="BC271" s="18"/>
      <x:c r="BD271" s="18"/>
      <x:c r="BE271" s="19"/>
      <x:c r="BF271" s="22" t="str">
        <x:f>IF(A271="","",IF(BI271&gt;=ReadyThreshold,"Ready",IF(BI271&gt;=PartialThreshold,"Partial","Not Ready")))</x:f>
      </x:c>
      <x:c r="BG271" s="23" t="str">
        <x:f>IF(A271="","",COUNTA(N271,Q271,R271,S271)/4)</x:f>
      </x:c>
      <x:c r="BH271" s="23" t="str">
        <x:f>IF(A271="","",(COUNTA(U271,V271,AE271)+IF(COUNTA(W271,X271,Y271,Z271,AA271)&gt;0,1,0))/4)</x:f>
      </x:c>
      <x:c r="BI271" s="23" t="str">
        <x:f>IF(A271="","",(COUNTIF(AV271:AZ271,"Available")+0.5*COUNTIF(AV271:AZ271,"Partial")+IF(BD271&lt;&gt;"",1,0))/6)</x:f>
      </x:c>
      <x:c r="BJ271" s="22" t="str">
        <x:f>IF(A271="","",IF(AND(F271="",BD271=""),"Blocked",IF(AND(BG271&gt;=ReadyThreshold,BH271&gt;=ReadyThreshold,BI271&gt;=ReadyThreshold),"Ready for Analysis",IF(AVERAGE(BG271,BH271,BI271)&gt;=PartialThreshold,"Partially Ready","Discovery Required"))))</x:f>
      </x:c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8"/>
      <x:c r="BU271" s="17"/>
      <x:c r="BV271" s="17"/>
    </x:row>
    <x:row r="272">
      <x:c r="A272" s="17"/>
      <x:c r="B272" s="17"/>
      <x:c r="C272" s="17"/>
      <x:c r="D272" s="17"/>
      <x:c r="E272" s="18"/>
      <x:c r="F272" s="18"/>
      <x:c r="G272" s="17"/>
      <x:c r="H272" s="17"/>
      <x:c r="I272" s="19"/>
      <x:c r="J272" s="19"/>
      <x:c r="K272" s="17"/>
      <x:c r="L272" s="19"/>
      <x:c r="M272" s="17"/>
      <x:c r="N272" s="18"/>
      <x:c r="O272" s="18"/>
      <x:c r="P272" s="17"/>
      <x:c r="Q272" s="17"/>
      <x:c r="R272" s="17"/>
      <x:c r="S272" s="17"/>
      <x:c r="T272" s="17"/>
      <x:c r="U272" s="18"/>
      <x:c r="V272" s="18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20"/>
      <x:c r="AJ272" s="21"/>
      <x:c r="AK272" s="21"/>
      <x:c r="AL272" s="17"/>
      <x:c r="AM272" s="17"/>
      <x:c r="AN272" s="21"/>
      <x:c r="AO272" s="17"/>
      <x:c r="AP272" s="17"/>
      <x:c r="AQ272" s="17"/>
      <x:c r="AR272" s="17"/>
      <x:c r="AS272" s="17"/>
      <x:c r="AT272" s="17"/>
      <x:c r="AU272" s="18"/>
      <x:c r="AV272" s="17"/>
      <x:c r="AW272" s="17"/>
      <x:c r="AX272" s="17"/>
      <x:c r="AY272" s="17"/>
      <x:c r="AZ272" s="17"/>
      <x:c r="BA272" s="17"/>
      <x:c r="BB272" s="17"/>
      <x:c r="BC272" s="18"/>
      <x:c r="BD272" s="18"/>
      <x:c r="BE272" s="19"/>
      <x:c r="BF272" s="22" t="str">
        <x:f>IF(A272="","",IF(BI272&gt;=ReadyThreshold,"Ready",IF(BI272&gt;=PartialThreshold,"Partial","Not Ready")))</x:f>
      </x:c>
      <x:c r="BG272" s="23" t="str">
        <x:f>IF(A272="","",COUNTA(N272,Q272,R272,S272)/4)</x:f>
      </x:c>
      <x:c r="BH272" s="23" t="str">
        <x:f>IF(A272="","",(COUNTA(U272,V272,AE272)+IF(COUNTA(W272,X272,Y272,Z272,AA272)&gt;0,1,0))/4)</x:f>
      </x:c>
      <x:c r="BI272" s="23" t="str">
        <x:f>IF(A272="","",(COUNTIF(AV272:AZ272,"Available")+0.5*COUNTIF(AV272:AZ272,"Partial")+IF(BD272&lt;&gt;"",1,0))/6)</x:f>
      </x:c>
      <x:c r="BJ272" s="22" t="str">
        <x:f>IF(A272="","",IF(AND(F272="",BD272=""),"Blocked",IF(AND(BG272&gt;=ReadyThreshold,BH272&gt;=ReadyThreshold,BI272&gt;=ReadyThreshold),"Ready for Analysis",IF(AVERAGE(BG272,BH272,BI272)&gt;=PartialThreshold,"Partially Ready","Discovery Required"))))</x:f>
      </x:c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8"/>
      <x:c r="BU272" s="17"/>
      <x:c r="BV272" s="17"/>
    </x:row>
    <x:row r="273">
      <x:c r="A273" s="17"/>
      <x:c r="B273" s="17"/>
      <x:c r="C273" s="17"/>
      <x:c r="D273" s="17"/>
      <x:c r="E273" s="18"/>
      <x:c r="F273" s="18"/>
      <x:c r="G273" s="17"/>
      <x:c r="H273" s="17"/>
      <x:c r="I273" s="19"/>
      <x:c r="J273" s="19"/>
      <x:c r="K273" s="17"/>
      <x:c r="L273" s="19"/>
      <x:c r="M273" s="17"/>
      <x:c r="N273" s="18"/>
      <x:c r="O273" s="18"/>
      <x:c r="P273" s="17"/>
      <x:c r="Q273" s="17"/>
      <x:c r="R273" s="17"/>
      <x:c r="S273" s="17"/>
      <x:c r="T273" s="17"/>
      <x:c r="U273" s="18"/>
      <x:c r="V273" s="18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20"/>
      <x:c r="AJ273" s="21"/>
      <x:c r="AK273" s="21"/>
      <x:c r="AL273" s="17"/>
      <x:c r="AM273" s="17"/>
      <x:c r="AN273" s="21"/>
      <x:c r="AO273" s="17"/>
      <x:c r="AP273" s="17"/>
      <x:c r="AQ273" s="17"/>
      <x:c r="AR273" s="17"/>
      <x:c r="AS273" s="17"/>
      <x:c r="AT273" s="17"/>
      <x:c r="AU273" s="18"/>
      <x:c r="AV273" s="17"/>
      <x:c r="AW273" s="17"/>
      <x:c r="AX273" s="17"/>
      <x:c r="AY273" s="17"/>
      <x:c r="AZ273" s="17"/>
      <x:c r="BA273" s="17"/>
      <x:c r="BB273" s="17"/>
      <x:c r="BC273" s="18"/>
      <x:c r="BD273" s="18"/>
      <x:c r="BE273" s="19"/>
      <x:c r="BF273" s="22" t="str">
        <x:f>IF(A273="","",IF(BI273&gt;=ReadyThreshold,"Ready",IF(BI273&gt;=PartialThreshold,"Partial","Not Ready")))</x:f>
      </x:c>
      <x:c r="BG273" s="23" t="str">
        <x:f>IF(A273="","",COUNTA(N273,Q273,R273,S273)/4)</x:f>
      </x:c>
      <x:c r="BH273" s="23" t="str">
        <x:f>IF(A273="","",(COUNTA(U273,V273,AE273)+IF(COUNTA(W273,X273,Y273,Z273,AA273)&gt;0,1,0))/4)</x:f>
      </x:c>
      <x:c r="BI273" s="23" t="str">
        <x:f>IF(A273="","",(COUNTIF(AV273:AZ273,"Available")+0.5*COUNTIF(AV273:AZ273,"Partial")+IF(BD273&lt;&gt;"",1,0))/6)</x:f>
      </x:c>
      <x:c r="BJ273" s="22" t="str">
        <x:f>IF(A273="","",IF(AND(F273="",BD273=""),"Blocked",IF(AND(BG273&gt;=ReadyThreshold,BH273&gt;=ReadyThreshold,BI273&gt;=ReadyThreshold),"Ready for Analysis",IF(AVERAGE(BG273,BH273,BI273)&gt;=PartialThreshold,"Partially Ready","Discovery Required"))))</x:f>
      </x:c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8"/>
      <x:c r="BU273" s="17"/>
      <x:c r="BV273" s="17"/>
    </x:row>
    <x:row r="274">
      <x:c r="A274" s="17"/>
      <x:c r="B274" s="17"/>
      <x:c r="C274" s="17"/>
      <x:c r="D274" s="17"/>
      <x:c r="E274" s="18"/>
      <x:c r="F274" s="18"/>
      <x:c r="G274" s="17"/>
      <x:c r="H274" s="17"/>
      <x:c r="I274" s="19"/>
      <x:c r="J274" s="19"/>
      <x:c r="K274" s="17"/>
      <x:c r="L274" s="19"/>
      <x:c r="M274" s="17"/>
      <x:c r="N274" s="18"/>
      <x:c r="O274" s="18"/>
      <x:c r="P274" s="17"/>
      <x:c r="Q274" s="17"/>
      <x:c r="R274" s="17"/>
      <x:c r="S274" s="17"/>
      <x:c r="T274" s="17"/>
      <x:c r="U274" s="18"/>
      <x:c r="V274" s="18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20"/>
      <x:c r="AJ274" s="21"/>
      <x:c r="AK274" s="21"/>
      <x:c r="AL274" s="17"/>
      <x:c r="AM274" s="17"/>
      <x:c r="AN274" s="21"/>
      <x:c r="AO274" s="17"/>
      <x:c r="AP274" s="17"/>
      <x:c r="AQ274" s="17"/>
      <x:c r="AR274" s="17"/>
      <x:c r="AS274" s="17"/>
      <x:c r="AT274" s="17"/>
      <x:c r="AU274" s="18"/>
      <x:c r="AV274" s="17"/>
      <x:c r="AW274" s="17"/>
      <x:c r="AX274" s="17"/>
      <x:c r="AY274" s="17"/>
      <x:c r="AZ274" s="17"/>
      <x:c r="BA274" s="17"/>
      <x:c r="BB274" s="17"/>
      <x:c r="BC274" s="18"/>
      <x:c r="BD274" s="18"/>
      <x:c r="BE274" s="19"/>
      <x:c r="BF274" s="22" t="str">
        <x:f>IF(A274="","",IF(BI274&gt;=ReadyThreshold,"Ready",IF(BI274&gt;=PartialThreshold,"Partial","Not Ready")))</x:f>
      </x:c>
      <x:c r="BG274" s="23" t="str">
        <x:f>IF(A274="","",COUNTA(N274,Q274,R274,S274)/4)</x:f>
      </x:c>
      <x:c r="BH274" s="23" t="str">
        <x:f>IF(A274="","",(COUNTA(U274,V274,AE274)+IF(COUNTA(W274,X274,Y274,Z274,AA274)&gt;0,1,0))/4)</x:f>
      </x:c>
      <x:c r="BI274" s="23" t="str">
        <x:f>IF(A274="","",(COUNTIF(AV274:AZ274,"Available")+0.5*COUNTIF(AV274:AZ274,"Partial")+IF(BD274&lt;&gt;"",1,0))/6)</x:f>
      </x:c>
      <x:c r="BJ274" s="22" t="str">
        <x:f>IF(A274="","",IF(AND(F274="",BD274=""),"Blocked",IF(AND(BG274&gt;=ReadyThreshold,BH274&gt;=ReadyThreshold,BI274&gt;=ReadyThreshold),"Ready for Analysis",IF(AVERAGE(BG274,BH274,BI274)&gt;=PartialThreshold,"Partially Ready","Discovery Required"))))</x:f>
      </x:c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8"/>
      <x:c r="BU274" s="17"/>
      <x:c r="BV274" s="17"/>
    </x:row>
    <x:row r="275">
      <x:c r="A275" s="17"/>
      <x:c r="B275" s="17"/>
      <x:c r="C275" s="17"/>
      <x:c r="D275" s="17"/>
      <x:c r="E275" s="18"/>
      <x:c r="F275" s="18"/>
      <x:c r="G275" s="17"/>
      <x:c r="H275" s="17"/>
      <x:c r="I275" s="19"/>
      <x:c r="J275" s="19"/>
      <x:c r="K275" s="17"/>
      <x:c r="L275" s="19"/>
      <x:c r="M275" s="17"/>
      <x:c r="N275" s="18"/>
      <x:c r="O275" s="18"/>
      <x:c r="P275" s="17"/>
      <x:c r="Q275" s="17"/>
      <x:c r="R275" s="17"/>
      <x:c r="S275" s="17"/>
      <x:c r="T275" s="17"/>
      <x:c r="U275" s="18"/>
      <x:c r="V275" s="18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20"/>
      <x:c r="AJ275" s="21"/>
      <x:c r="AK275" s="21"/>
      <x:c r="AL275" s="17"/>
      <x:c r="AM275" s="17"/>
      <x:c r="AN275" s="21"/>
      <x:c r="AO275" s="17"/>
      <x:c r="AP275" s="17"/>
      <x:c r="AQ275" s="17"/>
      <x:c r="AR275" s="17"/>
      <x:c r="AS275" s="17"/>
      <x:c r="AT275" s="17"/>
      <x:c r="AU275" s="18"/>
      <x:c r="AV275" s="17"/>
      <x:c r="AW275" s="17"/>
      <x:c r="AX275" s="17"/>
      <x:c r="AY275" s="17"/>
      <x:c r="AZ275" s="17"/>
      <x:c r="BA275" s="17"/>
      <x:c r="BB275" s="17"/>
      <x:c r="BC275" s="18"/>
      <x:c r="BD275" s="18"/>
      <x:c r="BE275" s="19"/>
      <x:c r="BF275" s="22" t="str">
        <x:f>IF(A275="","",IF(BI275&gt;=ReadyThreshold,"Ready",IF(BI275&gt;=PartialThreshold,"Partial","Not Ready")))</x:f>
      </x:c>
      <x:c r="BG275" s="23" t="str">
        <x:f>IF(A275="","",COUNTA(N275,Q275,R275,S275)/4)</x:f>
      </x:c>
      <x:c r="BH275" s="23" t="str">
        <x:f>IF(A275="","",(COUNTA(U275,V275,AE275)+IF(COUNTA(W275,X275,Y275,Z275,AA275)&gt;0,1,0))/4)</x:f>
      </x:c>
      <x:c r="BI275" s="23" t="str">
        <x:f>IF(A275="","",(COUNTIF(AV275:AZ275,"Available")+0.5*COUNTIF(AV275:AZ275,"Partial")+IF(BD275&lt;&gt;"",1,0))/6)</x:f>
      </x:c>
      <x:c r="BJ275" s="22" t="str">
        <x:f>IF(A275="","",IF(AND(F275="",BD275=""),"Blocked",IF(AND(BG275&gt;=ReadyThreshold,BH275&gt;=ReadyThreshold,BI275&gt;=ReadyThreshold),"Ready for Analysis",IF(AVERAGE(BG275,BH275,BI275)&gt;=PartialThreshold,"Partially Ready","Discovery Required"))))</x:f>
      </x:c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8"/>
      <x:c r="BU275" s="17"/>
      <x:c r="BV275" s="17"/>
    </x:row>
    <x:row r="276">
      <x:c r="A276" s="17"/>
      <x:c r="B276" s="17"/>
      <x:c r="C276" s="17"/>
      <x:c r="D276" s="17"/>
      <x:c r="E276" s="18"/>
      <x:c r="F276" s="18"/>
      <x:c r="G276" s="17"/>
      <x:c r="H276" s="17"/>
      <x:c r="I276" s="19"/>
      <x:c r="J276" s="19"/>
      <x:c r="K276" s="17"/>
      <x:c r="L276" s="19"/>
      <x:c r="M276" s="17"/>
      <x:c r="N276" s="18"/>
      <x:c r="O276" s="18"/>
      <x:c r="P276" s="17"/>
      <x:c r="Q276" s="17"/>
      <x:c r="R276" s="17"/>
      <x:c r="S276" s="17"/>
      <x:c r="T276" s="17"/>
      <x:c r="U276" s="18"/>
      <x:c r="V276" s="18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20"/>
      <x:c r="AJ276" s="21"/>
      <x:c r="AK276" s="21"/>
      <x:c r="AL276" s="17"/>
      <x:c r="AM276" s="17"/>
      <x:c r="AN276" s="21"/>
      <x:c r="AO276" s="17"/>
      <x:c r="AP276" s="17"/>
      <x:c r="AQ276" s="17"/>
      <x:c r="AR276" s="17"/>
      <x:c r="AS276" s="17"/>
      <x:c r="AT276" s="17"/>
      <x:c r="AU276" s="18"/>
      <x:c r="AV276" s="17"/>
      <x:c r="AW276" s="17"/>
      <x:c r="AX276" s="17"/>
      <x:c r="AY276" s="17"/>
      <x:c r="AZ276" s="17"/>
      <x:c r="BA276" s="17"/>
      <x:c r="BB276" s="17"/>
      <x:c r="BC276" s="18"/>
      <x:c r="BD276" s="18"/>
      <x:c r="BE276" s="19"/>
      <x:c r="BF276" s="22" t="str">
        <x:f>IF(A276="","",IF(BI276&gt;=ReadyThreshold,"Ready",IF(BI276&gt;=PartialThreshold,"Partial","Not Ready")))</x:f>
      </x:c>
      <x:c r="BG276" s="23" t="str">
        <x:f>IF(A276="","",COUNTA(N276,Q276,R276,S276)/4)</x:f>
      </x:c>
      <x:c r="BH276" s="23" t="str">
        <x:f>IF(A276="","",(COUNTA(U276,V276,AE276)+IF(COUNTA(W276,X276,Y276,Z276,AA276)&gt;0,1,0))/4)</x:f>
      </x:c>
      <x:c r="BI276" s="23" t="str">
        <x:f>IF(A276="","",(COUNTIF(AV276:AZ276,"Available")+0.5*COUNTIF(AV276:AZ276,"Partial")+IF(BD276&lt;&gt;"",1,0))/6)</x:f>
      </x:c>
      <x:c r="BJ276" s="22" t="str">
        <x:f>IF(A276="","",IF(AND(F276="",BD276=""),"Blocked",IF(AND(BG276&gt;=ReadyThreshold,BH276&gt;=ReadyThreshold,BI276&gt;=ReadyThreshold),"Ready for Analysis",IF(AVERAGE(BG276,BH276,BI276)&gt;=PartialThreshold,"Partially Ready","Discovery Required"))))</x:f>
      </x:c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8"/>
      <x:c r="BU276" s="17"/>
      <x:c r="BV276" s="17"/>
    </x:row>
    <x:row r="277">
      <x:c r="A277" s="17"/>
      <x:c r="B277" s="17"/>
      <x:c r="C277" s="17"/>
      <x:c r="D277" s="17"/>
      <x:c r="E277" s="18"/>
      <x:c r="F277" s="18"/>
      <x:c r="G277" s="17"/>
      <x:c r="H277" s="17"/>
      <x:c r="I277" s="19"/>
      <x:c r="J277" s="19"/>
      <x:c r="K277" s="17"/>
      <x:c r="L277" s="19"/>
      <x:c r="M277" s="17"/>
      <x:c r="N277" s="18"/>
      <x:c r="O277" s="18"/>
      <x:c r="P277" s="17"/>
      <x:c r="Q277" s="17"/>
      <x:c r="R277" s="17"/>
      <x:c r="S277" s="17"/>
      <x:c r="T277" s="17"/>
      <x:c r="U277" s="18"/>
      <x:c r="V277" s="18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20"/>
      <x:c r="AJ277" s="21"/>
      <x:c r="AK277" s="21"/>
      <x:c r="AL277" s="17"/>
      <x:c r="AM277" s="17"/>
      <x:c r="AN277" s="21"/>
      <x:c r="AO277" s="17"/>
      <x:c r="AP277" s="17"/>
      <x:c r="AQ277" s="17"/>
      <x:c r="AR277" s="17"/>
      <x:c r="AS277" s="17"/>
      <x:c r="AT277" s="17"/>
      <x:c r="AU277" s="18"/>
      <x:c r="AV277" s="17"/>
      <x:c r="AW277" s="17"/>
      <x:c r="AX277" s="17"/>
      <x:c r="AY277" s="17"/>
      <x:c r="AZ277" s="17"/>
      <x:c r="BA277" s="17"/>
      <x:c r="BB277" s="17"/>
      <x:c r="BC277" s="18"/>
      <x:c r="BD277" s="18"/>
      <x:c r="BE277" s="19"/>
      <x:c r="BF277" s="22" t="str">
        <x:f>IF(A277="","",IF(BI277&gt;=ReadyThreshold,"Ready",IF(BI277&gt;=PartialThreshold,"Partial","Not Ready")))</x:f>
      </x:c>
      <x:c r="BG277" s="23" t="str">
        <x:f>IF(A277="","",COUNTA(N277,Q277,R277,S277)/4)</x:f>
      </x:c>
      <x:c r="BH277" s="23" t="str">
        <x:f>IF(A277="","",(COUNTA(U277,V277,AE277)+IF(COUNTA(W277,X277,Y277,Z277,AA277)&gt;0,1,0))/4)</x:f>
      </x:c>
      <x:c r="BI277" s="23" t="str">
        <x:f>IF(A277="","",(COUNTIF(AV277:AZ277,"Available")+0.5*COUNTIF(AV277:AZ277,"Partial")+IF(BD277&lt;&gt;"",1,0))/6)</x:f>
      </x:c>
      <x:c r="BJ277" s="22" t="str">
        <x:f>IF(A277="","",IF(AND(F277="",BD277=""),"Blocked",IF(AND(BG277&gt;=ReadyThreshold,BH277&gt;=ReadyThreshold,BI277&gt;=ReadyThreshold),"Ready for Analysis",IF(AVERAGE(BG277,BH277,BI277)&gt;=PartialThreshold,"Partially Ready","Discovery Required"))))</x:f>
      </x:c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8"/>
      <x:c r="BU277" s="17"/>
      <x:c r="BV277" s="17"/>
    </x:row>
    <x:row r="278">
      <x:c r="A278" s="17"/>
      <x:c r="B278" s="17"/>
      <x:c r="C278" s="17"/>
      <x:c r="D278" s="17"/>
      <x:c r="E278" s="18"/>
      <x:c r="F278" s="18"/>
      <x:c r="G278" s="17"/>
      <x:c r="H278" s="17"/>
      <x:c r="I278" s="19"/>
      <x:c r="J278" s="19"/>
      <x:c r="K278" s="17"/>
      <x:c r="L278" s="19"/>
      <x:c r="M278" s="17"/>
      <x:c r="N278" s="18"/>
      <x:c r="O278" s="18"/>
      <x:c r="P278" s="17"/>
      <x:c r="Q278" s="17"/>
      <x:c r="R278" s="17"/>
      <x:c r="S278" s="17"/>
      <x:c r="T278" s="17"/>
      <x:c r="U278" s="18"/>
      <x:c r="V278" s="18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20"/>
      <x:c r="AJ278" s="21"/>
      <x:c r="AK278" s="21"/>
      <x:c r="AL278" s="17"/>
      <x:c r="AM278" s="17"/>
      <x:c r="AN278" s="21"/>
      <x:c r="AO278" s="17"/>
      <x:c r="AP278" s="17"/>
      <x:c r="AQ278" s="17"/>
      <x:c r="AR278" s="17"/>
      <x:c r="AS278" s="17"/>
      <x:c r="AT278" s="17"/>
      <x:c r="AU278" s="18"/>
      <x:c r="AV278" s="17"/>
      <x:c r="AW278" s="17"/>
      <x:c r="AX278" s="17"/>
      <x:c r="AY278" s="17"/>
      <x:c r="AZ278" s="17"/>
      <x:c r="BA278" s="17"/>
      <x:c r="BB278" s="17"/>
      <x:c r="BC278" s="18"/>
      <x:c r="BD278" s="18"/>
      <x:c r="BE278" s="19"/>
      <x:c r="BF278" s="22" t="str">
        <x:f>IF(A278="","",IF(BI278&gt;=ReadyThreshold,"Ready",IF(BI278&gt;=PartialThreshold,"Partial","Not Ready")))</x:f>
      </x:c>
      <x:c r="BG278" s="23" t="str">
        <x:f>IF(A278="","",COUNTA(N278,Q278,R278,S278)/4)</x:f>
      </x:c>
      <x:c r="BH278" s="23" t="str">
        <x:f>IF(A278="","",(COUNTA(U278,V278,AE278)+IF(COUNTA(W278,X278,Y278,Z278,AA278)&gt;0,1,0))/4)</x:f>
      </x:c>
      <x:c r="BI278" s="23" t="str">
        <x:f>IF(A278="","",(COUNTIF(AV278:AZ278,"Available")+0.5*COUNTIF(AV278:AZ278,"Partial")+IF(BD278&lt;&gt;"",1,0))/6)</x:f>
      </x:c>
      <x:c r="BJ278" s="22" t="str">
        <x:f>IF(A278="","",IF(AND(F278="",BD278=""),"Blocked",IF(AND(BG278&gt;=ReadyThreshold,BH278&gt;=ReadyThreshold,BI278&gt;=ReadyThreshold),"Ready for Analysis",IF(AVERAGE(BG278,BH278,BI278)&gt;=PartialThreshold,"Partially Ready","Discovery Required"))))</x:f>
      </x:c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8"/>
      <x:c r="BU278" s="17"/>
      <x:c r="BV278" s="17"/>
    </x:row>
    <x:row r="279">
      <x:c r="A279" s="17"/>
      <x:c r="B279" s="17"/>
      <x:c r="C279" s="17"/>
      <x:c r="D279" s="17"/>
      <x:c r="E279" s="18"/>
      <x:c r="F279" s="18"/>
      <x:c r="G279" s="17"/>
      <x:c r="H279" s="17"/>
      <x:c r="I279" s="19"/>
      <x:c r="J279" s="19"/>
      <x:c r="K279" s="17"/>
      <x:c r="L279" s="19"/>
      <x:c r="M279" s="17"/>
      <x:c r="N279" s="18"/>
      <x:c r="O279" s="18"/>
      <x:c r="P279" s="17"/>
      <x:c r="Q279" s="17"/>
      <x:c r="R279" s="17"/>
      <x:c r="S279" s="17"/>
      <x:c r="T279" s="17"/>
      <x:c r="U279" s="18"/>
      <x:c r="V279" s="18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20"/>
      <x:c r="AJ279" s="21"/>
      <x:c r="AK279" s="21"/>
      <x:c r="AL279" s="17"/>
      <x:c r="AM279" s="17"/>
      <x:c r="AN279" s="21"/>
      <x:c r="AO279" s="17"/>
      <x:c r="AP279" s="17"/>
      <x:c r="AQ279" s="17"/>
      <x:c r="AR279" s="17"/>
      <x:c r="AS279" s="17"/>
      <x:c r="AT279" s="17"/>
      <x:c r="AU279" s="18"/>
      <x:c r="AV279" s="17"/>
      <x:c r="AW279" s="17"/>
      <x:c r="AX279" s="17"/>
      <x:c r="AY279" s="17"/>
      <x:c r="AZ279" s="17"/>
      <x:c r="BA279" s="17"/>
      <x:c r="BB279" s="17"/>
      <x:c r="BC279" s="18"/>
      <x:c r="BD279" s="18"/>
      <x:c r="BE279" s="19"/>
      <x:c r="BF279" s="22" t="str">
        <x:f>IF(A279="","",IF(BI279&gt;=ReadyThreshold,"Ready",IF(BI279&gt;=PartialThreshold,"Partial","Not Ready")))</x:f>
      </x:c>
      <x:c r="BG279" s="23" t="str">
        <x:f>IF(A279="","",COUNTA(N279,Q279,R279,S279)/4)</x:f>
      </x:c>
      <x:c r="BH279" s="23" t="str">
        <x:f>IF(A279="","",(COUNTA(U279,V279,AE279)+IF(COUNTA(W279,X279,Y279,Z279,AA279)&gt;0,1,0))/4)</x:f>
      </x:c>
      <x:c r="BI279" s="23" t="str">
        <x:f>IF(A279="","",(COUNTIF(AV279:AZ279,"Available")+0.5*COUNTIF(AV279:AZ279,"Partial")+IF(BD279&lt;&gt;"",1,0))/6)</x:f>
      </x:c>
      <x:c r="BJ279" s="22" t="str">
        <x:f>IF(A279="","",IF(AND(F279="",BD279=""),"Blocked",IF(AND(BG279&gt;=ReadyThreshold,BH279&gt;=ReadyThreshold,BI279&gt;=ReadyThreshold),"Ready for Analysis",IF(AVERAGE(BG279,BH279,BI279)&gt;=PartialThreshold,"Partially Ready","Discovery Required"))))</x:f>
      </x:c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8"/>
      <x:c r="BU279" s="17"/>
      <x:c r="BV279" s="17"/>
    </x:row>
    <x:row r="280">
      <x:c r="A280" s="17"/>
      <x:c r="B280" s="17"/>
      <x:c r="C280" s="17"/>
      <x:c r="D280" s="17"/>
      <x:c r="E280" s="18"/>
      <x:c r="F280" s="18"/>
      <x:c r="G280" s="17"/>
      <x:c r="H280" s="17"/>
      <x:c r="I280" s="19"/>
      <x:c r="J280" s="19"/>
      <x:c r="K280" s="17"/>
      <x:c r="L280" s="19"/>
      <x:c r="M280" s="17"/>
      <x:c r="N280" s="18"/>
      <x:c r="O280" s="18"/>
      <x:c r="P280" s="17"/>
      <x:c r="Q280" s="17"/>
      <x:c r="R280" s="17"/>
      <x:c r="S280" s="17"/>
      <x:c r="T280" s="17"/>
      <x:c r="U280" s="18"/>
      <x:c r="V280" s="18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20"/>
      <x:c r="AJ280" s="21"/>
      <x:c r="AK280" s="21"/>
      <x:c r="AL280" s="17"/>
      <x:c r="AM280" s="17"/>
      <x:c r="AN280" s="21"/>
      <x:c r="AO280" s="17"/>
      <x:c r="AP280" s="17"/>
      <x:c r="AQ280" s="17"/>
      <x:c r="AR280" s="17"/>
      <x:c r="AS280" s="17"/>
      <x:c r="AT280" s="17"/>
      <x:c r="AU280" s="18"/>
      <x:c r="AV280" s="17"/>
      <x:c r="AW280" s="17"/>
      <x:c r="AX280" s="17"/>
      <x:c r="AY280" s="17"/>
      <x:c r="AZ280" s="17"/>
      <x:c r="BA280" s="17"/>
      <x:c r="BB280" s="17"/>
      <x:c r="BC280" s="18"/>
      <x:c r="BD280" s="18"/>
      <x:c r="BE280" s="19"/>
      <x:c r="BF280" s="22" t="str">
        <x:f>IF(A280="","",IF(BI280&gt;=ReadyThreshold,"Ready",IF(BI280&gt;=PartialThreshold,"Partial","Not Ready")))</x:f>
      </x:c>
      <x:c r="BG280" s="23" t="str">
        <x:f>IF(A280="","",COUNTA(N280,Q280,R280,S280)/4)</x:f>
      </x:c>
      <x:c r="BH280" s="23" t="str">
        <x:f>IF(A280="","",(COUNTA(U280,V280,AE280)+IF(COUNTA(W280,X280,Y280,Z280,AA280)&gt;0,1,0))/4)</x:f>
      </x:c>
      <x:c r="BI280" s="23" t="str">
        <x:f>IF(A280="","",(COUNTIF(AV280:AZ280,"Available")+0.5*COUNTIF(AV280:AZ280,"Partial")+IF(BD280&lt;&gt;"",1,0))/6)</x:f>
      </x:c>
      <x:c r="BJ280" s="22" t="str">
        <x:f>IF(A280="","",IF(AND(F280="",BD280=""),"Blocked",IF(AND(BG280&gt;=ReadyThreshold,BH280&gt;=ReadyThreshold,BI280&gt;=ReadyThreshold),"Ready for Analysis",IF(AVERAGE(BG280,BH280,BI280)&gt;=PartialThreshold,"Partially Ready","Discovery Required"))))</x:f>
      </x:c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8"/>
      <x:c r="BU280" s="17"/>
      <x:c r="BV280" s="17"/>
    </x:row>
    <x:row r="281">
      <x:c r="A281" s="17"/>
      <x:c r="B281" s="17"/>
      <x:c r="C281" s="17"/>
      <x:c r="D281" s="17"/>
      <x:c r="E281" s="18"/>
      <x:c r="F281" s="18"/>
      <x:c r="G281" s="17"/>
      <x:c r="H281" s="17"/>
      <x:c r="I281" s="19"/>
      <x:c r="J281" s="19"/>
      <x:c r="K281" s="17"/>
      <x:c r="L281" s="19"/>
      <x:c r="M281" s="17"/>
      <x:c r="N281" s="18"/>
      <x:c r="O281" s="18"/>
      <x:c r="P281" s="17"/>
      <x:c r="Q281" s="17"/>
      <x:c r="R281" s="17"/>
      <x:c r="S281" s="17"/>
      <x:c r="T281" s="17"/>
      <x:c r="U281" s="18"/>
      <x:c r="V281" s="18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20"/>
      <x:c r="AJ281" s="21"/>
      <x:c r="AK281" s="21"/>
      <x:c r="AL281" s="17"/>
      <x:c r="AM281" s="17"/>
      <x:c r="AN281" s="21"/>
      <x:c r="AO281" s="17"/>
      <x:c r="AP281" s="17"/>
      <x:c r="AQ281" s="17"/>
      <x:c r="AR281" s="17"/>
      <x:c r="AS281" s="17"/>
      <x:c r="AT281" s="17"/>
      <x:c r="AU281" s="18"/>
      <x:c r="AV281" s="17"/>
      <x:c r="AW281" s="17"/>
      <x:c r="AX281" s="17"/>
      <x:c r="AY281" s="17"/>
      <x:c r="AZ281" s="17"/>
      <x:c r="BA281" s="17"/>
      <x:c r="BB281" s="17"/>
      <x:c r="BC281" s="18"/>
      <x:c r="BD281" s="18"/>
      <x:c r="BE281" s="19"/>
      <x:c r="BF281" s="22" t="str">
        <x:f>IF(A281="","",IF(BI281&gt;=ReadyThreshold,"Ready",IF(BI281&gt;=PartialThreshold,"Partial","Not Ready")))</x:f>
      </x:c>
      <x:c r="BG281" s="23" t="str">
        <x:f>IF(A281="","",COUNTA(N281,Q281,R281,S281)/4)</x:f>
      </x:c>
      <x:c r="BH281" s="23" t="str">
        <x:f>IF(A281="","",(COUNTA(U281,V281,AE281)+IF(COUNTA(W281,X281,Y281,Z281,AA281)&gt;0,1,0))/4)</x:f>
      </x:c>
      <x:c r="BI281" s="23" t="str">
        <x:f>IF(A281="","",(COUNTIF(AV281:AZ281,"Available")+0.5*COUNTIF(AV281:AZ281,"Partial")+IF(BD281&lt;&gt;"",1,0))/6)</x:f>
      </x:c>
      <x:c r="BJ281" s="22" t="str">
        <x:f>IF(A281="","",IF(AND(F281="",BD281=""),"Blocked",IF(AND(BG281&gt;=ReadyThreshold,BH281&gt;=ReadyThreshold,BI281&gt;=ReadyThreshold),"Ready for Analysis",IF(AVERAGE(BG281,BH281,BI281)&gt;=PartialThreshold,"Partially Ready","Discovery Required"))))</x:f>
      </x:c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8"/>
      <x:c r="BU281" s="17"/>
      <x:c r="BV281" s="17"/>
    </x:row>
    <x:row r="282">
      <x:c r="A282" s="17"/>
      <x:c r="B282" s="17"/>
      <x:c r="C282" s="17"/>
      <x:c r="D282" s="17"/>
      <x:c r="E282" s="18"/>
      <x:c r="F282" s="18"/>
      <x:c r="G282" s="17"/>
      <x:c r="H282" s="17"/>
      <x:c r="I282" s="19"/>
      <x:c r="J282" s="19"/>
      <x:c r="K282" s="17"/>
      <x:c r="L282" s="19"/>
      <x:c r="M282" s="17"/>
      <x:c r="N282" s="18"/>
      <x:c r="O282" s="18"/>
      <x:c r="P282" s="17"/>
      <x:c r="Q282" s="17"/>
      <x:c r="R282" s="17"/>
      <x:c r="S282" s="17"/>
      <x:c r="T282" s="17"/>
      <x:c r="U282" s="18"/>
      <x:c r="V282" s="18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20"/>
      <x:c r="AJ282" s="21"/>
      <x:c r="AK282" s="21"/>
      <x:c r="AL282" s="17"/>
      <x:c r="AM282" s="17"/>
      <x:c r="AN282" s="21"/>
      <x:c r="AO282" s="17"/>
      <x:c r="AP282" s="17"/>
      <x:c r="AQ282" s="17"/>
      <x:c r="AR282" s="17"/>
      <x:c r="AS282" s="17"/>
      <x:c r="AT282" s="17"/>
      <x:c r="AU282" s="18"/>
      <x:c r="AV282" s="17"/>
      <x:c r="AW282" s="17"/>
      <x:c r="AX282" s="17"/>
      <x:c r="AY282" s="17"/>
      <x:c r="AZ282" s="17"/>
      <x:c r="BA282" s="17"/>
      <x:c r="BB282" s="17"/>
      <x:c r="BC282" s="18"/>
      <x:c r="BD282" s="18"/>
      <x:c r="BE282" s="19"/>
      <x:c r="BF282" s="22" t="str">
        <x:f>IF(A282="","",IF(BI282&gt;=ReadyThreshold,"Ready",IF(BI282&gt;=PartialThreshold,"Partial","Not Ready")))</x:f>
      </x:c>
      <x:c r="BG282" s="23" t="str">
        <x:f>IF(A282="","",COUNTA(N282,Q282,R282,S282)/4)</x:f>
      </x:c>
      <x:c r="BH282" s="23" t="str">
        <x:f>IF(A282="","",(COUNTA(U282,V282,AE282)+IF(COUNTA(W282,X282,Y282,Z282,AA282)&gt;0,1,0))/4)</x:f>
      </x:c>
      <x:c r="BI282" s="23" t="str">
        <x:f>IF(A282="","",(COUNTIF(AV282:AZ282,"Available")+0.5*COUNTIF(AV282:AZ282,"Partial")+IF(BD282&lt;&gt;"",1,0))/6)</x:f>
      </x:c>
      <x:c r="BJ282" s="22" t="str">
        <x:f>IF(A282="","",IF(AND(F282="",BD282=""),"Blocked",IF(AND(BG282&gt;=ReadyThreshold,BH282&gt;=ReadyThreshold,BI282&gt;=ReadyThreshold),"Ready for Analysis",IF(AVERAGE(BG282,BH282,BI282)&gt;=PartialThreshold,"Partially Ready","Discovery Required"))))</x:f>
      </x:c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8"/>
      <x:c r="BU282" s="17"/>
      <x:c r="BV282" s="17"/>
    </x:row>
    <x:row r="283">
      <x:c r="A283" s="17"/>
      <x:c r="B283" s="17"/>
      <x:c r="C283" s="17"/>
      <x:c r="D283" s="17"/>
      <x:c r="E283" s="18"/>
      <x:c r="F283" s="18"/>
      <x:c r="G283" s="17"/>
      <x:c r="H283" s="17"/>
      <x:c r="I283" s="19"/>
      <x:c r="J283" s="19"/>
      <x:c r="K283" s="17"/>
      <x:c r="L283" s="19"/>
      <x:c r="M283" s="17"/>
      <x:c r="N283" s="18"/>
      <x:c r="O283" s="18"/>
      <x:c r="P283" s="17"/>
      <x:c r="Q283" s="17"/>
      <x:c r="R283" s="17"/>
      <x:c r="S283" s="17"/>
      <x:c r="T283" s="17"/>
      <x:c r="U283" s="18"/>
      <x:c r="V283" s="18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20"/>
      <x:c r="AJ283" s="21"/>
      <x:c r="AK283" s="21"/>
      <x:c r="AL283" s="17"/>
      <x:c r="AM283" s="17"/>
      <x:c r="AN283" s="21"/>
      <x:c r="AO283" s="17"/>
      <x:c r="AP283" s="17"/>
      <x:c r="AQ283" s="17"/>
      <x:c r="AR283" s="17"/>
      <x:c r="AS283" s="17"/>
      <x:c r="AT283" s="17"/>
      <x:c r="AU283" s="18"/>
      <x:c r="AV283" s="17"/>
      <x:c r="AW283" s="17"/>
      <x:c r="AX283" s="17"/>
      <x:c r="AY283" s="17"/>
      <x:c r="AZ283" s="17"/>
      <x:c r="BA283" s="17"/>
      <x:c r="BB283" s="17"/>
      <x:c r="BC283" s="18"/>
      <x:c r="BD283" s="18"/>
      <x:c r="BE283" s="19"/>
      <x:c r="BF283" s="22" t="str">
        <x:f>IF(A283="","",IF(BI283&gt;=ReadyThreshold,"Ready",IF(BI283&gt;=PartialThreshold,"Partial","Not Ready")))</x:f>
      </x:c>
      <x:c r="BG283" s="23" t="str">
        <x:f>IF(A283="","",COUNTA(N283,Q283,R283,S283)/4)</x:f>
      </x:c>
      <x:c r="BH283" s="23" t="str">
        <x:f>IF(A283="","",(COUNTA(U283,V283,AE283)+IF(COUNTA(W283,X283,Y283,Z283,AA283)&gt;0,1,0))/4)</x:f>
      </x:c>
      <x:c r="BI283" s="23" t="str">
        <x:f>IF(A283="","",(COUNTIF(AV283:AZ283,"Available")+0.5*COUNTIF(AV283:AZ283,"Partial")+IF(BD283&lt;&gt;"",1,0))/6)</x:f>
      </x:c>
      <x:c r="BJ283" s="22" t="str">
        <x:f>IF(A283="","",IF(AND(F283="",BD283=""),"Blocked",IF(AND(BG283&gt;=ReadyThreshold,BH283&gt;=ReadyThreshold,BI283&gt;=ReadyThreshold),"Ready for Analysis",IF(AVERAGE(BG283,BH283,BI283)&gt;=PartialThreshold,"Partially Ready","Discovery Required"))))</x:f>
      </x:c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8"/>
      <x:c r="BU283" s="17"/>
      <x:c r="BV283" s="17"/>
    </x:row>
    <x:row r="284">
      <x:c r="A284" s="17"/>
      <x:c r="B284" s="17"/>
      <x:c r="C284" s="17"/>
      <x:c r="D284" s="17"/>
      <x:c r="E284" s="18"/>
      <x:c r="F284" s="18"/>
      <x:c r="G284" s="17"/>
      <x:c r="H284" s="17"/>
      <x:c r="I284" s="19"/>
      <x:c r="J284" s="19"/>
      <x:c r="K284" s="17"/>
      <x:c r="L284" s="19"/>
      <x:c r="M284" s="17"/>
      <x:c r="N284" s="18"/>
      <x:c r="O284" s="18"/>
      <x:c r="P284" s="17"/>
      <x:c r="Q284" s="17"/>
      <x:c r="R284" s="17"/>
      <x:c r="S284" s="17"/>
      <x:c r="T284" s="17"/>
      <x:c r="U284" s="18"/>
      <x:c r="V284" s="18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20"/>
      <x:c r="AJ284" s="21"/>
      <x:c r="AK284" s="21"/>
      <x:c r="AL284" s="17"/>
      <x:c r="AM284" s="17"/>
      <x:c r="AN284" s="21"/>
      <x:c r="AO284" s="17"/>
      <x:c r="AP284" s="17"/>
      <x:c r="AQ284" s="17"/>
      <x:c r="AR284" s="17"/>
      <x:c r="AS284" s="17"/>
      <x:c r="AT284" s="17"/>
      <x:c r="AU284" s="18"/>
      <x:c r="AV284" s="17"/>
      <x:c r="AW284" s="17"/>
      <x:c r="AX284" s="17"/>
      <x:c r="AY284" s="17"/>
      <x:c r="AZ284" s="17"/>
      <x:c r="BA284" s="17"/>
      <x:c r="BB284" s="17"/>
      <x:c r="BC284" s="18"/>
      <x:c r="BD284" s="18"/>
      <x:c r="BE284" s="19"/>
      <x:c r="BF284" s="22" t="str">
        <x:f>IF(A284="","",IF(BI284&gt;=ReadyThreshold,"Ready",IF(BI284&gt;=PartialThreshold,"Partial","Not Ready")))</x:f>
      </x:c>
      <x:c r="BG284" s="23" t="str">
        <x:f>IF(A284="","",COUNTA(N284,Q284,R284,S284)/4)</x:f>
      </x:c>
      <x:c r="BH284" s="23" t="str">
        <x:f>IF(A284="","",(COUNTA(U284,V284,AE284)+IF(COUNTA(W284,X284,Y284,Z284,AA284)&gt;0,1,0))/4)</x:f>
      </x:c>
      <x:c r="BI284" s="23" t="str">
        <x:f>IF(A284="","",(COUNTIF(AV284:AZ284,"Available")+0.5*COUNTIF(AV284:AZ284,"Partial")+IF(BD284&lt;&gt;"",1,0))/6)</x:f>
      </x:c>
      <x:c r="BJ284" s="22" t="str">
        <x:f>IF(A284="","",IF(AND(F284="",BD284=""),"Blocked",IF(AND(BG284&gt;=ReadyThreshold,BH284&gt;=ReadyThreshold,BI284&gt;=ReadyThreshold),"Ready for Analysis",IF(AVERAGE(BG284,BH284,BI284)&gt;=PartialThreshold,"Partially Ready","Discovery Required"))))</x:f>
      </x:c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8"/>
      <x:c r="BU284" s="17"/>
      <x:c r="BV284" s="17"/>
    </x:row>
    <x:row r="285">
      <x:c r="A285" s="17"/>
      <x:c r="B285" s="17"/>
      <x:c r="C285" s="17"/>
      <x:c r="D285" s="17"/>
      <x:c r="E285" s="18"/>
      <x:c r="F285" s="18"/>
      <x:c r="G285" s="17"/>
      <x:c r="H285" s="17"/>
      <x:c r="I285" s="19"/>
      <x:c r="J285" s="19"/>
      <x:c r="K285" s="17"/>
      <x:c r="L285" s="19"/>
      <x:c r="M285" s="17"/>
      <x:c r="N285" s="18"/>
      <x:c r="O285" s="18"/>
      <x:c r="P285" s="17"/>
      <x:c r="Q285" s="17"/>
      <x:c r="R285" s="17"/>
      <x:c r="S285" s="17"/>
      <x:c r="T285" s="17"/>
      <x:c r="U285" s="18"/>
      <x:c r="V285" s="18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20"/>
      <x:c r="AJ285" s="21"/>
      <x:c r="AK285" s="21"/>
      <x:c r="AL285" s="17"/>
      <x:c r="AM285" s="17"/>
      <x:c r="AN285" s="21"/>
      <x:c r="AO285" s="17"/>
      <x:c r="AP285" s="17"/>
      <x:c r="AQ285" s="17"/>
      <x:c r="AR285" s="17"/>
      <x:c r="AS285" s="17"/>
      <x:c r="AT285" s="17"/>
      <x:c r="AU285" s="18"/>
      <x:c r="AV285" s="17"/>
      <x:c r="AW285" s="17"/>
      <x:c r="AX285" s="17"/>
      <x:c r="AY285" s="17"/>
      <x:c r="AZ285" s="17"/>
      <x:c r="BA285" s="17"/>
      <x:c r="BB285" s="17"/>
      <x:c r="BC285" s="18"/>
      <x:c r="BD285" s="18"/>
      <x:c r="BE285" s="19"/>
      <x:c r="BF285" s="22" t="str">
        <x:f>IF(A285="","",IF(BI285&gt;=ReadyThreshold,"Ready",IF(BI285&gt;=PartialThreshold,"Partial","Not Ready")))</x:f>
      </x:c>
      <x:c r="BG285" s="23" t="str">
        <x:f>IF(A285="","",COUNTA(N285,Q285,R285,S285)/4)</x:f>
      </x:c>
      <x:c r="BH285" s="23" t="str">
        <x:f>IF(A285="","",(COUNTA(U285,V285,AE285)+IF(COUNTA(W285,X285,Y285,Z285,AA285)&gt;0,1,0))/4)</x:f>
      </x:c>
      <x:c r="BI285" s="23" t="str">
        <x:f>IF(A285="","",(COUNTIF(AV285:AZ285,"Available")+0.5*COUNTIF(AV285:AZ285,"Partial")+IF(BD285&lt;&gt;"",1,0))/6)</x:f>
      </x:c>
      <x:c r="BJ285" s="22" t="str">
        <x:f>IF(A285="","",IF(AND(F285="",BD285=""),"Blocked",IF(AND(BG285&gt;=ReadyThreshold,BH285&gt;=ReadyThreshold,BI285&gt;=ReadyThreshold),"Ready for Analysis",IF(AVERAGE(BG285,BH285,BI285)&gt;=PartialThreshold,"Partially Ready","Discovery Required"))))</x:f>
      </x:c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8"/>
      <x:c r="BU285" s="17"/>
      <x:c r="BV285" s="17"/>
    </x:row>
    <x:row r="286">
      <x:c r="A286" s="17"/>
      <x:c r="B286" s="17"/>
      <x:c r="C286" s="17"/>
      <x:c r="D286" s="17"/>
      <x:c r="E286" s="18"/>
      <x:c r="F286" s="18"/>
      <x:c r="G286" s="17"/>
      <x:c r="H286" s="17"/>
      <x:c r="I286" s="19"/>
      <x:c r="J286" s="19"/>
      <x:c r="K286" s="17"/>
      <x:c r="L286" s="19"/>
      <x:c r="M286" s="17"/>
      <x:c r="N286" s="18"/>
      <x:c r="O286" s="18"/>
      <x:c r="P286" s="17"/>
      <x:c r="Q286" s="17"/>
      <x:c r="R286" s="17"/>
      <x:c r="S286" s="17"/>
      <x:c r="T286" s="17"/>
      <x:c r="U286" s="18"/>
      <x:c r="V286" s="18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20"/>
      <x:c r="AJ286" s="21"/>
      <x:c r="AK286" s="21"/>
      <x:c r="AL286" s="17"/>
      <x:c r="AM286" s="17"/>
      <x:c r="AN286" s="21"/>
      <x:c r="AO286" s="17"/>
      <x:c r="AP286" s="17"/>
      <x:c r="AQ286" s="17"/>
      <x:c r="AR286" s="17"/>
      <x:c r="AS286" s="17"/>
      <x:c r="AT286" s="17"/>
      <x:c r="AU286" s="18"/>
      <x:c r="AV286" s="17"/>
      <x:c r="AW286" s="17"/>
      <x:c r="AX286" s="17"/>
      <x:c r="AY286" s="17"/>
      <x:c r="AZ286" s="17"/>
      <x:c r="BA286" s="17"/>
      <x:c r="BB286" s="17"/>
      <x:c r="BC286" s="18"/>
      <x:c r="BD286" s="18"/>
      <x:c r="BE286" s="19"/>
      <x:c r="BF286" s="22" t="str">
        <x:f>IF(A286="","",IF(BI286&gt;=ReadyThreshold,"Ready",IF(BI286&gt;=PartialThreshold,"Partial","Not Ready")))</x:f>
      </x:c>
      <x:c r="BG286" s="23" t="str">
        <x:f>IF(A286="","",COUNTA(N286,Q286,R286,S286)/4)</x:f>
      </x:c>
      <x:c r="BH286" s="23" t="str">
        <x:f>IF(A286="","",(COUNTA(U286,V286,AE286)+IF(COUNTA(W286,X286,Y286,Z286,AA286)&gt;0,1,0))/4)</x:f>
      </x:c>
      <x:c r="BI286" s="23" t="str">
        <x:f>IF(A286="","",(COUNTIF(AV286:AZ286,"Available")+0.5*COUNTIF(AV286:AZ286,"Partial")+IF(BD286&lt;&gt;"",1,0))/6)</x:f>
      </x:c>
      <x:c r="BJ286" s="22" t="str">
        <x:f>IF(A286="","",IF(AND(F286="",BD286=""),"Blocked",IF(AND(BG286&gt;=ReadyThreshold,BH286&gt;=ReadyThreshold,BI286&gt;=ReadyThreshold),"Ready for Analysis",IF(AVERAGE(BG286,BH286,BI286)&gt;=PartialThreshold,"Partially Ready","Discovery Required"))))</x:f>
      </x:c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8"/>
      <x:c r="BU286" s="17"/>
      <x:c r="BV286" s="17"/>
    </x:row>
    <x:row r="287">
      <x:c r="A287" s="17"/>
      <x:c r="B287" s="17"/>
      <x:c r="C287" s="17"/>
      <x:c r="D287" s="17"/>
      <x:c r="E287" s="18"/>
      <x:c r="F287" s="18"/>
      <x:c r="G287" s="17"/>
      <x:c r="H287" s="17"/>
      <x:c r="I287" s="19"/>
      <x:c r="J287" s="19"/>
      <x:c r="K287" s="17"/>
      <x:c r="L287" s="19"/>
      <x:c r="M287" s="17"/>
      <x:c r="N287" s="18"/>
      <x:c r="O287" s="18"/>
      <x:c r="P287" s="17"/>
      <x:c r="Q287" s="17"/>
      <x:c r="R287" s="17"/>
      <x:c r="S287" s="17"/>
      <x:c r="T287" s="17"/>
      <x:c r="U287" s="18"/>
      <x:c r="V287" s="18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20"/>
      <x:c r="AJ287" s="21"/>
      <x:c r="AK287" s="21"/>
      <x:c r="AL287" s="17"/>
      <x:c r="AM287" s="17"/>
      <x:c r="AN287" s="21"/>
      <x:c r="AO287" s="17"/>
      <x:c r="AP287" s="17"/>
      <x:c r="AQ287" s="17"/>
      <x:c r="AR287" s="17"/>
      <x:c r="AS287" s="17"/>
      <x:c r="AT287" s="17"/>
      <x:c r="AU287" s="18"/>
      <x:c r="AV287" s="17"/>
      <x:c r="AW287" s="17"/>
      <x:c r="AX287" s="17"/>
      <x:c r="AY287" s="17"/>
      <x:c r="AZ287" s="17"/>
      <x:c r="BA287" s="17"/>
      <x:c r="BB287" s="17"/>
      <x:c r="BC287" s="18"/>
      <x:c r="BD287" s="18"/>
      <x:c r="BE287" s="19"/>
      <x:c r="BF287" s="22" t="str">
        <x:f>IF(A287="","",IF(BI287&gt;=ReadyThreshold,"Ready",IF(BI287&gt;=PartialThreshold,"Partial","Not Ready")))</x:f>
      </x:c>
      <x:c r="BG287" s="23" t="str">
        <x:f>IF(A287="","",COUNTA(N287,Q287,R287,S287)/4)</x:f>
      </x:c>
      <x:c r="BH287" s="23" t="str">
        <x:f>IF(A287="","",(COUNTA(U287,V287,AE287)+IF(COUNTA(W287,X287,Y287,Z287,AA287)&gt;0,1,0))/4)</x:f>
      </x:c>
      <x:c r="BI287" s="23" t="str">
        <x:f>IF(A287="","",(COUNTIF(AV287:AZ287,"Available")+0.5*COUNTIF(AV287:AZ287,"Partial")+IF(BD287&lt;&gt;"",1,0))/6)</x:f>
      </x:c>
      <x:c r="BJ287" s="22" t="str">
        <x:f>IF(A287="","",IF(AND(F287="",BD287=""),"Blocked",IF(AND(BG287&gt;=ReadyThreshold,BH287&gt;=ReadyThreshold,BI287&gt;=ReadyThreshold),"Ready for Analysis",IF(AVERAGE(BG287,BH287,BI287)&gt;=PartialThreshold,"Partially Ready","Discovery Required"))))</x:f>
      </x:c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8"/>
      <x:c r="BU287" s="17"/>
      <x:c r="BV287" s="17"/>
    </x:row>
    <x:row r="288">
      <x:c r="A288" s="17"/>
      <x:c r="B288" s="17"/>
      <x:c r="C288" s="17"/>
      <x:c r="D288" s="17"/>
      <x:c r="E288" s="18"/>
      <x:c r="F288" s="18"/>
      <x:c r="G288" s="17"/>
      <x:c r="H288" s="17"/>
      <x:c r="I288" s="19"/>
      <x:c r="J288" s="19"/>
      <x:c r="K288" s="17"/>
      <x:c r="L288" s="19"/>
      <x:c r="M288" s="17"/>
      <x:c r="N288" s="18"/>
      <x:c r="O288" s="18"/>
      <x:c r="P288" s="17"/>
      <x:c r="Q288" s="17"/>
      <x:c r="R288" s="17"/>
      <x:c r="S288" s="17"/>
      <x:c r="T288" s="17"/>
      <x:c r="U288" s="18"/>
      <x:c r="V288" s="18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20"/>
      <x:c r="AJ288" s="21"/>
      <x:c r="AK288" s="21"/>
      <x:c r="AL288" s="17"/>
      <x:c r="AM288" s="17"/>
      <x:c r="AN288" s="21"/>
      <x:c r="AO288" s="17"/>
      <x:c r="AP288" s="17"/>
      <x:c r="AQ288" s="17"/>
      <x:c r="AR288" s="17"/>
      <x:c r="AS288" s="17"/>
      <x:c r="AT288" s="17"/>
      <x:c r="AU288" s="18"/>
      <x:c r="AV288" s="17"/>
      <x:c r="AW288" s="17"/>
      <x:c r="AX288" s="17"/>
      <x:c r="AY288" s="17"/>
      <x:c r="AZ288" s="17"/>
      <x:c r="BA288" s="17"/>
      <x:c r="BB288" s="17"/>
      <x:c r="BC288" s="18"/>
      <x:c r="BD288" s="18"/>
      <x:c r="BE288" s="19"/>
      <x:c r="BF288" s="22" t="str">
        <x:f>IF(A288="","",IF(BI288&gt;=ReadyThreshold,"Ready",IF(BI288&gt;=PartialThreshold,"Partial","Not Ready")))</x:f>
      </x:c>
      <x:c r="BG288" s="23" t="str">
        <x:f>IF(A288="","",COUNTA(N288,Q288,R288,S288)/4)</x:f>
      </x:c>
      <x:c r="BH288" s="23" t="str">
        <x:f>IF(A288="","",(COUNTA(U288,V288,AE288)+IF(COUNTA(W288,X288,Y288,Z288,AA288)&gt;0,1,0))/4)</x:f>
      </x:c>
      <x:c r="BI288" s="23" t="str">
        <x:f>IF(A288="","",(COUNTIF(AV288:AZ288,"Available")+0.5*COUNTIF(AV288:AZ288,"Partial")+IF(BD288&lt;&gt;"",1,0))/6)</x:f>
      </x:c>
      <x:c r="BJ288" s="22" t="str">
        <x:f>IF(A288="","",IF(AND(F288="",BD288=""),"Blocked",IF(AND(BG288&gt;=ReadyThreshold,BH288&gt;=ReadyThreshold,BI288&gt;=ReadyThreshold),"Ready for Analysis",IF(AVERAGE(BG288,BH288,BI288)&gt;=PartialThreshold,"Partially Ready","Discovery Required"))))</x:f>
      </x:c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8"/>
      <x:c r="BU288" s="17"/>
      <x:c r="BV288" s="17"/>
    </x:row>
    <x:row r="289">
      <x:c r="A289" s="17"/>
      <x:c r="B289" s="17"/>
      <x:c r="C289" s="17"/>
      <x:c r="D289" s="17"/>
      <x:c r="E289" s="18"/>
      <x:c r="F289" s="18"/>
      <x:c r="G289" s="17"/>
      <x:c r="H289" s="17"/>
      <x:c r="I289" s="19"/>
      <x:c r="J289" s="19"/>
      <x:c r="K289" s="17"/>
      <x:c r="L289" s="19"/>
      <x:c r="M289" s="17"/>
      <x:c r="N289" s="18"/>
      <x:c r="O289" s="18"/>
      <x:c r="P289" s="17"/>
      <x:c r="Q289" s="17"/>
      <x:c r="R289" s="17"/>
      <x:c r="S289" s="17"/>
      <x:c r="T289" s="17"/>
      <x:c r="U289" s="18"/>
      <x:c r="V289" s="18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20"/>
      <x:c r="AJ289" s="21"/>
      <x:c r="AK289" s="21"/>
      <x:c r="AL289" s="17"/>
      <x:c r="AM289" s="17"/>
      <x:c r="AN289" s="21"/>
      <x:c r="AO289" s="17"/>
      <x:c r="AP289" s="17"/>
      <x:c r="AQ289" s="17"/>
      <x:c r="AR289" s="17"/>
      <x:c r="AS289" s="17"/>
      <x:c r="AT289" s="17"/>
      <x:c r="AU289" s="18"/>
      <x:c r="AV289" s="17"/>
      <x:c r="AW289" s="17"/>
      <x:c r="AX289" s="17"/>
      <x:c r="AY289" s="17"/>
      <x:c r="AZ289" s="17"/>
      <x:c r="BA289" s="17"/>
      <x:c r="BB289" s="17"/>
      <x:c r="BC289" s="18"/>
      <x:c r="BD289" s="18"/>
      <x:c r="BE289" s="19"/>
      <x:c r="BF289" s="22" t="str">
        <x:f>IF(A289="","",IF(BI289&gt;=ReadyThreshold,"Ready",IF(BI289&gt;=PartialThreshold,"Partial","Not Ready")))</x:f>
      </x:c>
      <x:c r="BG289" s="23" t="str">
        <x:f>IF(A289="","",COUNTA(N289,Q289,R289,S289)/4)</x:f>
      </x:c>
      <x:c r="BH289" s="23" t="str">
        <x:f>IF(A289="","",(COUNTA(U289,V289,AE289)+IF(COUNTA(W289,X289,Y289,Z289,AA289)&gt;0,1,0))/4)</x:f>
      </x:c>
      <x:c r="BI289" s="23" t="str">
        <x:f>IF(A289="","",(COUNTIF(AV289:AZ289,"Available")+0.5*COUNTIF(AV289:AZ289,"Partial")+IF(BD289&lt;&gt;"",1,0))/6)</x:f>
      </x:c>
      <x:c r="BJ289" s="22" t="str">
        <x:f>IF(A289="","",IF(AND(F289="",BD289=""),"Blocked",IF(AND(BG289&gt;=ReadyThreshold,BH289&gt;=ReadyThreshold,BI289&gt;=ReadyThreshold),"Ready for Analysis",IF(AVERAGE(BG289,BH289,BI289)&gt;=PartialThreshold,"Partially Ready","Discovery Required"))))</x:f>
      </x:c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8"/>
      <x:c r="BU289" s="17"/>
      <x:c r="BV289" s="17"/>
    </x:row>
    <x:row r="290">
      <x:c r="A290" s="17"/>
      <x:c r="B290" s="17"/>
      <x:c r="C290" s="17"/>
      <x:c r="D290" s="17"/>
      <x:c r="E290" s="18"/>
      <x:c r="F290" s="18"/>
      <x:c r="G290" s="17"/>
      <x:c r="H290" s="17"/>
      <x:c r="I290" s="19"/>
      <x:c r="J290" s="19"/>
      <x:c r="K290" s="17"/>
      <x:c r="L290" s="19"/>
      <x:c r="M290" s="17"/>
      <x:c r="N290" s="18"/>
      <x:c r="O290" s="18"/>
      <x:c r="P290" s="17"/>
      <x:c r="Q290" s="17"/>
      <x:c r="R290" s="17"/>
      <x:c r="S290" s="17"/>
      <x:c r="T290" s="17"/>
      <x:c r="U290" s="18"/>
      <x:c r="V290" s="18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20"/>
      <x:c r="AJ290" s="21"/>
      <x:c r="AK290" s="21"/>
      <x:c r="AL290" s="17"/>
      <x:c r="AM290" s="17"/>
      <x:c r="AN290" s="21"/>
      <x:c r="AO290" s="17"/>
      <x:c r="AP290" s="17"/>
      <x:c r="AQ290" s="17"/>
      <x:c r="AR290" s="17"/>
      <x:c r="AS290" s="17"/>
      <x:c r="AT290" s="17"/>
      <x:c r="AU290" s="18"/>
      <x:c r="AV290" s="17"/>
      <x:c r="AW290" s="17"/>
      <x:c r="AX290" s="17"/>
      <x:c r="AY290" s="17"/>
      <x:c r="AZ290" s="17"/>
      <x:c r="BA290" s="17"/>
      <x:c r="BB290" s="17"/>
      <x:c r="BC290" s="18"/>
      <x:c r="BD290" s="18"/>
      <x:c r="BE290" s="19"/>
      <x:c r="BF290" s="22" t="str">
        <x:f>IF(A290="","",IF(BI290&gt;=ReadyThreshold,"Ready",IF(BI290&gt;=PartialThreshold,"Partial","Not Ready")))</x:f>
      </x:c>
      <x:c r="BG290" s="23" t="str">
        <x:f>IF(A290="","",COUNTA(N290,Q290,R290,S290)/4)</x:f>
      </x:c>
      <x:c r="BH290" s="23" t="str">
        <x:f>IF(A290="","",(COUNTA(U290,V290,AE290)+IF(COUNTA(W290,X290,Y290,Z290,AA290)&gt;0,1,0))/4)</x:f>
      </x:c>
      <x:c r="BI290" s="23" t="str">
        <x:f>IF(A290="","",(COUNTIF(AV290:AZ290,"Available")+0.5*COUNTIF(AV290:AZ290,"Partial")+IF(BD290&lt;&gt;"",1,0))/6)</x:f>
      </x:c>
      <x:c r="BJ290" s="22" t="str">
        <x:f>IF(A290="","",IF(AND(F290="",BD290=""),"Blocked",IF(AND(BG290&gt;=ReadyThreshold,BH290&gt;=ReadyThreshold,BI290&gt;=ReadyThreshold),"Ready for Analysis",IF(AVERAGE(BG290,BH290,BI290)&gt;=PartialThreshold,"Partially Ready","Discovery Required"))))</x:f>
      </x:c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8"/>
      <x:c r="BU290" s="17"/>
      <x:c r="BV290" s="17"/>
    </x:row>
    <x:row r="291">
      <x:c r="A291" s="17"/>
      <x:c r="B291" s="17"/>
      <x:c r="C291" s="17"/>
      <x:c r="D291" s="17"/>
      <x:c r="E291" s="18"/>
      <x:c r="F291" s="18"/>
      <x:c r="G291" s="17"/>
      <x:c r="H291" s="17"/>
      <x:c r="I291" s="19"/>
      <x:c r="J291" s="19"/>
      <x:c r="K291" s="17"/>
      <x:c r="L291" s="19"/>
      <x:c r="M291" s="17"/>
      <x:c r="N291" s="18"/>
      <x:c r="O291" s="18"/>
      <x:c r="P291" s="17"/>
      <x:c r="Q291" s="17"/>
      <x:c r="R291" s="17"/>
      <x:c r="S291" s="17"/>
      <x:c r="T291" s="17"/>
      <x:c r="U291" s="18"/>
      <x:c r="V291" s="18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20"/>
      <x:c r="AJ291" s="21"/>
      <x:c r="AK291" s="21"/>
      <x:c r="AL291" s="17"/>
      <x:c r="AM291" s="17"/>
      <x:c r="AN291" s="21"/>
      <x:c r="AO291" s="17"/>
      <x:c r="AP291" s="17"/>
      <x:c r="AQ291" s="17"/>
      <x:c r="AR291" s="17"/>
      <x:c r="AS291" s="17"/>
      <x:c r="AT291" s="17"/>
      <x:c r="AU291" s="18"/>
      <x:c r="AV291" s="17"/>
      <x:c r="AW291" s="17"/>
      <x:c r="AX291" s="17"/>
      <x:c r="AY291" s="17"/>
      <x:c r="AZ291" s="17"/>
      <x:c r="BA291" s="17"/>
      <x:c r="BB291" s="17"/>
      <x:c r="BC291" s="18"/>
      <x:c r="BD291" s="18"/>
      <x:c r="BE291" s="19"/>
      <x:c r="BF291" s="22" t="str">
        <x:f>IF(A291="","",IF(BI291&gt;=ReadyThreshold,"Ready",IF(BI291&gt;=PartialThreshold,"Partial","Not Ready")))</x:f>
      </x:c>
      <x:c r="BG291" s="23" t="str">
        <x:f>IF(A291="","",COUNTA(N291,Q291,R291,S291)/4)</x:f>
      </x:c>
      <x:c r="BH291" s="23" t="str">
        <x:f>IF(A291="","",(COUNTA(U291,V291,AE291)+IF(COUNTA(W291,X291,Y291,Z291,AA291)&gt;0,1,0))/4)</x:f>
      </x:c>
      <x:c r="BI291" s="23" t="str">
        <x:f>IF(A291="","",(COUNTIF(AV291:AZ291,"Available")+0.5*COUNTIF(AV291:AZ291,"Partial")+IF(BD291&lt;&gt;"",1,0))/6)</x:f>
      </x:c>
      <x:c r="BJ291" s="22" t="str">
        <x:f>IF(A291="","",IF(AND(F291="",BD291=""),"Blocked",IF(AND(BG291&gt;=ReadyThreshold,BH291&gt;=ReadyThreshold,BI291&gt;=ReadyThreshold),"Ready for Analysis",IF(AVERAGE(BG291,BH291,BI291)&gt;=PartialThreshold,"Partially Ready","Discovery Required"))))</x:f>
      </x:c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8"/>
      <x:c r="BU291" s="17"/>
      <x:c r="BV291" s="17"/>
    </x:row>
    <x:row r="292">
      <x:c r="A292" s="17"/>
      <x:c r="B292" s="17"/>
      <x:c r="C292" s="17"/>
      <x:c r="D292" s="17"/>
      <x:c r="E292" s="18"/>
      <x:c r="F292" s="18"/>
      <x:c r="G292" s="17"/>
      <x:c r="H292" s="17"/>
      <x:c r="I292" s="19"/>
      <x:c r="J292" s="19"/>
      <x:c r="K292" s="17"/>
      <x:c r="L292" s="19"/>
      <x:c r="M292" s="17"/>
      <x:c r="N292" s="18"/>
      <x:c r="O292" s="18"/>
      <x:c r="P292" s="17"/>
      <x:c r="Q292" s="17"/>
      <x:c r="R292" s="17"/>
      <x:c r="S292" s="17"/>
      <x:c r="T292" s="17"/>
      <x:c r="U292" s="18"/>
      <x:c r="V292" s="18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20"/>
      <x:c r="AJ292" s="21"/>
      <x:c r="AK292" s="21"/>
      <x:c r="AL292" s="17"/>
      <x:c r="AM292" s="17"/>
      <x:c r="AN292" s="21"/>
      <x:c r="AO292" s="17"/>
      <x:c r="AP292" s="17"/>
      <x:c r="AQ292" s="17"/>
      <x:c r="AR292" s="17"/>
      <x:c r="AS292" s="17"/>
      <x:c r="AT292" s="17"/>
      <x:c r="AU292" s="18"/>
      <x:c r="AV292" s="17"/>
      <x:c r="AW292" s="17"/>
      <x:c r="AX292" s="17"/>
      <x:c r="AY292" s="17"/>
      <x:c r="AZ292" s="17"/>
      <x:c r="BA292" s="17"/>
      <x:c r="BB292" s="17"/>
      <x:c r="BC292" s="18"/>
      <x:c r="BD292" s="18"/>
      <x:c r="BE292" s="19"/>
      <x:c r="BF292" s="22" t="str">
        <x:f>IF(A292="","",IF(BI292&gt;=ReadyThreshold,"Ready",IF(BI292&gt;=PartialThreshold,"Partial","Not Ready")))</x:f>
      </x:c>
      <x:c r="BG292" s="23" t="str">
        <x:f>IF(A292="","",COUNTA(N292,Q292,R292,S292)/4)</x:f>
      </x:c>
      <x:c r="BH292" s="23" t="str">
        <x:f>IF(A292="","",(COUNTA(U292,V292,AE292)+IF(COUNTA(W292,X292,Y292,Z292,AA292)&gt;0,1,0))/4)</x:f>
      </x:c>
      <x:c r="BI292" s="23" t="str">
        <x:f>IF(A292="","",(COUNTIF(AV292:AZ292,"Available")+0.5*COUNTIF(AV292:AZ292,"Partial")+IF(BD292&lt;&gt;"",1,0))/6)</x:f>
      </x:c>
      <x:c r="BJ292" s="22" t="str">
        <x:f>IF(A292="","",IF(AND(F292="",BD292=""),"Blocked",IF(AND(BG292&gt;=ReadyThreshold,BH292&gt;=ReadyThreshold,BI292&gt;=ReadyThreshold),"Ready for Analysis",IF(AVERAGE(BG292,BH292,BI292)&gt;=PartialThreshold,"Partially Ready","Discovery Required"))))</x:f>
      </x:c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8"/>
      <x:c r="BU292" s="17"/>
      <x:c r="BV292" s="17"/>
    </x:row>
    <x:row r="293">
      <x:c r="A293" s="17"/>
      <x:c r="B293" s="17"/>
      <x:c r="C293" s="17"/>
      <x:c r="D293" s="17"/>
      <x:c r="E293" s="18"/>
      <x:c r="F293" s="18"/>
      <x:c r="G293" s="17"/>
      <x:c r="H293" s="17"/>
      <x:c r="I293" s="19"/>
      <x:c r="J293" s="19"/>
      <x:c r="K293" s="17"/>
      <x:c r="L293" s="19"/>
      <x:c r="M293" s="17"/>
      <x:c r="N293" s="18"/>
      <x:c r="O293" s="18"/>
      <x:c r="P293" s="17"/>
      <x:c r="Q293" s="17"/>
      <x:c r="R293" s="17"/>
      <x:c r="S293" s="17"/>
      <x:c r="T293" s="17"/>
      <x:c r="U293" s="18"/>
      <x:c r="V293" s="18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20"/>
      <x:c r="AJ293" s="21"/>
      <x:c r="AK293" s="21"/>
      <x:c r="AL293" s="17"/>
      <x:c r="AM293" s="17"/>
      <x:c r="AN293" s="21"/>
      <x:c r="AO293" s="17"/>
      <x:c r="AP293" s="17"/>
      <x:c r="AQ293" s="17"/>
      <x:c r="AR293" s="17"/>
      <x:c r="AS293" s="17"/>
      <x:c r="AT293" s="17"/>
      <x:c r="AU293" s="18"/>
      <x:c r="AV293" s="17"/>
      <x:c r="AW293" s="17"/>
      <x:c r="AX293" s="17"/>
      <x:c r="AY293" s="17"/>
      <x:c r="AZ293" s="17"/>
      <x:c r="BA293" s="17"/>
      <x:c r="BB293" s="17"/>
      <x:c r="BC293" s="18"/>
      <x:c r="BD293" s="18"/>
      <x:c r="BE293" s="19"/>
      <x:c r="BF293" s="22" t="str">
        <x:f>IF(A293="","",IF(BI293&gt;=ReadyThreshold,"Ready",IF(BI293&gt;=PartialThreshold,"Partial","Not Ready")))</x:f>
      </x:c>
      <x:c r="BG293" s="23" t="str">
        <x:f>IF(A293="","",COUNTA(N293,Q293,R293,S293)/4)</x:f>
      </x:c>
      <x:c r="BH293" s="23" t="str">
        <x:f>IF(A293="","",(COUNTA(U293,V293,AE293)+IF(COUNTA(W293,X293,Y293,Z293,AA293)&gt;0,1,0))/4)</x:f>
      </x:c>
      <x:c r="BI293" s="23" t="str">
        <x:f>IF(A293="","",(COUNTIF(AV293:AZ293,"Available")+0.5*COUNTIF(AV293:AZ293,"Partial")+IF(BD293&lt;&gt;"",1,0))/6)</x:f>
      </x:c>
      <x:c r="BJ293" s="22" t="str">
        <x:f>IF(A293="","",IF(AND(F293="",BD293=""),"Blocked",IF(AND(BG293&gt;=ReadyThreshold,BH293&gt;=ReadyThreshold,BI293&gt;=ReadyThreshold),"Ready for Analysis",IF(AVERAGE(BG293,BH293,BI293)&gt;=PartialThreshold,"Partially Ready","Discovery Required"))))</x:f>
      </x:c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8"/>
      <x:c r="BU293" s="17"/>
      <x:c r="BV293" s="17"/>
    </x:row>
    <x:row r="294">
      <x:c r="A294" s="17"/>
      <x:c r="B294" s="17"/>
      <x:c r="C294" s="17"/>
      <x:c r="D294" s="17"/>
      <x:c r="E294" s="18"/>
      <x:c r="F294" s="18"/>
      <x:c r="G294" s="17"/>
      <x:c r="H294" s="17"/>
      <x:c r="I294" s="19"/>
      <x:c r="J294" s="19"/>
      <x:c r="K294" s="17"/>
      <x:c r="L294" s="19"/>
      <x:c r="M294" s="17"/>
      <x:c r="N294" s="18"/>
      <x:c r="O294" s="18"/>
      <x:c r="P294" s="17"/>
      <x:c r="Q294" s="17"/>
      <x:c r="R294" s="17"/>
      <x:c r="S294" s="17"/>
      <x:c r="T294" s="17"/>
      <x:c r="U294" s="18"/>
      <x:c r="V294" s="18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20"/>
      <x:c r="AJ294" s="21"/>
      <x:c r="AK294" s="21"/>
      <x:c r="AL294" s="17"/>
      <x:c r="AM294" s="17"/>
      <x:c r="AN294" s="21"/>
      <x:c r="AO294" s="17"/>
      <x:c r="AP294" s="17"/>
      <x:c r="AQ294" s="17"/>
      <x:c r="AR294" s="17"/>
      <x:c r="AS294" s="17"/>
      <x:c r="AT294" s="17"/>
      <x:c r="AU294" s="18"/>
      <x:c r="AV294" s="17"/>
      <x:c r="AW294" s="17"/>
      <x:c r="AX294" s="17"/>
      <x:c r="AY294" s="17"/>
      <x:c r="AZ294" s="17"/>
      <x:c r="BA294" s="17"/>
      <x:c r="BB294" s="17"/>
      <x:c r="BC294" s="18"/>
      <x:c r="BD294" s="18"/>
      <x:c r="BE294" s="19"/>
      <x:c r="BF294" s="22" t="str">
        <x:f>IF(A294="","",IF(BI294&gt;=ReadyThreshold,"Ready",IF(BI294&gt;=PartialThreshold,"Partial","Not Ready")))</x:f>
      </x:c>
      <x:c r="BG294" s="23" t="str">
        <x:f>IF(A294="","",COUNTA(N294,Q294,R294,S294)/4)</x:f>
      </x:c>
      <x:c r="BH294" s="23" t="str">
        <x:f>IF(A294="","",(COUNTA(U294,V294,AE294)+IF(COUNTA(W294,X294,Y294,Z294,AA294)&gt;0,1,0))/4)</x:f>
      </x:c>
      <x:c r="BI294" s="23" t="str">
        <x:f>IF(A294="","",(COUNTIF(AV294:AZ294,"Available")+0.5*COUNTIF(AV294:AZ294,"Partial")+IF(BD294&lt;&gt;"",1,0))/6)</x:f>
      </x:c>
      <x:c r="BJ294" s="22" t="str">
        <x:f>IF(A294="","",IF(AND(F294="",BD294=""),"Blocked",IF(AND(BG294&gt;=ReadyThreshold,BH294&gt;=ReadyThreshold,BI294&gt;=ReadyThreshold),"Ready for Analysis",IF(AVERAGE(BG294,BH294,BI294)&gt;=PartialThreshold,"Partially Ready","Discovery Required"))))</x:f>
      </x:c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8"/>
      <x:c r="BU294" s="17"/>
      <x:c r="BV294" s="17"/>
    </x:row>
    <x:row r="295">
      <x:c r="A295" s="17"/>
      <x:c r="B295" s="17"/>
      <x:c r="C295" s="17"/>
      <x:c r="D295" s="17"/>
      <x:c r="E295" s="18"/>
      <x:c r="F295" s="18"/>
      <x:c r="G295" s="17"/>
      <x:c r="H295" s="17"/>
      <x:c r="I295" s="19"/>
      <x:c r="J295" s="19"/>
      <x:c r="K295" s="17"/>
      <x:c r="L295" s="19"/>
      <x:c r="M295" s="17"/>
      <x:c r="N295" s="18"/>
      <x:c r="O295" s="18"/>
      <x:c r="P295" s="17"/>
      <x:c r="Q295" s="17"/>
      <x:c r="R295" s="17"/>
      <x:c r="S295" s="17"/>
      <x:c r="T295" s="17"/>
      <x:c r="U295" s="18"/>
      <x:c r="V295" s="18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20"/>
      <x:c r="AJ295" s="21"/>
      <x:c r="AK295" s="21"/>
      <x:c r="AL295" s="17"/>
      <x:c r="AM295" s="17"/>
      <x:c r="AN295" s="21"/>
      <x:c r="AO295" s="17"/>
      <x:c r="AP295" s="17"/>
      <x:c r="AQ295" s="17"/>
      <x:c r="AR295" s="17"/>
      <x:c r="AS295" s="17"/>
      <x:c r="AT295" s="17"/>
      <x:c r="AU295" s="18"/>
      <x:c r="AV295" s="17"/>
      <x:c r="AW295" s="17"/>
      <x:c r="AX295" s="17"/>
      <x:c r="AY295" s="17"/>
      <x:c r="AZ295" s="17"/>
      <x:c r="BA295" s="17"/>
      <x:c r="BB295" s="17"/>
      <x:c r="BC295" s="18"/>
      <x:c r="BD295" s="18"/>
      <x:c r="BE295" s="19"/>
      <x:c r="BF295" s="22" t="str">
        <x:f>IF(A295="","",IF(BI295&gt;=ReadyThreshold,"Ready",IF(BI295&gt;=PartialThreshold,"Partial","Not Ready")))</x:f>
      </x:c>
      <x:c r="BG295" s="23" t="str">
        <x:f>IF(A295="","",COUNTA(N295,Q295,R295,S295)/4)</x:f>
      </x:c>
      <x:c r="BH295" s="23" t="str">
        <x:f>IF(A295="","",(COUNTA(U295,V295,AE295)+IF(COUNTA(W295,X295,Y295,Z295,AA295)&gt;0,1,0))/4)</x:f>
      </x:c>
      <x:c r="BI295" s="23" t="str">
        <x:f>IF(A295="","",(COUNTIF(AV295:AZ295,"Available")+0.5*COUNTIF(AV295:AZ295,"Partial")+IF(BD295&lt;&gt;"",1,0))/6)</x:f>
      </x:c>
      <x:c r="BJ295" s="22" t="str">
        <x:f>IF(A295="","",IF(AND(F295="",BD295=""),"Blocked",IF(AND(BG295&gt;=ReadyThreshold,BH295&gt;=ReadyThreshold,BI295&gt;=ReadyThreshold),"Ready for Analysis",IF(AVERAGE(BG295,BH295,BI295)&gt;=PartialThreshold,"Partially Ready","Discovery Required"))))</x:f>
      </x:c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8"/>
      <x:c r="BU295" s="17"/>
      <x:c r="BV295" s="17"/>
    </x:row>
    <x:row r="296">
      <x:c r="A296" s="17"/>
      <x:c r="B296" s="17"/>
      <x:c r="C296" s="17"/>
      <x:c r="D296" s="17"/>
      <x:c r="E296" s="18"/>
      <x:c r="F296" s="18"/>
      <x:c r="G296" s="17"/>
      <x:c r="H296" s="17"/>
      <x:c r="I296" s="19"/>
      <x:c r="J296" s="19"/>
      <x:c r="K296" s="17"/>
      <x:c r="L296" s="19"/>
      <x:c r="M296" s="17"/>
      <x:c r="N296" s="18"/>
      <x:c r="O296" s="18"/>
      <x:c r="P296" s="17"/>
      <x:c r="Q296" s="17"/>
      <x:c r="R296" s="17"/>
      <x:c r="S296" s="17"/>
      <x:c r="T296" s="17"/>
      <x:c r="U296" s="18"/>
      <x:c r="V296" s="18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20"/>
      <x:c r="AJ296" s="21"/>
      <x:c r="AK296" s="21"/>
      <x:c r="AL296" s="17"/>
      <x:c r="AM296" s="17"/>
      <x:c r="AN296" s="21"/>
      <x:c r="AO296" s="17"/>
      <x:c r="AP296" s="17"/>
      <x:c r="AQ296" s="17"/>
      <x:c r="AR296" s="17"/>
      <x:c r="AS296" s="17"/>
      <x:c r="AT296" s="17"/>
      <x:c r="AU296" s="18"/>
      <x:c r="AV296" s="17"/>
      <x:c r="AW296" s="17"/>
      <x:c r="AX296" s="17"/>
      <x:c r="AY296" s="17"/>
      <x:c r="AZ296" s="17"/>
      <x:c r="BA296" s="17"/>
      <x:c r="BB296" s="17"/>
      <x:c r="BC296" s="18"/>
      <x:c r="BD296" s="18"/>
      <x:c r="BE296" s="19"/>
      <x:c r="BF296" s="22" t="str">
        <x:f>IF(A296="","",IF(BI296&gt;=ReadyThreshold,"Ready",IF(BI296&gt;=PartialThreshold,"Partial","Not Ready")))</x:f>
      </x:c>
      <x:c r="BG296" s="23" t="str">
        <x:f>IF(A296="","",COUNTA(N296,Q296,R296,S296)/4)</x:f>
      </x:c>
      <x:c r="BH296" s="23" t="str">
        <x:f>IF(A296="","",(COUNTA(U296,V296,AE296)+IF(COUNTA(W296,X296,Y296,Z296,AA296)&gt;0,1,0))/4)</x:f>
      </x:c>
      <x:c r="BI296" s="23" t="str">
        <x:f>IF(A296="","",(COUNTIF(AV296:AZ296,"Available")+0.5*COUNTIF(AV296:AZ296,"Partial")+IF(BD296&lt;&gt;"",1,0))/6)</x:f>
      </x:c>
      <x:c r="BJ296" s="22" t="str">
        <x:f>IF(A296="","",IF(AND(F296="",BD296=""),"Blocked",IF(AND(BG296&gt;=ReadyThreshold,BH296&gt;=ReadyThreshold,BI296&gt;=ReadyThreshold),"Ready for Analysis",IF(AVERAGE(BG296,BH296,BI296)&gt;=PartialThreshold,"Partially Ready","Discovery Required"))))</x:f>
      </x:c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8"/>
      <x:c r="BU296" s="17"/>
      <x:c r="BV296" s="17"/>
    </x:row>
    <x:row r="297">
      <x:c r="A297" s="17"/>
      <x:c r="B297" s="17"/>
      <x:c r="C297" s="17"/>
      <x:c r="D297" s="17"/>
      <x:c r="E297" s="18"/>
      <x:c r="F297" s="18"/>
      <x:c r="G297" s="17"/>
      <x:c r="H297" s="17"/>
      <x:c r="I297" s="19"/>
      <x:c r="J297" s="19"/>
      <x:c r="K297" s="17"/>
      <x:c r="L297" s="19"/>
      <x:c r="M297" s="17"/>
      <x:c r="N297" s="18"/>
      <x:c r="O297" s="18"/>
      <x:c r="P297" s="17"/>
      <x:c r="Q297" s="17"/>
      <x:c r="R297" s="17"/>
      <x:c r="S297" s="17"/>
      <x:c r="T297" s="17"/>
      <x:c r="U297" s="18"/>
      <x:c r="V297" s="18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20"/>
      <x:c r="AJ297" s="21"/>
      <x:c r="AK297" s="21"/>
      <x:c r="AL297" s="17"/>
      <x:c r="AM297" s="17"/>
      <x:c r="AN297" s="21"/>
      <x:c r="AO297" s="17"/>
      <x:c r="AP297" s="17"/>
      <x:c r="AQ297" s="17"/>
      <x:c r="AR297" s="17"/>
      <x:c r="AS297" s="17"/>
      <x:c r="AT297" s="17"/>
      <x:c r="AU297" s="18"/>
      <x:c r="AV297" s="17"/>
      <x:c r="AW297" s="17"/>
      <x:c r="AX297" s="17"/>
      <x:c r="AY297" s="17"/>
      <x:c r="AZ297" s="17"/>
      <x:c r="BA297" s="17"/>
      <x:c r="BB297" s="17"/>
      <x:c r="BC297" s="18"/>
      <x:c r="BD297" s="18"/>
      <x:c r="BE297" s="19"/>
      <x:c r="BF297" s="22" t="str">
        <x:f>IF(A297="","",IF(BI297&gt;=ReadyThreshold,"Ready",IF(BI297&gt;=PartialThreshold,"Partial","Not Ready")))</x:f>
      </x:c>
      <x:c r="BG297" s="23" t="str">
        <x:f>IF(A297="","",COUNTA(N297,Q297,R297,S297)/4)</x:f>
      </x:c>
      <x:c r="BH297" s="23" t="str">
        <x:f>IF(A297="","",(COUNTA(U297,V297,AE297)+IF(COUNTA(W297,X297,Y297,Z297,AA297)&gt;0,1,0))/4)</x:f>
      </x:c>
      <x:c r="BI297" s="23" t="str">
        <x:f>IF(A297="","",(COUNTIF(AV297:AZ297,"Available")+0.5*COUNTIF(AV297:AZ297,"Partial")+IF(BD297&lt;&gt;"",1,0))/6)</x:f>
      </x:c>
      <x:c r="BJ297" s="22" t="str">
        <x:f>IF(A297="","",IF(AND(F297="",BD297=""),"Blocked",IF(AND(BG297&gt;=ReadyThreshold,BH297&gt;=ReadyThreshold,BI297&gt;=ReadyThreshold),"Ready for Analysis",IF(AVERAGE(BG297,BH297,BI297)&gt;=PartialThreshold,"Partially Ready","Discovery Required"))))</x:f>
      </x:c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8"/>
      <x:c r="BU297" s="17"/>
      <x:c r="BV297" s="17"/>
    </x:row>
    <x:row r="298">
      <x:c r="A298" s="17"/>
      <x:c r="B298" s="17"/>
      <x:c r="C298" s="17"/>
      <x:c r="D298" s="17"/>
      <x:c r="E298" s="18"/>
      <x:c r="F298" s="18"/>
      <x:c r="G298" s="17"/>
      <x:c r="H298" s="17"/>
      <x:c r="I298" s="19"/>
      <x:c r="J298" s="19"/>
      <x:c r="K298" s="17"/>
      <x:c r="L298" s="19"/>
      <x:c r="M298" s="17"/>
      <x:c r="N298" s="18"/>
      <x:c r="O298" s="18"/>
      <x:c r="P298" s="17"/>
      <x:c r="Q298" s="17"/>
      <x:c r="R298" s="17"/>
      <x:c r="S298" s="17"/>
      <x:c r="T298" s="17"/>
      <x:c r="U298" s="18"/>
      <x:c r="V298" s="18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20"/>
      <x:c r="AJ298" s="21"/>
      <x:c r="AK298" s="21"/>
      <x:c r="AL298" s="17"/>
      <x:c r="AM298" s="17"/>
      <x:c r="AN298" s="21"/>
      <x:c r="AO298" s="17"/>
      <x:c r="AP298" s="17"/>
      <x:c r="AQ298" s="17"/>
      <x:c r="AR298" s="17"/>
      <x:c r="AS298" s="17"/>
      <x:c r="AT298" s="17"/>
      <x:c r="AU298" s="18"/>
      <x:c r="AV298" s="17"/>
      <x:c r="AW298" s="17"/>
      <x:c r="AX298" s="17"/>
      <x:c r="AY298" s="17"/>
      <x:c r="AZ298" s="17"/>
      <x:c r="BA298" s="17"/>
      <x:c r="BB298" s="17"/>
      <x:c r="BC298" s="18"/>
      <x:c r="BD298" s="18"/>
      <x:c r="BE298" s="19"/>
      <x:c r="BF298" s="22" t="str">
        <x:f>IF(A298="","",IF(BI298&gt;=ReadyThreshold,"Ready",IF(BI298&gt;=PartialThreshold,"Partial","Not Ready")))</x:f>
      </x:c>
      <x:c r="BG298" s="23" t="str">
        <x:f>IF(A298="","",COUNTA(N298,Q298,R298,S298)/4)</x:f>
      </x:c>
      <x:c r="BH298" s="23" t="str">
        <x:f>IF(A298="","",(COUNTA(U298,V298,AE298)+IF(COUNTA(W298,X298,Y298,Z298,AA298)&gt;0,1,0))/4)</x:f>
      </x:c>
      <x:c r="BI298" s="23" t="str">
        <x:f>IF(A298="","",(COUNTIF(AV298:AZ298,"Available")+0.5*COUNTIF(AV298:AZ298,"Partial")+IF(BD298&lt;&gt;"",1,0))/6)</x:f>
      </x:c>
      <x:c r="BJ298" s="22" t="str">
        <x:f>IF(A298="","",IF(AND(F298="",BD298=""),"Blocked",IF(AND(BG298&gt;=ReadyThreshold,BH298&gt;=ReadyThreshold,BI298&gt;=ReadyThreshold),"Ready for Analysis",IF(AVERAGE(BG298,BH298,BI298)&gt;=PartialThreshold,"Partially Ready","Discovery Required"))))</x:f>
      </x:c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8"/>
      <x:c r="BU298" s="17"/>
      <x:c r="BV298" s="17"/>
    </x:row>
    <x:row r="299">
      <x:c r="A299" s="17"/>
      <x:c r="B299" s="17"/>
      <x:c r="C299" s="17"/>
      <x:c r="D299" s="17"/>
      <x:c r="E299" s="18"/>
      <x:c r="F299" s="18"/>
      <x:c r="G299" s="17"/>
      <x:c r="H299" s="17"/>
      <x:c r="I299" s="19"/>
      <x:c r="J299" s="19"/>
      <x:c r="K299" s="17"/>
      <x:c r="L299" s="19"/>
      <x:c r="M299" s="17"/>
      <x:c r="N299" s="18"/>
      <x:c r="O299" s="18"/>
      <x:c r="P299" s="17"/>
      <x:c r="Q299" s="17"/>
      <x:c r="R299" s="17"/>
      <x:c r="S299" s="17"/>
      <x:c r="T299" s="17"/>
      <x:c r="U299" s="18"/>
      <x:c r="V299" s="18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20"/>
      <x:c r="AJ299" s="21"/>
      <x:c r="AK299" s="21"/>
      <x:c r="AL299" s="17"/>
      <x:c r="AM299" s="17"/>
      <x:c r="AN299" s="21"/>
      <x:c r="AO299" s="17"/>
      <x:c r="AP299" s="17"/>
      <x:c r="AQ299" s="17"/>
      <x:c r="AR299" s="17"/>
      <x:c r="AS299" s="17"/>
      <x:c r="AT299" s="17"/>
      <x:c r="AU299" s="18"/>
      <x:c r="AV299" s="17"/>
      <x:c r="AW299" s="17"/>
      <x:c r="AX299" s="17"/>
      <x:c r="AY299" s="17"/>
      <x:c r="AZ299" s="17"/>
      <x:c r="BA299" s="17"/>
      <x:c r="BB299" s="17"/>
      <x:c r="BC299" s="18"/>
      <x:c r="BD299" s="18"/>
      <x:c r="BE299" s="19"/>
      <x:c r="BF299" s="22" t="str">
        <x:f>IF(A299="","",IF(BI299&gt;=ReadyThreshold,"Ready",IF(BI299&gt;=PartialThreshold,"Partial","Not Ready")))</x:f>
      </x:c>
      <x:c r="BG299" s="23" t="str">
        <x:f>IF(A299="","",COUNTA(N299,Q299,R299,S299)/4)</x:f>
      </x:c>
      <x:c r="BH299" s="23" t="str">
        <x:f>IF(A299="","",(COUNTA(U299,V299,AE299)+IF(COUNTA(W299,X299,Y299,Z299,AA299)&gt;0,1,0))/4)</x:f>
      </x:c>
      <x:c r="BI299" s="23" t="str">
        <x:f>IF(A299="","",(COUNTIF(AV299:AZ299,"Available")+0.5*COUNTIF(AV299:AZ299,"Partial")+IF(BD299&lt;&gt;"",1,0))/6)</x:f>
      </x:c>
      <x:c r="BJ299" s="22" t="str">
        <x:f>IF(A299="","",IF(AND(F299="",BD299=""),"Blocked",IF(AND(BG299&gt;=ReadyThreshold,BH299&gt;=ReadyThreshold,BI299&gt;=ReadyThreshold),"Ready for Analysis",IF(AVERAGE(BG299,BH299,BI299)&gt;=PartialThreshold,"Partially Ready","Discovery Required"))))</x:f>
      </x:c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8"/>
      <x:c r="BU299" s="17"/>
      <x:c r="BV299" s="17"/>
    </x:row>
    <x:row r="300">
      <x:c r="A300" s="17"/>
      <x:c r="B300" s="17"/>
      <x:c r="C300" s="17"/>
      <x:c r="D300" s="17"/>
      <x:c r="E300" s="18"/>
      <x:c r="F300" s="18"/>
      <x:c r="G300" s="17"/>
      <x:c r="H300" s="17"/>
      <x:c r="I300" s="19"/>
      <x:c r="J300" s="19"/>
      <x:c r="K300" s="17"/>
      <x:c r="L300" s="19"/>
      <x:c r="M300" s="17"/>
      <x:c r="N300" s="18"/>
      <x:c r="O300" s="18"/>
      <x:c r="P300" s="17"/>
      <x:c r="Q300" s="17"/>
      <x:c r="R300" s="17"/>
      <x:c r="S300" s="17"/>
      <x:c r="T300" s="17"/>
      <x:c r="U300" s="18"/>
      <x:c r="V300" s="18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20"/>
      <x:c r="AJ300" s="21"/>
      <x:c r="AK300" s="21"/>
      <x:c r="AL300" s="17"/>
      <x:c r="AM300" s="17"/>
      <x:c r="AN300" s="21"/>
      <x:c r="AO300" s="17"/>
      <x:c r="AP300" s="17"/>
      <x:c r="AQ300" s="17"/>
      <x:c r="AR300" s="17"/>
      <x:c r="AS300" s="17"/>
      <x:c r="AT300" s="17"/>
      <x:c r="AU300" s="18"/>
      <x:c r="AV300" s="17"/>
      <x:c r="AW300" s="17"/>
      <x:c r="AX300" s="17"/>
      <x:c r="AY300" s="17"/>
      <x:c r="AZ300" s="17"/>
      <x:c r="BA300" s="17"/>
      <x:c r="BB300" s="17"/>
      <x:c r="BC300" s="18"/>
      <x:c r="BD300" s="18"/>
      <x:c r="BE300" s="19"/>
      <x:c r="BF300" s="22" t="str">
        <x:f>IF(A300="","",IF(BI300&gt;=ReadyThreshold,"Ready",IF(BI300&gt;=PartialThreshold,"Partial","Not Ready")))</x:f>
      </x:c>
      <x:c r="BG300" s="23" t="str">
        <x:f>IF(A300="","",COUNTA(N300,Q300,R300,S300)/4)</x:f>
      </x:c>
      <x:c r="BH300" s="23" t="str">
        <x:f>IF(A300="","",(COUNTA(U300,V300,AE300)+IF(COUNTA(W300,X300,Y300,Z300,AA300)&gt;0,1,0))/4)</x:f>
      </x:c>
      <x:c r="BI300" s="23" t="str">
        <x:f>IF(A300="","",(COUNTIF(AV300:AZ300,"Available")+0.5*COUNTIF(AV300:AZ300,"Partial")+IF(BD300&lt;&gt;"",1,0))/6)</x:f>
      </x:c>
      <x:c r="BJ300" s="22" t="str">
        <x:f>IF(A300="","",IF(AND(F300="",BD300=""),"Blocked",IF(AND(BG300&gt;=ReadyThreshold,BH300&gt;=ReadyThreshold,BI300&gt;=ReadyThreshold),"Ready for Analysis",IF(AVERAGE(BG300,BH300,BI300)&gt;=PartialThreshold,"Partially Ready","Discovery Required"))))</x:f>
      </x:c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8"/>
      <x:c r="BU300" s="17"/>
      <x:c r="BV300" s="17"/>
    </x:row>
    <x:row r="301">
      <x:c r="A301" s="17"/>
      <x:c r="B301" s="17"/>
      <x:c r="C301" s="17"/>
      <x:c r="D301" s="17"/>
      <x:c r="E301" s="18"/>
      <x:c r="F301" s="18"/>
      <x:c r="G301" s="17"/>
      <x:c r="H301" s="17"/>
      <x:c r="I301" s="19"/>
      <x:c r="J301" s="19"/>
      <x:c r="K301" s="17"/>
      <x:c r="L301" s="19"/>
      <x:c r="M301" s="17"/>
      <x:c r="N301" s="18"/>
      <x:c r="O301" s="18"/>
      <x:c r="P301" s="17"/>
      <x:c r="Q301" s="17"/>
      <x:c r="R301" s="17"/>
      <x:c r="S301" s="17"/>
      <x:c r="T301" s="17"/>
      <x:c r="U301" s="18"/>
      <x:c r="V301" s="18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20"/>
      <x:c r="AJ301" s="21"/>
      <x:c r="AK301" s="21"/>
      <x:c r="AL301" s="17"/>
      <x:c r="AM301" s="17"/>
      <x:c r="AN301" s="21"/>
      <x:c r="AO301" s="17"/>
      <x:c r="AP301" s="17"/>
      <x:c r="AQ301" s="17"/>
      <x:c r="AR301" s="17"/>
      <x:c r="AS301" s="17"/>
      <x:c r="AT301" s="17"/>
      <x:c r="AU301" s="18"/>
      <x:c r="AV301" s="17"/>
      <x:c r="AW301" s="17"/>
      <x:c r="AX301" s="17"/>
      <x:c r="AY301" s="17"/>
      <x:c r="AZ301" s="17"/>
      <x:c r="BA301" s="17"/>
      <x:c r="BB301" s="17"/>
      <x:c r="BC301" s="18"/>
      <x:c r="BD301" s="18"/>
      <x:c r="BE301" s="19"/>
      <x:c r="BF301" s="22" t="str">
        <x:f>IF(A301="","",IF(BI301&gt;=ReadyThreshold,"Ready",IF(BI301&gt;=PartialThreshold,"Partial","Not Ready")))</x:f>
      </x:c>
      <x:c r="BG301" s="23" t="str">
        <x:f>IF(A301="","",COUNTA(N301,Q301,R301,S301)/4)</x:f>
      </x:c>
      <x:c r="BH301" s="23" t="str">
        <x:f>IF(A301="","",(COUNTA(U301,V301,AE301)+IF(COUNTA(W301,X301,Y301,Z301,AA301)&gt;0,1,0))/4)</x:f>
      </x:c>
      <x:c r="BI301" s="23" t="str">
        <x:f>IF(A301="","",(COUNTIF(AV301:AZ301,"Available")+0.5*COUNTIF(AV301:AZ301,"Partial")+IF(BD301&lt;&gt;"",1,0))/6)</x:f>
      </x:c>
      <x:c r="BJ301" s="22" t="str">
        <x:f>IF(A301="","",IF(AND(F301="",BD301=""),"Blocked",IF(AND(BG301&gt;=ReadyThreshold,BH301&gt;=ReadyThreshold,BI301&gt;=ReadyThreshold),"Ready for Analysis",IF(AVERAGE(BG301,BH301,BI301)&gt;=PartialThreshold,"Partially Ready","Discovery Required"))))</x:f>
      </x:c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8"/>
      <x:c r="BU301" s="17"/>
      <x:c r="BV301" s="17"/>
    </x:row>
    <x:row r="302">
      <x:c r="A302" s="17"/>
      <x:c r="B302" s="17"/>
      <x:c r="C302" s="17"/>
      <x:c r="D302" s="17"/>
      <x:c r="E302" s="18"/>
      <x:c r="F302" s="18"/>
      <x:c r="G302" s="17"/>
      <x:c r="H302" s="17"/>
      <x:c r="I302" s="19"/>
      <x:c r="J302" s="19"/>
      <x:c r="K302" s="17"/>
      <x:c r="L302" s="19"/>
      <x:c r="M302" s="17"/>
      <x:c r="N302" s="18"/>
      <x:c r="O302" s="18"/>
      <x:c r="P302" s="17"/>
      <x:c r="Q302" s="17"/>
      <x:c r="R302" s="17"/>
      <x:c r="S302" s="17"/>
      <x:c r="T302" s="17"/>
      <x:c r="U302" s="18"/>
      <x:c r="V302" s="18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20"/>
      <x:c r="AJ302" s="21"/>
      <x:c r="AK302" s="21"/>
      <x:c r="AL302" s="17"/>
      <x:c r="AM302" s="17"/>
      <x:c r="AN302" s="21"/>
      <x:c r="AO302" s="17"/>
      <x:c r="AP302" s="17"/>
      <x:c r="AQ302" s="17"/>
      <x:c r="AR302" s="17"/>
      <x:c r="AS302" s="17"/>
      <x:c r="AT302" s="17"/>
      <x:c r="AU302" s="18"/>
      <x:c r="AV302" s="17"/>
      <x:c r="AW302" s="17"/>
      <x:c r="AX302" s="17"/>
      <x:c r="AY302" s="17"/>
      <x:c r="AZ302" s="17"/>
      <x:c r="BA302" s="17"/>
      <x:c r="BB302" s="17"/>
      <x:c r="BC302" s="18"/>
      <x:c r="BD302" s="18"/>
      <x:c r="BE302" s="19"/>
      <x:c r="BF302" s="22" t="str">
        <x:f>IF(A302="","",IF(BI302&gt;=ReadyThreshold,"Ready",IF(BI302&gt;=PartialThreshold,"Partial","Not Ready")))</x:f>
      </x:c>
      <x:c r="BG302" s="23" t="str">
        <x:f>IF(A302="","",COUNTA(N302,Q302,R302,S302)/4)</x:f>
      </x:c>
      <x:c r="BH302" s="23" t="str">
        <x:f>IF(A302="","",(COUNTA(U302,V302,AE302)+IF(COUNTA(W302,X302,Y302,Z302,AA302)&gt;0,1,0))/4)</x:f>
      </x:c>
      <x:c r="BI302" s="23" t="str">
        <x:f>IF(A302="","",(COUNTIF(AV302:AZ302,"Available")+0.5*COUNTIF(AV302:AZ302,"Partial")+IF(BD302&lt;&gt;"",1,0))/6)</x:f>
      </x:c>
      <x:c r="BJ302" s="22" t="str">
        <x:f>IF(A302="","",IF(AND(F302="",BD302=""),"Blocked",IF(AND(BG302&gt;=ReadyThreshold,BH302&gt;=ReadyThreshold,BI302&gt;=ReadyThreshold),"Ready for Analysis",IF(AVERAGE(BG302,BH302,BI302)&gt;=PartialThreshold,"Partially Ready","Discovery Required"))))</x:f>
      </x:c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8"/>
      <x:c r="BU302" s="17"/>
      <x:c r="BV302" s="17"/>
    </x:row>
    <x:row r="303">
      <x:c r="A303" s="17"/>
      <x:c r="B303" s="17"/>
      <x:c r="C303" s="17"/>
      <x:c r="D303" s="17"/>
      <x:c r="E303" s="18"/>
      <x:c r="F303" s="18"/>
      <x:c r="G303" s="17"/>
      <x:c r="H303" s="17"/>
      <x:c r="I303" s="19"/>
      <x:c r="J303" s="19"/>
      <x:c r="K303" s="17"/>
      <x:c r="L303" s="19"/>
      <x:c r="M303" s="17"/>
      <x:c r="N303" s="18"/>
      <x:c r="O303" s="18"/>
      <x:c r="P303" s="17"/>
      <x:c r="Q303" s="17"/>
      <x:c r="R303" s="17"/>
      <x:c r="S303" s="17"/>
      <x:c r="T303" s="17"/>
      <x:c r="U303" s="18"/>
      <x:c r="V303" s="18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20"/>
      <x:c r="AJ303" s="21"/>
      <x:c r="AK303" s="21"/>
      <x:c r="AL303" s="17"/>
      <x:c r="AM303" s="17"/>
      <x:c r="AN303" s="21"/>
      <x:c r="AO303" s="17"/>
      <x:c r="AP303" s="17"/>
      <x:c r="AQ303" s="17"/>
      <x:c r="AR303" s="17"/>
      <x:c r="AS303" s="17"/>
      <x:c r="AT303" s="17"/>
      <x:c r="AU303" s="18"/>
      <x:c r="AV303" s="17"/>
      <x:c r="AW303" s="17"/>
      <x:c r="AX303" s="17"/>
      <x:c r="AY303" s="17"/>
      <x:c r="AZ303" s="17"/>
      <x:c r="BA303" s="17"/>
      <x:c r="BB303" s="17"/>
      <x:c r="BC303" s="18"/>
      <x:c r="BD303" s="18"/>
      <x:c r="BE303" s="19"/>
      <x:c r="BF303" s="22" t="str">
        <x:f>IF(A303="","",IF(BI303&gt;=ReadyThreshold,"Ready",IF(BI303&gt;=PartialThreshold,"Partial","Not Ready")))</x:f>
      </x:c>
      <x:c r="BG303" s="23" t="str">
        <x:f>IF(A303="","",COUNTA(N303,Q303,R303,S303)/4)</x:f>
      </x:c>
      <x:c r="BH303" s="23" t="str">
        <x:f>IF(A303="","",(COUNTA(U303,V303,AE303)+IF(COUNTA(W303,X303,Y303,Z303,AA303)&gt;0,1,0))/4)</x:f>
      </x:c>
      <x:c r="BI303" s="23" t="str">
        <x:f>IF(A303="","",(COUNTIF(AV303:AZ303,"Available")+0.5*COUNTIF(AV303:AZ303,"Partial")+IF(BD303&lt;&gt;"",1,0))/6)</x:f>
      </x:c>
      <x:c r="BJ303" s="22" t="str">
        <x:f>IF(A303="","",IF(AND(F303="",BD303=""),"Blocked",IF(AND(BG303&gt;=ReadyThreshold,BH303&gt;=ReadyThreshold,BI303&gt;=ReadyThreshold),"Ready for Analysis",IF(AVERAGE(BG303,BH303,BI303)&gt;=PartialThreshold,"Partially Ready","Discovery Required"))))</x:f>
      </x:c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8"/>
      <x:c r="BU303" s="17"/>
      <x:c r="BV303" s="17"/>
    </x:row>
    <x:row r="304">
      <x:c r="A304" s="17"/>
      <x:c r="B304" s="17"/>
      <x:c r="C304" s="17"/>
      <x:c r="D304" s="17"/>
      <x:c r="E304" s="18"/>
      <x:c r="F304" s="18"/>
      <x:c r="G304" s="17"/>
      <x:c r="H304" s="17"/>
      <x:c r="I304" s="19"/>
      <x:c r="J304" s="19"/>
      <x:c r="K304" s="17"/>
      <x:c r="L304" s="19"/>
      <x:c r="M304" s="17"/>
      <x:c r="N304" s="18"/>
      <x:c r="O304" s="18"/>
      <x:c r="P304" s="17"/>
      <x:c r="Q304" s="17"/>
      <x:c r="R304" s="17"/>
      <x:c r="S304" s="17"/>
      <x:c r="T304" s="17"/>
      <x:c r="U304" s="18"/>
      <x:c r="V304" s="18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20"/>
      <x:c r="AJ304" s="21"/>
      <x:c r="AK304" s="21"/>
      <x:c r="AL304" s="17"/>
      <x:c r="AM304" s="17"/>
      <x:c r="AN304" s="21"/>
      <x:c r="AO304" s="17"/>
      <x:c r="AP304" s="17"/>
      <x:c r="AQ304" s="17"/>
      <x:c r="AR304" s="17"/>
      <x:c r="AS304" s="17"/>
      <x:c r="AT304" s="17"/>
      <x:c r="AU304" s="18"/>
      <x:c r="AV304" s="17"/>
      <x:c r="AW304" s="17"/>
      <x:c r="AX304" s="17"/>
      <x:c r="AY304" s="17"/>
      <x:c r="AZ304" s="17"/>
      <x:c r="BA304" s="17"/>
      <x:c r="BB304" s="17"/>
      <x:c r="BC304" s="18"/>
      <x:c r="BD304" s="18"/>
      <x:c r="BE304" s="19"/>
      <x:c r="BF304" s="22" t="str">
        <x:f>IF(A304="","",IF(BI304&gt;=ReadyThreshold,"Ready",IF(BI304&gt;=PartialThreshold,"Partial","Not Ready")))</x:f>
      </x:c>
      <x:c r="BG304" s="23" t="str">
        <x:f>IF(A304="","",COUNTA(N304,Q304,R304,S304)/4)</x:f>
      </x:c>
      <x:c r="BH304" s="23" t="str">
        <x:f>IF(A304="","",(COUNTA(U304,V304,AE304)+IF(COUNTA(W304,X304,Y304,Z304,AA304)&gt;0,1,0))/4)</x:f>
      </x:c>
      <x:c r="BI304" s="23" t="str">
        <x:f>IF(A304="","",(COUNTIF(AV304:AZ304,"Available")+0.5*COUNTIF(AV304:AZ304,"Partial")+IF(BD304&lt;&gt;"",1,0))/6)</x:f>
      </x:c>
      <x:c r="BJ304" s="22" t="str">
        <x:f>IF(A304="","",IF(AND(F304="",BD304=""),"Blocked",IF(AND(BG304&gt;=ReadyThreshold,BH304&gt;=ReadyThreshold,BI304&gt;=ReadyThreshold),"Ready for Analysis",IF(AVERAGE(BG304,BH304,BI304)&gt;=PartialThreshold,"Partially Ready","Discovery Required"))))</x:f>
      </x:c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8"/>
      <x:c r="BU304" s="17"/>
      <x:c r="BV304" s="17"/>
    </x:row>
    <x:row r="305">
      <x:c r="A305" s="17"/>
      <x:c r="B305" s="17"/>
      <x:c r="C305" s="17"/>
      <x:c r="D305" s="17"/>
      <x:c r="E305" s="18"/>
      <x:c r="F305" s="18"/>
      <x:c r="G305" s="17"/>
      <x:c r="H305" s="17"/>
      <x:c r="I305" s="19"/>
      <x:c r="J305" s="19"/>
      <x:c r="K305" s="17"/>
      <x:c r="L305" s="19"/>
      <x:c r="M305" s="17"/>
      <x:c r="N305" s="18"/>
      <x:c r="O305" s="18"/>
      <x:c r="P305" s="17"/>
      <x:c r="Q305" s="17"/>
      <x:c r="R305" s="17"/>
      <x:c r="S305" s="17"/>
      <x:c r="T305" s="17"/>
      <x:c r="U305" s="18"/>
      <x:c r="V305" s="18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20"/>
      <x:c r="AJ305" s="21"/>
      <x:c r="AK305" s="21"/>
      <x:c r="AL305" s="17"/>
      <x:c r="AM305" s="17"/>
      <x:c r="AN305" s="21"/>
      <x:c r="AO305" s="17"/>
      <x:c r="AP305" s="17"/>
      <x:c r="AQ305" s="17"/>
      <x:c r="AR305" s="17"/>
      <x:c r="AS305" s="17"/>
      <x:c r="AT305" s="17"/>
      <x:c r="AU305" s="18"/>
      <x:c r="AV305" s="17"/>
      <x:c r="AW305" s="17"/>
      <x:c r="AX305" s="17"/>
      <x:c r="AY305" s="17"/>
      <x:c r="AZ305" s="17"/>
      <x:c r="BA305" s="17"/>
      <x:c r="BB305" s="17"/>
      <x:c r="BC305" s="18"/>
      <x:c r="BD305" s="18"/>
      <x:c r="BE305" s="19"/>
      <x:c r="BF305" s="22" t="str">
        <x:f>IF(A305="","",IF(BI305&gt;=ReadyThreshold,"Ready",IF(BI305&gt;=PartialThreshold,"Partial","Not Ready")))</x:f>
      </x:c>
      <x:c r="BG305" s="23" t="str">
        <x:f>IF(A305="","",COUNTA(N305,Q305,R305,S305)/4)</x:f>
      </x:c>
      <x:c r="BH305" s="23" t="str">
        <x:f>IF(A305="","",(COUNTA(U305,V305,AE305)+IF(COUNTA(W305,X305,Y305,Z305,AA305)&gt;0,1,0))/4)</x:f>
      </x:c>
      <x:c r="BI305" s="23" t="str">
        <x:f>IF(A305="","",(COUNTIF(AV305:AZ305,"Available")+0.5*COUNTIF(AV305:AZ305,"Partial")+IF(BD305&lt;&gt;"",1,0))/6)</x:f>
      </x:c>
      <x:c r="BJ305" s="22" t="str">
        <x:f>IF(A305="","",IF(AND(F305="",BD305=""),"Blocked",IF(AND(BG305&gt;=ReadyThreshold,BH305&gt;=ReadyThreshold,BI305&gt;=ReadyThreshold),"Ready for Analysis",IF(AVERAGE(BG305,BH305,BI305)&gt;=PartialThreshold,"Partially Ready","Discovery Required"))))</x:f>
      </x:c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8"/>
      <x:c r="BU305" s="17"/>
      <x:c r="BV305" s="17"/>
    </x:row>
    <x:row r="306">
      <x:c r="A306" s="17"/>
      <x:c r="B306" s="17"/>
      <x:c r="C306" s="17"/>
      <x:c r="D306" s="17"/>
      <x:c r="E306" s="18"/>
      <x:c r="F306" s="18"/>
      <x:c r="G306" s="17"/>
      <x:c r="H306" s="17"/>
      <x:c r="I306" s="19"/>
      <x:c r="J306" s="19"/>
      <x:c r="K306" s="17"/>
      <x:c r="L306" s="19"/>
      <x:c r="M306" s="17"/>
      <x:c r="N306" s="18"/>
      <x:c r="O306" s="18"/>
      <x:c r="P306" s="17"/>
      <x:c r="Q306" s="17"/>
      <x:c r="R306" s="17"/>
      <x:c r="S306" s="17"/>
      <x:c r="T306" s="17"/>
      <x:c r="U306" s="18"/>
      <x:c r="V306" s="18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20"/>
      <x:c r="AJ306" s="21"/>
      <x:c r="AK306" s="21"/>
      <x:c r="AL306" s="17"/>
      <x:c r="AM306" s="17"/>
      <x:c r="AN306" s="21"/>
      <x:c r="AO306" s="17"/>
      <x:c r="AP306" s="17"/>
      <x:c r="AQ306" s="17"/>
      <x:c r="AR306" s="17"/>
      <x:c r="AS306" s="17"/>
      <x:c r="AT306" s="17"/>
      <x:c r="AU306" s="18"/>
      <x:c r="AV306" s="17"/>
      <x:c r="AW306" s="17"/>
      <x:c r="AX306" s="17"/>
      <x:c r="AY306" s="17"/>
      <x:c r="AZ306" s="17"/>
      <x:c r="BA306" s="17"/>
      <x:c r="BB306" s="17"/>
      <x:c r="BC306" s="18"/>
      <x:c r="BD306" s="18"/>
      <x:c r="BE306" s="19"/>
      <x:c r="BF306" s="22" t="str">
        <x:f>IF(A306="","",IF(BI306&gt;=ReadyThreshold,"Ready",IF(BI306&gt;=PartialThreshold,"Partial","Not Ready")))</x:f>
      </x:c>
      <x:c r="BG306" s="23" t="str">
        <x:f>IF(A306="","",COUNTA(N306,Q306,R306,S306)/4)</x:f>
      </x:c>
      <x:c r="BH306" s="23" t="str">
        <x:f>IF(A306="","",(COUNTA(U306,V306,AE306)+IF(COUNTA(W306,X306,Y306,Z306,AA306)&gt;0,1,0))/4)</x:f>
      </x:c>
      <x:c r="BI306" s="23" t="str">
        <x:f>IF(A306="","",(COUNTIF(AV306:AZ306,"Available")+0.5*COUNTIF(AV306:AZ306,"Partial")+IF(BD306&lt;&gt;"",1,0))/6)</x:f>
      </x:c>
      <x:c r="BJ306" s="22" t="str">
        <x:f>IF(A306="","",IF(AND(F306="",BD306=""),"Blocked",IF(AND(BG306&gt;=ReadyThreshold,BH306&gt;=ReadyThreshold,BI306&gt;=ReadyThreshold),"Ready for Analysis",IF(AVERAGE(BG306,BH306,BI306)&gt;=PartialThreshold,"Partially Ready","Discovery Required"))))</x:f>
      </x:c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8"/>
      <x:c r="BU306" s="17"/>
      <x:c r="BV306" s="17"/>
    </x:row>
  </x:sheetData>
  <x:mergeCells>
    <x:mergeCell ref="BK4:BV4"/>
    <x:mergeCell ref="A1:BV1"/>
    <x:mergeCell ref="U4:AG4"/>
    <x:mergeCell ref="BG4:BJ4"/>
    <x:mergeCell ref="A2:BV2"/>
    <x:mergeCell ref="AH4:AT4"/>
    <x:mergeCell ref="M4:T4"/>
    <x:mergeCell ref="AU4:BF4"/>
    <x:mergeCell ref="A4:L4"/>
  </x:mergeCells>
  <x:conditionalFormatting sqref="P7:P306">
    <x:cfRule type="expression" dxfId="0" priority="1">
      <x:formula>OR(P7="Unclear",P7="Not Provided")</x:formula>
    </x:cfRule>
  </x:conditionalFormatting>
  <x:conditionalFormatting sqref="AG7:AG306">
    <x:cfRule type="expression" dxfId="1" priority="2">
      <x:formula>OR(AG7="Too Broad",AG7="Unclear",AG7="Not Provided")</x:formula>
    </x:cfRule>
  </x:conditionalFormatting>
  <x:conditionalFormatting sqref="AU7:AU306">
    <x:cfRule type="expression" dxfId="0" priority="3">
      <x:formula>OR(AU7="Pending",AU7="Not Available",AU7="Unknown")</x:formula>
    </x:cfRule>
  </x:conditionalFormatting>
  <x:conditionalFormatting sqref="F7:F306">
    <x:cfRule type="expression" dxfId="2" priority="4">
      <x:formula>AND($A7&lt;&gt;"",F7="")</x:formula>
    </x:cfRule>
  </x:conditionalFormatting>
  <x:conditionalFormatting sqref="BD7:BD306">
    <x:cfRule type="expression" dxfId="2" priority="5">
      <x:formula>AND($A7&lt;&gt;"",BD7="")</x:formula>
    </x:cfRule>
  </x:conditionalFormatting>
  <x:conditionalFormatting sqref="BR7:BR306">
    <x:cfRule type="expression" dxfId="0" priority="6">
      <x:formula>OR(BR7="High",BR7="Critical")</x:formula>
    </x:cfRule>
  </x:conditionalFormatting>
  <x:conditionalFormatting sqref="BJ7:BJ306">
    <x:cfRule type="expression" dxfId="3" priority="7">
      <x:formula>BJ7="Ready for Analysis"</x:formula>
    </x:cfRule>
  </x:conditionalFormatting>
  <x:dataValidations count="30">
    <x:dataValidation type="list" allowBlank="1" showDropDown="0" showInputMessage="0" showErrorMessage="0" errorTitle="Invalid selection" error="Select a value from the dropdown list." promptTitle="Select value" prompt="Choose from the approved list." sqref="B7:B306">
      <x:formula1>=Brands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D7:D306">
      <x:formula1>=CampaignSources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H7:H306">
      <x:formula1>=CampaignStatuses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K7:K306">
      <x:formula1>=Frequencies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M7:M306">
      <x:formula1>=CampaignCategories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O7:O306">
      <x:formula1>=ObjectiveSources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P7:P306">
      <x:formula1>=ObjectiveClarityStatuses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W7:W306">
      <x:formula1>=PlayerActivityStatuses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Z7:Z306">
      <x:formula1>=VIPTiers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B7:AB306">
      <x:formula1>=Products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C7:AC306">
      <x:formula1>=Products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G7:AG306">
      <x:formula1>=SegmentClarityStatuses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H7:AH306">
      <x:formula1>=BonusTypes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O7:AO306">
      <x:formula1>=Currencies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P7:AP306">
      <x:formula1>=DeliveryChannels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R7:AR306">
      <x:formula1>=RecurringStatuses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T7:AT306">
      <x:formula1>=QCStatuses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U7:AU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V7:AV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W7:AW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X7:AX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Y7:AY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AZ7:AZ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A7:BA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B7:BB306">
      <x:formula1>=DataAvailabilityStatuses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M7:BM306">
      <x:formula1>=MechanicGapStatuses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P7:BP306">
      <x:formula1>=OverlapRisks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R7:BR306">
      <x:formula1>=GapSeverities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S7:BS306">
      <x:formula1>=RecommendedActions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BU7:BU306">
      <x:formula1>=ClarificationStatuses</x:formula1>
    </x:dataValidation>
  </x:dataValidations>
  <x:pageMargins left="0.7" right="0.7" top="0.75" bottom="0.75" header="0.3" footer="0.3"/>
  <x:legacyDrawing xmlns:r="http://schemas.openxmlformats.org/officeDocument/2006/relationships" r:id="R00639e8239b34d1b"/>
  <x:tableParts count="1">
    <x:tablePart xmlns:r="http://schemas.openxmlformats.org/officeDocument/2006/relationships" r:id="Rd6b8dd81aad045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8" customWidth="1"/>
    <x:col min="3" max="3" width="20" customWidth="1"/>
    <x:col min="4" max="4" width="32" customWidth="1"/>
    <x:col min="5" max="5" width="34" customWidth="1"/>
    <x:col min="6" max="6" width="34" customWidth="1"/>
    <x:col min="7" max="7" width="15" customWidth="1"/>
    <x:col min="8" max="8" width="18" customWidth="1"/>
    <x:col min="9" max="9" width="28" customWidth="1"/>
    <x:col min="10" max="10" width="18" customWidth="1"/>
    <x:col min="11" max="11" width="18" customWidth="1"/>
    <x:col min="12" max="12" width="18" customWidth="1"/>
    <x:col min="13" max="13" width="28" customWidth="1"/>
    <x:col min="14" max="14" width="24" customWidth="1"/>
    <x:col min="15" max="15" width="18" customWidth="1"/>
    <x:col min="16" max="16" width="18" customWidth="1"/>
    <x:col min="17" max="17" width="18" customWidth="1"/>
    <x:col min="27" max="27" width="13" hidden="1" customWidth="1"/>
    <x:col min="28" max="28" width="13" hidden="1" customWidth="1"/>
    <x:col min="29" max="29" width="13" hidden="1" customWidth="1"/>
    <x:col min="30" max="30" width="13" hidden="1" customWidth="1"/>
    <x:col min="31" max="31" width="13" hidden="1" customWidth="1"/>
    <x:col min="32" max="32" width="13" hidden="1" customWidth="1"/>
    <x:col min="33" max="33" width="13" hidden="1" customWidth="1"/>
    <x:col min="34" max="34" width="13" hidden="1" customWidth="1"/>
    <x:col min="35" max="35" width="13" hidden="1" customWidth="1"/>
    <x:col min="36" max="36" width="13" hidden="1" customWidth="1"/>
    <x:col min="37" max="37" width="13" hidden="1" customWidth="1"/>
    <x:col min="38" max="38" width="13" hidden="1" customWidth="1"/>
    <x:col min="39" max="39" width="13" hidden="1" customWidth="1"/>
  </x:cols>
  <x:sheetData>
    <x:row r="1" ht="34" customHeight="1">
      <x:c r="A1" s="1" t="inlineStr">
        <x:is>
          <x:t xml:space="preserve">WS1 Campaign Gap Summary</x:t>
        </x:is>
      </x:c>
      <x:c r="AA1" t="inlineStr">
        <x:is>
          <x:t xml:space="preserve">Campaigns by category</x:t>
        </x:is>
      </x:c>
      <x:c r="AD1" t="inlineStr">
        <x:is>
          <x:t xml:space="preserve">Objective clarity</x:t>
        </x:is>
      </x:c>
      <x:c r="AG1" t="inlineStr">
        <x:is>
          <x:t xml:space="preserve">Segment clarity</x:t>
        </x:is>
      </x:c>
      <x:c r="AJ1" t="inlineStr">
        <x:is>
          <x:t xml:space="preserve">Measurement readiness</x:t>
        </x:is>
      </x:c>
    </x:row>
    <x:row r="2" ht="30" customHeight="1">
      <x:c r="A2" s="2" t="str">
        <x:v>Management view based on 26 observed WS1 promo codes. Campaign objectives, segment rules, owners and planned success targets still require source-team confirmation.</x:v>
      </x:c>
      <x:c r="AA2" t="inlineStr">
        <x:is>
          <x:t xml:space="preserve">Category</x:t>
        </x:is>
      </x:c>
      <x:c r="AB2" t="inlineStr">
        <x:is>
          <x:t xml:space="preserve">Campaigns</x:t>
        </x:is>
      </x:c>
      <x:c r="AD2" t="inlineStr">
        <x:is>
          <x:t xml:space="preserve">Category</x:t>
        </x:is>
      </x:c>
      <x:c r="AE2" t="inlineStr">
        <x:is>
          <x:t xml:space="preserve">Campaigns</x:t>
        </x:is>
      </x:c>
      <x:c r="AG2" t="inlineStr">
        <x:is>
          <x:t xml:space="preserve">Category</x:t>
        </x:is>
      </x:c>
      <x:c r="AH2" t="inlineStr">
        <x:is>
          <x:t xml:space="preserve">Campaigns</x:t>
        </x:is>
      </x:c>
      <x:c r="AJ2" t="inlineStr">
        <x:is>
          <x:t xml:space="preserve">Category</x:t>
        </x:is>
      </x:c>
      <x:c r="AK2" t="inlineStr">
        <x:is>
          <x:t xml:space="preserve">Campaigns</x:t>
        </x:is>
      </x:c>
      <x:c r="AM2" t="inlineStr">
        <x:is>
          <x:t xml:space="preserve">Priority rank</x:t>
        </x:is>
      </x:c>
    </x:row>
    <x:row r="3">
      <x:c r="A3" s="24" t="inlineStr">
        <x:is>
          <x:t xml:space="preserve">Brand</x:t>
        </x:is>
      </x:c>
      <x:c r="B3" s="10" t="inlineStr">
        <x:is>
          <x:t xml:space="preserve">WS1</x:t>
        </x:is>
      </x:c>
      <x:c r="C3" s="24" t="inlineStr">
        <x:is>
          <x:t xml:space="preserve">Campaign category</x:t>
        </x:is>
      </x:c>
      <x:c r="D3" s="10" t="inlineStr">
        <x:is>
          <x:t xml:space="preserve">All</x:t>
        </x:is>
      </x:c>
      <x:c r="E3" s="24" t="inlineStr">
        <x:is>
          <x:t xml:space="preserve">Campaign source</x:t>
        </x:is>
      </x:c>
      <x:c r="F3" s="10" t="inlineStr">
        <x:is>
          <x:t xml:space="preserve">All</x:t>
        </x:is>
      </x:c>
      <x:c r="G3" s="24" t="inlineStr">
        <x:is>
          <x:t xml:space="preserve">Campaign owner</x:t>
        </x:is>
      </x:c>
      <x:c r="H3" s="10" t="inlineStr">
        <x:is>
          <x:t xml:space="preserve">All</x:t>
        </x:is>
      </x:c>
      <x:c r="I3" s="24" t="inlineStr">
        <x:is>
          <x:t xml:space="preserve">Gap severity</x:t>
        </x:is>
      </x:c>
      <x:c r="J3" s="10" t="inlineStr">
        <x:is>
          <x:t xml:space="preserve">All</x:t>
        </x:is>
      </x:c>
      <x:c r="K3" s="24" t="inlineStr">
        <x:is>
          <x:t xml:space="preserve">Campaign status</x:t>
        </x:is>
      </x:c>
      <x:c r="L3" s="10" t="inlineStr">
        <x:is>
          <x:t xml:space="preserve">All</x:t>
        </x:is>
      </x:c>
      <x:c r="AA3" t="inlineStr">
        <x:is>
          <x:t xml:space="preserve">Acquisition</x:t>
        </x:is>
      </x:c>
      <x:c r="AB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Inventory'!$M$7:$M$306="Acquisition"))</x:f>
        <x:v>0</x:v>
      </x:c>
      <x:c r="AD3" t="inlineStr">
        <x:is>
          <x:t xml:space="preserve">Clear</x:t>
        </x:is>
      </x:c>
      <x:c r="AE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Inventory'!$P$7:$P$306="Clear"))</x:f>
        <x:v>0</x:v>
      </x:c>
      <x:c r="AG3" t="inlineStr">
        <x:is>
          <x:t xml:space="preserve">Clear</x:t>
        </x:is>
      </x:c>
      <x:c r="AH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Inventory'!$AG$7:$AG$306="Clear"))</x:f>
        <x:v>0</x:v>
      </x:c>
      <x:c r="AJ3" t="inlineStr">
        <x:is>
          <x:t xml:space="preserve">Ready</x:t>
        </x:is>
      </x:c>
      <x:c r="AK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Inventory'!$BF$7:$BF$306="Ready"))</x:f>
        <x:v>0</x:v>
      </x:c>
      <x:c r="AM3" t="n">
        <x:f>IF(AND('Campaign Inventory'!A7&lt;&gt;"",OR('Campaign Inventory'!BR7="Critical",'Campaign Inventory'!BR7="High",'Campaign Inventory'!N7="",'Campaign Inventory'!U7="",'Campaign Inventory'!AU7="Pending",'Campaign Inventory'!AU7="Not Available",'Campaign Inventory'!AU7="Unknown",'Campaign Inventory'!BP7="High",'Campaign Inventory'!F7=""),OR($B$3="All",'Campaign Inventory'!B7=$B$3),OR($D$3="All",'Campaign Inventory'!M7=$D$3),OR($F$3="All",'Campaign Inventory'!D7=$F$3),OR($H$3="All",'Campaign Inventory'!F7=$H$3),OR($J$3="All",'Campaign Inventory'!BR7=$J$3),OR($L$3="All",'Campaign Inventory'!H7=$L$3)),COUNT($AM$2:AM2)+1,"")</x:f>
        <x:v>1</x:v>
      </x:c>
    </x:row>
    <x:row r="4">
      <x:c r="AA4" t="inlineStr">
        <x:is>
          <x:t xml:space="preserve">Retention</x:t>
        </x:is>
      </x:c>
      <x:c r="AB4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Inventory'!$M$7:$M$306="Retention"))</x:f>
        <x:v>26</x:v>
      </x:c>
      <x:c r="AD4" t="inlineStr">
        <x:is>
          <x:t xml:space="preserve">Partly Clear</x:t>
        </x:is>
      </x:c>
      <x:c r="AE4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Inventory'!$P$7:$P$306="Partly Clear"))</x:f>
        <x:v>0</x:v>
      </x:c>
      <x:c r="AG4" t="inlineStr">
        <x:is>
          <x:t xml:space="preserve">Partly Clear</x:t>
        </x:is>
      </x:c>
      <x:c r="AH4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Inventory'!$AG$7:$AG$306="Partly Clear"))</x:f>
        <x:v>6</x:v>
      </x:c>
      <x:c r="AJ4" t="inlineStr">
        <x:is>
          <x:t xml:space="preserve">Partial</x:t>
        </x:is>
      </x:c>
      <x:c r="AK4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Inventory'!$BF$7:$BF$306="Partial"))</x:f>
        <x:v>26</x:v>
      </x:c>
      <x:c r="AM4" t="n">
        <x:f>IF(AND('Campaign Inventory'!A8&lt;&gt;"",OR('Campaign Inventory'!BR8="Critical",'Campaign Inventory'!BR8="High",'Campaign Inventory'!N8="",'Campaign Inventory'!U8="",'Campaign Inventory'!AU8="Pending",'Campaign Inventory'!AU8="Not Available",'Campaign Inventory'!AU8="Unknown",'Campaign Inventory'!BP8="High",'Campaign Inventory'!F8=""),OR($B$3="All",'Campaign Inventory'!B8=$B$3),OR($D$3="All",'Campaign Inventory'!M8=$D$3),OR($F$3="All",'Campaign Inventory'!D8=$F$3),OR($H$3="All",'Campaign Inventory'!F8=$H$3),OR($J$3="All",'Campaign Inventory'!BR8=$J$3),OR($L$3="All",'Campaign Inventory'!H8=$L$3)),COUNT($AM$2:AM3)+1,"")</x:f>
        <x:v>2</x:v>
      </x:c>
    </x:row>
    <x:row r="5" ht="28" customHeight="1">
      <x:c r="A5" s="25" t="inlineStr">
        <x:is>
          <x:t xml:space="preserve">Total campaigns</x:t>
        </x:is>
      </x:c>
      <x:c r="C5" s="25" t="inlineStr">
        <x:is>
          <x:t xml:space="preserve">Active campaigns</x:t>
        </x:is>
      </x:c>
      <x:c r="E5" s="25" t="inlineStr">
        <x:is>
          <x:t xml:space="preserve">Clear objectives</x:t>
        </x:is>
      </x:c>
      <x:c r="G5" s="25" t="inlineStr">
        <x:is>
          <x:t xml:space="preserve">Unclear objectives</x:t>
        </x:is>
      </x:c>
      <x:c r="I5" s="25" t="inlineStr">
        <x:is>
          <x:t xml:space="preserve">Clear segments</x:t>
        </x:is>
      </x:c>
      <x:c r="K5" s="25" t="inlineStr">
        <x:is>
          <x:t xml:space="preserve">Broad / unclear segments</x:t>
        </x:is>
      </x:c>
      <x:c r="AA5" t="inlineStr">
        <x:is>
          <x:t xml:space="preserve">Reactivation</x:t>
        </x:is>
      </x:c>
      <x:c r="AB5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Inventory'!$M$7:$M$306="Reactivation"))</x:f>
        <x:v>0</x:v>
      </x:c>
      <x:c r="AD5" t="inlineStr">
        <x:is>
          <x:t xml:space="preserve">Unclear</x:t>
        </x:is>
      </x:c>
      <x:c r="AE5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Inventory'!$P$7:$P$306="Unclear"))</x:f>
        <x:v>0</x:v>
      </x:c>
      <x:c r="AG5" t="inlineStr">
        <x:is>
          <x:t xml:space="preserve">Too Broad</x:t>
        </x:is>
      </x:c>
      <x:c r="AH5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Inventory'!$AG$7:$AG$306="Too Broad"))</x:f>
        <x:v>0</x:v>
      </x:c>
      <x:c r="AJ5" t="inlineStr">
        <x:is>
          <x:t xml:space="preserve">Not Ready</x:t>
        </x:is>
      </x:c>
      <x:c r="AK5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Inventory'!$BF$7:$BF$306="Not Ready"))</x:f>
        <x:v>0</x:v>
      </x:c>
      <x:c r="AM5" t="n">
        <x:f>IF(AND('Campaign Inventory'!A9&lt;&gt;"",OR('Campaign Inventory'!BR9="Critical",'Campaign Inventory'!BR9="High",'Campaign Inventory'!N9="",'Campaign Inventory'!U9="",'Campaign Inventory'!AU9="Pending",'Campaign Inventory'!AU9="Not Available",'Campaign Inventory'!AU9="Unknown",'Campaign Inventory'!BP9="High",'Campaign Inventory'!F9=""),OR($B$3="All",'Campaign Inventory'!B9=$B$3),OR($D$3="All",'Campaign Inventory'!M9=$D$3),OR($F$3="All",'Campaign Inventory'!D9=$F$3),OR($H$3="All",'Campaign Inventory'!F9=$H$3),OR($J$3="All",'Campaign Inventory'!BR9=$J$3),OR($L$3="All",'Campaign Inventory'!H9=$L$3)),COUNT($AM$2:AM4)+1,"")</x:f>
        <x:v>3</x:v>
      </x:c>
    </x:row>
    <x:row r="6" ht="38" customHeight="1">
      <x:c r="A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Inventory'!$A$7:$A$306&lt;&gt;""))</x:f>
        <x:v>26</x:v>
      </x:c>
      <x:c r="C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Inventory'!$H$7:$H$306="Live")+('Campaign Inventory'!$H$7:$H$306="Scheduled"))&gt;0))</x:f>
        <x:v>0</x:v>
      </x:c>
      <x:c r="E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Inventory'!$P$7:$P$306="Clear"))</x:f>
        <x:v>0</x:v>
      </x:c>
      <x:c r="G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Inventory'!$P$7:$P$306="Unclear")+('Campaign Inventory'!$P$7:$P$306="Not Provided"))&gt;0))</x:f>
        <x:v>26</x:v>
      </x:c>
      <x:c r="I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Inventory'!$AG$7:$AG$306="Clear"))</x:f>
        <x:v>0</x:v>
      </x:c>
      <x:c r="K6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Inventory'!$AG$7:$AG$306="Too Broad")+('Campaign Inventory'!$AG$7:$AG$306="Unclear")+('Campaign Inventory'!$AG$7:$AG$306="Not Provided"))&gt;0))</x:f>
        <x:v>20</x:v>
      </x:c>
      <x:c r="AA6" t="inlineStr">
        <x:is>
          <x:t xml:space="preserve">Cross-Product</x:t>
        </x:is>
      </x:c>
      <x:c r="AB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Inventory'!$M$7:$M$306="Cross-Product"))</x:f>
        <x:v>0</x:v>
      </x:c>
      <x:c r="AD6" t="inlineStr">
        <x:is>
          <x:t xml:space="preserve">Not Provided</x:t>
        </x:is>
      </x:c>
      <x:c r="AE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Inventory'!$P$7:$P$306="Not Provided"))</x:f>
        <x:v>26</x:v>
      </x:c>
      <x:c r="AG6" t="inlineStr">
        <x:is>
          <x:t xml:space="preserve">Unclear</x:t>
        </x:is>
      </x:c>
      <x:c r="AH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Inventory'!$AG$7:$AG$306="Unclear"))</x:f>
        <x:v>0</x:v>
      </x:c>
      <x:c r="AJ6" t="inlineStr">
        <x:is>
          <x:t xml:space="preserve">Blocked</x:t>
        </x:is>
      </x:c>
      <x:c r="AK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Inventory'!$BF$7:$BF$306="Blocked"))</x:f>
        <x:v>0</x:v>
      </x:c>
      <x:c r="AM6" t="n">
        <x:f>IF(AND('Campaign Inventory'!A10&lt;&gt;"",OR('Campaign Inventory'!BR10="Critical",'Campaign Inventory'!BR10="High",'Campaign Inventory'!N10="",'Campaign Inventory'!U10="",'Campaign Inventory'!AU10="Pending",'Campaign Inventory'!AU10="Not Available",'Campaign Inventory'!AU10="Unknown",'Campaign Inventory'!BP10="High",'Campaign Inventory'!F10=""),OR($B$3="All",'Campaign Inventory'!B10=$B$3),OR($D$3="All",'Campaign Inventory'!M10=$D$3),OR($F$3="All",'Campaign Inventory'!D10=$F$3),OR($H$3="All",'Campaign Inventory'!F10=$H$3),OR($J$3="All",'Campaign Inventory'!BR10=$J$3),OR($L$3="All",'Campaign Inventory'!H10=$L$3)),COUNT($AM$2:AM5)+1,"")</x:f>
        <x:v>4</x:v>
      </x:c>
    </x:row>
    <x:row r="7">
      <x:c r="AA7" t="inlineStr">
        <x:is>
          <x:t xml:space="preserve">VIP Progression</x:t>
        </x:is>
      </x:c>
      <x:c r="AB7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Inventory'!$M$7:$M$306="VIP Progression"))</x:f>
        <x:v>0</x:v>
      </x:c>
      <x:c r="AG7" t="inlineStr">
        <x:is>
          <x:t xml:space="preserve">Not Provided</x:t>
        </x:is>
      </x:c>
      <x:c r="AH7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Inventory'!$AG$7:$AG$306="Not Provided"))</x:f>
        <x:v>20</x:v>
      </x:c>
      <x:c r="AM7" t="n">
        <x:f>IF(AND('Campaign Inventory'!A11&lt;&gt;"",OR('Campaign Inventory'!BR11="Critical",'Campaign Inventory'!BR11="High",'Campaign Inventory'!N11="",'Campaign Inventory'!U11="",'Campaign Inventory'!AU11="Pending",'Campaign Inventory'!AU11="Not Available",'Campaign Inventory'!AU11="Unknown",'Campaign Inventory'!BP11="High",'Campaign Inventory'!F11=""),OR($B$3="All",'Campaign Inventory'!B11=$B$3),OR($D$3="All",'Campaign Inventory'!M11=$D$3),OR($F$3="All",'Campaign Inventory'!D11=$F$3),OR($H$3="All",'Campaign Inventory'!F11=$H$3),OR($J$3="All",'Campaign Inventory'!BR11=$J$3),OR($L$3="All",'Campaign Inventory'!H11=$L$3)),COUNT($AM$2:AM6)+1,"")</x:f>
        <x:v>5</x:v>
      </x:c>
    </x:row>
    <x:row r="8" ht="28" customHeight="1">
      <x:c r="A8" s="25" t="inlineStr">
        <x:is>
          <x:t xml:space="preserve">Complete result data</x:t>
        </x:is>
      </x:c>
      <x:c r="C8" s="25" t="inlineStr">
        <x:is>
          <x:t xml:space="preserve">Missing result data</x:t>
        </x:is>
      </x:c>
      <x:c r="E8" s="25" t="inlineStr">
        <x:is>
          <x:t xml:space="preserve">No clear owner</x:t>
        </x:is>
      </x:c>
      <x:c r="G8" s="25" t="inlineStr">
        <x:is>
          <x:t xml:space="preserve">Duplicate / overlap risk</x:t>
        </x:is>
      </x:c>
      <x:c r="I8" s="25" t="inlineStr">
        <x:is>
          <x:t xml:space="preserve">Ready for analysis</x:t>
        </x:is>
      </x:c>
      <x:c r="K8" s="25" t="inlineStr">
        <x:is>
          <x:t xml:space="preserve">Critical gaps</x:t>
        </x:is>
      </x:c>
      <x:c r="AA8" t="inlineStr">
        <x:is>
          <x:t xml:space="preserve">Seasonal</x:t>
        </x:is>
      </x:c>
      <x:c r="AB8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Inventory'!$M$7:$M$306="Seasonal"))</x:f>
        <x:v>0</x:v>
      </x:c>
      <x:c r="AM8" t="n">
        <x:f>IF(AND('Campaign Inventory'!A12&lt;&gt;"",OR('Campaign Inventory'!BR12="Critical",'Campaign Inventory'!BR12="High",'Campaign Inventory'!N12="",'Campaign Inventory'!U12="",'Campaign Inventory'!AU12="Pending",'Campaign Inventory'!AU12="Not Available",'Campaign Inventory'!AU12="Unknown",'Campaign Inventory'!BP12="High",'Campaign Inventory'!F12=""),OR($B$3="All",'Campaign Inventory'!B12=$B$3),OR($D$3="All",'Campaign Inventory'!M12=$D$3),OR($F$3="All",'Campaign Inventory'!D12=$F$3),OR($H$3="All",'Campaign Inventory'!F12=$H$3),OR($J$3="All",'Campaign Inventory'!BR12=$J$3),OR($L$3="All",'Campaign Inventory'!H12=$L$3)),COUNT($AM$2:AM7)+1,"")</x:f>
        <x:v>6</x:v>
      </x:c>
    </x:row>
    <x:row r="9" ht="38" customHeight="1">
      <x:c r="A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Inventory'!$AU$7:$AU$306="Available"))</x:f>
        <x:v>0</x:v>
      </x:c>
      <x:c r="C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Inventory'!$AU$7:$AU$306="Not Available")+('Campaign Inventory'!$AU$7:$AU$306="Pending")+('Campaign Inventory'!$AU$7:$AU$306="Unknown"))&gt;0))</x:f>
        <x:v>0</x:v>
      </x:c>
      <x:c r="E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Inventory'!$F$7:$F$306=""))</x:f>
        <x:v>26</x:v>
      </x:c>
      <x:c r="G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Inventory'!$BP$7:$BP$306="High")+('Campaign Inventory'!$BP$7:$BP$306="Medium"))&gt;0))</x:f>
        <x:v>0</x:v>
      </x:c>
      <x:c r="I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Inventory'!$BJ$7:$BJ$306="Ready for Analysis"))</x:f>
        <x:v>0</x:v>
      </x:c>
      <x:c r="K9" s="26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Inventory'!$BR$7:$BR$306="Critical"))</x:f>
        <x:v>0</x:v>
      </x:c>
      <x:c r="AA9" t="inlineStr">
        <x:is>
          <x:t xml:space="preserve">Payday</x:t>
        </x:is>
      </x:c>
      <x:c r="AB9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Inventory'!$M$7:$M$306="Payday"))</x:f>
        <x:v>0</x:v>
      </x:c>
      <x:c r="AM9" t="n">
        <x:f>IF(AND('Campaign Inventory'!A13&lt;&gt;"",OR('Campaign Inventory'!BR13="Critical",'Campaign Inventory'!BR13="High",'Campaign Inventory'!N13="",'Campaign Inventory'!U13="",'Campaign Inventory'!AU13="Pending",'Campaign Inventory'!AU13="Not Available",'Campaign Inventory'!AU13="Unknown",'Campaign Inventory'!BP13="High",'Campaign Inventory'!F13=""),OR($B$3="All",'Campaign Inventory'!B13=$B$3),OR($D$3="All",'Campaign Inventory'!M13=$D$3),OR($F$3="All",'Campaign Inventory'!D13=$F$3),OR($H$3="All",'Campaign Inventory'!F13=$H$3),OR($J$3="All",'Campaign Inventory'!BR13=$J$3),OR($L$3="All",'Campaign Inventory'!H13=$L$3)),COUNT($AM$2:AM8)+1,"")</x:f>
        <x:v>7</x:v>
      </x:c>
    </x:row>
    <x:row r="10">
      <x:c r="AA10" t="inlineStr">
        <x:is>
          <x:t xml:space="preserve">Product Launch</x:t>
        </x:is>
      </x:c>
      <x:c r="AB10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Inventory'!$M$7:$M$306="Product Launch"))</x:f>
        <x:v>0</x:v>
      </x:c>
      <x:c r="AM10" t="n">
        <x:f>IF(AND('Campaign Inventory'!A14&lt;&gt;"",OR('Campaign Inventory'!BR14="Critical",'Campaign Inventory'!BR14="High",'Campaign Inventory'!N14="",'Campaign Inventory'!U14="",'Campaign Inventory'!AU14="Pending",'Campaign Inventory'!AU14="Not Available",'Campaign Inventory'!AU14="Unknown",'Campaign Inventory'!BP14="High",'Campaign Inventory'!F14=""),OR($B$3="All",'Campaign Inventory'!B14=$B$3),OR($D$3="All",'Campaign Inventory'!M14=$D$3),OR($F$3="All",'Campaign Inventory'!D14=$F$3),OR($H$3="All",'Campaign Inventory'!F14=$H$3),OR($J$3="All",'Campaign Inventory'!BR14=$J$3),OR($L$3="All",'Campaign Inventory'!H14=$L$3)),COUNT($AM$2:AM9)+1,"")</x:f>
        <x:v>8</x:v>
      </x:c>
    </x:row>
    <x:row r="11" ht="22" customHeight="1">
      <x:c r="A11" s="4" t="inlineStr">
        <x:is>
          <x:t xml:space="preserve">GAP SUMMARY</x:t>
        </x:is>
      </x:c>
      <x:c r="H11" s="4" t="inlineStr">
        <x:is>
          <x:t xml:space="preserve">PRIORITY CAMPAIGNS</x:t>
        </x:is>
      </x:c>
      <x:c r="AA11" t="inlineStr">
        <x:is>
          <x:t xml:space="preserve">Standard Recurring Bonus</x:t>
        </x:is>
      </x:c>
      <x:c r="AB11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Inventory'!$M$7:$M$306="Standard Recurring Bonus"))</x:f>
        <x:v>0</x:v>
      </x:c>
      <x:c r="AM11" t="n">
        <x:f>IF(AND('Campaign Inventory'!A15&lt;&gt;"",OR('Campaign Inventory'!BR15="Critical",'Campaign Inventory'!BR15="High",'Campaign Inventory'!N15="",'Campaign Inventory'!U15="",'Campaign Inventory'!AU15="Pending",'Campaign Inventory'!AU15="Not Available",'Campaign Inventory'!AU15="Unknown",'Campaign Inventory'!BP15="High",'Campaign Inventory'!F15=""),OR($B$3="All",'Campaign Inventory'!B15=$B$3),OR($D$3="All",'Campaign Inventory'!M15=$D$3),OR($F$3="All",'Campaign Inventory'!D15=$F$3),OR($H$3="All",'Campaign Inventory'!F15=$H$3),OR($J$3="All",'Campaign Inventory'!BR15=$J$3),OR($L$3="All",'Campaign Inventory'!H15=$L$3)),COUNT($AM$2:AM10)+1,"")</x:f>
        <x:v>9</x:v>
      </x:c>
    </x:row>
    <x:row r="12" ht="42" customHeight="1">
      <x:c r="A12" s="16" t="inlineStr">
        <x:is>
          <x:t xml:space="preserve">Gap category</x:t>
        </x:is>
      </x:c>
      <x:c r="B12" s="16" t="inlineStr">
        <x:is>
          <x:t xml:space="preserve">Number of campaigns</x:t>
        </x:is>
      </x:c>
      <x:c r="C12" s="16" t="inlineStr">
        <x:is>
          <x:t xml:space="preserve">Percentage of campaigns</x:t>
        </x:is>
      </x:c>
      <x:c r="D12" s="16" t="inlineStr">
        <x:is>
          <x:t xml:space="preserve">Example campaign</x:t>
        </x:is>
      </x:c>
      <x:c r="E12" s="16" t="inlineStr">
        <x:is>
          <x:t xml:space="preserve">Business impact</x:t>
        </x:is>
      </x:c>
      <x:c r="F12" s="16" t="inlineStr">
        <x:is>
          <x:t xml:space="preserve">Recommended response</x:t>
        </x:is>
      </x:c>
      <x:c r="G12" s="16" t="n"/>
      <x:c r="H12" s="16" t="inlineStr">
        <x:is>
          <x:t xml:space="preserve">Campaign ID</x:t>
        </x:is>
      </x:c>
      <x:c r="I12" s="16" t="inlineStr">
        <x:is>
          <x:t xml:space="preserve">Campaign name</x:t>
        </x:is>
      </x:c>
      <x:c r="J12" s="16" t="inlineStr">
        <x:is>
          <x:t xml:space="preserve">Campaign category</x:t>
        </x:is>
      </x:c>
      <x:c r="K12" s="16" t="inlineStr">
        <x:is>
          <x:t xml:space="preserve">Main gap</x:t>
        </x:is>
      </x:c>
      <x:c r="L12" s="16" t="inlineStr">
        <x:is>
          <x:t xml:space="preserve">Severity</x:t>
        </x:is>
      </x:c>
      <x:c r="M12" s="16" t="inlineStr">
        <x:is>
          <x:t xml:space="preserve">Business impact</x:t>
        </x:is>
      </x:c>
      <x:c r="N12" s="16" t="inlineStr">
        <x:is>
          <x:t xml:space="preserve">Required clarification</x:t>
        </x:is>
      </x:c>
      <x:c r="O12" s="16" t="inlineStr">
        <x:is>
          <x:t xml:space="preserve">PIC</x:t>
        </x:is>
      </x:c>
      <x:c r="P12" s="16" t="inlineStr">
        <x:is>
          <x:t xml:space="preserve">Due date</x:t>
        </x:is>
      </x:c>
      <x:c r="Q12" s="16" t="inlineStr">
        <x:is>
          <x:t xml:space="preserve">Status</x:t>
        </x:is>
      </x:c>
      <x:c r="AA12" t="inlineStr">
        <x:is>
          <x:t xml:space="preserve">General Promotion</x:t>
        </x:is>
      </x:c>
      <x:c r="AB1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Inventory'!$M$7:$M$306="General Promotion"))</x:f>
        <x:v>0</x:v>
      </x:c>
      <x:c r="AM12" t="n">
        <x:f>IF(AND('Campaign Inventory'!A16&lt;&gt;"",OR('Campaign Inventory'!BR16="Critical",'Campaign Inventory'!BR16="High",'Campaign Inventory'!N16="",'Campaign Inventory'!U16="",'Campaign Inventory'!AU16="Pending",'Campaign Inventory'!AU16="Not Available",'Campaign Inventory'!AU16="Unknown",'Campaign Inventory'!BP16="High",'Campaign Inventory'!F16=""),OR($B$3="All",'Campaign Inventory'!B16=$B$3),OR($D$3="All",'Campaign Inventory'!M16=$D$3),OR($F$3="All",'Campaign Inventory'!D16=$F$3),OR($H$3="All",'Campaign Inventory'!F16=$H$3),OR($J$3="All",'Campaign Inventory'!BR16=$J$3),OR($L$3="All",'Campaign Inventory'!H16=$L$3)),COUNT($AM$2:AM11)+1,"")</x:f>
        <x:v>10</x:v>
      </x:c>
    </x:row>
    <x:row r="13">
      <x:c r="A13" s="17" t="inlineStr">
        <x:is>
          <x:t xml:space="preserve">Objective unclear</x:t>
        </x:is>
      </x:c>
      <x:c r="B13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Inventory'!$P$7:$P$306="Unclear")+('Campaign Inventory'!$P$7:$P$306="Not Provided"))&gt;0))</x:f>
        <x:v>26</x:v>
      </x:c>
      <x:c r="C13" s="23" t="n">
        <x:f>IFERROR(B13/$A$6,0)</x:f>
        <x:v>1</x:v>
      </x:c>
      <x:c r="D13" s="17" t="str">
        <x:v>VM Bns - Dep600 Get200 - 5x TO</x:v>
      </x:c>
      <x:c r="E13" s="17" t="inlineStr">
        <x:is>
          <x:t xml:space="preserve">Campaign purpose cannot be evaluated</x:t>
        </x:is>
      </x:c>
      <x:c r="F13" s="17" t="inlineStr">
        <x:is>
          <x:t xml:space="preserve">Confirm the original objective</x:t>
        </x:is>
      </x:c>
      <x:c r="H13" s="22" t="str">
        <x:f>IFERROR(INDEX('Campaign Inventory'!$A$7:$A$306,MATCH(ROW()-12,$AM$3:$AM$302,0)),"")</x:f>
        <x:v>WS1-VM-001</x:v>
      </x:c>
      <x:c r="I13" s="22" t="str">
        <x:f>IFERROR(INDEX('Campaign Inventory'!$C$7:$C$306,MATCH(ROW()-12,$AM$3:$AM$302,0)),"")</x:f>
        <x:v>VM Bns - Dep1000 Get1000 - 1x TO</x:v>
      </x:c>
      <x:c r="J13" s="22" t="str">
        <x:f>IFERROR(INDEX('Campaign Inventory'!$M$7:$M$306,MATCH(ROW()-12,$AM$3:$AM$302,0)),"")</x:f>
        <x:v>Retention</x:v>
      </x:c>
      <x:c r="K13" s="22" t="str">
        <x:f>IFERROR(INDEX('Campaign Inventory'!$BQ$7:$BQ$306,MATCH(ROW()-12,$AM$3:$AM$302,0)),"")</x:f>
        <x:v>Campaign owner unclear</x:v>
      </x:c>
      <x:c r="L13" s="22" t="str">
        <x:f>IFERROR(INDEX('Campaign Inventory'!$BR$7:$BR$306,MATCH(ROW()-12,$AM$3:$AM$302,0)),"")</x:f>
        <x:v>High</x:v>
      </x:c>
      <x:c r="M13" s="22" t="str">
        <x:f>IFERROR(INDEX('Campaign Inventory'!$T$7:$T$306,MATCH(ROW()-12,$AM$3:$AM$302,0)),"")</x:f>
      </x:c>
      <x:c r="N13" s="22" t="str">
        <x:f>IFERROR(INDEX('Campaign Inventory'!$BS$7:$BS$306,MATCH(ROW()-12,$AM$3:$AM$302,0)),"")</x:f>
        <x:v>Confirm Campaign Owner</x:v>
      </x:c>
      <x:c r="O13" s="22" t="str">
        <x:f>IFERROR(INDEX('Campaign Inventory'!$G$7:$G$306,MATCH(ROW()-12,$AM$3:$AM$302,0)),"")</x:f>
        <x:v>Promotion</x:v>
      </x:c>
      <x:c r="P13" s="27" t="inlineStr">
        <x:is>
          <x:t xml:space="preserve"/>
        </x:is>
      </x:c>
      <x:c r="Q13" s="22" t="str">
        <x:f>IFERROR(INDEX('Campaign Inventory'!$BU$7:$BU$306,MATCH(ROW()-12,$AM$3:$AM$302,0)),"")</x:f>
        <x:v>Not Started</x:v>
      </x:c>
      <x:c r="AA13" t="inlineStr">
        <x:is>
          <x:t xml:space="preserve">Other</x:t>
        </x:is>
      </x:c>
      <x:c r="AB13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Inventory'!$M$7:$M$306="Other"))</x:f>
        <x:v>0</x:v>
      </x:c>
      <x:c r="AM13" t="n">
        <x:f>IF(AND('Campaign Inventory'!A17&lt;&gt;"",OR('Campaign Inventory'!BR17="Critical",'Campaign Inventory'!BR17="High",'Campaign Inventory'!N17="",'Campaign Inventory'!U17="",'Campaign Inventory'!AU17="Pending",'Campaign Inventory'!AU17="Not Available",'Campaign Inventory'!AU17="Unknown",'Campaign Inventory'!BP17="High",'Campaign Inventory'!F17=""),OR($B$3="All",'Campaign Inventory'!B17=$B$3),OR($D$3="All",'Campaign Inventory'!M17=$D$3),OR($F$3="All",'Campaign Inventory'!D17=$F$3),OR($H$3="All",'Campaign Inventory'!F17=$H$3),OR($J$3="All",'Campaign Inventory'!BR17=$J$3),OR($L$3="All",'Campaign Inventory'!H17=$L$3)),COUNT($AM$2:AM12)+1,"")</x:f>
        <x:v>11</x:v>
      </x:c>
    </x:row>
    <x:row r="14">
      <x:c r="A14" s="17" t="inlineStr">
        <x:is>
          <x:t xml:space="preserve">Objective too general</x:t>
        </x:is>
      </x:c>
      <x:c r="B14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Inventory'!$BK$7:$BK$306="Objective too general"))</x:f>
        <x:v>0</x:v>
      </x:c>
      <x:c r="C14" s="23" t="n">
        <x:f>IFERROR(B14/$A$6,0)</x:f>
        <x:v>0</x:v>
      </x:c>
      <x:c r="D14" s="17"/>
      <x:c r="E14" s="17" t="inlineStr">
        <x:is>
          <x:t xml:space="preserve">Campaign may optimise the wrong behaviour</x:t>
        </x:is>
      </x:c>
      <x:c r="F14" s="17" t="inlineStr">
        <x:is>
          <x:t xml:space="preserve">Rewrite as a specific player outcome</x:t>
        </x:is>
      </x:c>
      <x:c r="H14" s="22" t="str">
        <x:f>IFERROR(INDEX('Campaign Inventory'!$A$7:$A$306,MATCH(ROW()-12,$AM$3:$AM$302,0)),"")</x:f>
        <x:v>WS1-VM-002</x:v>
      </x:c>
      <x:c r="I14" s="22" t="str">
        <x:f>IFERROR(INDEX('Campaign Inventory'!$C$7:$C$306,MATCH(ROW()-12,$AM$3:$AM$302,0)),"")</x:f>
        <x:v>VM Bns - Dep1000 Get1000 - 2x TO</x:v>
      </x:c>
      <x:c r="J14" s="22" t="str">
        <x:f>IFERROR(INDEX('Campaign Inventory'!$M$7:$M$306,MATCH(ROW()-12,$AM$3:$AM$302,0)),"")</x:f>
        <x:v>Retention</x:v>
      </x:c>
      <x:c r="K14" s="22" t="str">
        <x:f>IFERROR(INDEX('Campaign Inventory'!$BQ$7:$BQ$306,MATCH(ROW()-12,$AM$3:$AM$302,0)),"")</x:f>
        <x:v>Campaign owner unclear</x:v>
      </x:c>
      <x:c r="L14" s="22" t="str">
        <x:f>IFERROR(INDEX('Campaign Inventory'!$BR$7:$BR$306,MATCH(ROW()-12,$AM$3:$AM$302,0)),"")</x:f>
        <x:v>High</x:v>
      </x:c>
      <x:c r="M14" s="22" t="str">
        <x:f>IFERROR(INDEX('Campaign Inventory'!$T$7:$T$306,MATCH(ROW()-12,$AM$3:$AM$302,0)),"")</x:f>
      </x:c>
      <x:c r="N14" s="22" t="str">
        <x:f>IFERROR(INDEX('Campaign Inventory'!$BS$7:$BS$306,MATCH(ROW()-12,$AM$3:$AM$302,0)),"")</x:f>
        <x:v>Confirm Campaign Owner</x:v>
      </x:c>
      <x:c r="O14" s="22" t="str">
        <x:f>IFERROR(INDEX('Campaign Inventory'!$G$7:$G$306,MATCH(ROW()-12,$AM$3:$AM$302,0)),"")</x:f>
        <x:v>Promotion</x:v>
      </x:c>
      <x:c r="P14" s="27" t="inlineStr">
        <x:is>
          <x:t xml:space="preserve"/>
        </x:is>
      </x:c>
      <x:c r="Q14" s="22" t="str">
        <x:f>IFERROR(INDEX('Campaign Inventory'!$BU$7:$BU$306,MATCH(ROW()-12,$AM$3:$AM$302,0)),"")</x:f>
        <x:v>Not Started</x:v>
      </x:c>
      <x:c r="AM14" t="n">
        <x:f>IF(AND('Campaign Inventory'!A18&lt;&gt;"",OR('Campaign Inventory'!BR18="Critical",'Campaign Inventory'!BR18="High",'Campaign Inventory'!N18="",'Campaign Inventory'!U18="",'Campaign Inventory'!AU18="Pending",'Campaign Inventory'!AU18="Not Available",'Campaign Inventory'!AU18="Unknown",'Campaign Inventory'!BP18="High",'Campaign Inventory'!F18=""),OR($B$3="All",'Campaign Inventory'!B18=$B$3),OR($D$3="All",'Campaign Inventory'!M18=$D$3),OR($F$3="All",'Campaign Inventory'!D18=$F$3),OR($H$3="All",'Campaign Inventory'!F18=$H$3),OR($J$3="All",'Campaign Inventory'!BR18=$J$3),OR($L$3="All",'Campaign Inventory'!H18=$L$3)),COUNT($AM$2:AM13)+1,"")</x:f>
        <x:v>12</x:v>
      </x:c>
    </x:row>
    <x:row r="15">
      <x:c r="A15" s="17" t="inlineStr">
        <x:is>
          <x:t xml:space="preserve">Segment too broad</x:t>
        </x:is>
      </x:c>
      <x:c r="B15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Inventory'!$AG$7:$AG$306="Too Broad"))</x:f>
        <x:v>0</x:v>
      </x:c>
      <x:c r="C15" s="23" t="n">
        <x:f>IFERROR(B15/$A$6,0)</x:f>
        <x:v>0</x:v>
      </x:c>
      <x:c r="D15" s="17"/>
      <x:c r="E15" s="17" t="inlineStr">
        <x:is>
          <x:t xml:space="preserve">Cost and player relevance may be weak</x:t>
        </x:is>
      </x:c>
      <x:c r="F15" s="17" t="inlineStr">
        <x:is>
          <x:t xml:space="preserve">Define a narrower testable segment</x:t>
        </x:is>
      </x:c>
      <x:c r="H15" s="22" t="str">
        <x:f>IFERROR(INDEX('Campaign Inventory'!$A$7:$A$306,MATCH(ROW()-12,$AM$3:$AM$302,0)),"")</x:f>
        <x:v>WS1-VM-003</x:v>
      </x:c>
      <x:c r="I15" s="22" t="str">
        <x:f>IFERROR(INDEX('Campaign Inventory'!$C$7:$C$306,MATCH(ROW()-12,$AM$3:$AM$302,0)),"")</x:f>
        <x:v>VM Bns - Dep1000 Get500 - 1x TO</x:v>
      </x:c>
      <x:c r="J15" s="22" t="str">
        <x:f>IFERROR(INDEX('Campaign Inventory'!$M$7:$M$306,MATCH(ROW()-12,$AM$3:$AM$302,0)),"")</x:f>
        <x:v>Retention</x:v>
      </x:c>
      <x:c r="K15" s="22" t="str">
        <x:f>IFERROR(INDEX('Campaign Inventory'!$BQ$7:$BQ$306,MATCH(ROW()-12,$AM$3:$AM$302,0)),"")</x:f>
        <x:v>Objective unclear</x:v>
      </x:c>
      <x:c r="L15" s="22" t="str">
        <x:f>IFERROR(INDEX('Campaign Inventory'!$BR$7:$BR$306,MATCH(ROW()-12,$AM$3:$AM$302,0)),"")</x:f>
        <x:v>High</x:v>
      </x:c>
      <x:c r="M15" s="22" t="str">
        <x:f>IFERROR(INDEX('Campaign Inventory'!$T$7:$T$306,MATCH(ROW()-12,$AM$3:$AM$302,0)),"")</x:f>
      </x:c>
      <x:c r="N15" s="22" t="str">
        <x:f>IFERROR(INDEX('Campaign Inventory'!$BS$7:$BS$306,MATCH(ROW()-12,$AM$3:$AM$302,0)),"")</x:f>
        <x:v>Confirm Objective</x:v>
      </x:c>
      <x:c r="O15" s="22" t="str">
        <x:f>IFERROR(INDEX('Campaign Inventory'!$G$7:$G$306,MATCH(ROW()-12,$AM$3:$AM$302,0)),"")</x:f>
        <x:v>Promotion</x:v>
      </x:c>
      <x:c r="P15" s="27" t="inlineStr">
        <x:is>
          <x:t xml:space="preserve"/>
        </x:is>
      </x:c>
      <x:c r="Q15" s="22" t="str">
        <x:f>IFERROR(INDEX('Campaign Inventory'!$BU$7:$BU$306,MATCH(ROW()-12,$AM$3:$AM$302,0)),"")</x:f>
        <x:v>Not Started</x:v>
      </x:c>
      <x:c r="AM15" t="n">
        <x:f>IF(AND('Campaign Inventory'!A19&lt;&gt;"",OR('Campaign Inventory'!BR19="Critical",'Campaign Inventory'!BR19="High",'Campaign Inventory'!N19="",'Campaign Inventory'!U19="",'Campaign Inventory'!AU19="Pending",'Campaign Inventory'!AU19="Not Available",'Campaign Inventory'!AU19="Unknown",'Campaign Inventory'!BP19="High",'Campaign Inventory'!F19=""),OR($B$3="All",'Campaign Inventory'!B19=$B$3),OR($D$3="All",'Campaign Inventory'!M19=$D$3),OR($F$3="All",'Campaign Inventory'!D19=$F$3),OR($H$3="All",'Campaign Inventory'!F19=$H$3),OR($J$3="All",'Campaign Inventory'!BR19=$J$3),OR($L$3="All",'Campaign Inventory'!H19=$L$3)),COUNT($AM$2:AM14)+1,"")</x:f>
        <x:v>13</x:v>
      </x:c>
    </x:row>
    <x:row r="16">
      <x:c r="A16" s="17" t="inlineStr">
        <x:is>
          <x:t xml:space="preserve">Segment criteria missing</x:t>
        </x:is>
      </x:c>
      <x:c r="B16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Inventory'!$BQ$7:$BQ$306="Segment criteria missing"))</x:f>
        <x:v>5</x:v>
      </x:c>
      <x:c r="C16" s="23" t="n">
        <x:f>IFERROR(B16/$A$6,0)</x:f>
        <x:v>0.19230769230769232</x:v>
      </x:c>
      <x:c r="D16" s="17" t="str">
        <x:v>VM Bns - Dep700 Get300 - 2x TO</x:v>
      </x:c>
      <x:c r="E16" s="17" t="inlineStr">
        <x:is>
          <x:t xml:space="preserve">Targeting cannot be reproduced</x:t>
        </x:is>
      </x:c>
      <x:c r="F16" s="17" t="inlineStr">
        <x:is>
          <x:t xml:space="preserve">Document actual selection rules</x:t>
        </x:is>
      </x:c>
      <x:c r="H16" s="22" t="str">
        <x:f>IFERROR(INDEX('Campaign Inventory'!$A$7:$A$306,MATCH(ROW()-12,$AM$3:$AM$302,0)),"")</x:f>
        <x:v>WS1-VM-004</x:v>
      </x:c>
      <x:c r="I16" s="22" t="str">
        <x:f>IFERROR(INDEX('Campaign Inventory'!$C$7:$C$306,MATCH(ROW()-12,$AM$3:$AM$302,0)),"")</x:f>
        <x:v>VM Bns - Dep1000 Get500 - 2x TO</x:v>
      </x:c>
      <x:c r="J16" s="22" t="str">
        <x:f>IFERROR(INDEX('Campaign Inventory'!$M$7:$M$306,MATCH(ROW()-12,$AM$3:$AM$302,0)),"")</x:f>
        <x:v>Retention</x:v>
      </x:c>
      <x:c r="K16" s="22" t="str">
        <x:f>IFERROR(INDEX('Campaign Inventory'!$BQ$7:$BQ$306,MATCH(ROW()-12,$AM$3:$AM$302,0)),"")</x:f>
        <x:v>Segment criteria missing</x:v>
      </x:c>
      <x:c r="L16" s="22" t="str">
        <x:f>IFERROR(INDEX('Campaign Inventory'!$BR$7:$BR$306,MATCH(ROW()-12,$AM$3:$AM$302,0)),"")</x:f>
        <x:v>High</x:v>
      </x:c>
      <x:c r="M16" s="22" t="str">
        <x:f>IFERROR(INDEX('Campaign Inventory'!$T$7:$T$306,MATCH(ROW()-12,$AM$3:$AM$302,0)),"")</x:f>
      </x:c>
      <x:c r="N16" s="22" t="str">
        <x:f>IFERROR(INDEX('Campaign Inventory'!$BS$7:$BS$306,MATCH(ROW()-12,$AM$3:$AM$302,0)),"")</x:f>
        <x:v>Define Segment Criteria</x:v>
      </x:c>
      <x:c r="O16" s="22" t="str">
        <x:f>IFERROR(INDEX('Campaign Inventory'!$G$7:$G$306,MATCH(ROW()-12,$AM$3:$AM$302,0)),"")</x:f>
        <x:v>Promotion</x:v>
      </x:c>
      <x:c r="P16" s="27" t="inlineStr">
        <x:is>
          <x:t xml:space="preserve"/>
        </x:is>
      </x:c>
      <x:c r="Q16" s="22" t="str">
        <x:f>IFERROR(INDEX('Campaign Inventory'!$BU$7:$BU$306,MATCH(ROW()-12,$AM$3:$AM$302,0)),"")</x:f>
        <x:v>Not Started</x:v>
      </x:c>
      <x:c r="AM16" t="n">
        <x:f>IF(AND('Campaign Inventory'!A20&lt;&gt;"",OR('Campaign Inventory'!BR20="Critical",'Campaign Inventory'!BR20="High",'Campaign Inventory'!N20="",'Campaign Inventory'!U20="",'Campaign Inventory'!AU20="Pending",'Campaign Inventory'!AU20="Not Available",'Campaign Inventory'!AU20="Unknown",'Campaign Inventory'!BP20="High",'Campaign Inventory'!F20=""),OR($B$3="All",'Campaign Inventory'!B20=$B$3),OR($D$3="All",'Campaign Inventory'!M20=$D$3),OR($F$3="All",'Campaign Inventory'!D20=$F$3),OR($H$3="All",'Campaign Inventory'!F20=$H$3),OR($J$3="All",'Campaign Inventory'!BR20=$J$3),OR($L$3="All",'Campaign Inventory'!H20=$L$3)),COUNT($AM$2:AM15)+1,"")</x:f>
        <x:v>14</x:v>
      </x:c>
    </x:row>
    <x:row r="17">
      <x:c r="A17" s="17" t="inlineStr">
        <x:is>
          <x:t xml:space="preserve">Success measure missing</x:t>
        </x:is>
      </x:c>
      <x:c r="B17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Inventory'!$BQ$7:$BQ$306="Success measure missing"))</x:f>
        <x:v>2</x:v>
      </x:c>
      <x:c r="C17" s="23" t="n">
        <x:f>IFERROR(B17/$A$6,0)</x:f>
        <x:v>0.07692307692307693</x:v>
      </x:c>
      <x:c r="D17" s="17" t="str">
        <x:v>VM Bns - Free Credit - 5x TO</x:v>
      </x:c>
      <x:c r="E17" s="17" t="inlineStr">
        <x:is>
          <x:t xml:space="preserve">No agreed definition of success</x:t>
        </x:is>
      </x:c>
      <x:c r="F17" s="17" t="inlineStr">
        <x:is>
          <x:t xml:space="preserve">Agree metric and target before launch</x:t>
        </x:is>
      </x:c>
      <x:c r="H17" s="22" t="str">
        <x:f>IFERROR(INDEX('Campaign Inventory'!$A$7:$A$306,MATCH(ROW()-12,$AM$3:$AM$302,0)),"")</x:f>
        <x:v>WS1-VM-005</x:v>
      </x:c>
      <x:c r="I17" s="22" t="str">
        <x:f>IFERROR(INDEX('Campaign Inventory'!$C$7:$C$306,MATCH(ROW()-12,$AM$3:$AM$302,0)),"")</x:f>
        <x:v>VM Bns - Dep1000 Get500 - 5x TO</x:v>
      </x:c>
      <x:c r="J17" s="22" t="str">
        <x:f>IFERROR(INDEX('Campaign Inventory'!$M$7:$M$306,MATCH(ROW()-12,$AM$3:$AM$302,0)),"")</x:f>
        <x:v>Retention</x:v>
      </x:c>
      <x:c r="K17" s="22" t="str">
        <x:f>IFERROR(INDEX('Campaign Inventory'!$BQ$7:$BQ$306,MATCH(ROW()-12,$AM$3:$AM$302,0)),"")</x:f>
        <x:v>Objective unclear</x:v>
      </x:c>
      <x:c r="L17" s="22" t="str">
        <x:f>IFERROR(INDEX('Campaign Inventory'!$BR$7:$BR$306,MATCH(ROW()-12,$AM$3:$AM$302,0)),"")</x:f>
        <x:v>High</x:v>
      </x:c>
      <x:c r="M17" s="22" t="str">
        <x:f>IFERROR(INDEX('Campaign Inventory'!$T$7:$T$306,MATCH(ROW()-12,$AM$3:$AM$302,0)),"")</x:f>
      </x:c>
      <x:c r="N17" s="22" t="str">
        <x:f>IFERROR(INDEX('Campaign Inventory'!$BS$7:$BS$306,MATCH(ROW()-12,$AM$3:$AM$302,0)),"")</x:f>
        <x:v>Confirm Objective</x:v>
      </x:c>
      <x:c r="O17" s="22" t="str">
        <x:f>IFERROR(INDEX('Campaign Inventory'!$G$7:$G$306,MATCH(ROW()-12,$AM$3:$AM$302,0)),"")</x:f>
        <x:v>Promotion</x:v>
      </x:c>
      <x:c r="P17" s="27" t="inlineStr">
        <x:is>
          <x:t xml:space="preserve"/>
        </x:is>
      </x:c>
      <x:c r="Q17" s="22" t="str">
        <x:f>IFERROR(INDEX('Campaign Inventory'!$BU$7:$BU$306,MATCH(ROW()-12,$AM$3:$AM$302,0)),"")</x:f>
        <x:v>Not Started</x:v>
      </x:c>
      <x:c r="AM17" t="n">
        <x:f>IF(AND('Campaign Inventory'!A21&lt;&gt;"",OR('Campaign Inventory'!BR21="Critical",'Campaign Inventory'!BR21="High",'Campaign Inventory'!N21="",'Campaign Inventory'!U21="",'Campaign Inventory'!AU21="Pending",'Campaign Inventory'!AU21="Not Available",'Campaign Inventory'!AU21="Unknown",'Campaign Inventory'!BP21="High",'Campaign Inventory'!F21=""),OR($B$3="All",'Campaign Inventory'!B21=$B$3),OR($D$3="All",'Campaign Inventory'!M21=$D$3),OR($F$3="All",'Campaign Inventory'!D21=$F$3),OR($H$3="All",'Campaign Inventory'!F21=$H$3),OR($J$3="All",'Campaign Inventory'!BR21=$J$3),OR($L$3="All",'Campaign Inventory'!H21=$L$3)),COUNT($AM$2:AM16)+1,"")</x:f>
        <x:v>15</x:v>
      </x:c>
    </x:row>
    <x:row r="18">
      <x:c r="A18" s="17" t="inlineStr">
        <x:is>
          <x:t xml:space="preserve">Campaign owner unclear</x:t>
        </x:is>
      </x:c>
      <x:c r="B18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Inventory'!$F$7:$F$306=""))</x:f>
        <x:v>26</x:v>
      </x:c>
      <x:c r="C18" s="23" t="n">
        <x:f>IFERROR(B18/$A$6,0)</x:f>
        <x:v>1</x:v>
      </x:c>
      <x:c r="D18" s="17" t="str">
        <x:v>VM Bns - Dep1000 Get1000 - 1x TO</x:v>
      </x:c>
      <x:c r="E18" s="17" t="inlineStr">
        <x:is>
          <x:t xml:space="preserve">Decisions and follow-up may stall</x:t>
        </x:is>
      </x:c>
      <x:c r="F18" s="17" t="inlineStr">
        <x:is>
          <x:t xml:space="preserve">Assign accountable campaign owner</x:t>
        </x:is>
      </x:c>
      <x:c r="H18" s="22" t="str">
        <x:f>IFERROR(INDEX('Campaign Inventory'!$A$7:$A$306,MATCH(ROW()-12,$AM$3:$AM$302,0)),"")</x:f>
        <x:v>WS1-VM-006</x:v>
      </x:c>
      <x:c r="I18" s="22" t="str">
        <x:f>IFERROR(INDEX('Campaign Inventory'!$C$7:$C$306,MATCH(ROW()-12,$AM$3:$AM$302,0)),"")</x:f>
        <x:v>VM Bns - Dep1000 Get700 - 1x TO</x:v>
      </x:c>
      <x:c r="J18" s="22" t="str">
        <x:f>IFERROR(INDEX('Campaign Inventory'!$M$7:$M$306,MATCH(ROW()-12,$AM$3:$AM$302,0)),"")</x:f>
        <x:v>Retention</x:v>
      </x:c>
      <x:c r="K18" s="22" t="str">
        <x:f>IFERROR(INDEX('Campaign Inventory'!$BQ$7:$BQ$306,MATCH(ROW()-12,$AM$3:$AM$302,0)),"")</x:f>
        <x:v>Objective unclear</x:v>
      </x:c>
      <x:c r="L18" s="22" t="str">
        <x:f>IFERROR(INDEX('Campaign Inventory'!$BR$7:$BR$306,MATCH(ROW()-12,$AM$3:$AM$302,0)),"")</x:f>
        <x:v>High</x:v>
      </x:c>
      <x:c r="M18" s="22" t="str">
        <x:f>IFERROR(INDEX('Campaign Inventory'!$T$7:$T$306,MATCH(ROW()-12,$AM$3:$AM$302,0)),"")</x:f>
      </x:c>
      <x:c r="N18" s="22" t="str">
        <x:f>IFERROR(INDEX('Campaign Inventory'!$BS$7:$BS$306,MATCH(ROW()-12,$AM$3:$AM$302,0)),"")</x:f>
        <x:v>Confirm Objective</x:v>
      </x:c>
      <x:c r="O18" s="22" t="str">
        <x:f>IFERROR(INDEX('Campaign Inventory'!$G$7:$G$306,MATCH(ROW()-12,$AM$3:$AM$302,0)),"")</x:f>
        <x:v>Promotion</x:v>
      </x:c>
      <x:c r="P18" s="27" t="inlineStr">
        <x:is>
          <x:t xml:space="preserve"/>
        </x:is>
      </x:c>
      <x:c r="Q18" s="22" t="str">
        <x:f>IFERROR(INDEX('Campaign Inventory'!$BU$7:$BU$306,MATCH(ROW()-12,$AM$3:$AM$302,0)),"")</x:f>
        <x:v>Not Started</x:v>
      </x:c>
      <x:c r="AM18" t="n">
        <x:f>IF(AND('Campaign Inventory'!A22&lt;&gt;"",OR('Campaign Inventory'!BR22="Critical",'Campaign Inventory'!BR22="High",'Campaign Inventory'!N22="",'Campaign Inventory'!U22="",'Campaign Inventory'!AU22="Pending",'Campaign Inventory'!AU22="Not Available",'Campaign Inventory'!AU22="Unknown",'Campaign Inventory'!BP22="High",'Campaign Inventory'!F22=""),OR($B$3="All",'Campaign Inventory'!B22=$B$3),OR($D$3="All",'Campaign Inventory'!M22=$D$3),OR($F$3="All",'Campaign Inventory'!D22=$F$3),OR($H$3="All",'Campaign Inventory'!F22=$H$3),OR($J$3="All",'Campaign Inventory'!BR22=$J$3),OR($L$3="All",'Campaign Inventory'!H22=$L$3)),COUNT($AM$2:AM17)+1,"")</x:f>
        <x:v>16</x:v>
      </x:c>
    </x:row>
    <x:row r="19">
      <x:c r="A19" s="17" t="inlineStr">
        <x:is>
          <x:t xml:space="preserve">Data owner unclear</x:t>
        </x:is>
      </x:c>
      <x:c r="B19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Inventory'!$BD$7:$BD$306=""))</x:f>
        <x:v>0</x:v>
      </x:c>
      <x:c r="C19" s="23" t="n">
        <x:f>IFERROR(B19/$A$6,0)</x:f>
        <x:v>0</x:v>
      </x:c>
      <x:c r="D19" s="17"/>
      <x:c r="E19" s="17" t="inlineStr">
        <x:is>
          <x:t xml:space="preserve">Result data cannot be requested efficiently</x:t>
        </x:is>
      </x:c>
      <x:c r="F19" s="17" t="inlineStr">
        <x:is>
          <x:t xml:space="preserve">Confirm data owner and access path</x:t>
        </x:is>
      </x:c>
      <x:c r="H19" s="22" t="str">
        <x:f>IFERROR(INDEX('Campaign Inventory'!$A$7:$A$306,MATCH(ROW()-12,$AM$3:$AM$302,0)),"")</x:f>
        <x:v>WS1-VM-007</x:v>
      </x:c>
      <x:c r="I19" s="22" t="str">
        <x:f>IFERROR(INDEX('Campaign Inventory'!$C$7:$C$306,MATCH(ROW()-12,$AM$3:$AM$302,0)),"")</x:f>
        <x:v>VM Bns - Dep1000 Get700 - 2x TO</x:v>
      </x:c>
      <x:c r="J19" s="22" t="str">
        <x:f>IFERROR(INDEX('Campaign Inventory'!$M$7:$M$306,MATCH(ROW()-12,$AM$3:$AM$302,0)),"")</x:f>
        <x:v>Retention</x:v>
      </x:c>
      <x:c r="K19" s="22" t="str">
        <x:f>IFERROR(INDEX('Campaign Inventory'!$BQ$7:$BQ$306,MATCH(ROW()-12,$AM$3:$AM$302,0)),"")</x:f>
        <x:v>Segment criteria missing</x:v>
      </x:c>
      <x:c r="L19" s="22" t="str">
        <x:f>IFERROR(INDEX('Campaign Inventory'!$BR$7:$BR$306,MATCH(ROW()-12,$AM$3:$AM$302,0)),"")</x:f>
        <x:v>High</x:v>
      </x:c>
      <x:c r="M19" s="22" t="str">
        <x:f>IFERROR(INDEX('Campaign Inventory'!$T$7:$T$306,MATCH(ROW()-12,$AM$3:$AM$302,0)),"")</x:f>
      </x:c>
      <x:c r="N19" s="22" t="str">
        <x:f>IFERROR(INDEX('Campaign Inventory'!$BS$7:$BS$306,MATCH(ROW()-12,$AM$3:$AM$302,0)),"")</x:f>
        <x:v>Define Segment Criteria</x:v>
      </x:c>
      <x:c r="O19" s="22" t="str">
        <x:f>IFERROR(INDEX('Campaign Inventory'!$G$7:$G$306,MATCH(ROW()-12,$AM$3:$AM$302,0)),"")</x:f>
        <x:v>Promotion</x:v>
      </x:c>
      <x:c r="P19" s="27" t="inlineStr">
        <x:is>
          <x:t xml:space="preserve"/>
        </x:is>
      </x:c>
      <x:c r="Q19" s="22" t="str">
        <x:f>IFERROR(INDEX('Campaign Inventory'!$BU$7:$BU$306,MATCH(ROW()-12,$AM$3:$AM$302,0)),"")</x:f>
        <x:v>Not Started</x:v>
      </x:c>
      <x:c r="AM19" t="n">
        <x:f>IF(AND('Campaign Inventory'!A23&lt;&gt;"",OR('Campaign Inventory'!BR23="Critical",'Campaign Inventory'!BR23="High",'Campaign Inventory'!N23="",'Campaign Inventory'!U23="",'Campaign Inventory'!AU23="Pending",'Campaign Inventory'!AU23="Not Available",'Campaign Inventory'!AU23="Unknown",'Campaign Inventory'!BP23="High",'Campaign Inventory'!F23=""),OR($B$3="All",'Campaign Inventory'!B23=$B$3),OR($D$3="All",'Campaign Inventory'!M23=$D$3),OR($F$3="All",'Campaign Inventory'!D23=$F$3),OR($H$3="All",'Campaign Inventory'!F23=$H$3),OR($J$3="All",'Campaign Inventory'!BR23=$J$3),OR($L$3="All",'Campaign Inventory'!H23=$L$3)),COUNT($AM$2:AM18)+1,"")</x:f>
        <x:v>17</x:v>
      </x:c>
    </x:row>
    <x:row r="20">
      <x:c r="A20" s="17" t="inlineStr">
        <x:is>
          <x:t xml:space="preserve">Result data missing</x:t>
        </x:is>
      </x:c>
      <x:c r="B20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Inventory'!$AU$7:$AU$306="Pending")+('Campaign Inventory'!$AU$7:$AU$306="Not Available")+('Campaign Inventory'!$AU$7:$AU$306="Unknown"))&gt;0))</x:f>
        <x:v>0</x:v>
      </x:c>
      <x:c r="C20" s="23" t="n">
        <x:f>IFERROR(B20/$A$6,0)</x:f>
        <x:v>0</x:v>
      </x:c>
      <x:c r="D20" s="17"/>
      <x:c r="E20" s="17" t="inlineStr">
        <x:is>
          <x:t xml:space="preserve">Performance analysis cannot begin</x:t>
        </x:is>
      </x:c>
      <x:c r="F20" s="17" t="inlineStr">
        <x:is>
          <x:t xml:space="preserve">Request claims, cost and deposit outputs</x:t>
        </x:is>
      </x:c>
      <x:c r="H20" s="22" t="str">
        <x:f>IFERROR(INDEX('Campaign Inventory'!$A$7:$A$306,MATCH(ROW()-12,$AM$3:$AM$302,0)),"")</x:f>
        <x:v>WS1-VM-008</x:v>
      </x:c>
      <x:c r="I20" s="22" t="str">
        <x:f>IFERROR(INDEX('Campaign Inventory'!$C$7:$C$306,MATCH(ROW()-12,$AM$3:$AM$302,0)),"")</x:f>
        <x:v>VM Bns - Dep1000 Get800 - 1x TO</x:v>
      </x:c>
      <x:c r="J20" s="22" t="str">
        <x:f>IFERROR(INDEX('Campaign Inventory'!$M$7:$M$306,MATCH(ROW()-12,$AM$3:$AM$302,0)),"")</x:f>
        <x:v>Retention</x:v>
      </x:c>
      <x:c r="K20" s="22" t="str">
        <x:f>IFERROR(INDEX('Campaign Inventory'!$BQ$7:$BQ$306,MATCH(ROW()-12,$AM$3:$AM$302,0)),"")</x:f>
        <x:v>Objective unclear</x:v>
      </x:c>
      <x:c r="L20" s="22" t="str">
        <x:f>IFERROR(INDEX('Campaign Inventory'!$BR$7:$BR$306,MATCH(ROW()-12,$AM$3:$AM$302,0)),"")</x:f>
        <x:v>High</x:v>
      </x:c>
      <x:c r="M20" s="22" t="str">
        <x:f>IFERROR(INDEX('Campaign Inventory'!$T$7:$T$306,MATCH(ROW()-12,$AM$3:$AM$302,0)),"")</x:f>
      </x:c>
      <x:c r="N20" s="22" t="str">
        <x:f>IFERROR(INDEX('Campaign Inventory'!$BS$7:$BS$306,MATCH(ROW()-12,$AM$3:$AM$302,0)),"")</x:f>
        <x:v>Confirm Objective</x:v>
      </x:c>
      <x:c r="O20" s="22" t="str">
        <x:f>IFERROR(INDEX('Campaign Inventory'!$G$7:$G$306,MATCH(ROW()-12,$AM$3:$AM$302,0)),"")</x:f>
        <x:v>Promotion</x:v>
      </x:c>
      <x:c r="P20" s="27" t="inlineStr">
        <x:is>
          <x:t xml:space="preserve"/>
        </x:is>
      </x:c>
      <x:c r="Q20" s="22" t="str">
        <x:f>IFERROR(INDEX('Campaign Inventory'!$BU$7:$BU$306,MATCH(ROW()-12,$AM$3:$AM$302,0)),"")</x:f>
        <x:v>Not Started</x:v>
      </x:c>
      <x:c r="AM20" t="n">
        <x:f>IF(AND('Campaign Inventory'!A24&lt;&gt;"",OR('Campaign Inventory'!BR24="Critical",'Campaign Inventory'!BR24="High",'Campaign Inventory'!N24="",'Campaign Inventory'!U24="",'Campaign Inventory'!AU24="Pending",'Campaign Inventory'!AU24="Not Available",'Campaign Inventory'!AU24="Unknown",'Campaign Inventory'!BP24="High",'Campaign Inventory'!F24=""),OR($B$3="All",'Campaign Inventory'!B24=$B$3),OR($D$3="All",'Campaign Inventory'!M24=$D$3),OR($F$3="All",'Campaign Inventory'!D24=$F$3),OR($H$3="All",'Campaign Inventory'!F24=$H$3),OR($J$3="All",'Campaign Inventory'!BR24=$J$3),OR($L$3="All",'Campaign Inventory'!H24=$L$3)),COUNT($AM$2:AM19)+1,"")</x:f>
        <x:v>18</x:v>
      </x:c>
    </x:row>
    <x:row r="21">
      <x:c r="A21" s="17" t="inlineStr">
        <x:is>
          <x:t xml:space="preserve">Duplicate or overlapping mechanic</x:t>
        </x:is>
      </x:c>
      <x:c r="B21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Inventory'!$BP$7:$BP$306="High"))</x:f>
        <x:v>0</x:v>
      </x:c>
      <x:c r="C21" s="23" t="n">
        <x:f>IFERROR(B21/$A$6,0)</x:f>
        <x:v>0</x:v>
      </x:c>
      <x:c r="D21" s="17"/>
      <x:c r="E21" s="17" t="inlineStr">
        <x:is>
          <x:t xml:space="preserve">Players may receive conflicting offers</x:t>
        </x:is>
      </x:c>
      <x:c r="F21" s="17" t="inlineStr">
        <x:is>
          <x:t xml:space="preserve">Compare and merge similar campaigns</x:t>
        </x:is>
      </x:c>
      <x:c r="H21" s="22" t="str">
        <x:f>IFERROR(INDEX('Campaign Inventory'!$A$7:$A$306,MATCH(ROW()-12,$AM$3:$AM$302,0)),"")</x:f>
        <x:v>WS1-VM-009</x:v>
      </x:c>
      <x:c r="I21" s="22" t="str">
        <x:f>IFERROR(INDEX('Campaign Inventory'!$C$7:$C$306,MATCH(ROW()-12,$AM$3:$AM$302,0)),"")</x:f>
        <x:v>VM Bns - Dep1000 Get800 - 2x TO</x:v>
      </x:c>
      <x:c r="J21" s="22" t="str">
        <x:f>IFERROR(INDEX('Campaign Inventory'!$M$7:$M$306,MATCH(ROW()-12,$AM$3:$AM$302,0)),"")</x:f>
        <x:v>Retention</x:v>
      </x:c>
      <x:c r="K21" s="22" t="str">
        <x:f>IFERROR(INDEX('Campaign Inventory'!$BQ$7:$BQ$306,MATCH(ROW()-12,$AM$3:$AM$302,0)),"")</x:f>
        <x:v>Segment criteria missing</x:v>
      </x:c>
      <x:c r="L21" s="22" t="str">
        <x:f>IFERROR(INDEX('Campaign Inventory'!$BR$7:$BR$306,MATCH(ROW()-12,$AM$3:$AM$302,0)),"")</x:f>
        <x:v>High</x:v>
      </x:c>
      <x:c r="M21" s="22" t="str">
        <x:f>IFERROR(INDEX('Campaign Inventory'!$T$7:$T$306,MATCH(ROW()-12,$AM$3:$AM$302,0)),"")</x:f>
      </x:c>
      <x:c r="N21" s="22" t="str">
        <x:f>IFERROR(INDEX('Campaign Inventory'!$BS$7:$BS$306,MATCH(ROW()-12,$AM$3:$AM$302,0)),"")</x:f>
        <x:v>Define Segment Criteria</x:v>
      </x:c>
      <x:c r="O21" s="22" t="str">
        <x:f>IFERROR(INDEX('Campaign Inventory'!$G$7:$G$306,MATCH(ROW()-12,$AM$3:$AM$302,0)),"")</x:f>
        <x:v>Promotion</x:v>
      </x:c>
      <x:c r="P21" s="27" t="inlineStr">
        <x:is>
          <x:t xml:space="preserve"/>
        </x:is>
      </x:c>
      <x:c r="Q21" s="22" t="str">
        <x:f>IFERROR(INDEX('Campaign Inventory'!$BU$7:$BU$306,MATCH(ROW()-12,$AM$3:$AM$302,0)),"")</x:f>
        <x:v>Not Started</x:v>
      </x:c>
      <x:c r="AM21" t="n">
        <x:f>IF(AND('Campaign Inventory'!A25&lt;&gt;"",OR('Campaign Inventory'!BR25="Critical",'Campaign Inventory'!BR25="High",'Campaign Inventory'!N25="",'Campaign Inventory'!U25="",'Campaign Inventory'!AU25="Pending",'Campaign Inventory'!AU25="Not Available",'Campaign Inventory'!AU25="Unknown",'Campaign Inventory'!BP25="High",'Campaign Inventory'!F25=""),OR($B$3="All",'Campaign Inventory'!B25=$B$3),OR($D$3="All",'Campaign Inventory'!M25=$D$3),OR($F$3="All",'Campaign Inventory'!D25=$F$3),OR($H$3="All",'Campaign Inventory'!F25=$H$3),OR($J$3="All",'Campaign Inventory'!BR25=$J$3),OR($L$3="All",'Campaign Inventory'!H25=$L$3)),COUNT($AM$2:AM20)+1,"")</x:f>
        <x:v>19</x:v>
      </x:c>
    </x:row>
    <x:row r="22">
      <x:c r="A22" s="17" t="inlineStr">
        <x:is>
          <x:t xml:space="preserve">High cap requires review</x:t>
        </x:is>
      </x:c>
      <x:c r="B22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Inventory'!$BM$7:$BM$306="High cap requires review"))</x:f>
        <x:v>6</x:v>
      </x:c>
      <x:c r="C22" s="23" t="n">
        <x:f>IFERROR(B22/$A$6,0)</x:f>
        <x:v>0.23076923076923078</x:v>
      </x:c>
      <x:c r="D22" s="17" t="str">
        <x:v>VM Bns - Dep1000 Get1000 - 2x TO</x:v>
      </x:c>
      <x:c r="E22" s="17" t="inlineStr">
        <x:is>
          <x:t xml:space="preserve">Bonus exposure may exceed player need</x:t>
        </x:is>
      </x:c>
      <x:c r="F22" s="17" t="inlineStr">
        <x:is>
          <x:t xml:space="preserve">Review cap utilisation before changing</x:t>
        </x:is>
      </x:c>
      <x:c r="H22" s="22" t="str">
        <x:f>IFERROR(INDEX('Campaign Inventory'!$A$7:$A$306,MATCH(ROW()-12,$AM$3:$AM$302,0)),"")</x:f>
        <x:v>WS1-VM-010</x:v>
      </x:c>
      <x:c r="I22" s="22" t="str">
        <x:f>IFERROR(INDEX('Campaign Inventory'!$C$7:$C$306,MATCH(ROW()-12,$AM$3:$AM$302,0)),"")</x:f>
        <x:v>VM Bns - Dep1000 Get900 - 1x TO</x:v>
      </x:c>
      <x:c r="J22" s="22" t="str">
        <x:f>IFERROR(INDEX('Campaign Inventory'!$M$7:$M$306,MATCH(ROW()-12,$AM$3:$AM$302,0)),"")</x:f>
        <x:v>Retention</x:v>
      </x:c>
      <x:c r="K22" s="22" t="str">
        <x:f>IFERROR(INDEX('Campaign Inventory'!$BQ$7:$BQ$306,MATCH(ROW()-12,$AM$3:$AM$302,0)),"")</x:f>
        <x:v>Objective unclear</x:v>
      </x:c>
      <x:c r="L22" s="22" t="str">
        <x:f>IFERROR(INDEX('Campaign Inventory'!$BR$7:$BR$306,MATCH(ROW()-12,$AM$3:$AM$302,0)),"")</x:f>
        <x:v>High</x:v>
      </x:c>
      <x:c r="M22" s="22" t="str">
        <x:f>IFERROR(INDEX('Campaign Inventory'!$T$7:$T$306,MATCH(ROW()-12,$AM$3:$AM$302,0)),"")</x:f>
      </x:c>
      <x:c r="N22" s="22" t="str">
        <x:f>IFERROR(INDEX('Campaign Inventory'!$BS$7:$BS$306,MATCH(ROW()-12,$AM$3:$AM$302,0)),"")</x:f>
        <x:v>Confirm Objective</x:v>
      </x:c>
      <x:c r="O22" s="22" t="str">
        <x:f>IFERROR(INDEX('Campaign Inventory'!$G$7:$G$306,MATCH(ROW()-12,$AM$3:$AM$302,0)),"")</x:f>
        <x:v>Promotion</x:v>
      </x:c>
      <x:c r="P22" s="27" t="inlineStr">
        <x:is>
          <x:t xml:space="preserve"/>
        </x:is>
      </x:c>
      <x:c r="Q22" s="22" t="str">
        <x:f>IFERROR(INDEX('Campaign Inventory'!$BU$7:$BU$306,MATCH(ROW()-12,$AM$3:$AM$302,0)),"")</x:f>
        <x:v>Not Started</x:v>
      </x:c>
      <x:c r="AM22" t="n">
        <x:f>IF(AND('Campaign Inventory'!A26&lt;&gt;"",OR('Campaign Inventory'!BR26="Critical",'Campaign Inventory'!BR26="High",'Campaign Inventory'!N26="",'Campaign Inventory'!U26="",'Campaign Inventory'!AU26="Pending",'Campaign Inventory'!AU26="Not Available",'Campaign Inventory'!AU26="Unknown",'Campaign Inventory'!BP26="High",'Campaign Inventory'!F26=""),OR($B$3="All",'Campaign Inventory'!B26=$B$3),OR($D$3="All",'Campaign Inventory'!M26=$D$3),OR($F$3="All",'Campaign Inventory'!D26=$F$3),OR($H$3="All",'Campaign Inventory'!F26=$H$3),OR($J$3="All",'Campaign Inventory'!BR26=$J$3),OR($L$3="All",'Campaign Inventory'!H26=$L$3)),COUNT($AM$2:AM21)+1,"")</x:f>
        <x:v>20</x:v>
      </x:c>
    </x:row>
    <x:row r="23">
      <x:c r="A23" s="17" t="inlineStr">
        <x:is>
          <x:t xml:space="preserve">No review date</x:t>
        </x:is>
      </x:c>
      <x:c r="B23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Inventory'!$L$7:$L$306=""))</x:f>
        <x:v>0</x:v>
      </x:c>
      <x:c r="C23" s="23" t="n">
        <x:f>IFERROR(B23/$A$6,0)</x:f>
        <x:v>0</x:v>
      </x:c>
      <x:c r="D23" s="17"/>
      <x:c r="E23" s="17" t="inlineStr">
        <x:is>
          <x:t xml:space="preserve">Legacy campaigns may continue without purpose</x:t>
        </x:is>
      </x:c>
      <x:c r="F23" s="17" t="inlineStr">
        <x:is>
          <x:t xml:space="preserve">Assign a review date and owner</x:t>
        </x:is>
      </x:c>
      <x:c r="H23" s="22" t="str">
        <x:f>IFERROR(INDEX('Campaign Inventory'!$A$7:$A$306,MATCH(ROW()-12,$AM$3:$AM$302,0)),"")</x:f>
        <x:v>WS1-VM-011</x:v>
      </x:c>
      <x:c r="I23" s="22" t="str">
        <x:f>IFERROR(INDEX('Campaign Inventory'!$C$7:$C$306,MATCH(ROW()-12,$AM$3:$AM$302,0)),"")</x:f>
        <x:v>VM Bns - Dep1000 Get900 - 2x TO</x:v>
      </x:c>
      <x:c r="J23" s="22" t="str">
        <x:f>IFERROR(INDEX('Campaign Inventory'!$M$7:$M$306,MATCH(ROW()-12,$AM$3:$AM$302,0)),"")</x:f>
        <x:v>Retention</x:v>
      </x:c>
      <x:c r="K23" s="22" t="str">
        <x:f>IFERROR(INDEX('Campaign Inventory'!$BQ$7:$BQ$306,MATCH(ROW()-12,$AM$3:$AM$302,0)),"")</x:f>
        <x:v>Campaign owner unclear</x:v>
      </x:c>
      <x:c r="L23" s="22" t="str">
        <x:f>IFERROR(INDEX('Campaign Inventory'!$BR$7:$BR$306,MATCH(ROW()-12,$AM$3:$AM$302,0)),"")</x:f>
        <x:v>High</x:v>
      </x:c>
      <x:c r="M23" s="22" t="str">
        <x:f>IFERROR(INDEX('Campaign Inventory'!$T$7:$T$306,MATCH(ROW()-12,$AM$3:$AM$302,0)),"")</x:f>
      </x:c>
      <x:c r="N23" s="22" t="str">
        <x:f>IFERROR(INDEX('Campaign Inventory'!$BS$7:$BS$306,MATCH(ROW()-12,$AM$3:$AM$302,0)),"")</x:f>
        <x:v>Confirm Campaign Owner</x:v>
      </x:c>
      <x:c r="O23" s="22" t="str">
        <x:f>IFERROR(INDEX('Campaign Inventory'!$G$7:$G$306,MATCH(ROW()-12,$AM$3:$AM$302,0)),"")</x:f>
        <x:v>Promotion</x:v>
      </x:c>
      <x:c r="P23" s="27" t="inlineStr">
        <x:is>
          <x:t xml:space="preserve"/>
        </x:is>
      </x:c>
      <x:c r="Q23" s="22" t="str">
        <x:f>IFERROR(INDEX('Campaign Inventory'!$BU$7:$BU$306,MATCH(ROW()-12,$AM$3:$AM$302,0)),"")</x:f>
        <x:v>Not Started</x:v>
      </x:c>
      <x:c r="AM23" t="n">
        <x:f>IF(AND('Campaign Inventory'!A27&lt;&gt;"",OR('Campaign Inventory'!BR27="Critical",'Campaign Inventory'!BR27="High",'Campaign Inventory'!N27="",'Campaign Inventory'!U27="",'Campaign Inventory'!AU27="Pending",'Campaign Inventory'!AU27="Not Available",'Campaign Inventory'!AU27="Unknown",'Campaign Inventory'!BP27="High",'Campaign Inventory'!F27=""),OR($B$3="All",'Campaign Inventory'!B27=$B$3),OR($D$3="All",'Campaign Inventory'!M27=$D$3),OR($F$3="All",'Campaign Inventory'!D27=$F$3),OR($H$3="All",'Campaign Inventory'!F27=$H$3),OR($J$3="All",'Campaign Inventory'!BR27=$J$3),OR($L$3="All",'Campaign Inventory'!H27=$L$3)),COUNT($AM$2:AM22)+1,"")</x:f>
        <x:v>21</x:v>
      </x:c>
    </x:row>
    <x:row r="24">
      <x:c r="A24" s="17" t="inlineStr">
        <x:is>
          <x:t xml:space="preserve">No exclusion criteria</x:t>
        </x:is>
      </x:c>
      <x:c r="B24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Inventory'!$AE$7:$AE$306="")+('Campaign Inventory'!$AE$7:$AE$306="Not documented"))&gt;0))</x:f>
        <x:v>26</x:v>
      </x:c>
      <x:c r="C24" s="23" t="n">
        <x:f>IFERROR(B24/$A$6,0)</x:f>
        <x:v>1</x:v>
      </x:c>
      <x:c r="D24" s="17" t="str">
        <x:v>All observed WS1 VM promo codes</x:v>
      </x:c>
      <x:c r="E24" s="17" t="inlineStr">
        <x:is>
          <x:t xml:space="preserve">Abuse and offer overlap risk may increase</x:t>
        </x:is>
      </x:c>
      <x:c r="F24" s="17" t="inlineStr">
        <x:is>
          <x:t xml:space="preserve">Define exclusions and abuse controls</x:t>
        </x:is>
      </x:c>
      <x:c r="H24" s="22" t="str">
        <x:f>IFERROR(INDEX('Campaign Inventory'!$A$7:$A$306,MATCH(ROW()-12,$AM$3:$AM$302,0)),"")</x:f>
        <x:v>WS1-VM-012</x:v>
      </x:c>
      <x:c r="I24" s="22" t="str">
        <x:f>IFERROR(INDEX('Campaign Inventory'!$C$7:$C$306,MATCH(ROW()-12,$AM$3:$AM$302,0)),"")</x:f>
        <x:v>VM Bns - Dep1200 Get600 - 1x TO</x:v>
      </x:c>
      <x:c r="J24" s="22" t="str">
        <x:f>IFERROR(INDEX('Campaign Inventory'!$M$7:$M$306,MATCH(ROW()-12,$AM$3:$AM$302,0)),"")</x:f>
        <x:v>Retention</x:v>
      </x:c>
      <x:c r="K24" s="22" t="str">
        <x:f>IFERROR(INDEX('Campaign Inventory'!$BQ$7:$BQ$306,MATCH(ROW()-12,$AM$3:$AM$302,0)),"")</x:f>
        <x:v>Campaign owner unclear</x:v>
      </x:c>
      <x:c r="L24" s="22" t="str">
        <x:f>IFERROR(INDEX('Campaign Inventory'!$BR$7:$BR$306,MATCH(ROW()-12,$AM$3:$AM$302,0)),"")</x:f>
        <x:v>High</x:v>
      </x:c>
      <x:c r="M24" s="22" t="str">
        <x:f>IFERROR(INDEX('Campaign Inventory'!$T$7:$T$306,MATCH(ROW()-12,$AM$3:$AM$302,0)),"")</x:f>
      </x:c>
      <x:c r="N24" s="22" t="str">
        <x:f>IFERROR(INDEX('Campaign Inventory'!$BS$7:$BS$306,MATCH(ROW()-12,$AM$3:$AM$302,0)),"")</x:f>
        <x:v>Confirm Campaign Owner</x:v>
      </x:c>
      <x:c r="O24" s="22" t="str">
        <x:f>IFERROR(INDEX('Campaign Inventory'!$G$7:$G$306,MATCH(ROW()-12,$AM$3:$AM$302,0)),"")</x:f>
        <x:v>Promotion</x:v>
      </x:c>
      <x:c r="P24" s="27" t="inlineStr">
        <x:is>
          <x:t xml:space="preserve"/>
        </x:is>
      </x:c>
      <x:c r="Q24" s="22" t="str">
        <x:f>IFERROR(INDEX('Campaign Inventory'!$BU$7:$BU$306,MATCH(ROW()-12,$AM$3:$AM$302,0)),"")</x:f>
        <x:v>Not Started</x:v>
      </x:c>
      <x:c r="AM24" t="n">
        <x:f>IF(AND('Campaign Inventory'!A28&lt;&gt;"",OR('Campaign Inventory'!BR28="Critical",'Campaign Inventory'!BR28="High",'Campaign Inventory'!N28="",'Campaign Inventory'!U28="",'Campaign Inventory'!AU28="Pending",'Campaign Inventory'!AU28="Not Available",'Campaign Inventory'!AU28="Unknown",'Campaign Inventory'!BP28="High",'Campaign Inventory'!F28=""),OR($B$3="All",'Campaign Inventory'!B28=$B$3),OR($D$3="All",'Campaign Inventory'!M28=$D$3),OR($F$3="All",'Campaign Inventory'!D28=$F$3),OR($H$3="All",'Campaign Inventory'!F28=$H$3),OR($J$3="All",'Campaign Inventory'!BR28=$J$3),OR($L$3="All",'Campaign Inventory'!H28=$L$3)),COUNT($AM$2:AM23)+1,"")</x:f>
        <x:v>22</x:v>
      </x:c>
    </x:row>
    <x:row r="25">
      <x:c r="A25" s="17" t="inlineStr">
        <x:is>
          <x:t xml:space="preserve">Campaign purpose no longer clear</x:t>
        </x:is>
      </x:c>
      <x:c r="B25" s="22" t="n">
        <x: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Inventory'!$BQ$7:$BQ$306="Campaign purpose no longer clear"))</x:f>
        <x:v>0</x:v>
      </x:c>
      <x:c r="C25" s="23" t="n">
        <x:f>IFERROR(B25/$A$6,0)</x:f>
        <x:v>0</x:v>
      </x:c>
      <x:c r="D25" s="17"/>
      <x:c r="E25" s="17" t="inlineStr">
        <x:is>
          <x:t xml:space="preserve">Legacy cost may continue without clear value</x:t>
        </x:is>
      </x:c>
      <x:c r="F25" s="17" t="inlineStr">
        <x:is>
          <x:t xml:space="preserve">Confirm purpose or consider sunset</x:t>
        </x:is>
      </x:c>
      <x:c r="AM25" t="n">
        <x:f>IF(AND('Campaign Inventory'!A29&lt;&gt;"",OR('Campaign Inventory'!BR29="Critical",'Campaign Inventory'!BR29="High",'Campaign Inventory'!N29="",'Campaign Inventory'!U29="",'Campaign Inventory'!AU29="Pending",'Campaign Inventory'!AU29="Not Available",'Campaign Inventory'!AU29="Unknown",'Campaign Inventory'!BP29="High",'Campaign Inventory'!F29=""),OR($B$3="All",'Campaign Inventory'!B29=$B$3),OR($D$3="All",'Campaign Inventory'!M29=$D$3),OR($F$3="All",'Campaign Inventory'!D29=$F$3),OR($H$3="All",'Campaign Inventory'!F29=$H$3),OR($J$3="All",'Campaign Inventory'!BR29=$J$3),OR($L$3="All",'Campaign Inventory'!H29=$L$3)),COUNT($AM$2:AM24)+1,"")</x:f>
        <x:v>23</x:v>
      </x:c>
    </x:row>
    <x:row r="26">
      <x:c r="AM26" t="n">
        <x:f>IF(AND('Campaign Inventory'!A30&lt;&gt;"",OR('Campaign Inventory'!BR30="Critical",'Campaign Inventory'!BR30="High",'Campaign Inventory'!N30="",'Campaign Inventory'!U30="",'Campaign Inventory'!AU30="Pending",'Campaign Inventory'!AU30="Not Available",'Campaign Inventory'!AU30="Unknown",'Campaign Inventory'!BP30="High",'Campaign Inventory'!F30=""),OR($B$3="All",'Campaign Inventory'!B30=$B$3),OR($D$3="All",'Campaign Inventory'!M30=$D$3),OR($F$3="All",'Campaign Inventory'!D30=$F$3),OR($H$3="All",'Campaign Inventory'!F30=$H$3),OR($J$3="All",'Campaign Inventory'!BR30=$J$3),OR($L$3="All",'Campaign Inventory'!H30=$L$3)),COUNT($AM$2:AM25)+1,"")</x:f>
        <x:v>24</x:v>
      </x:c>
    </x:row>
    <x:row r="27">
      <x:c r="AM27" t="n">
        <x:f>IF(AND('Campaign Inventory'!A31&lt;&gt;"",OR('Campaign Inventory'!BR31="Critical",'Campaign Inventory'!BR31="High",'Campaign Inventory'!N31="",'Campaign Inventory'!U31="",'Campaign Inventory'!AU31="Pending",'Campaign Inventory'!AU31="Not Available",'Campaign Inventory'!AU31="Unknown",'Campaign Inventory'!BP31="High",'Campaign Inventory'!F31=""),OR($B$3="All",'Campaign Inventory'!B31=$B$3),OR($D$3="All",'Campaign Inventory'!M31=$D$3),OR($F$3="All",'Campaign Inventory'!D31=$F$3),OR($H$3="All",'Campaign Inventory'!F31=$H$3),OR($J$3="All",'Campaign Inventory'!BR31=$J$3),OR($L$3="All",'Campaign Inventory'!H31=$L$3)),COUNT($AM$2:AM26)+1,"")</x:f>
        <x:v>25</x:v>
      </x:c>
    </x:row>
    <x:row r="28">
      <x:c r="AM28" t="n">
        <x:f>IF(AND('Campaign Inventory'!A32&lt;&gt;"",OR('Campaign Inventory'!BR32="Critical",'Campaign Inventory'!BR32="High",'Campaign Inventory'!N32="",'Campaign Inventory'!U32="",'Campaign Inventory'!AU32="Pending",'Campaign Inventory'!AU32="Not Available",'Campaign Inventory'!AU32="Unknown",'Campaign Inventory'!BP32="High",'Campaign Inventory'!F32=""),OR($B$3="All",'Campaign Inventory'!B32=$B$3),OR($D$3="All",'Campaign Inventory'!M32=$D$3),OR($F$3="All",'Campaign Inventory'!D32=$F$3),OR($H$3="All",'Campaign Inventory'!F32=$H$3),OR($J$3="All",'Campaign Inventory'!BR32=$J$3),OR($L$3="All",'Campaign Inventory'!H32=$L$3)),COUNT($AM$2:AM27)+1,"")</x:f>
        <x:v>26</x:v>
      </x:c>
    </x:row>
    <x:row r="29">
      <x:c r="AM29" t="str">
        <x:f>IF(AND('Campaign Inventory'!A33&lt;&gt;"",OR('Campaign Inventory'!BR33="Critical",'Campaign Inventory'!BR33="High",'Campaign Inventory'!N33="",'Campaign Inventory'!U33="",'Campaign Inventory'!AU33="Pending",'Campaign Inventory'!AU33="Not Available",'Campaign Inventory'!AU33="Unknown",'Campaign Inventory'!BP33="High",'Campaign Inventory'!F33=""),OR($B$3="All",'Campaign Inventory'!B33=$B$3),OR($D$3="All",'Campaign Inventory'!M33=$D$3),OR($F$3="All",'Campaign Inventory'!D33=$F$3),OR($H$3="All",'Campaign Inventory'!F33=$H$3),OR($J$3="All",'Campaign Inventory'!BR33=$J$3),OR($L$3="All",'Campaign Inventory'!H33=$L$3)),COUNT($AM$2:AM28)+1,"")</x:f>
      </x:c>
    </x:row>
    <x:row r="30">
      <x:c r="AM30" t="str">
        <x:f>IF(AND('Campaign Inventory'!A34&lt;&gt;"",OR('Campaign Inventory'!BR34="Critical",'Campaign Inventory'!BR34="High",'Campaign Inventory'!N34="",'Campaign Inventory'!U34="",'Campaign Inventory'!AU34="Pending",'Campaign Inventory'!AU34="Not Available",'Campaign Inventory'!AU34="Unknown",'Campaign Inventory'!BP34="High",'Campaign Inventory'!F34=""),OR($B$3="All",'Campaign Inventory'!B34=$B$3),OR($D$3="All",'Campaign Inventory'!M34=$D$3),OR($F$3="All",'Campaign Inventory'!D34=$F$3),OR($H$3="All",'Campaign Inventory'!F34=$H$3),OR($J$3="All",'Campaign Inventory'!BR34=$J$3),OR($L$3="All",'Campaign Inventory'!H34=$L$3)),COUNT($AM$2:AM29)+1,"")</x:f>
      </x:c>
    </x:row>
    <x:row r="31">
      <x:c r="AM31" t="str">
        <x:f>IF(AND('Campaign Inventory'!A35&lt;&gt;"",OR('Campaign Inventory'!BR35="Critical",'Campaign Inventory'!BR35="High",'Campaign Inventory'!N35="",'Campaign Inventory'!U35="",'Campaign Inventory'!AU35="Pending",'Campaign Inventory'!AU35="Not Available",'Campaign Inventory'!AU35="Unknown",'Campaign Inventory'!BP35="High",'Campaign Inventory'!F35=""),OR($B$3="All",'Campaign Inventory'!B35=$B$3),OR($D$3="All",'Campaign Inventory'!M35=$D$3),OR($F$3="All",'Campaign Inventory'!D35=$F$3),OR($H$3="All",'Campaign Inventory'!F35=$H$3),OR($J$3="All",'Campaign Inventory'!BR35=$J$3),OR($L$3="All",'Campaign Inventory'!H35=$L$3)),COUNT($AM$2:AM30)+1,"")</x:f>
      </x:c>
    </x:row>
    <x:row r="32">
      <x:c r="AM32" t="str">
        <x:f>IF(AND('Campaign Inventory'!A36&lt;&gt;"",OR('Campaign Inventory'!BR36="Critical",'Campaign Inventory'!BR36="High",'Campaign Inventory'!N36="",'Campaign Inventory'!U36="",'Campaign Inventory'!AU36="Pending",'Campaign Inventory'!AU36="Not Available",'Campaign Inventory'!AU36="Unknown",'Campaign Inventory'!BP36="High",'Campaign Inventory'!F36=""),OR($B$3="All",'Campaign Inventory'!B36=$B$3),OR($D$3="All",'Campaign Inventory'!M36=$D$3),OR($F$3="All",'Campaign Inventory'!D36=$F$3),OR($H$3="All",'Campaign Inventory'!F36=$H$3),OR($J$3="All",'Campaign Inventory'!BR36=$J$3),OR($L$3="All",'Campaign Inventory'!H36=$L$3)),COUNT($AM$2:AM31)+1,"")</x:f>
      </x:c>
    </x:row>
    <x:row r="33">
      <x:c r="AM33" t="str">
        <x:f>IF(AND('Campaign Inventory'!A37&lt;&gt;"",OR('Campaign Inventory'!BR37="Critical",'Campaign Inventory'!BR37="High",'Campaign Inventory'!N37="",'Campaign Inventory'!U37="",'Campaign Inventory'!AU37="Pending",'Campaign Inventory'!AU37="Not Available",'Campaign Inventory'!AU37="Unknown",'Campaign Inventory'!BP37="High",'Campaign Inventory'!F37=""),OR($B$3="All",'Campaign Inventory'!B37=$B$3),OR($D$3="All",'Campaign Inventory'!M37=$D$3),OR($F$3="All",'Campaign Inventory'!D37=$F$3),OR($H$3="All",'Campaign Inventory'!F37=$H$3),OR($J$3="All",'Campaign Inventory'!BR37=$J$3),OR($L$3="All",'Campaign Inventory'!H37=$L$3)),COUNT($AM$2:AM32)+1,"")</x:f>
      </x:c>
    </x:row>
    <x:row r="34">
      <x:c r="AM34" t="str">
        <x:f>IF(AND('Campaign Inventory'!A38&lt;&gt;"",OR('Campaign Inventory'!BR38="Critical",'Campaign Inventory'!BR38="High",'Campaign Inventory'!N38="",'Campaign Inventory'!U38="",'Campaign Inventory'!AU38="Pending",'Campaign Inventory'!AU38="Not Available",'Campaign Inventory'!AU38="Unknown",'Campaign Inventory'!BP38="High",'Campaign Inventory'!F38=""),OR($B$3="All",'Campaign Inventory'!B38=$B$3),OR($D$3="All",'Campaign Inventory'!M38=$D$3),OR($F$3="All",'Campaign Inventory'!D38=$F$3),OR($H$3="All",'Campaign Inventory'!F38=$H$3),OR($J$3="All",'Campaign Inventory'!BR38=$J$3),OR($L$3="All",'Campaign Inventory'!H38=$L$3)),COUNT($AM$2:AM33)+1,"")</x:f>
      </x:c>
    </x:row>
    <x:row r="35">
      <x:c r="AM35" t="str">
        <x:f>IF(AND('Campaign Inventory'!A39&lt;&gt;"",OR('Campaign Inventory'!BR39="Critical",'Campaign Inventory'!BR39="High",'Campaign Inventory'!N39="",'Campaign Inventory'!U39="",'Campaign Inventory'!AU39="Pending",'Campaign Inventory'!AU39="Not Available",'Campaign Inventory'!AU39="Unknown",'Campaign Inventory'!BP39="High",'Campaign Inventory'!F39=""),OR($B$3="All",'Campaign Inventory'!B39=$B$3),OR($D$3="All",'Campaign Inventory'!M39=$D$3),OR($F$3="All",'Campaign Inventory'!D39=$F$3),OR($H$3="All",'Campaign Inventory'!F39=$H$3),OR($J$3="All",'Campaign Inventory'!BR39=$J$3),OR($L$3="All",'Campaign Inventory'!H39=$L$3)),COUNT($AM$2:AM34)+1,"")</x:f>
      </x:c>
    </x:row>
    <x:row r="36">
      <x:c r="AM36" t="str">
        <x:f>IF(AND('Campaign Inventory'!A40&lt;&gt;"",OR('Campaign Inventory'!BR40="Critical",'Campaign Inventory'!BR40="High",'Campaign Inventory'!N40="",'Campaign Inventory'!U40="",'Campaign Inventory'!AU40="Pending",'Campaign Inventory'!AU40="Not Available",'Campaign Inventory'!AU40="Unknown",'Campaign Inventory'!BP40="High",'Campaign Inventory'!F40=""),OR($B$3="All",'Campaign Inventory'!B40=$B$3),OR($D$3="All",'Campaign Inventory'!M40=$D$3),OR($F$3="All",'Campaign Inventory'!D40=$F$3),OR($H$3="All",'Campaign Inventory'!F40=$H$3),OR($J$3="All",'Campaign Inventory'!BR40=$J$3),OR($L$3="All",'Campaign Inventory'!H40=$L$3)),COUNT($AM$2:AM35)+1,"")</x:f>
      </x:c>
    </x:row>
    <x:row r="37">
      <x:c r="AM37" t="str">
        <x:f>IF(AND('Campaign Inventory'!A41&lt;&gt;"",OR('Campaign Inventory'!BR41="Critical",'Campaign Inventory'!BR41="High",'Campaign Inventory'!N41="",'Campaign Inventory'!U41="",'Campaign Inventory'!AU41="Pending",'Campaign Inventory'!AU41="Not Available",'Campaign Inventory'!AU41="Unknown",'Campaign Inventory'!BP41="High",'Campaign Inventory'!F41=""),OR($B$3="All",'Campaign Inventory'!B41=$B$3),OR($D$3="All",'Campaign Inventory'!M41=$D$3),OR($F$3="All",'Campaign Inventory'!D41=$F$3),OR($H$3="All",'Campaign Inventory'!F41=$H$3),OR($J$3="All",'Campaign Inventory'!BR41=$J$3),OR($L$3="All",'Campaign Inventory'!H41=$L$3)),COUNT($AM$2:AM36)+1,"")</x:f>
      </x:c>
    </x:row>
    <x:row r="38">
      <x:c r="AM38" t="str">
        <x:f>IF(AND('Campaign Inventory'!A42&lt;&gt;"",OR('Campaign Inventory'!BR42="Critical",'Campaign Inventory'!BR42="High",'Campaign Inventory'!N42="",'Campaign Inventory'!U42="",'Campaign Inventory'!AU42="Pending",'Campaign Inventory'!AU42="Not Available",'Campaign Inventory'!AU42="Unknown",'Campaign Inventory'!BP42="High",'Campaign Inventory'!F42=""),OR($B$3="All",'Campaign Inventory'!B42=$B$3),OR($D$3="All",'Campaign Inventory'!M42=$D$3),OR($F$3="All",'Campaign Inventory'!D42=$F$3),OR($H$3="All",'Campaign Inventory'!F42=$H$3),OR($J$3="All",'Campaign Inventory'!BR42=$J$3),OR($L$3="All",'Campaign Inventory'!H42=$L$3)),COUNT($AM$2:AM37)+1,"")</x:f>
      </x:c>
    </x:row>
    <x:row r="39">
      <x:c r="AM39" t="str">
        <x:f>IF(AND('Campaign Inventory'!A43&lt;&gt;"",OR('Campaign Inventory'!BR43="Critical",'Campaign Inventory'!BR43="High",'Campaign Inventory'!N43="",'Campaign Inventory'!U43="",'Campaign Inventory'!AU43="Pending",'Campaign Inventory'!AU43="Not Available",'Campaign Inventory'!AU43="Unknown",'Campaign Inventory'!BP43="High",'Campaign Inventory'!F43=""),OR($B$3="All",'Campaign Inventory'!B43=$B$3),OR($D$3="All",'Campaign Inventory'!M43=$D$3),OR($F$3="All",'Campaign Inventory'!D43=$F$3),OR($H$3="All",'Campaign Inventory'!F43=$H$3),OR($J$3="All",'Campaign Inventory'!BR43=$J$3),OR($L$3="All",'Campaign Inventory'!H43=$L$3)),COUNT($AM$2:AM38)+1,"")</x:f>
      </x:c>
    </x:row>
    <x:row r="40">
      <x:c r="AM40" t="str">
        <x:f>IF(AND('Campaign Inventory'!A44&lt;&gt;"",OR('Campaign Inventory'!BR44="Critical",'Campaign Inventory'!BR44="High",'Campaign Inventory'!N44="",'Campaign Inventory'!U44="",'Campaign Inventory'!AU44="Pending",'Campaign Inventory'!AU44="Not Available",'Campaign Inventory'!AU44="Unknown",'Campaign Inventory'!BP44="High",'Campaign Inventory'!F44=""),OR($B$3="All",'Campaign Inventory'!B44=$B$3),OR($D$3="All",'Campaign Inventory'!M44=$D$3),OR($F$3="All",'Campaign Inventory'!D44=$F$3),OR($H$3="All",'Campaign Inventory'!F44=$H$3),OR($J$3="All",'Campaign Inventory'!BR44=$J$3),OR($L$3="All",'Campaign Inventory'!H44=$L$3)),COUNT($AM$2:AM39)+1,"")</x:f>
      </x:c>
    </x:row>
    <x:row r="41">
      <x:c r="AM41" t="str">
        <x:f>IF(AND('Campaign Inventory'!A45&lt;&gt;"",OR('Campaign Inventory'!BR45="Critical",'Campaign Inventory'!BR45="High",'Campaign Inventory'!N45="",'Campaign Inventory'!U45="",'Campaign Inventory'!AU45="Pending",'Campaign Inventory'!AU45="Not Available",'Campaign Inventory'!AU45="Unknown",'Campaign Inventory'!BP45="High",'Campaign Inventory'!F45=""),OR($B$3="All",'Campaign Inventory'!B45=$B$3),OR($D$3="All",'Campaign Inventory'!M45=$D$3),OR($F$3="All",'Campaign Inventory'!D45=$F$3),OR($H$3="All",'Campaign Inventory'!F45=$H$3),OR($J$3="All",'Campaign Inventory'!BR45=$J$3),OR($L$3="All",'Campaign Inventory'!H45=$L$3)),COUNT($AM$2:AM40)+1,"")</x:f>
      </x:c>
    </x:row>
    <x:row r="42">
      <x:c r="AM42" t="str">
        <x:f>IF(AND('Campaign Inventory'!A46&lt;&gt;"",OR('Campaign Inventory'!BR46="Critical",'Campaign Inventory'!BR46="High",'Campaign Inventory'!N46="",'Campaign Inventory'!U46="",'Campaign Inventory'!AU46="Pending",'Campaign Inventory'!AU46="Not Available",'Campaign Inventory'!AU46="Unknown",'Campaign Inventory'!BP46="High",'Campaign Inventory'!F46=""),OR($B$3="All",'Campaign Inventory'!B46=$B$3),OR($D$3="All",'Campaign Inventory'!M46=$D$3),OR($F$3="All",'Campaign Inventory'!D46=$F$3),OR($H$3="All",'Campaign Inventory'!F46=$H$3),OR($J$3="All",'Campaign Inventory'!BR46=$J$3),OR($L$3="All",'Campaign Inventory'!H46=$L$3)),COUNT($AM$2:AM41)+1,"")</x:f>
      </x:c>
    </x:row>
    <x:row r="43">
      <x:c r="AM43" t="str">
        <x:f>IF(AND('Campaign Inventory'!A47&lt;&gt;"",OR('Campaign Inventory'!BR47="Critical",'Campaign Inventory'!BR47="High",'Campaign Inventory'!N47="",'Campaign Inventory'!U47="",'Campaign Inventory'!AU47="Pending",'Campaign Inventory'!AU47="Not Available",'Campaign Inventory'!AU47="Unknown",'Campaign Inventory'!BP47="High",'Campaign Inventory'!F47=""),OR($B$3="All",'Campaign Inventory'!B47=$B$3),OR($D$3="All",'Campaign Inventory'!M47=$D$3),OR($F$3="All",'Campaign Inventory'!D47=$F$3),OR($H$3="All",'Campaign Inventory'!F47=$H$3),OR($J$3="All",'Campaign Inventory'!BR47=$J$3),OR($L$3="All",'Campaign Inventory'!H47=$L$3)),COUNT($AM$2:AM42)+1,"")</x:f>
      </x:c>
    </x:row>
    <x:row r="44">
      <x:c r="AM44" t="str">
        <x:f>IF(AND('Campaign Inventory'!A48&lt;&gt;"",OR('Campaign Inventory'!BR48="Critical",'Campaign Inventory'!BR48="High",'Campaign Inventory'!N48="",'Campaign Inventory'!U48="",'Campaign Inventory'!AU48="Pending",'Campaign Inventory'!AU48="Not Available",'Campaign Inventory'!AU48="Unknown",'Campaign Inventory'!BP48="High",'Campaign Inventory'!F48=""),OR($B$3="All",'Campaign Inventory'!B48=$B$3),OR($D$3="All",'Campaign Inventory'!M48=$D$3),OR($F$3="All",'Campaign Inventory'!D48=$F$3),OR($H$3="All",'Campaign Inventory'!F48=$H$3),OR($J$3="All",'Campaign Inventory'!BR48=$J$3),OR($L$3="All",'Campaign Inventory'!H48=$L$3)),COUNT($AM$2:AM43)+1,"")</x:f>
      </x:c>
    </x:row>
    <x:row r="45">
      <x:c r="AM45" t="str">
        <x:f>IF(AND('Campaign Inventory'!A49&lt;&gt;"",OR('Campaign Inventory'!BR49="Critical",'Campaign Inventory'!BR49="High",'Campaign Inventory'!N49="",'Campaign Inventory'!U49="",'Campaign Inventory'!AU49="Pending",'Campaign Inventory'!AU49="Not Available",'Campaign Inventory'!AU49="Unknown",'Campaign Inventory'!BP49="High",'Campaign Inventory'!F49=""),OR($B$3="All",'Campaign Inventory'!B49=$B$3),OR($D$3="All",'Campaign Inventory'!M49=$D$3),OR($F$3="All",'Campaign Inventory'!D49=$F$3),OR($H$3="All",'Campaign Inventory'!F49=$H$3),OR($J$3="All",'Campaign Inventory'!BR49=$J$3),OR($L$3="All",'Campaign Inventory'!H49=$L$3)),COUNT($AM$2:AM44)+1,"")</x:f>
      </x:c>
    </x:row>
    <x:row r="46">
      <x:c r="AM46" t="str">
        <x:f>IF(AND('Campaign Inventory'!A50&lt;&gt;"",OR('Campaign Inventory'!BR50="Critical",'Campaign Inventory'!BR50="High",'Campaign Inventory'!N50="",'Campaign Inventory'!U50="",'Campaign Inventory'!AU50="Pending",'Campaign Inventory'!AU50="Not Available",'Campaign Inventory'!AU50="Unknown",'Campaign Inventory'!BP50="High",'Campaign Inventory'!F50=""),OR($B$3="All",'Campaign Inventory'!B50=$B$3),OR($D$3="All",'Campaign Inventory'!M50=$D$3),OR($F$3="All",'Campaign Inventory'!D50=$F$3),OR($H$3="All",'Campaign Inventory'!F50=$H$3),OR($J$3="All",'Campaign Inventory'!BR50=$J$3),OR($L$3="All",'Campaign Inventory'!H50=$L$3)),COUNT($AM$2:AM45)+1,"")</x:f>
      </x:c>
    </x:row>
    <x:row r="47">
      <x:c r="AM47" t="str">
        <x:f>IF(AND('Campaign Inventory'!A51&lt;&gt;"",OR('Campaign Inventory'!BR51="Critical",'Campaign Inventory'!BR51="High",'Campaign Inventory'!N51="",'Campaign Inventory'!U51="",'Campaign Inventory'!AU51="Pending",'Campaign Inventory'!AU51="Not Available",'Campaign Inventory'!AU51="Unknown",'Campaign Inventory'!BP51="High",'Campaign Inventory'!F51=""),OR($B$3="All",'Campaign Inventory'!B51=$B$3),OR($D$3="All",'Campaign Inventory'!M51=$D$3),OR($F$3="All",'Campaign Inventory'!D51=$F$3),OR($H$3="All",'Campaign Inventory'!F51=$H$3),OR($J$3="All",'Campaign Inventory'!BR51=$J$3),OR($L$3="All",'Campaign Inventory'!H51=$L$3)),COUNT($AM$2:AM46)+1,"")</x:f>
      </x:c>
    </x:row>
    <x:row r="48">
      <x:c r="AM48" t="str">
        <x:f>IF(AND('Campaign Inventory'!A52&lt;&gt;"",OR('Campaign Inventory'!BR52="Critical",'Campaign Inventory'!BR52="High",'Campaign Inventory'!N52="",'Campaign Inventory'!U52="",'Campaign Inventory'!AU52="Pending",'Campaign Inventory'!AU52="Not Available",'Campaign Inventory'!AU52="Unknown",'Campaign Inventory'!BP52="High",'Campaign Inventory'!F52=""),OR($B$3="All",'Campaign Inventory'!B52=$B$3),OR($D$3="All",'Campaign Inventory'!M52=$D$3),OR($F$3="All",'Campaign Inventory'!D52=$F$3),OR($H$3="All",'Campaign Inventory'!F52=$H$3),OR($J$3="All",'Campaign Inventory'!BR52=$J$3),OR($L$3="All",'Campaign Inventory'!H52=$L$3)),COUNT($AM$2:AM47)+1,"")</x:f>
      </x:c>
    </x:row>
    <x:row r="49">
      <x:c r="AM49" t="str">
        <x:f>IF(AND('Campaign Inventory'!A53&lt;&gt;"",OR('Campaign Inventory'!BR53="Critical",'Campaign Inventory'!BR53="High",'Campaign Inventory'!N53="",'Campaign Inventory'!U53="",'Campaign Inventory'!AU53="Pending",'Campaign Inventory'!AU53="Not Available",'Campaign Inventory'!AU53="Unknown",'Campaign Inventory'!BP53="High",'Campaign Inventory'!F53=""),OR($B$3="All",'Campaign Inventory'!B53=$B$3),OR($D$3="All",'Campaign Inventory'!M53=$D$3),OR($F$3="All",'Campaign Inventory'!D53=$F$3),OR($H$3="All",'Campaign Inventory'!F53=$H$3),OR($J$3="All",'Campaign Inventory'!BR53=$J$3),OR($L$3="All",'Campaign Inventory'!H53=$L$3)),COUNT($AM$2:AM48)+1,"")</x:f>
      </x:c>
    </x:row>
    <x:row r="50">
      <x:c r="AM50" t="str">
        <x:f>IF(AND('Campaign Inventory'!A54&lt;&gt;"",OR('Campaign Inventory'!BR54="Critical",'Campaign Inventory'!BR54="High",'Campaign Inventory'!N54="",'Campaign Inventory'!U54="",'Campaign Inventory'!AU54="Pending",'Campaign Inventory'!AU54="Not Available",'Campaign Inventory'!AU54="Unknown",'Campaign Inventory'!BP54="High",'Campaign Inventory'!F54=""),OR($B$3="All",'Campaign Inventory'!B54=$B$3),OR($D$3="All",'Campaign Inventory'!M54=$D$3),OR($F$3="All",'Campaign Inventory'!D54=$F$3),OR($H$3="All",'Campaign Inventory'!F54=$H$3),OR($J$3="All",'Campaign Inventory'!BR54=$J$3),OR($L$3="All",'Campaign Inventory'!H54=$L$3)),COUNT($AM$2:AM49)+1,"")</x:f>
      </x:c>
    </x:row>
    <x:row r="51">
      <x:c r="AM51" t="str">
        <x:f>IF(AND('Campaign Inventory'!A55&lt;&gt;"",OR('Campaign Inventory'!BR55="Critical",'Campaign Inventory'!BR55="High",'Campaign Inventory'!N55="",'Campaign Inventory'!U55="",'Campaign Inventory'!AU55="Pending",'Campaign Inventory'!AU55="Not Available",'Campaign Inventory'!AU55="Unknown",'Campaign Inventory'!BP55="High",'Campaign Inventory'!F55=""),OR($B$3="All",'Campaign Inventory'!B55=$B$3),OR($D$3="All",'Campaign Inventory'!M55=$D$3),OR($F$3="All",'Campaign Inventory'!D55=$F$3),OR($H$3="All",'Campaign Inventory'!F55=$H$3),OR($J$3="All",'Campaign Inventory'!BR55=$J$3),OR($L$3="All",'Campaign Inventory'!H55=$L$3)),COUNT($AM$2:AM50)+1,"")</x:f>
      </x:c>
    </x:row>
    <x:row r="52">
      <x:c r="AM52" t="str">
        <x:f>IF(AND('Campaign Inventory'!A56&lt;&gt;"",OR('Campaign Inventory'!BR56="Critical",'Campaign Inventory'!BR56="High",'Campaign Inventory'!N56="",'Campaign Inventory'!U56="",'Campaign Inventory'!AU56="Pending",'Campaign Inventory'!AU56="Not Available",'Campaign Inventory'!AU56="Unknown",'Campaign Inventory'!BP56="High",'Campaign Inventory'!F56=""),OR($B$3="All",'Campaign Inventory'!B56=$B$3),OR($D$3="All",'Campaign Inventory'!M56=$D$3),OR($F$3="All",'Campaign Inventory'!D56=$F$3),OR($H$3="All",'Campaign Inventory'!F56=$H$3),OR($J$3="All",'Campaign Inventory'!BR56=$J$3),OR($L$3="All",'Campaign Inventory'!H56=$L$3)),COUNT($AM$2:AM51)+1,"")</x:f>
      </x:c>
    </x:row>
    <x:row r="53">
      <x:c r="AM53" t="str">
        <x:f>IF(AND('Campaign Inventory'!A57&lt;&gt;"",OR('Campaign Inventory'!BR57="Critical",'Campaign Inventory'!BR57="High",'Campaign Inventory'!N57="",'Campaign Inventory'!U57="",'Campaign Inventory'!AU57="Pending",'Campaign Inventory'!AU57="Not Available",'Campaign Inventory'!AU57="Unknown",'Campaign Inventory'!BP57="High",'Campaign Inventory'!F57=""),OR($B$3="All",'Campaign Inventory'!B57=$B$3),OR($D$3="All",'Campaign Inventory'!M57=$D$3),OR($F$3="All",'Campaign Inventory'!D57=$F$3),OR($H$3="All",'Campaign Inventory'!F57=$H$3),OR($J$3="All",'Campaign Inventory'!BR57=$J$3),OR($L$3="All",'Campaign Inventory'!H57=$L$3)),COUNT($AM$2:AM52)+1,"")</x:f>
      </x:c>
    </x:row>
    <x:row r="54">
      <x:c r="AM54" t="str">
        <x:f>IF(AND('Campaign Inventory'!A58&lt;&gt;"",OR('Campaign Inventory'!BR58="Critical",'Campaign Inventory'!BR58="High",'Campaign Inventory'!N58="",'Campaign Inventory'!U58="",'Campaign Inventory'!AU58="Pending",'Campaign Inventory'!AU58="Not Available",'Campaign Inventory'!AU58="Unknown",'Campaign Inventory'!BP58="High",'Campaign Inventory'!F58=""),OR($B$3="All",'Campaign Inventory'!B58=$B$3),OR($D$3="All",'Campaign Inventory'!M58=$D$3),OR($F$3="All",'Campaign Inventory'!D58=$F$3),OR($H$3="All",'Campaign Inventory'!F58=$H$3),OR($J$3="All",'Campaign Inventory'!BR58=$J$3),OR($L$3="All",'Campaign Inventory'!H58=$L$3)),COUNT($AM$2:AM53)+1,"")</x:f>
      </x:c>
    </x:row>
    <x:row r="55">
      <x:c r="AM55" t="str">
        <x:f>IF(AND('Campaign Inventory'!A59&lt;&gt;"",OR('Campaign Inventory'!BR59="Critical",'Campaign Inventory'!BR59="High",'Campaign Inventory'!N59="",'Campaign Inventory'!U59="",'Campaign Inventory'!AU59="Pending",'Campaign Inventory'!AU59="Not Available",'Campaign Inventory'!AU59="Unknown",'Campaign Inventory'!BP59="High",'Campaign Inventory'!F59=""),OR($B$3="All",'Campaign Inventory'!B59=$B$3),OR($D$3="All",'Campaign Inventory'!M59=$D$3),OR($F$3="All",'Campaign Inventory'!D59=$F$3),OR($H$3="All",'Campaign Inventory'!F59=$H$3),OR($J$3="All",'Campaign Inventory'!BR59=$J$3),OR($L$3="All",'Campaign Inventory'!H59=$L$3)),COUNT($AM$2:AM54)+1,"")</x:f>
      </x:c>
    </x:row>
    <x:row r="56">
      <x:c r="AM56" t="str">
        <x:f>IF(AND('Campaign Inventory'!A60&lt;&gt;"",OR('Campaign Inventory'!BR60="Critical",'Campaign Inventory'!BR60="High",'Campaign Inventory'!N60="",'Campaign Inventory'!U60="",'Campaign Inventory'!AU60="Pending",'Campaign Inventory'!AU60="Not Available",'Campaign Inventory'!AU60="Unknown",'Campaign Inventory'!BP60="High",'Campaign Inventory'!F60=""),OR($B$3="All",'Campaign Inventory'!B60=$B$3),OR($D$3="All",'Campaign Inventory'!M60=$D$3),OR($F$3="All",'Campaign Inventory'!D60=$F$3),OR($H$3="All",'Campaign Inventory'!F60=$H$3),OR($J$3="All",'Campaign Inventory'!BR60=$J$3),OR($L$3="All",'Campaign Inventory'!H60=$L$3)),COUNT($AM$2:AM55)+1,"")</x:f>
      </x:c>
    </x:row>
    <x:row r="57">
      <x:c r="AM57" t="str">
        <x:f>IF(AND('Campaign Inventory'!A61&lt;&gt;"",OR('Campaign Inventory'!BR61="Critical",'Campaign Inventory'!BR61="High",'Campaign Inventory'!N61="",'Campaign Inventory'!U61="",'Campaign Inventory'!AU61="Pending",'Campaign Inventory'!AU61="Not Available",'Campaign Inventory'!AU61="Unknown",'Campaign Inventory'!BP61="High",'Campaign Inventory'!F61=""),OR($B$3="All",'Campaign Inventory'!B61=$B$3),OR($D$3="All",'Campaign Inventory'!M61=$D$3),OR($F$3="All",'Campaign Inventory'!D61=$F$3),OR($H$3="All",'Campaign Inventory'!F61=$H$3),OR($J$3="All",'Campaign Inventory'!BR61=$J$3),OR($L$3="All",'Campaign Inventory'!H61=$L$3)),COUNT($AM$2:AM56)+1,"")</x:f>
      </x:c>
    </x:row>
    <x:row r="58">
      <x:c r="AM58" t="str">
        <x:f>IF(AND('Campaign Inventory'!A62&lt;&gt;"",OR('Campaign Inventory'!BR62="Critical",'Campaign Inventory'!BR62="High",'Campaign Inventory'!N62="",'Campaign Inventory'!U62="",'Campaign Inventory'!AU62="Pending",'Campaign Inventory'!AU62="Not Available",'Campaign Inventory'!AU62="Unknown",'Campaign Inventory'!BP62="High",'Campaign Inventory'!F62=""),OR($B$3="All",'Campaign Inventory'!B62=$B$3),OR($D$3="All",'Campaign Inventory'!M62=$D$3),OR($F$3="All",'Campaign Inventory'!D62=$F$3),OR($H$3="All",'Campaign Inventory'!F62=$H$3),OR($J$3="All",'Campaign Inventory'!BR62=$J$3),OR($L$3="All",'Campaign Inventory'!H62=$L$3)),COUNT($AM$2:AM57)+1,"")</x:f>
      </x:c>
    </x:row>
    <x:row r="59">
      <x:c r="AM59" t="str">
        <x:f>IF(AND('Campaign Inventory'!A63&lt;&gt;"",OR('Campaign Inventory'!BR63="Critical",'Campaign Inventory'!BR63="High",'Campaign Inventory'!N63="",'Campaign Inventory'!U63="",'Campaign Inventory'!AU63="Pending",'Campaign Inventory'!AU63="Not Available",'Campaign Inventory'!AU63="Unknown",'Campaign Inventory'!BP63="High",'Campaign Inventory'!F63=""),OR($B$3="All",'Campaign Inventory'!B63=$B$3),OR($D$3="All",'Campaign Inventory'!M63=$D$3),OR($F$3="All",'Campaign Inventory'!D63=$F$3),OR($H$3="All",'Campaign Inventory'!F63=$H$3),OR($J$3="All",'Campaign Inventory'!BR63=$J$3),OR($L$3="All",'Campaign Inventory'!H63=$L$3)),COUNT($AM$2:AM58)+1,"")</x:f>
      </x:c>
    </x:row>
    <x:row r="60">
      <x:c r="AM60" t="str">
        <x:f>IF(AND('Campaign Inventory'!A64&lt;&gt;"",OR('Campaign Inventory'!BR64="Critical",'Campaign Inventory'!BR64="High",'Campaign Inventory'!N64="",'Campaign Inventory'!U64="",'Campaign Inventory'!AU64="Pending",'Campaign Inventory'!AU64="Not Available",'Campaign Inventory'!AU64="Unknown",'Campaign Inventory'!BP64="High",'Campaign Inventory'!F64=""),OR($B$3="All",'Campaign Inventory'!B64=$B$3),OR($D$3="All",'Campaign Inventory'!M64=$D$3),OR($F$3="All",'Campaign Inventory'!D64=$F$3),OR($H$3="All",'Campaign Inventory'!F64=$H$3),OR($J$3="All",'Campaign Inventory'!BR64=$J$3),OR($L$3="All",'Campaign Inventory'!H64=$L$3)),COUNT($AM$2:AM59)+1,"")</x:f>
      </x:c>
    </x:row>
    <x:row r="61">
      <x:c r="AM61" t="str">
        <x:f>IF(AND('Campaign Inventory'!A65&lt;&gt;"",OR('Campaign Inventory'!BR65="Critical",'Campaign Inventory'!BR65="High",'Campaign Inventory'!N65="",'Campaign Inventory'!U65="",'Campaign Inventory'!AU65="Pending",'Campaign Inventory'!AU65="Not Available",'Campaign Inventory'!AU65="Unknown",'Campaign Inventory'!BP65="High",'Campaign Inventory'!F65=""),OR($B$3="All",'Campaign Inventory'!B65=$B$3),OR($D$3="All",'Campaign Inventory'!M65=$D$3),OR($F$3="All",'Campaign Inventory'!D65=$F$3),OR($H$3="All",'Campaign Inventory'!F65=$H$3),OR($J$3="All",'Campaign Inventory'!BR65=$J$3),OR($L$3="All",'Campaign Inventory'!H65=$L$3)),COUNT($AM$2:AM60)+1,"")</x:f>
      </x:c>
    </x:row>
    <x:row r="62">
      <x:c r="AM62" t="str">
        <x:f>IF(AND('Campaign Inventory'!A66&lt;&gt;"",OR('Campaign Inventory'!BR66="Critical",'Campaign Inventory'!BR66="High",'Campaign Inventory'!N66="",'Campaign Inventory'!U66="",'Campaign Inventory'!AU66="Pending",'Campaign Inventory'!AU66="Not Available",'Campaign Inventory'!AU66="Unknown",'Campaign Inventory'!BP66="High",'Campaign Inventory'!F66=""),OR($B$3="All",'Campaign Inventory'!B66=$B$3),OR($D$3="All",'Campaign Inventory'!M66=$D$3),OR($F$3="All",'Campaign Inventory'!D66=$F$3),OR($H$3="All",'Campaign Inventory'!F66=$H$3),OR($J$3="All",'Campaign Inventory'!BR66=$J$3),OR($L$3="All",'Campaign Inventory'!H66=$L$3)),COUNT($AM$2:AM61)+1,"")</x:f>
      </x:c>
    </x:row>
    <x:row r="63">
      <x:c r="AM63" t="str">
        <x:f>IF(AND('Campaign Inventory'!A67&lt;&gt;"",OR('Campaign Inventory'!BR67="Critical",'Campaign Inventory'!BR67="High",'Campaign Inventory'!N67="",'Campaign Inventory'!U67="",'Campaign Inventory'!AU67="Pending",'Campaign Inventory'!AU67="Not Available",'Campaign Inventory'!AU67="Unknown",'Campaign Inventory'!BP67="High",'Campaign Inventory'!F67=""),OR($B$3="All",'Campaign Inventory'!B67=$B$3),OR($D$3="All",'Campaign Inventory'!M67=$D$3),OR($F$3="All",'Campaign Inventory'!D67=$F$3),OR($H$3="All",'Campaign Inventory'!F67=$H$3),OR($J$3="All",'Campaign Inventory'!BR67=$J$3),OR($L$3="All",'Campaign Inventory'!H67=$L$3)),COUNT($AM$2:AM62)+1,"")</x:f>
      </x:c>
    </x:row>
    <x:row r="64">
      <x:c r="AM64" t="str">
        <x:f>IF(AND('Campaign Inventory'!A68&lt;&gt;"",OR('Campaign Inventory'!BR68="Critical",'Campaign Inventory'!BR68="High",'Campaign Inventory'!N68="",'Campaign Inventory'!U68="",'Campaign Inventory'!AU68="Pending",'Campaign Inventory'!AU68="Not Available",'Campaign Inventory'!AU68="Unknown",'Campaign Inventory'!BP68="High",'Campaign Inventory'!F68=""),OR($B$3="All",'Campaign Inventory'!B68=$B$3),OR($D$3="All",'Campaign Inventory'!M68=$D$3),OR($F$3="All",'Campaign Inventory'!D68=$F$3),OR($H$3="All",'Campaign Inventory'!F68=$H$3),OR($J$3="All",'Campaign Inventory'!BR68=$J$3),OR($L$3="All",'Campaign Inventory'!H68=$L$3)),COUNT($AM$2:AM63)+1,"")</x:f>
      </x:c>
    </x:row>
    <x:row r="65">
      <x:c r="AM65" t="str">
        <x:f>IF(AND('Campaign Inventory'!A69&lt;&gt;"",OR('Campaign Inventory'!BR69="Critical",'Campaign Inventory'!BR69="High",'Campaign Inventory'!N69="",'Campaign Inventory'!U69="",'Campaign Inventory'!AU69="Pending",'Campaign Inventory'!AU69="Not Available",'Campaign Inventory'!AU69="Unknown",'Campaign Inventory'!BP69="High",'Campaign Inventory'!F69=""),OR($B$3="All",'Campaign Inventory'!B69=$B$3),OR($D$3="All",'Campaign Inventory'!M69=$D$3),OR($F$3="All",'Campaign Inventory'!D69=$F$3),OR($H$3="All",'Campaign Inventory'!F69=$H$3),OR($J$3="All",'Campaign Inventory'!BR69=$J$3),OR($L$3="All",'Campaign Inventory'!H69=$L$3)),COUNT($AM$2:AM64)+1,"")</x:f>
      </x:c>
    </x:row>
    <x:row r="66">
      <x:c r="AM66" t="str">
        <x:f>IF(AND('Campaign Inventory'!A70&lt;&gt;"",OR('Campaign Inventory'!BR70="Critical",'Campaign Inventory'!BR70="High",'Campaign Inventory'!N70="",'Campaign Inventory'!U70="",'Campaign Inventory'!AU70="Pending",'Campaign Inventory'!AU70="Not Available",'Campaign Inventory'!AU70="Unknown",'Campaign Inventory'!BP70="High",'Campaign Inventory'!F70=""),OR($B$3="All",'Campaign Inventory'!B70=$B$3),OR($D$3="All",'Campaign Inventory'!M70=$D$3),OR($F$3="All",'Campaign Inventory'!D70=$F$3),OR($H$3="All",'Campaign Inventory'!F70=$H$3),OR($J$3="All",'Campaign Inventory'!BR70=$J$3),OR($L$3="All",'Campaign Inventory'!H70=$L$3)),COUNT($AM$2:AM65)+1,"")</x:f>
      </x:c>
    </x:row>
    <x:row r="67">
      <x:c r="AM67" t="str">
        <x:f>IF(AND('Campaign Inventory'!A71&lt;&gt;"",OR('Campaign Inventory'!BR71="Critical",'Campaign Inventory'!BR71="High",'Campaign Inventory'!N71="",'Campaign Inventory'!U71="",'Campaign Inventory'!AU71="Pending",'Campaign Inventory'!AU71="Not Available",'Campaign Inventory'!AU71="Unknown",'Campaign Inventory'!BP71="High",'Campaign Inventory'!F71=""),OR($B$3="All",'Campaign Inventory'!B71=$B$3),OR($D$3="All",'Campaign Inventory'!M71=$D$3),OR($F$3="All",'Campaign Inventory'!D71=$F$3),OR($H$3="All",'Campaign Inventory'!F71=$H$3),OR($J$3="All",'Campaign Inventory'!BR71=$J$3),OR($L$3="All",'Campaign Inventory'!H71=$L$3)),COUNT($AM$2:AM66)+1,"")</x:f>
      </x:c>
    </x:row>
    <x:row r="68">
      <x:c r="AM68" t="str">
        <x:f>IF(AND('Campaign Inventory'!A72&lt;&gt;"",OR('Campaign Inventory'!BR72="Critical",'Campaign Inventory'!BR72="High",'Campaign Inventory'!N72="",'Campaign Inventory'!U72="",'Campaign Inventory'!AU72="Pending",'Campaign Inventory'!AU72="Not Available",'Campaign Inventory'!AU72="Unknown",'Campaign Inventory'!BP72="High",'Campaign Inventory'!F72=""),OR($B$3="All",'Campaign Inventory'!B72=$B$3),OR($D$3="All",'Campaign Inventory'!M72=$D$3),OR($F$3="All",'Campaign Inventory'!D72=$F$3),OR($H$3="All",'Campaign Inventory'!F72=$H$3),OR($J$3="All",'Campaign Inventory'!BR72=$J$3),OR($L$3="All",'Campaign Inventory'!H72=$L$3)),COUNT($AM$2:AM67)+1,"")</x:f>
      </x:c>
    </x:row>
    <x:row r="69">
      <x:c r="AM69" t="str">
        <x:f>IF(AND('Campaign Inventory'!A73&lt;&gt;"",OR('Campaign Inventory'!BR73="Critical",'Campaign Inventory'!BR73="High",'Campaign Inventory'!N73="",'Campaign Inventory'!U73="",'Campaign Inventory'!AU73="Pending",'Campaign Inventory'!AU73="Not Available",'Campaign Inventory'!AU73="Unknown",'Campaign Inventory'!BP73="High",'Campaign Inventory'!F73=""),OR($B$3="All",'Campaign Inventory'!B73=$B$3),OR($D$3="All",'Campaign Inventory'!M73=$D$3),OR($F$3="All",'Campaign Inventory'!D73=$F$3),OR($H$3="All",'Campaign Inventory'!F73=$H$3),OR($J$3="All",'Campaign Inventory'!BR73=$J$3),OR($L$3="All",'Campaign Inventory'!H73=$L$3)),COUNT($AM$2:AM68)+1,"")</x:f>
      </x:c>
    </x:row>
    <x:row r="70">
      <x:c r="AM70" t="str">
        <x:f>IF(AND('Campaign Inventory'!A74&lt;&gt;"",OR('Campaign Inventory'!BR74="Critical",'Campaign Inventory'!BR74="High",'Campaign Inventory'!N74="",'Campaign Inventory'!U74="",'Campaign Inventory'!AU74="Pending",'Campaign Inventory'!AU74="Not Available",'Campaign Inventory'!AU74="Unknown",'Campaign Inventory'!BP74="High",'Campaign Inventory'!F74=""),OR($B$3="All",'Campaign Inventory'!B74=$B$3),OR($D$3="All",'Campaign Inventory'!M74=$D$3),OR($F$3="All",'Campaign Inventory'!D74=$F$3),OR($H$3="All",'Campaign Inventory'!F74=$H$3),OR($J$3="All",'Campaign Inventory'!BR74=$J$3),OR($L$3="All",'Campaign Inventory'!H74=$L$3)),COUNT($AM$2:AM69)+1,"")</x:f>
      </x:c>
    </x:row>
    <x:row r="71">
      <x:c r="AM71" t="str">
        <x:f>IF(AND('Campaign Inventory'!A75&lt;&gt;"",OR('Campaign Inventory'!BR75="Critical",'Campaign Inventory'!BR75="High",'Campaign Inventory'!N75="",'Campaign Inventory'!U75="",'Campaign Inventory'!AU75="Pending",'Campaign Inventory'!AU75="Not Available",'Campaign Inventory'!AU75="Unknown",'Campaign Inventory'!BP75="High",'Campaign Inventory'!F75=""),OR($B$3="All",'Campaign Inventory'!B75=$B$3),OR($D$3="All",'Campaign Inventory'!M75=$D$3),OR($F$3="All",'Campaign Inventory'!D75=$F$3),OR($H$3="All",'Campaign Inventory'!F75=$H$3),OR($J$3="All",'Campaign Inventory'!BR75=$J$3),OR($L$3="All",'Campaign Inventory'!H75=$L$3)),COUNT($AM$2:AM70)+1,"")</x:f>
      </x:c>
    </x:row>
    <x:row r="72">
      <x:c r="AM72" t="str">
        <x:f>IF(AND('Campaign Inventory'!A76&lt;&gt;"",OR('Campaign Inventory'!BR76="Critical",'Campaign Inventory'!BR76="High",'Campaign Inventory'!N76="",'Campaign Inventory'!U76="",'Campaign Inventory'!AU76="Pending",'Campaign Inventory'!AU76="Not Available",'Campaign Inventory'!AU76="Unknown",'Campaign Inventory'!BP76="High",'Campaign Inventory'!F76=""),OR($B$3="All",'Campaign Inventory'!B76=$B$3),OR($D$3="All",'Campaign Inventory'!M76=$D$3),OR($F$3="All",'Campaign Inventory'!D76=$F$3),OR($H$3="All",'Campaign Inventory'!F76=$H$3),OR($J$3="All",'Campaign Inventory'!BR76=$J$3),OR($L$3="All",'Campaign Inventory'!H76=$L$3)),COUNT($AM$2:AM71)+1,"")</x:f>
      </x:c>
    </x:row>
    <x:row r="73">
      <x:c r="AM73" t="str">
        <x:f>IF(AND('Campaign Inventory'!A77&lt;&gt;"",OR('Campaign Inventory'!BR77="Critical",'Campaign Inventory'!BR77="High",'Campaign Inventory'!N77="",'Campaign Inventory'!U77="",'Campaign Inventory'!AU77="Pending",'Campaign Inventory'!AU77="Not Available",'Campaign Inventory'!AU77="Unknown",'Campaign Inventory'!BP77="High",'Campaign Inventory'!F77=""),OR($B$3="All",'Campaign Inventory'!B77=$B$3),OR($D$3="All",'Campaign Inventory'!M77=$D$3),OR($F$3="All",'Campaign Inventory'!D77=$F$3),OR($H$3="All",'Campaign Inventory'!F77=$H$3),OR($J$3="All",'Campaign Inventory'!BR77=$J$3),OR($L$3="All",'Campaign Inventory'!H77=$L$3)),COUNT($AM$2:AM72)+1,"")</x:f>
      </x:c>
    </x:row>
    <x:row r="74">
      <x:c r="AM74" t="str">
        <x:f>IF(AND('Campaign Inventory'!A78&lt;&gt;"",OR('Campaign Inventory'!BR78="Critical",'Campaign Inventory'!BR78="High",'Campaign Inventory'!N78="",'Campaign Inventory'!U78="",'Campaign Inventory'!AU78="Pending",'Campaign Inventory'!AU78="Not Available",'Campaign Inventory'!AU78="Unknown",'Campaign Inventory'!BP78="High",'Campaign Inventory'!F78=""),OR($B$3="All",'Campaign Inventory'!B78=$B$3),OR($D$3="All",'Campaign Inventory'!M78=$D$3),OR($F$3="All",'Campaign Inventory'!D78=$F$3),OR($H$3="All",'Campaign Inventory'!F78=$H$3),OR($J$3="All",'Campaign Inventory'!BR78=$J$3),OR($L$3="All",'Campaign Inventory'!H78=$L$3)),COUNT($AM$2:AM73)+1,"")</x:f>
      </x:c>
    </x:row>
    <x:row r="75">
      <x:c r="AM75" t="str">
        <x:f>IF(AND('Campaign Inventory'!A79&lt;&gt;"",OR('Campaign Inventory'!BR79="Critical",'Campaign Inventory'!BR79="High",'Campaign Inventory'!N79="",'Campaign Inventory'!U79="",'Campaign Inventory'!AU79="Pending",'Campaign Inventory'!AU79="Not Available",'Campaign Inventory'!AU79="Unknown",'Campaign Inventory'!BP79="High",'Campaign Inventory'!F79=""),OR($B$3="All",'Campaign Inventory'!B79=$B$3),OR($D$3="All",'Campaign Inventory'!M79=$D$3),OR($F$3="All",'Campaign Inventory'!D79=$F$3),OR($H$3="All",'Campaign Inventory'!F79=$H$3),OR($J$3="All",'Campaign Inventory'!BR79=$J$3),OR($L$3="All",'Campaign Inventory'!H79=$L$3)),COUNT($AM$2:AM74)+1,"")</x:f>
      </x:c>
    </x:row>
    <x:row r="76">
      <x:c r="AM76" t="str">
        <x:f>IF(AND('Campaign Inventory'!A80&lt;&gt;"",OR('Campaign Inventory'!BR80="Critical",'Campaign Inventory'!BR80="High",'Campaign Inventory'!N80="",'Campaign Inventory'!U80="",'Campaign Inventory'!AU80="Pending",'Campaign Inventory'!AU80="Not Available",'Campaign Inventory'!AU80="Unknown",'Campaign Inventory'!BP80="High",'Campaign Inventory'!F80=""),OR($B$3="All",'Campaign Inventory'!B80=$B$3),OR($D$3="All",'Campaign Inventory'!M80=$D$3),OR($F$3="All",'Campaign Inventory'!D80=$F$3),OR($H$3="All",'Campaign Inventory'!F80=$H$3),OR($J$3="All",'Campaign Inventory'!BR80=$J$3),OR($L$3="All",'Campaign Inventory'!H80=$L$3)),COUNT($AM$2:AM75)+1,"")</x:f>
      </x:c>
    </x:row>
    <x:row r="77">
      <x:c r="AM77" t="str">
        <x:f>IF(AND('Campaign Inventory'!A81&lt;&gt;"",OR('Campaign Inventory'!BR81="Critical",'Campaign Inventory'!BR81="High",'Campaign Inventory'!N81="",'Campaign Inventory'!U81="",'Campaign Inventory'!AU81="Pending",'Campaign Inventory'!AU81="Not Available",'Campaign Inventory'!AU81="Unknown",'Campaign Inventory'!BP81="High",'Campaign Inventory'!F81=""),OR($B$3="All",'Campaign Inventory'!B81=$B$3),OR($D$3="All",'Campaign Inventory'!M81=$D$3),OR($F$3="All",'Campaign Inventory'!D81=$F$3),OR($H$3="All",'Campaign Inventory'!F81=$H$3),OR($J$3="All",'Campaign Inventory'!BR81=$J$3),OR($L$3="All",'Campaign Inventory'!H81=$L$3)),COUNT($AM$2:AM76)+1,"")</x:f>
      </x:c>
    </x:row>
    <x:row r="78">
      <x:c r="AM78" t="str">
        <x:f>IF(AND('Campaign Inventory'!A82&lt;&gt;"",OR('Campaign Inventory'!BR82="Critical",'Campaign Inventory'!BR82="High",'Campaign Inventory'!N82="",'Campaign Inventory'!U82="",'Campaign Inventory'!AU82="Pending",'Campaign Inventory'!AU82="Not Available",'Campaign Inventory'!AU82="Unknown",'Campaign Inventory'!BP82="High",'Campaign Inventory'!F82=""),OR($B$3="All",'Campaign Inventory'!B82=$B$3),OR($D$3="All",'Campaign Inventory'!M82=$D$3),OR($F$3="All",'Campaign Inventory'!D82=$F$3),OR($H$3="All",'Campaign Inventory'!F82=$H$3),OR($J$3="All",'Campaign Inventory'!BR82=$J$3),OR($L$3="All",'Campaign Inventory'!H82=$L$3)),COUNT($AM$2:AM77)+1,"")</x:f>
      </x:c>
    </x:row>
    <x:row r="79">
      <x:c r="AM79" t="str">
        <x:f>IF(AND('Campaign Inventory'!A83&lt;&gt;"",OR('Campaign Inventory'!BR83="Critical",'Campaign Inventory'!BR83="High",'Campaign Inventory'!N83="",'Campaign Inventory'!U83="",'Campaign Inventory'!AU83="Pending",'Campaign Inventory'!AU83="Not Available",'Campaign Inventory'!AU83="Unknown",'Campaign Inventory'!BP83="High",'Campaign Inventory'!F83=""),OR($B$3="All",'Campaign Inventory'!B83=$B$3),OR($D$3="All",'Campaign Inventory'!M83=$D$3),OR($F$3="All",'Campaign Inventory'!D83=$F$3),OR($H$3="All",'Campaign Inventory'!F83=$H$3),OR($J$3="All",'Campaign Inventory'!BR83=$J$3),OR($L$3="All",'Campaign Inventory'!H83=$L$3)),COUNT($AM$2:AM78)+1,"")</x:f>
      </x:c>
    </x:row>
    <x:row r="80">
      <x:c r="AM80" t="str">
        <x:f>IF(AND('Campaign Inventory'!A84&lt;&gt;"",OR('Campaign Inventory'!BR84="Critical",'Campaign Inventory'!BR84="High",'Campaign Inventory'!N84="",'Campaign Inventory'!U84="",'Campaign Inventory'!AU84="Pending",'Campaign Inventory'!AU84="Not Available",'Campaign Inventory'!AU84="Unknown",'Campaign Inventory'!BP84="High",'Campaign Inventory'!F84=""),OR($B$3="All",'Campaign Inventory'!B84=$B$3),OR($D$3="All",'Campaign Inventory'!M84=$D$3),OR($F$3="All",'Campaign Inventory'!D84=$F$3),OR($H$3="All",'Campaign Inventory'!F84=$H$3),OR($J$3="All",'Campaign Inventory'!BR84=$J$3),OR($L$3="All",'Campaign Inventory'!H84=$L$3)),COUNT($AM$2:AM79)+1,"")</x:f>
      </x:c>
    </x:row>
    <x:row r="81">
      <x:c r="AM81" t="str">
        <x:f>IF(AND('Campaign Inventory'!A85&lt;&gt;"",OR('Campaign Inventory'!BR85="Critical",'Campaign Inventory'!BR85="High",'Campaign Inventory'!N85="",'Campaign Inventory'!U85="",'Campaign Inventory'!AU85="Pending",'Campaign Inventory'!AU85="Not Available",'Campaign Inventory'!AU85="Unknown",'Campaign Inventory'!BP85="High",'Campaign Inventory'!F85=""),OR($B$3="All",'Campaign Inventory'!B85=$B$3),OR($D$3="All",'Campaign Inventory'!M85=$D$3),OR($F$3="All",'Campaign Inventory'!D85=$F$3),OR($H$3="All",'Campaign Inventory'!F85=$H$3),OR($J$3="All",'Campaign Inventory'!BR85=$J$3),OR($L$3="All",'Campaign Inventory'!H85=$L$3)),COUNT($AM$2:AM80)+1,"")</x:f>
      </x:c>
    </x:row>
    <x:row r="82">
      <x:c r="AM82" t="str">
        <x:f>IF(AND('Campaign Inventory'!A86&lt;&gt;"",OR('Campaign Inventory'!BR86="Critical",'Campaign Inventory'!BR86="High",'Campaign Inventory'!N86="",'Campaign Inventory'!U86="",'Campaign Inventory'!AU86="Pending",'Campaign Inventory'!AU86="Not Available",'Campaign Inventory'!AU86="Unknown",'Campaign Inventory'!BP86="High",'Campaign Inventory'!F86=""),OR($B$3="All",'Campaign Inventory'!B86=$B$3),OR($D$3="All",'Campaign Inventory'!M86=$D$3),OR($F$3="All",'Campaign Inventory'!D86=$F$3),OR($H$3="All",'Campaign Inventory'!F86=$H$3),OR($J$3="All",'Campaign Inventory'!BR86=$J$3),OR($L$3="All",'Campaign Inventory'!H86=$L$3)),COUNT($AM$2:AM81)+1,"")</x:f>
      </x:c>
    </x:row>
    <x:row r="83">
      <x:c r="AM83" t="str">
        <x:f>IF(AND('Campaign Inventory'!A87&lt;&gt;"",OR('Campaign Inventory'!BR87="Critical",'Campaign Inventory'!BR87="High",'Campaign Inventory'!N87="",'Campaign Inventory'!U87="",'Campaign Inventory'!AU87="Pending",'Campaign Inventory'!AU87="Not Available",'Campaign Inventory'!AU87="Unknown",'Campaign Inventory'!BP87="High",'Campaign Inventory'!F87=""),OR($B$3="All",'Campaign Inventory'!B87=$B$3),OR($D$3="All",'Campaign Inventory'!M87=$D$3),OR($F$3="All",'Campaign Inventory'!D87=$F$3),OR($H$3="All",'Campaign Inventory'!F87=$H$3),OR($J$3="All",'Campaign Inventory'!BR87=$J$3),OR($L$3="All",'Campaign Inventory'!H87=$L$3)),COUNT($AM$2:AM82)+1,"")</x:f>
      </x:c>
    </x:row>
    <x:row r="84">
      <x:c r="AM84" t="str">
        <x:f>IF(AND('Campaign Inventory'!A88&lt;&gt;"",OR('Campaign Inventory'!BR88="Critical",'Campaign Inventory'!BR88="High",'Campaign Inventory'!N88="",'Campaign Inventory'!U88="",'Campaign Inventory'!AU88="Pending",'Campaign Inventory'!AU88="Not Available",'Campaign Inventory'!AU88="Unknown",'Campaign Inventory'!BP88="High",'Campaign Inventory'!F88=""),OR($B$3="All",'Campaign Inventory'!B88=$B$3),OR($D$3="All",'Campaign Inventory'!M88=$D$3),OR($F$3="All",'Campaign Inventory'!D88=$F$3),OR($H$3="All",'Campaign Inventory'!F88=$H$3),OR($J$3="All",'Campaign Inventory'!BR88=$J$3),OR($L$3="All",'Campaign Inventory'!H88=$L$3)),COUNT($AM$2:AM83)+1,"")</x:f>
      </x:c>
    </x:row>
    <x:row r="85">
      <x:c r="AM85" t="str">
        <x:f>IF(AND('Campaign Inventory'!A89&lt;&gt;"",OR('Campaign Inventory'!BR89="Critical",'Campaign Inventory'!BR89="High",'Campaign Inventory'!N89="",'Campaign Inventory'!U89="",'Campaign Inventory'!AU89="Pending",'Campaign Inventory'!AU89="Not Available",'Campaign Inventory'!AU89="Unknown",'Campaign Inventory'!BP89="High",'Campaign Inventory'!F89=""),OR($B$3="All",'Campaign Inventory'!B89=$B$3),OR($D$3="All",'Campaign Inventory'!M89=$D$3),OR($F$3="All",'Campaign Inventory'!D89=$F$3),OR($H$3="All",'Campaign Inventory'!F89=$H$3),OR($J$3="All",'Campaign Inventory'!BR89=$J$3),OR($L$3="All",'Campaign Inventory'!H89=$L$3)),COUNT($AM$2:AM84)+1,"")</x:f>
      </x:c>
    </x:row>
    <x:row r="86">
      <x:c r="AM86" t="str">
        <x:f>IF(AND('Campaign Inventory'!A90&lt;&gt;"",OR('Campaign Inventory'!BR90="Critical",'Campaign Inventory'!BR90="High",'Campaign Inventory'!N90="",'Campaign Inventory'!U90="",'Campaign Inventory'!AU90="Pending",'Campaign Inventory'!AU90="Not Available",'Campaign Inventory'!AU90="Unknown",'Campaign Inventory'!BP90="High",'Campaign Inventory'!F90=""),OR($B$3="All",'Campaign Inventory'!B90=$B$3),OR($D$3="All",'Campaign Inventory'!M90=$D$3),OR($F$3="All",'Campaign Inventory'!D90=$F$3),OR($H$3="All",'Campaign Inventory'!F90=$H$3),OR($J$3="All",'Campaign Inventory'!BR90=$J$3),OR($L$3="All",'Campaign Inventory'!H90=$L$3)),COUNT($AM$2:AM85)+1,"")</x:f>
      </x:c>
    </x:row>
    <x:row r="87">
      <x:c r="AM87" t="str">
        <x:f>IF(AND('Campaign Inventory'!A91&lt;&gt;"",OR('Campaign Inventory'!BR91="Critical",'Campaign Inventory'!BR91="High",'Campaign Inventory'!N91="",'Campaign Inventory'!U91="",'Campaign Inventory'!AU91="Pending",'Campaign Inventory'!AU91="Not Available",'Campaign Inventory'!AU91="Unknown",'Campaign Inventory'!BP91="High",'Campaign Inventory'!F91=""),OR($B$3="All",'Campaign Inventory'!B91=$B$3),OR($D$3="All",'Campaign Inventory'!M91=$D$3),OR($F$3="All",'Campaign Inventory'!D91=$F$3),OR($H$3="All",'Campaign Inventory'!F91=$H$3),OR($J$3="All",'Campaign Inventory'!BR91=$J$3),OR($L$3="All",'Campaign Inventory'!H91=$L$3)),COUNT($AM$2:AM86)+1,"")</x:f>
      </x:c>
    </x:row>
    <x:row r="88">
      <x:c r="AM88" t="str">
        <x:f>IF(AND('Campaign Inventory'!A92&lt;&gt;"",OR('Campaign Inventory'!BR92="Critical",'Campaign Inventory'!BR92="High",'Campaign Inventory'!N92="",'Campaign Inventory'!U92="",'Campaign Inventory'!AU92="Pending",'Campaign Inventory'!AU92="Not Available",'Campaign Inventory'!AU92="Unknown",'Campaign Inventory'!BP92="High",'Campaign Inventory'!F92=""),OR($B$3="All",'Campaign Inventory'!B92=$B$3),OR($D$3="All",'Campaign Inventory'!M92=$D$3),OR($F$3="All",'Campaign Inventory'!D92=$F$3),OR($H$3="All",'Campaign Inventory'!F92=$H$3),OR($J$3="All",'Campaign Inventory'!BR92=$J$3),OR($L$3="All",'Campaign Inventory'!H92=$L$3)),COUNT($AM$2:AM87)+1,"")</x:f>
      </x:c>
    </x:row>
    <x:row r="89">
      <x:c r="AM89" t="str">
        <x:f>IF(AND('Campaign Inventory'!A93&lt;&gt;"",OR('Campaign Inventory'!BR93="Critical",'Campaign Inventory'!BR93="High",'Campaign Inventory'!N93="",'Campaign Inventory'!U93="",'Campaign Inventory'!AU93="Pending",'Campaign Inventory'!AU93="Not Available",'Campaign Inventory'!AU93="Unknown",'Campaign Inventory'!BP93="High",'Campaign Inventory'!F93=""),OR($B$3="All",'Campaign Inventory'!B93=$B$3),OR($D$3="All",'Campaign Inventory'!M93=$D$3),OR($F$3="All",'Campaign Inventory'!D93=$F$3),OR($H$3="All",'Campaign Inventory'!F93=$H$3),OR($J$3="All",'Campaign Inventory'!BR93=$J$3),OR($L$3="All",'Campaign Inventory'!H93=$L$3)),COUNT($AM$2:AM88)+1,"")</x:f>
      </x:c>
    </x:row>
    <x:row r="90">
      <x:c r="AM90" t="str">
        <x:f>IF(AND('Campaign Inventory'!A94&lt;&gt;"",OR('Campaign Inventory'!BR94="Critical",'Campaign Inventory'!BR94="High",'Campaign Inventory'!N94="",'Campaign Inventory'!U94="",'Campaign Inventory'!AU94="Pending",'Campaign Inventory'!AU94="Not Available",'Campaign Inventory'!AU94="Unknown",'Campaign Inventory'!BP94="High",'Campaign Inventory'!F94=""),OR($B$3="All",'Campaign Inventory'!B94=$B$3),OR($D$3="All",'Campaign Inventory'!M94=$D$3),OR($F$3="All",'Campaign Inventory'!D94=$F$3),OR($H$3="All",'Campaign Inventory'!F94=$H$3),OR($J$3="All",'Campaign Inventory'!BR94=$J$3),OR($L$3="All",'Campaign Inventory'!H94=$L$3)),COUNT($AM$2:AM89)+1,"")</x:f>
      </x:c>
    </x:row>
    <x:row r="91">
      <x:c r="AM91" t="str">
        <x:f>IF(AND('Campaign Inventory'!A95&lt;&gt;"",OR('Campaign Inventory'!BR95="Critical",'Campaign Inventory'!BR95="High",'Campaign Inventory'!N95="",'Campaign Inventory'!U95="",'Campaign Inventory'!AU95="Pending",'Campaign Inventory'!AU95="Not Available",'Campaign Inventory'!AU95="Unknown",'Campaign Inventory'!BP95="High",'Campaign Inventory'!F95=""),OR($B$3="All",'Campaign Inventory'!B95=$B$3),OR($D$3="All",'Campaign Inventory'!M95=$D$3),OR($F$3="All",'Campaign Inventory'!D95=$F$3),OR($H$3="All",'Campaign Inventory'!F95=$H$3),OR($J$3="All",'Campaign Inventory'!BR95=$J$3),OR($L$3="All",'Campaign Inventory'!H95=$L$3)),COUNT($AM$2:AM90)+1,"")</x:f>
      </x:c>
    </x:row>
    <x:row r="92">
      <x:c r="AM92" t="str">
        <x:f>IF(AND('Campaign Inventory'!A96&lt;&gt;"",OR('Campaign Inventory'!BR96="Critical",'Campaign Inventory'!BR96="High",'Campaign Inventory'!N96="",'Campaign Inventory'!U96="",'Campaign Inventory'!AU96="Pending",'Campaign Inventory'!AU96="Not Available",'Campaign Inventory'!AU96="Unknown",'Campaign Inventory'!BP96="High",'Campaign Inventory'!F96=""),OR($B$3="All",'Campaign Inventory'!B96=$B$3),OR($D$3="All",'Campaign Inventory'!M96=$D$3),OR($F$3="All",'Campaign Inventory'!D96=$F$3),OR($H$3="All",'Campaign Inventory'!F96=$H$3),OR($J$3="All",'Campaign Inventory'!BR96=$J$3),OR($L$3="All",'Campaign Inventory'!H96=$L$3)),COUNT($AM$2:AM91)+1,"")</x:f>
      </x:c>
    </x:row>
    <x:row r="93">
      <x:c r="AM93" t="str">
        <x:f>IF(AND('Campaign Inventory'!A97&lt;&gt;"",OR('Campaign Inventory'!BR97="Critical",'Campaign Inventory'!BR97="High",'Campaign Inventory'!N97="",'Campaign Inventory'!U97="",'Campaign Inventory'!AU97="Pending",'Campaign Inventory'!AU97="Not Available",'Campaign Inventory'!AU97="Unknown",'Campaign Inventory'!BP97="High",'Campaign Inventory'!F97=""),OR($B$3="All",'Campaign Inventory'!B97=$B$3),OR($D$3="All",'Campaign Inventory'!M97=$D$3),OR($F$3="All",'Campaign Inventory'!D97=$F$3),OR($H$3="All",'Campaign Inventory'!F97=$H$3),OR($J$3="All",'Campaign Inventory'!BR97=$J$3),OR($L$3="All",'Campaign Inventory'!H97=$L$3)),COUNT($AM$2:AM92)+1,"")</x:f>
      </x:c>
    </x:row>
    <x:row r="94">
      <x:c r="AM94" t="str">
        <x:f>IF(AND('Campaign Inventory'!A98&lt;&gt;"",OR('Campaign Inventory'!BR98="Critical",'Campaign Inventory'!BR98="High",'Campaign Inventory'!N98="",'Campaign Inventory'!U98="",'Campaign Inventory'!AU98="Pending",'Campaign Inventory'!AU98="Not Available",'Campaign Inventory'!AU98="Unknown",'Campaign Inventory'!BP98="High",'Campaign Inventory'!F98=""),OR($B$3="All",'Campaign Inventory'!B98=$B$3),OR($D$3="All",'Campaign Inventory'!M98=$D$3),OR($F$3="All",'Campaign Inventory'!D98=$F$3),OR($H$3="All",'Campaign Inventory'!F98=$H$3),OR($J$3="All",'Campaign Inventory'!BR98=$J$3),OR($L$3="All",'Campaign Inventory'!H98=$L$3)),COUNT($AM$2:AM93)+1,"")</x:f>
      </x:c>
    </x:row>
    <x:row r="95">
      <x:c r="AM95" t="str">
        <x:f>IF(AND('Campaign Inventory'!A99&lt;&gt;"",OR('Campaign Inventory'!BR99="Critical",'Campaign Inventory'!BR99="High",'Campaign Inventory'!N99="",'Campaign Inventory'!U99="",'Campaign Inventory'!AU99="Pending",'Campaign Inventory'!AU99="Not Available",'Campaign Inventory'!AU99="Unknown",'Campaign Inventory'!BP99="High",'Campaign Inventory'!F99=""),OR($B$3="All",'Campaign Inventory'!B99=$B$3),OR($D$3="All",'Campaign Inventory'!M99=$D$3),OR($F$3="All",'Campaign Inventory'!D99=$F$3),OR($H$3="All",'Campaign Inventory'!F99=$H$3),OR($J$3="All",'Campaign Inventory'!BR99=$J$3),OR($L$3="All",'Campaign Inventory'!H99=$L$3)),COUNT($AM$2:AM94)+1,"")</x:f>
      </x:c>
    </x:row>
    <x:row r="96">
      <x:c r="AM96" t="str">
        <x:f>IF(AND('Campaign Inventory'!A100&lt;&gt;"",OR('Campaign Inventory'!BR100="Critical",'Campaign Inventory'!BR100="High",'Campaign Inventory'!N100="",'Campaign Inventory'!U100="",'Campaign Inventory'!AU100="Pending",'Campaign Inventory'!AU100="Not Available",'Campaign Inventory'!AU100="Unknown",'Campaign Inventory'!BP100="High",'Campaign Inventory'!F100=""),OR($B$3="All",'Campaign Inventory'!B100=$B$3),OR($D$3="All",'Campaign Inventory'!M100=$D$3),OR($F$3="All",'Campaign Inventory'!D100=$F$3),OR($H$3="All",'Campaign Inventory'!F100=$H$3),OR($J$3="All",'Campaign Inventory'!BR100=$J$3),OR($L$3="All",'Campaign Inventory'!H100=$L$3)),COUNT($AM$2:AM95)+1,"")</x:f>
      </x:c>
    </x:row>
    <x:row r="97">
      <x:c r="AM97" t="str">
        <x:f>IF(AND('Campaign Inventory'!A101&lt;&gt;"",OR('Campaign Inventory'!BR101="Critical",'Campaign Inventory'!BR101="High",'Campaign Inventory'!N101="",'Campaign Inventory'!U101="",'Campaign Inventory'!AU101="Pending",'Campaign Inventory'!AU101="Not Available",'Campaign Inventory'!AU101="Unknown",'Campaign Inventory'!BP101="High",'Campaign Inventory'!F101=""),OR($B$3="All",'Campaign Inventory'!B101=$B$3),OR($D$3="All",'Campaign Inventory'!M101=$D$3),OR($F$3="All",'Campaign Inventory'!D101=$F$3),OR($H$3="All",'Campaign Inventory'!F101=$H$3),OR($J$3="All",'Campaign Inventory'!BR101=$J$3),OR($L$3="All",'Campaign Inventory'!H101=$L$3)),COUNT($AM$2:AM96)+1,"")</x:f>
      </x:c>
    </x:row>
    <x:row r="98">
      <x:c r="AM98" t="str">
        <x:f>IF(AND('Campaign Inventory'!A102&lt;&gt;"",OR('Campaign Inventory'!BR102="Critical",'Campaign Inventory'!BR102="High",'Campaign Inventory'!N102="",'Campaign Inventory'!U102="",'Campaign Inventory'!AU102="Pending",'Campaign Inventory'!AU102="Not Available",'Campaign Inventory'!AU102="Unknown",'Campaign Inventory'!BP102="High",'Campaign Inventory'!F102=""),OR($B$3="All",'Campaign Inventory'!B102=$B$3),OR($D$3="All",'Campaign Inventory'!M102=$D$3),OR($F$3="All",'Campaign Inventory'!D102=$F$3),OR($H$3="All",'Campaign Inventory'!F102=$H$3),OR($J$3="All",'Campaign Inventory'!BR102=$J$3),OR($L$3="All",'Campaign Inventory'!H102=$L$3)),COUNT($AM$2:AM97)+1,"")</x:f>
      </x:c>
    </x:row>
    <x:row r="99">
      <x:c r="AM99" t="str">
        <x:f>IF(AND('Campaign Inventory'!A103&lt;&gt;"",OR('Campaign Inventory'!BR103="Critical",'Campaign Inventory'!BR103="High",'Campaign Inventory'!N103="",'Campaign Inventory'!U103="",'Campaign Inventory'!AU103="Pending",'Campaign Inventory'!AU103="Not Available",'Campaign Inventory'!AU103="Unknown",'Campaign Inventory'!BP103="High",'Campaign Inventory'!F103=""),OR($B$3="All",'Campaign Inventory'!B103=$B$3),OR($D$3="All",'Campaign Inventory'!M103=$D$3),OR($F$3="All",'Campaign Inventory'!D103=$F$3),OR($H$3="All",'Campaign Inventory'!F103=$H$3),OR($J$3="All",'Campaign Inventory'!BR103=$J$3),OR($L$3="All",'Campaign Inventory'!H103=$L$3)),COUNT($AM$2:AM98)+1,"")</x:f>
      </x:c>
    </x:row>
    <x:row r="100">
      <x:c r="AM100" t="str">
        <x:f>IF(AND('Campaign Inventory'!A104&lt;&gt;"",OR('Campaign Inventory'!BR104="Critical",'Campaign Inventory'!BR104="High",'Campaign Inventory'!N104="",'Campaign Inventory'!U104="",'Campaign Inventory'!AU104="Pending",'Campaign Inventory'!AU104="Not Available",'Campaign Inventory'!AU104="Unknown",'Campaign Inventory'!BP104="High",'Campaign Inventory'!F104=""),OR($B$3="All",'Campaign Inventory'!B104=$B$3),OR($D$3="All",'Campaign Inventory'!M104=$D$3),OR($F$3="All",'Campaign Inventory'!D104=$F$3),OR($H$3="All",'Campaign Inventory'!F104=$H$3),OR($J$3="All",'Campaign Inventory'!BR104=$J$3),OR($L$3="All",'Campaign Inventory'!H104=$L$3)),COUNT($AM$2:AM99)+1,"")</x:f>
      </x:c>
    </x:row>
    <x:row r="101">
      <x:c r="AM101" t="str">
        <x:f>IF(AND('Campaign Inventory'!A105&lt;&gt;"",OR('Campaign Inventory'!BR105="Critical",'Campaign Inventory'!BR105="High",'Campaign Inventory'!N105="",'Campaign Inventory'!U105="",'Campaign Inventory'!AU105="Pending",'Campaign Inventory'!AU105="Not Available",'Campaign Inventory'!AU105="Unknown",'Campaign Inventory'!BP105="High",'Campaign Inventory'!F105=""),OR($B$3="All",'Campaign Inventory'!B105=$B$3),OR($D$3="All",'Campaign Inventory'!M105=$D$3),OR($F$3="All",'Campaign Inventory'!D105=$F$3),OR($H$3="All",'Campaign Inventory'!F105=$H$3),OR($J$3="All",'Campaign Inventory'!BR105=$J$3),OR($L$3="All",'Campaign Inventory'!H105=$L$3)),COUNT($AM$2:AM100)+1,"")</x:f>
      </x:c>
    </x:row>
    <x:row r="102">
      <x:c r="AM102" t="str">
        <x:f>IF(AND('Campaign Inventory'!A106&lt;&gt;"",OR('Campaign Inventory'!BR106="Critical",'Campaign Inventory'!BR106="High",'Campaign Inventory'!N106="",'Campaign Inventory'!U106="",'Campaign Inventory'!AU106="Pending",'Campaign Inventory'!AU106="Not Available",'Campaign Inventory'!AU106="Unknown",'Campaign Inventory'!BP106="High",'Campaign Inventory'!F106=""),OR($B$3="All",'Campaign Inventory'!B106=$B$3),OR($D$3="All",'Campaign Inventory'!M106=$D$3),OR($F$3="All",'Campaign Inventory'!D106=$F$3),OR($H$3="All",'Campaign Inventory'!F106=$H$3),OR($J$3="All",'Campaign Inventory'!BR106=$J$3),OR($L$3="All",'Campaign Inventory'!H106=$L$3)),COUNT($AM$2:AM101)+1,"")</x:f>
      </x:c>
    </x:row>
    <x:row r="103">
      <x:c r="AM103" t="str">
        <x:f>IF(AND('Campaign Inventory'!A107&lt;&gt;"",OR('Campaign Inventory'!BR107="Critical",'Campaign Inventory'!BR107="High",'Campaign Inventory'!N107="",'Campaign Inventory'!U107="",'Campaign Inventory'!AU107="Pending",'Campaign Inventory'!AU107="Not Available",'Campaign Inventory'!AU107="Unknown",'Campaign Inventory'!BP107="High",'Campaign Inventory'!F107=""),OR($B$3="All",'Campaign Inventory'!B107=$B$3),OR($D$3="All",'Campaign Inventory'!M107=$D$3),OR($F$3="All",'Campaign Inventory'!D107=$F$3),OR($H$3="All",'Campaign Inventory'!F107=$H$3),OR($J$3="All",'Campaign Inventory'!BR107=$J$3),OR($L$3="All",'Campaign Inventory'!H107=$L$3)),COUNT($AM$2:AM102)+1,"")</x:f>
      </x:c>
    </x:row>
    <x:row r="104">
      <x:c r="AM104" t="str">
        <x:f>IF(AND('Campaign Inventory'!A108&lt;&gt;"",OR('Campaign Inventory'!BR108="Critical",'Campaign Inventory'!BR108="High",'Campaign Inventory'!N108="",'Campaign Inventory'!U108="",'Campaign Inventory'!AU108="Pending",'Campaign Inventory'!AU108="Not Available",'Campaign Inventory'!AU108="Unknown",'Campaign Inventory'!BP108="High",'Campaign Inventory'!F108=""),OR($B$3="All",'Campaign Inventory'!B108=$B$3),OR($D$3="All",'Campaign Inventory'!M108=$D$3),OR($F$3="All",'Campaign Inventory'!D108=$F$3),OR($H$3="All",'Campaign Inventory'!F108=$H$3),OR($J$3="All",'Campaign Inventory'!BR108=$J$3),OR($L$3="All",'Campaign Inventory'!H108=$L$3)),COUNT($AM$2:AM103)+1,"")</x:f>
      </x:c>
    </x:row>
    <x:row r="105">
      <x:c r="AM105" t="str">
        <x:f>IF(AND('Campaign Inventory'!A109&lt;&gt;"",OR('Campaign Inventory'!BR109="Critical",'Campaign Inventory'!BR109="High",'Campaign Inventory'!N109="",'Campaign Inventory'!U109="",'Campaign Inventory'!AU109="Pending",'Campaign Inventory'!AU109="Not Available",'Campaign Inventory'!AU109="Unknown",'Campaign Inventory'!BP109="High",'Campaign Inventory'!F109=""),OR($B$3="All",'Campaign Inventory'!B109=$B$3),OR($D$3="All",'Campaign Inventory'!M109=$D$3),OR($F$3="All",'Campaign Inventory'!D109=$F$3),OR($H$3="All",'Campaign Inventory'!F109=$H$3),OR($J$3="All",'Campaign Inventory'!BR109=$J$3),OR($L$3="All",'Campaign Inventory'!H109=$L$3)),COUNT($AM$2:AM104)+1,"")</x:f>
      </x:c>
    </x:row>
    <x:row r="106">
      <x:c r="AM106" t="str">
        <x:f>IF(AND('Campaign Inventory'!A110&lt;&gt;"",OR('Campaign Inventory'!BR110="Critical",'Campaign Inventory'!BR110="High",'Campaign Inventory'!N110="",'Campaign Inventory'!U110="",'Campaign Inventory'!AU110="Pending",'Campaign Inventory'!AU110="Not Available",'Campaign Inventory'!AU110="Unknown",'Campaign Inventory'!BP110="High",'Campaign Inventory'!F110=""),OR($B$3="All",'Campaign Inventory'!B110=$B$3),OR($D$3="All",'Campaign Inventory'!M110=$D$3),OR($F$3="All",'Campaign Inventory'!D110=$F$3),OR($H$3="All",'Campaign Inventory'!F110=$H$3),OR($J$3="All",'Campaign Inventory'!BR110=$J$3),OR($L$3="All",'Campaign Inventory'!H110=$L$3)),COUNT($AM$2:AM105)+1,"")</x:f>
      </x:c>
    </x:row>
    <x:row r="107">
      <x:c r="AM107" t="str">
        <x:f>IF(AND('Campaign Inventory'!A111&lt;&gt;"",OR('Campaign Inventory'!BR111="Critical",'Campaign Inventory'!BR111="High",'Campaign Inventory'!N111="",'Campaign Inventory'!U111="",'Campaign Inventory'!AU111="Pending",'Campaign Inventory'!AU111="Not Available",'Campaign Inventory'!AU111="Unknown",'Campaign Inventory'!BP111="High",'Campaign Inventory'!F111=""),OR($B$3="All",'Campaign Inventory'!B111=$B$3),OR($D$3="All",'Campaign Inventory'!M111=$D$3),OR($F$3="All",'Campaign Inventory'!D111=$F$3),OR($H$3="All",'Campaign Inventory'!F111=$H$3),OR($J$3="All",'Campaign Inventory'!BR111=$J$3),OR($L$3="All",'Campaign Inventory'!H111=$L$3)),COUNT($AM$2:AM106)+1,"")</x:f>
      </x:c>
    </x:row>
    <x:row r="108">
      <x:c r="AM108" t="str">
        <x:f>IF(AND('Campaign Inventory'!A112&lt;&gt;"",OR('Campaign Inventory'!BR112="Critical",'Campaign Inventory'!BR112="High",'Campaign Inventory'!N112="",'Campaign Inventory'!U112="",'Campaign Inventory'!AU112="Pending",'Campaign Inventory'!AU112="Not Available",'Campaign Inventory'!AU112="Unknown",'Campaign Inventory'!BP112="High",'Campaign Inventory'!F112=""),OR($B$3="All",'Campaign Inventory'!B112=$B$3),OR($D$3="All",'Campaign Inventory'!M112=$D$3),OR($F$3="All",'Campaign Inventory'!D112=$F$3),OR($H$3="All",'Campaign Inventory'!F112=$H$3),OR($J$3="All",'Campaign Inventory'!BR112=$J$3),OR($L$3="All",'Campaign Inventory'!H112=$L$3)),COUNT($AM$2:AM107)+1,"")</x:f>
      </x:c>
    </x:row>
    <x:row r="109">
      <x:c r="AM109" t="str">
        <x:f>IF(AND('Campaign Inventory'!A113&lt;&gt;"",OR('Campaign Inventory'!BR113="Critical",'Campaign Inventory'!BR113="High",'Campaign Inventory'!N113="",'Campaign Inventory'!U113="",'Campaign Inventory'!AU113="Pending",'Campaign Inventory'!AU113="Not Available",'Campaign Inventory'!AU113="Unknown",'Campaign Inventory'!BP113="High",'Campaign Inventory'!F113=""),OR($B$3="All",'Campaign Inventory'!B113=$B$3),OR($D$3="All",'Campaign Inventory'!M113=$D$3),OR($F$3="All",'Campaign Inventory'!D113=$F$3),OR($H$3="All",'Campaign Inventory'!F113=$H$3),OR($J$3="All",'Campaign Inventory'!BR113=$J$3),OR($L$3="All",'Campaign Inventory'!H113=$L$3)),COUNT($AM$2:AM108)+1,"")</x:f>
      </x:c>
    </x:row>
    <x:row r="110">
      <x:c r="AM110" t="str">
        <x:f>IF(AND('Campaign Inventory'!A114&lt;&gt;"",OR('Campaign Inventory'!BR114="Critical",'Campaign Inventory'!BR114="High",'Campaign Inventory'!N114="",'Campaign Inventory'!U114="",'Campaign Inventory'!AU114="Pending",'Campaign Inventory'!AU114="Not Available",'Campaign Inventory'!AU114="Unknown",'Campaign Inventory'!BP114="High",'Campaign Inventory'!F114=""),OR($B$3="All",'Campaign Inventory'!B114=$B$3),OR($D$3="All",'Campaign Inventory'!M114=$D$3),OR($F$3="All",'Campaign Inventory'!D114=$F$3),OR($H$3="All",'Campaign Inventory'!F114=$H$3),OR($J$3="All",'Campaign Inventory'!BR114=$J$3),OR($L$3="All",'Campaign Inventory'!H114=$L$3)),COUNT($AM$2:AM109)+1,"")</x:f>
      </x:c>
    </x:row>
    <x:row r="111">
      <x:c r="AM111" t="str">
        <x:f>IF(AND('Campaign Inventory'!A115&lt;&gt;"",OR('Campaign Inventory'!BR115="Critical",'Campaign Inventory'!BR115="High",'Campaign Inventory'!N115="",'Campaign Inventory'!U115="",'Campaign Inventory'!AU115="Pending",'Campaign Inventory'!AU115="Not Available",'Campaign Inventory'!AU115="Unknown",'Campaign Inventory'!BP115="High",'Campaign Inventory'!F115=""),OR($B$3="All",'Campaign Inventory'!B115=$B$3),OR($D$3="All",'Campaign Inventory'!M115=$D$3),OR($F$3="All",'Campaign Inventory'!D115=$F$3),OR($H$3="All",'Campaign Inventory'!F115=$H$3),OR($J$3="All",'Campaign Inventory'!BR115=$J$3),OR($L$3="All",'Campaign Inventory'!H115=$L$3)),COUNT($AM$2:AM110)+1,"")</x:f>
      </x:c>
    </x:row>
    <x:row r="112">
      <x:c r="AM112" t="str">
        <x:f>IF(AND('Campaign Inventory'!A116&lt;&gt;"",OR('Campaign Inventory'!BR116="Critical",'Campaign Inventory'!BR116="High",'Campaign Inventory'!N116="",'Campaign Inventory'!U116="",'Campaign Inventory'!AU116="Pending",'Campaign Inventory'!AU116="Not Available",'Campaign Inventory'!AU116="Unknown",'Campaign Inventory'!BP116="High",'Campaign Inventory'!F116=""),OR($B$3="All",'Campaign Inventory'!B116=$B$3),OR($D$3="All",'Campaign Inventory'!M116=$D$3),OR($F$3="All",'Campaign Inventory'!D116=$F$3),OR($H$3="All",'Campaign Inventory'!F116=$H$3),OR($J$3="All",'Campaign Inventory'!BR116=$J$3),OR($L$3="All",'Campaign Inventory'!H116=$L$3)),COUNT($AM$2:AM111)+1,"")</x:f>
      </x:c>
    </x:row>
    <x:row r="113">
      <x:c r="AM113" t="str">
        <x:f>IF(AND('Campaign Inventory'!A117&lt;&gt;"",OR('Campaign Inventory'!BR117="Critical",'Campaign Inventory'!BR117="High",'Campaign Inventory'!N117="",'Campaign Inventory'!U117="",'Campaign Inventory'!AU117="Pending",'Campaign Inventory'!AU117="Not Available",'Campaign Inventory'!AU117="Unknown",'Campaign Inventory'!BP117="High",'Campaign Inventory'!F117=""),OR($B$3="All",'Campaign Inventory'!B117=$B$3),OR($D$3="All",'Campaign Inventory'!M117=$D$3),OR($F$3="All",'Campaign Inventory'!D117=$F$3),OR($H$3="All",'Campaign Inventory'!F117=$H$3),OR($J$3="All",'Campaign Inventory'!BR117=$J$3),OR($L$3="All",'Campaign Inventory'!H117=$L$3)),COUNT($AM$2:AM112)+1,"")</x:f>
      </x:c>
    </x:row>
    <x:row r="114">
      <x:c r="AM114" t="str">
        <x:f>IF(AND('Campaign Inventory'!A118&lt;&gt;"",OR('Campaign Inventory'!BR118="Critical",'Campaign Inventory'!BR118="High",'Campaign Inventory'!N118="",'Campaign Inventory'!U118="",'Campaign Inventory'!AU118="Pending",'Campaign Inventory'!AU118="Not Available",'Campaign Inventory'!AU118="Unknown",'Campaign Inventory'!BP118="High",'Campaign Inventory'!F118=""),OR($B$3="All",'Campaign Inventory'!B118=$B$3),OR($D$3="All",'Campaign Inventory'!M118=$D$3),OR($F$3="All",'Campaign Inventory'!D118=$F$3),OR($H$3="All",'Campaign Inventory'!F118=$H$3),OR($J$3="All",'Campaign Inventory'!BR118=$J$3),OR($L$3="All",'Campaign Inventory'!H118=$L$3)),COUNT($AM$2:AM113)+1,"")</x:f>
      </x:c>
    </x:row>
    <x:row r="115">
      <x:c r="AM115" t="str">
        <x:f>IF(AND('Campaign Inventory'!A119&lt;&gt;"",OR('Campaign Inventory'!BR119="Critical",'Campaign Inventory'!BR119="High",'Campaign Inventory'!N119="",'Campaign Inventory'!U119="",'Campaign Inventory'!AU119="Pending",'Campaign Inventory'!AU119="Not Available",'Campaign Inventory'!AU119="Unknown",'Campaign Inventory'!BP119="High",'Campaign Inventory'!F119=""),OR($B$3="All",'Campaign Inventory'!B119=$B$3),OR($D$3="All",'Campaign Inventory'!M119=$D$3),OR($F$3="All",'Campaign Inventory'!D119=$F$3),OR($H$3="All",'Campaign Inventory'!F119=$H$3),OR($J$3="All",'Campaign Inventory'!BR119=$J$3),OR($L$3="All",'Campaign Inventory'!H119=$L$3)),COUNT($AM$2:AM114)+1,"")</x:f>
      </x:c>
    </x:row>
    <x:row r="116">
      <x:c r="AM116" t="str">
        <x:f>IF(AND('Campaign Inventory'!A120&lt;&gt;"",OR('Campaign Inventory'!BR120="Critical",'Campaign Inventory'!BR120="High",'Campaign Inventory'!N120="",'Campaign Inventory'!U120="",'Campaign Inventory'!AU120="Pending",'Campaign Inventory'!AU120="Not Available",'Campaign Inventory'!AU120="Unknown",'Campaign Inventory'!BP120="High",'Campaign Inventory'!F120=""),OR($B$3="All",'Campaign Inventory'!B120=$B$3),OR($D$3="All",'Campaign Inventory'!M120=$D$3),OR($F$3="All",'Campaign Inventory'!D120=$F$3),OR($H$3="All",'Campaign Inventory'!F120=$H$3),OR($J$3="All",'Campaign Inventory'!BR120=$J$3),OR($L$3="All",'Campaign Inventory'!H120=$L$3)),COUNT($AM$2:AM115)+1,"")</x:f>
      </x:c>
    </x:row>
    <x:row r="117">
      <x:c r="AM117" t="str">
        <x:f>IF(AND('Campaign Inventory'!A121&lt;&gt;"",OR('Campaign Inventory'!BR121="Critical",'Campaign Inventory'!BR121="High",'Campaign Inventory'!N121="",'Campaign Inventory'!U121="",'Campaign Inventory'!AU121="Pending",'Campaign Inventory'!AU121="Not Available",'Campaign Inventory'!AU121="Unknown",'Campaign Inventory'!BP121="High",'Campaign Inventory'!F121=""),OR($B$3="All",'Campaign Inventory'!B121=$B$3),OR($D$3="All",'Campaign Inventory'!M121=$D$3),OR($F$3="All",'Campaign Inventory'!D121=$F$3),OR($H$3="All",'Campaign Inventory'!F121=$H$3),OR($J$3="All",'Campaign Inventory'!BR121=$J$3),OR($L$3="All",'Campaign Inventory'!H121=$L$3)),COUNT($AM$2:AM116)+1,"")</x:f>
      </x:c>
    </x:row>
    <x:row r="118">
      <x:c r="AM118" t="str">
        <x:f>IF(AND('Campaign Inventory'!A122&lt;&gt;"",OR('Campaign Inventory'!BR122="Critical",'Campaign Inventory'!BR122="High",'Campaign Inventory'!N122="",'Campaign Inventory'!U122="",'Campaign Inventory'!AU122="Pending",'Campaign Inventory'!AU122="Not Available",'Campaign Inventory'!AU122="Unknown",'Campaign Inventory'!BP122="High",'Campaign Inventory'!F122=""),OR($B$3="All",'Campaign Inventory'!B122=$B$3),OR($D$3="All",'Campaign Inventory'!M122=$D$3),OR($F$3="All",'Campaign Inventory'!D122=$F$3),OR($H$3="All",'Campaign Inventory'!F122=$H$3),OR($J$3="All",'Campaign Inventory'!BR122=$J$3),OR($L$3="All",'Campaign Inventory'!H122=$L$3)),COUNT($AM$2:AM117)+1,"")</x:f>
      </x:c>
    </x:row>
    <x:row r="119">
      <x:c r="AM119" t="str">
        <x:f>IF(AND('Campaign Inventory'!A123&lt;&gt;"",OR('Campaign Inventory'!BR123="Critical",'Campaign Inventory'!BR123="High",'Campaign Inventory'!N123="",'Campaign Inventory'!U123="",'Campaign Inventory'!AU123="Pending",'Campaign Inventory'!AU123="Not Available",'Campaign Inventory'!AU123="Unknown",'Campaign Inventory'!BP123="High",'Campaign Inventory'!F123=""),OR($B$3="All",'Campaign Inventory'!B123=$B$3),OR($D$3="All",'Campaign Inventory'!M123=$D$3),OR($F$3="All",'Campaign Inventory'!D123=$F$3),OR($H$3="All",'Campaign Inventory'!F123=$H$3),OR($J$3="All",'Campaign Inventory'!BR123=$J$3),OR($L$3="All",'Campaign Inventory'!H123=$L$3)),COUNT($AM$2:AM118)+1,"")</x:f>
      </x:c>
    </x:row>
    <x:row r="120">
      <x:c r="AM120" t="str">
        <x:f>IF(AND('Campaign Inventory'!A124&lt;&gt;"",OR('Campaign Inventory'!BR124="Critical",'Campaign Inventory'!BR124="High",'Campaign Inventory'!N124="",'Campaign Inventory'!U124="",'Campaign Inventory'!AU124="Pending",'Campaign Inventory'!AU124="Not Available",'Campaign Inventory'!AU124="Unknown",'Campaign Inventory'!BP124="High",'Campaign Inventory'!F124=""),OR($B$3="All",'Campaign Inventory'!B124=$B$3),OR($D$3="All",'Campaign Inventory'!M124=$D$3),OR($F$3="All",'Campaign Inventory'!D124=$F$3),OR($H$3="All",'Campaign Inventory'!F124=$H$3),OR($J$3="All",'Campaign Inventory'!BR124=$J$3),OR($L$3="All",'Campaign Inventory'!H124=$L$3)),COUNT($AM$2:AM119)+1,"")</x:f>
      </x:c>
    </x:row>
    <x:row r="121">
      <x:c r="AM121" t="str">
        <x:f>IF(AND('Campaign Inventory'!A125&lt;&gt;"",OR('Campaign Inventory'!BR125="Critical",'Campaign Inventory'!BR125="High",'Campaign Inventory'!N125="",'Campaign Inventory'!U125="",'Campaign Inventory'!AU125="Pending",'Campaign Inventory'!AU125="Not Available",'Campaign Inventory'!AU125="Unknown",'Campaign Inventory'!BP125="High",'Campaign Inventory'!F125=""),OR($B$3="All",'Campaign Inventory'!B125=$B$3),OR($D$3="All",'Campaign Inventory'!M125=$D$3),OR($F$3="All",'Campaign Inventory'!D125=$F$3),OR($H$3="All",'Campaign Inventory'!F125=$H$3),OR($J$3="All",'Campaign Inventory'!BR125=$J$3),OR($L$3="All",'Campaign Inventory'!H125=$L$3)),COUNT($AM$2:AM120)+1,"")</x:f>
      </x:c>
    </x:row>
    <x:row r="122">
      <x:c r="AM122" t="str">
        <x:f>IF(AND('Campaign Inventory'!A126&lt;&gt;"",OR('Campaign Inventory'!BR126="Critical",'Campaign Inventory'!BR126="High",'Campaign Inventory'!N126="",'Campaign Inventory'!U126="",'Campaign Inventory'!AU126="Pending",'Campaign Inventory'!AU126="Not Available",'Campaign Inventory'!AU126="Unknown",'Campaign Inventory'!BP126="High",'Campaign Inventory'!F126=""),OR($B$3="All",'Campaign Inventory'!B126=$B$3),OR($D$3="All",'Campaign Inventory'!M126=$D$3),OR($F$3="All",'Campaign Inventory'!D126=$F$3),OR($H$3="All",'Campaign Inventory'!F126=$H$3),OR($J$3="All",'Campaign Inventory'!BR126=$J$3),OR($L$3="All",'Campaign Inventory'!H126=$L$3)),COUNT($AM$2:AM121)+1,"")</x:f>
      </x:c>
    </x:row>
    <x:row r="123">
      <x:c r="AM123" t="str">
        <x:f>IF(AND('Campaign Inventory'!A127&lt;&gt;"",OR('Campaign Inventory'!BR127="Critical",'Campaign Inventory'!BR127="High",'Campaign Inventory'!N127="",'Campaign Inventory'!U127="",'Campaign Inventory'!AU127="Pending",'Campaign Inventory'!AU127="Not Available",'Campaign Inventory'!AU127="Unknown",'Campaign Inventory'!BP127="High",'Campaign Inventory'!F127=""),OR($B$3="All",'Campaign Inventory'!B127=$B$3),OR($D$3="All",'Campaign Inventory'!M127=$D$3),OR($F$3="All",'Campaign Inventory'!D127=$F$3),OR($H$3="All",'Campaign Inventory'!F127=$H$3),OR($J$3="All",'Campaign Inventory'!BR127=$J$3),OR($L$3="All",'Campaign Inventory'!H127=$L$3)),COUNT($AM$2:AM122)+1,"")</x:f>
      </x:c>
    </x:row>
    <x:row r="124">
      <x:c r="AM124" t="str">
        <x:f>IF(AND('Campaign Inventory'!A128&lt;&gt;"",OR('Campaign Inventory'!BR128="Critical",'Campaign Inventory'!BR128="High",'Campaign Inventory'!N128="",'Campaign Inventory'!U128="",'Campaign Inventory'!AU128="Pending",'Campaign Inventory'!AU128="Not Available",'Campaign Inventory'!AU128="Unknown",'Campaign Inventory'!BP128="High",'Campaign Inventory'!F128=""),OR($B$3="All",'Campaign Inventory'!B128=$B$3),OR($D$3="All",'Campaign Inventory'!M128=$D$3),OR($F$3="All",'Campaign Inventory'!D128=$F$3),OR($H$3="All",'Campaign Inventory'!F128=$H$3),OR($J$3="All",'Campaign Inventory'!BR128=$J$3),OR($L$3="All",'Campaign Inventory'!H128=$L$3)),COUNT($AM$2:AM123)+1,"")</x:f>
      </x:c>
    </x:row>
    <x:row r="125">
      <x:c r="AM125" t="str">
        <x:f>IF(AND('Campaign Inventory'!A129&lt;&gt;"",OR('Campaign Inventory'!BR129="Critical",'Campaign Inventory'!BR129="High",'Campaign Inventory'!N129="",'Campaign Inventory'!U129="",'Campaign Inventory'!AU129="Pending",'Campaign Inventory'!AU129="Not Available",'Campaign Inventory'!AU129="Unknown",'Campaign Inventory'!BP129="High",'Campaign Inventory'!F129=""),OR($B$3="All",'Campaign Inventory'!B129=$B$3),OR($D$3="All",'Campaign Inventory'!M129=$D$3),OR($F$3="All",'Campaign Inventory'!D129=$F$3),OR($H$3="All",'Campaign Inventory'!F129=$H$3),OR($J$3="All",'Campaign Inventory'!BR129=$J$3),OR($L$3="All",'Campaign Inventory'!H129=$L$3)),COUNT($AM$2:AM124)+1,"")</x:f>
      </x:c>
    </x:row>
    <x:row r="126">
      <x:c r="AM126" t="str">
        <x:f>IF(AND('Campaign Inventory'!A130&lt;&gt;"",OR('Campaign Inventory'!BR130="Critical",'Campaign Inventory'!BR130="High",'Campaign Inventory'!N130="",'Campaign Inventory'!U130="",'Campaign Inventory'!AU130="Pending",'Campaign Inventory'!AU130="Not Available",'Campaign Inventory'!AU130="Unknown",'Campaign Inventory'!BP130="High",'Campaign Inventory'!F130=""),OR($B$3="All",'Campaign Inventory'!B130=$B$3),OR($D$3="All",'Campaign Inventory'!M130=$D$3),OR($F$3="All",'Campaign Inventory'!D130=$F$3),OR($H$3="All",'Campaign Inventory'!F130=$H$3),OR($J$3="All",'Campaign Inventory'!BR130=$J$3),OR($L$3="All",'Campaign Inventory'!H130=$L$3)),COUNT($AM$2:AM125)+1,"")</x:f>
      </x:c>
    </x:row>
    <x:row r="127">
      <x:c r="AM127" t="str">
        <x:f>IF(AND('Campaign Inventory'!A131&lt;&gt;"",OR('Campaign Inventory'!BR131="Critical",'Campaign Inventory'!BR131="High",'Campaign Inventory'!N131="",'Campaign Inventory'!U131="",'Campaign Inventory'!AU131="Pending",'Campaign Inventory'!AU131="Not Available",'Campaign Inventory'!AU131="Unknown",'Campaign Inventory'!BP131="High",'Campaign Inventory'!F131=""),OR($B$3="All",'Campaign Inventory'!B131=$B$3),OR($D$3="All",'Campaign Inventory'!M131=$D$3),OR($F$3="All",'Campaign Inventory'!D131=$F$3),OR($H$3="All",'Campaign Inventory'!F131=$H$3),OR($J$3="All",'Campaign Inventory'!BR131=$J$3),OR($L$3="All",'Campaign Inventory'!H131=$L$3)),COUNT($AM$2:AM126)+1,"")</x:f>
      </x:c>
    </x:row>
    <x:row r="128">
      <x:c r="AM128" t="str">
        <x:f>IF(AND('Campaign Inventory'!A132&lt;&gt;"",OR('Campaign Inventory'!BR132="Critical",'Campaign Inventory'!BR132="High",'Campaign Inventory'!N132="",'Campaign Inventory'!U132="",'Campaign Inventory'!AU132="Pending",'Campaign Inventory'!AU132="Not Available",'Campaign Inventory'!AU132="Unknown",'Campaign Inventory'!BP132="High",'Campaign Inventory'!F132=""),OR($B$3="All",'Campaign Inventory'!B132=$B$3),OR($D$3="All",'Campaign Inventory'!M132=$D$3),OR($F$3="All",'Campaign Inventory'!D132=$F$3),OR($H$3="All",'Campaign Inventory'!F132=$H$3),OR($J$3="All",'Campaign Inventory'!BR132=$J$3),OR($L$3="All",'Campaign Inventory'!H132=$L$3)),COUNT($AM$2:AM127)+1,"")</x:f>
      </x:c>
    </x:row>
    <x:row r="129">
      <x:c r="AM129" t="str">
        <x:f>IF(AND('Campaign Inventory'!A133&lt;&gt;"",OR('Campaign Inventory'!BR133="Critical",'Campaign Inventory'!BR133="High",'Campaign Inventory'!N133="",'Campaign Inventory'!U133="",'Campaign Inventory'!AU133="Pending",'Campaign Inventory'!AU133="Not Available",'Campaign Inventory'!AU133="Unknown",'Campaign Inventory'!BP133="High",'Campaign Inventory'!F133=""),OR($B$3="All",'Campaign Inventory'!B133=$B$3),OR($D$3="All",'Campaign Inventory'!M133=$D$3),OR($F$3="All",'Campaign Inventory'!D133=$F$3),OR($H$3="All",'Campaign Inventory'!F133=$H$3),OR($J$3="All",'Campaign Inventory'!BR133=$J$3),OR($L$3="All",'Campaign Inventory'!H133=$L$3)),COUNT($AM$2:AM128)+1,"")</x:f>
      </x:c>
    </x:row>
    <x:row r="130">
      <x:c r="AM130" t="str">
        <x:f>IF(AND('Campaign Inventory'!A134&lt;&gt;"",OR('Campaign Inventory'!BR134="Critical",'Campaign Inventory'!BR134="High",'Campaign Inventory'!N134="",'Campaign Inventory'!U134="",'Campaign Inventory'!AU134="Pending",'Campaign Inventory'!AU134="Not Available",'Campaign Inventory'!AU134="Unknown",'Campaign Inventory'!BP134="High",'Campaign Inventory'!F134=""),OR($B$3="All",'Campaign Inventory'!B134=$B$3),OR($D$3="All",'Campaign Inventory'!M134=$D$3),OR($F$3="All",'Campaign Inventory'!D134=$F$3),OR($H$3="All",'Campaign Inventory'!F134=$H$3),OR($J$3="All",'Campaign Inventory'!BR134=$J$3),OR($L$3="All",'Campaign Inventory'!H134=$L$3)),COUNT($AM$2:AM129)+1,"")</x:f>
      </x:c>
    </x:row>
    <x:row r="131">
      <x:c r="AM131" t="str">
        <x:f>IF(AND('Campaign Inventory'!A135&lt;&gt;"",OR('Campaign Inventory'!BR135="Critical",'Campaign Inventory'!BR135="High",'Campaign Inventory'!N135="",'Campaign Inventory'!U135="",'Campaign Inventory'!AU135="Pending",'Campaign Inventory'!AU135="Not Available",'Campaign Inventory'!AU135="Unknown",'Campaign Inventory'!BP135="High",'Campaign Inventory'!F135=""),OR($B$3="All",'Campaign Inventory'!B135=$B$3),OR($D$3="All",'Campaign Inventory'!M135=$D$3),OR($F$3="All",'Campaign Inventory'!D135=$F$3),OR($H$3="All",'Campaign Inventory'!F135=$H$3),OR($J$3="All",'Campaign Inventory'!BR135=$J$3),OR($L$3="All",'Campaign Inventory'!H135=$L$3)),COUNT($AM$2:AM130)+1,"")</x:f>
      </x:c>
    </x:row>
    <x:row r="132">
      <x:c r="AM132" t="str">
        <x:f>IF(AND('Campaign Inventory'!A136&lt;&gt;"",OR('Campaign Inventory'!BR136="Critical",'Campaign Inventory'!BR136="High",'Campaign Inventory'!N136="",'Campaign Inventory'!U136="",'Campaign Inventory'!AU136="Pending",'Campaign Inventory'!AU136="Not Available",'Campaign Inventory'!AU136="Unknown",'Campaign Inventory'!BP136="High",'Campaign Inventory'!F136=""),OR($B$3="All",'Campaign Inventory'!B136=$B$3),OR($D$3="All",'Campaign Inventory'!M136=$D$3),OR($F$3="All",'Campaign Inventory'!D136=$F$3),OR($H$3="All",'Campaign Inventory'!F136=$H$3),OR($J$3="All",'Campaign Inventory'!BR136=$J$3),OR($L$3="All",'Campaign Inventory'!H136=$L$3)),COUNT($AM$2:AM131)+1,"")</x:f>
      </x:c>
    </x:row>
    <x:row r="133">
      <x:c r="AM133" t="str">
        <x:f>IF(AND('Campaign Inventory'!A137&lt;&gt;"",OR('Campaign Inventory'!BR137="Critical",'Campaign Inventory'!BR137="High",'Campaign Inventory'!N137="",'Campaign Inventory'!U137="",'Campaign Inventory'!AU137="Pending",'Campaign Inventory'!AU137="Not Available",'Campaign Inventory'!AU137="Unknown",'Campaign Inventory'!BP137="High",'Campaign Inventory'!F137=""),OR($B$3="All",'Campaign Inventory'!B137=$B$3),OR($D$3="All",'Campaign Inventory'!M137=$D$3),OR($F$3="All",'Campaign Inventory'!D137=$F$3),OR($H$3="All",'Campaign Inventory'!F137=$H$3),OR($J$3="All",'Campaign Inventory'!BR137=$J$3),OR($L$3="All",'Campaign Inventory'!H137=$L$3)),COUNT($AM$2:AM132)+1,"")</x:f>
      </x:c>
    </x:row>
    <x:row r="134">
      <x:c r="AM134" t="str">
        <x:f>IF(AND('Campaign Inventory'!A138&lt;&gt;"",OR('Campaign Inventory'!BR138="Critical",'Campaign Inventory'!BR138="High",'Campaign Inventory'!N138="",'Campaign Inventory'!U138="",'Campaign Inventory'!AU138="Pending",'Campaign Inventory'!AU138="Not Available",'Campaign Inventory'!AU138="Unknown",'Campaign Inventory'!BP138="High",'Campaign Inventory'!F138=""),OR($B$3="All",'Campaign Inventory'!B138=$B$3),OR($D$3="All",'Campaign Inventory'!M138=$D$3),OR($F$3="All",'Campaign Inventory'!D138=$F$3),OR($H$3="All",'Campaign Inventory'!F138=$H$3),OR($J$3="All",'Campaign Inventory'!BR138=$J$3),OR($L$3="All",'Campaign Inventory'!H138=$L$3)),COUNT($AM$2:AM133)+1,"")</x:f>
      </x:c>
    </x:row>
    <x:row r="135">
      <x:c r="AM135" t="str">
        <x:f>IF(AND('Campaign Inventory'!A139&lt;&gt;"",OR('Campaign Inventory'!BR139="Critical",'Campaign Inventory'!BR139="High",'Campaign Inventory'!N139="",'Campaign Inventory'!U139="",'Campaign Inventory'!AU139="Pending",'Campaign Inventory'!AU139="Not Available",'Campaign Inventory'!AU139="Unknown",'Campaign Inventory'!BP139="High",'Campaign Inventory'!F139=""),OR($B$3="All",'Campaign Inventory'!B139=$B$3),OR($D$3="All",'Campaign Inventory'!M139=$D$3),OR($F$3="All",'Campaign Inventory'!D139=$F$3),OR($H$3="All",'Campaign Inventory'!F139=$H$3),OR($J$3="All",'Campaign Inventory'!BR139=$J$3),OR($L$3="All",'Campaign Inventory'!H139=$L$3)),COUNT($AM$2:AM134)+1,"")</x:f>
      </x:c>
    </x:row>
    <x:row r="136">
      <x:c r="AM136" t="str">
        <x:f>IF(AND('Campaign Inventory'!A140&lt;&gt;"",OR('Campaign Inventory'!BR140="Critical",'Campaign Inventory'!BR140="High",'Campaign Inventory'!N140="",'Campaign Inventory'!U140="",'Campaign Inventory'!AU140="Pending",'Campaign Inventory'!AU140="Not Available",'Campaign Inventory'!AU140="Unknown",'Campaign Inventory'!BP140="High",'Campaign Inventory'!F140=""),OR($B$3="All",'Campaign Inventory'!B140=$B$3),OR($D$3="All",'Campaign Inventory'!M140=$D$3),OR($F$3="All",'Campaign Inventory'!D140=$F$3),OR($H$3="All",'Campaign Inventory'!F140=$H$3),OR($J$3="All",'Campaign Inventory'!BR140=$J$3),OR($L$3="All",'Campaign Inventory'!H140=$L$3)),COUNT($AM$2:AM135)+1,"")</x:f>
      </x:c>
    </x:row>
    <x:row r="137">
      <x:c r="AM137" t="str">
        <x:f>IF(AND('Campaign Inventory'!A141&lt;&gt;"",OR('Campaign Inventory'!BR141="Critical",'Campaign Inventory'!BR141="High",'Campaign Inventory'!N141="",'Campaign Inventory'!U141="",'Campaign Inventory'!AU141="Pending",'Campaign Inventory'!AU141="Not Available",'Campaign Inventory'!AU141="Unknown",'Campaign Inventory'!BP141="High",'Campaign Inventory'!F141=""),OR($B$3="All",'Campaign Inventory'!B141=$B$3),OR($D$3="All",'Campaign Inventory'!M141=$D$3),OR($F$3="All",'Campaign Inventory'!D141=$F$3),OR($H$3="All",'Campaign Inventory'!F141=$H$3),OR($J$3="All",'Campaign Inventory'!BR141=$J$3),OR($L$3="All",'Campaign Inventory'!H141=$L$3)),COUNT($AM$2:AM136)+1,"")</x:f>
      </x:c>
    </x:row>
    <x:row r="138">
      <x:c r="AM138" t="str">
        <x:f>IF(AND('Campaign Inventory'!A142&lt;&gt;"",OR('Campaign Inventory'!BR142="Critical",'Campaign Inventory'!BR142="High",'Campaign Inventory'!N142="",'Campaign Inventory'!U142="",'Campaign Inventory'!AU142="Pending",'Campaign Inventory'!AU142="Not Available",'Campaign Inventory'!AU142="Unknown",'Campaign Inventory'!BP142="High",'Campaign Inventory'!F142=""),OR($B$3="All",'Campaign Inventory'!B142=$B$3),OR($D$3="All",'Campaign Inventory'!M142=$D$3),OR($F$3="All",'Campaign Inventory'!D142=$F$3),OR($H$3="All",'Campaign Inventory'!F142=$H$3),OR($J$3="All",'Campaign Inventory'!BR142=$J$3),OR($L$3="All",'Campaign Inventory'!H142=$L$3)),COUNT($AM$2:AM137)+1,"")</x:f>
      </x:c>
    </x:row>
    <x:row r="139">
      <x:c r="AM139" t="str">
        <x:f>IF(AND('Campaign Inventory'!A143&lt;&gt;"",OR('Campaign Inventory'!BR143="Critical",'Campaign Inventory'!BR143="High",'Campaign Inventory'!N143="",'Campaign Inventory'!U143="",'Campaign Inventory'!AU143="Pending",'Campaign Inventory'!AU143="Not Available",'Campaign Inventory'!AU143="Unknown",'Campaign Inventory'!BP143="High",'Campaign Inventory'!F143=""),OR($B$3="All",'Campaign Inventory'!B143=$B$3),OR($D$3="All",'Campaign Inventory'!M143=$D$3),OR($F$3="All",'Campaign Inventory'!D143=$F$3),OR($H$3="All",'Campaign Inventory'!F143=$H$3),OR($J$3="All",'Campaign Inventory'!BR143=$J$3),OR($L$3="All",'Campaign Inventory'!H143=$L$3)),COUNT($AM$2:AM138)+1,"")</x:f>
      </x:c>
    </x:row>
    <x:row r="140">
      <x:c r="AM140" t="str">
        <x:f>IF(AND('Campaign Inventory'!A144&lt;&gt;"",OR('Campaign Inventory'!BR144="Critical",'Campaign Inventory'!BR144="High",'Campaign Inventory'!N144="",'Campaign Inventory'!U144="",'Campaign Inventory'!AU144="Pending",'Campaign Inventory'!AU144="Not Available",'Campaign Inventory'!AU144="Unknown",'Campaign Inventory'!BP144="High",'Campaign Inventory'!F144=""),OR($B$3="All",'Campaign Inventory'!B144=$B$3),OR($D$3="All",'Campaign Inventory'!M144=$D$3),OR($F$3="All",'Campaign Inventory'!D144=$F$3),OR($H$3="All",'Campaign Inventory'!F144=$H$3),OR($J$3="All",'Campaign Inventory'!BR144=$J$3),OR($L$3="All",'Campaign Inventory'!H144=$L$3)),COUNT($AM$2:AM139)+1,"")</x:f>
      </x:c>
    </x:row>
    <x:row r="141">
      <x:c r="AM141" t="str">
        <x:f>IF(AND('Campaign Inventory'!A145&lt;&gt;"",OR('Campaign Inventory'!BR145="Critical",'Campaign Inventory'!BR145="High",'Campaign Inventory'!N145="",'Campaign Inventory'!U145="",'Campaign Inventory'!AU145="Pending",'Campaign Inventory'!AU145="Not Available",'Campaign Inventory'!AU145="Unknown",'Campaign Inventory'!BP145="High",'Campaign Inventory'!F145=""),OR($B$3="All",'Campaign Inventory'!B145=$B$3),OR($D$3="All",'Campaign Inventory'!M145=$D$3),OR($F$3="All",'Campaign Inventory'!D145=$F$3),OR($H$3="All",'Campaign Inventory'!F145=$H$3),OR($J$3="All",'Campaign Inventory'!BR145=$J$3),OR($L$3="All",'Campaign Inventory'!H145=$L$3)),COUNT($AM$2:AM140)+1,"")</x:f>
      </x:c>
    </x:row>
    <x:row r="142">
      <x:c r="AM142" t="str">
        <x:f>IF(AND('Campaign Inventory'!A146&lt;&gt;"",OR('Campaign Inventory'!BR146="Critical",'Campaign Inventory'!BR146="High",'Campaign Inventory'!N146="",'Campaign Inventory'!U146="",'Campaign Inventory'!AU146="Pending",'Campaign Inventory'!AU146="Not Available",'Campaign Inventory'!AU146="Unknown",'Campaign Inventory'!BP146="High",'Campaign Inventory'!F146=""),OR($B$3="All",'Campaign Inventory'!B146=$B$3),OR($D$3="All",'Campaign Inventory'!M146=$D$3),OR($F$3="All",'Campaign Inventory'!D146=$F$3),OR($H$3="All",'Campaign Inventory'!F146=$H$3),OR($J$3="All",'Campaign Inventory'!BR146=$J$3),OR($L$3="All",'Campaign Inventory'!H146=$L$3)),COUNT($AM$2:AM141)+1,"")</x:f>
      </x:c>
    </x:row>
    <x:row r="143">
      <x:c r="AM143" t="str">
        <x:f>IF(AND('Campaign Inventory'!A147&lt;&gt;"",OR('Campaign Inventory'!BR147="Critical",'Campaign Inventory'!BR147="High",'Campaign Inventory'!N147="",'Campaign Inventory'!U147="",'Campaign Inventory'!AU147="Pending",'Campaign Inventory'!AU147="Not Available",'Campaign Inventory'!AU147="Unknown",'Campaign Inventory'!BP147="High",'Campaign Inventory'!F147=""),OR($B$3="All",'Campaign Inventory'!B147=$B$3),OR($D$3="All",'Campaign Inventory'!M147=$D$3),OR($F$3="All",'Campaign Inventory'!D147=$F$3),OR($H$3="All",'Campaign Inventory'!F147=$H$3),OR($J$3="All",'Campaign Inventory'!BR147=$J$3),OR($L$3="All",'Campaign Inventory'!H147=$L$3)),COUNT($AM$2:AM142)+1,"")</x:f>
      </x:c>
    </x:row>
    <x:row r="144">
      <x:c r="AM144" t="str">
        <x:f>IF(AND('Campaign Inventory'!A148&lt;&gt;"",OR('Campaign Inventory'!BR148="Critical",'Campaign Inventory'!BR148="High",'Campaign Inventory'!N148="",'Campaign Inventory'!U148="",'Campaign Inventory'!AU148="Pending",'Campaign Inventory'!AU148="Not Available",'Campaign Inventory'!AU148="Unknown",'Campaign Inventory'!BP148="High",'Campaign Inventory'!F148=""),OR($B$3="All",'Campaign Inventory'!B148=$B$3),OR($D$3="All",'Campaign Inventory'!M148=$D$3),OR($F$3="All",'Campaign Inventory'!D148=$F$3),OR($H$3="All",'Campaign Inventory'!F148=$H$3),OR($J$3="All",'Campaign Inventory'!BR148=$J$3),OR($L$3="All",'Campaign Inventory'!H148=$L$3)),COUNT($AM$2:AM143)+1,"")</x:f>
      </x:c>
    </x:row>
    <x:row r="145">
      <x:c r="AM145" t="str">
        <x:f>IF(AND('Campaign Inventory'!A149&lt;&gt;"",OR('Campaign Inventory'!BR149="Critical",'Campaign Inventory'!BR149="High",'Campaign Inventory'!N149="",'Campaign Inventory'!U149="",'Campaign Inventory'!AU149="Pending",'Campaign Inventory'!AU149="Not Available",'Campaign Inventory'!AU149="Unknown",'Campaign Inventory'!BP149="High",'Campaign Inventory'!F149=""),OR($B$3="All",'Campaign Inventory'!B149=$B$3),OR($D$3="All",'Campaign Inventory'!M149=$D$3),OR($F$3="All",'Campaign Inventory'!D149=$F$3),OR($H$3="All",'Campaign Inventory'!F149=$H$3),OR($J$3="All",'Campaign Inventory'!BR149=$J$3),OR($L$3="All",'Campaign Inventory'!H149=$L$3)),COUNT($AM$2:AM144)+1,"")</x:f>
      </x:c>
    </x:row>
    <x:row r="146">
      <x:c r="AM146" t="str">
        <x:f>IF(AND('Campaign Inventory'!A150&lt;&gt;"",OR('Campaign Inventory'!BR150="Critical",'Campaign Inventory'!BR150="High",'Campaign Inventory'!N150="",'Campaign Inventory'!U150="",'Campaign Inventory'!AU150="Pending",'Campaign Inventory'!AU150="Not Available",'Campaign Inventory'!AU150="Unknown",'Campaign Inventory'!BP150="High",'Campaign Inventory'!F150=""),OR($B$3="All",'Campaign Inventory'!B150=$B$3),OR($D$3="All",'Campaign Inventory'!M150=$D$3),OR($F$3="All",'Campaign Inventory'!D150=$F$3),OR($H$3="All",'Campaign Inventory'!F150=$H$3),OR($J$3="All",'Campaign Inventory'!BR150=$J$3),OR($L$3="All",'Campaign Inventory'!H150=$L$3)),COUNT($AM$2:AM145)+1,"")</x:f>
      </x:c>
    </x:row>
    <x:row r="147">
      <x:c r="AM147" t="str">
        <x:f>IF(AND('Campaign Inventory'!A151&lt;&gt;"",OR('Campaign Inventory'!BR151="Critical",'Campaign Inventory'!BR151="High",'Campaign Inventory'!N151="",'Campaign Inventory'!U151="",'Campaign Inventory'!AU151="Pending",'Campaign Inventory'!AU151="Not Available",'Campaign Inventory'!AU151="Unknown",'Campaign Inventory'!BP151="High",'Campaign Inventory'!F151=""),OR($B$3="All",'Campaign Inventory'!B151=$B$3),OR($D$3="All",'Campaign Inventory'!M151=$D$3),OR($F$3="All",'Campaign Inventory'!D151=$F$3),OR($H$3="All",'Campaign Inventory'!F151=$H$3),OR($J$3="All",'Campaign Inventory'!BR151=$J$3),OR($L$3="All",'Campaign Inventory'!H151=$L$3)),COUNT($AM$2:AM146)+1,"")</x:f>
      </x:c>
    </x:row>
    <x:row r="148">
      <x:c r="AM148" t="str">
        <x:f>IF(AND('Campaign Inventory'!A152&lt;&gt;"",OR('Campaign Inventory'!BR152="Critical",'Campaign Inventory'!BR152="High",'Campaign Inventory'!N152="",'Campaign Inventory'!U152="",'Campaign Inventory'!AU152="Pending",'Campaign Inventory'!AU152="Not Available",'Campaign Inventory'!AU152="Unknown",'Campaign Inventory'!BP152="High",'Campaign Inventory'!F152=""),OR($B$3="All",'Campaign Inventory'!B152=$B$3),OR($D$3="All",'Campaign Inventory'!M152=$D$3),OR($F$3="All",'Campaign Inventory'!D152=$F$3),OR($H$3="All",'Campaign Inventory'!F152=$H$3),OR($J$3="All",'Campaign Inventory'!BR152=$J$3),OR($L$3="All",'Campaign Inventory'!H152=$L$3)),COUNT($AM$2:AM147)+1,"")</x:f>
      </x:c>
    </x:row>
    <x:row r="149">
      <x:c r="AM149" t="str">
        <x:f>IF(AND('Campaign Inventory'!A153&lt;&gt;"",OR('Campaign Inventory'!BR153="Critical",'Campaign Inventory'!BR153="High",'Campaign Inventory'!N153="",'Campaign Inventory'!U153="",'Campaign Inventory'!AU153="Pending",'Campaign Inventory'!AU153="Not Available",'Campaign Inventory'!AU153="Unknown",'Campaign Inventory'!BP153="High",'Campaign Inventory'!F153=""),OR($B$3="All",'Campaign Inventory'!B153=$B$3),OR($D$3="All",'Campaign Inventory'!M153=$D$3),OR($F$3="All",'Campaign Inventory'!D153=$F$3),OR($H$3="All",'Campaign Inventory'!F153=$H$3),OR($J$3="All",'Campaign Inventory'!BR153=$J$3),OR($L$3="All",'Campaign Inventory'!H153=$L$3)),COUNT($AM$2:AM148)+1,"")</x:f>
      </x:c>
    </x:row>
    <x:row r="150">
      <x:c r="AM150" t="str">
        <x:f>IF(AND('Campaign Inventory'!A154&lt;&gt;"",OR('Campaign Inventory'!BR154="Critical",'Campaign Inventory'!BR154="High",'Campaign Inventory'!N154="",'Campaign Inventory'!U154="",'Campaign Inventory'!AU154="Pending",'Campaign Inventory'!AU154="Not Available",'Campaign Inventory'!AU154="Unknown",'Campaign Inventory'!BP154="High",'Campaign Inventory'!F154=""),OR($B$3="All",'Campaign Inventory'!B154=$B$3),OR($D$3="All",'Campaign Inventory'!M154=$D$3),OR($F$3="All",'Campaign Inventory'!D154=$F$3),OR($H$3="All",'Campaign Inventory'!F154=$H$3),OR($J$3="All",'Campaign Inventory'!BR154=$J$3),OR($L$3="All",'Campaign Inventory'!H154=$L$3)),COUNT($AM$2:AM149)+1,"")</x:f>
      </x:c>
    </x:row>
    <x:row r="151">
      <x:c r="AM151" t="str">
        <x:f>IF(AND('Campaign Inventory'!A155&lt;&gt;"",OR('Campaign Inventory'!BR155="Critical",'Campaign Inventory'!BR155="High",'Campaign Inventory'!N155="",'Campaign Inventory'!U155="",'Campaign Inventory'!AU155="Pending",'Campaign Inventory'!AU155="Not Available",'Campaign Inventory'!AU155="Unknown",'Campaign Inventory'!BP155="High",'Campaign Inventory'!F155=""),OR($B$3="All",'Campaign Inventory'!B155=$B$3),OR($D$3="All",'Campaign Inventory'!M155=$D$3),OR($F$3="All",'Campaign Inventory'!D155=$F$3),OR($H$3="All",'Campaign Inventory'!F155=$H$3),OR($J$3="All",'Campaign Inventory'!BR155=$J$3),OR($L$3="All",'Campaign Inventory'!H155=$L$3)),COUNT($AM$2:AM150)+1,"")</x:f>
      </x:c>
    </x:row>
    <x:row r="152">
      <x:c r="AM152" t="str">
        <x:f>IF(AND('Campaign Inventory'!A156&lt;&gt;"",OR('Campaign Inventory'!BR156="Critical",'Campaign Inventory'!BR156="High",'Campaign Inventory'!N156="",'Campaign Inventory'!U156="",'Campaign Inventory'!AU156="Pending",'Campaign Inventory'!AU156="Not Available",'Campaign Inventory'!AU156="Unknown",'Campaign Inventory'!BP156="High",'Campaign Inventory'!F156=""),OR($B$3="All",'Campaign Inventory'!B156=$B$3),OR($D$3="All",'Campaign Inventory'!M156=$D$3),OR($F$3="All",'Campaign Inventory'!D156=$F$3),OR($H$3="All",'Campaign Inventory'!F156=$H$3),OR($J$3="All",'Campaign Inventory'!BR156=$J$3),OR($L$3="All",'Campaign Inventory'!H156=$L$3)),COUNT($AM$2:AM151)+1,"")</x:f>
      </x:c>
    </x:row>
    <x:row r="153">
      <x:c r="AM153" t="str">
        <x:f>IF(AND('Campaign Inventory'!A157&lt;&gt;"",OR('Campaign Inventory'!BR157="Critical",'Campaign Inventory'!BR157="High",'Campaign Inventory'!N157="",'Campaign Inventory'!U157="",'Campaign Inventory'!AU157="Pending",'Campaign Inventory'!AU157="Not Available",'Campaign Inventory'!AU157="Unknown",'Campaign Inventory'!BP157="High",'Campaign Inventory'!F157=""),OR($B$3="All",'Campaign Inventory'!B157=$B$3),OR($D$3="All",'Campaign Inventory'!M157=$D$3),OR($F$3="All",'Campaign Inventory'!D157=$F$3),OR($H$3="All",'Campaign Inventory'!F157=$H$3),OR($J$3="All",'Campaign Inventory'!BR157=$J$3),OR($L$3="All",'Campaign Inventory'!H157=$L$3)),COUNT($AM$2:AM152)+1,"")</x:f>
      </x:c>
    </x:row>
    <x:row r="154">
      <x:c r="AM154" t="str">
        <x:f>IF(AND('Campaign Inventory'!A158&lt;&gt;"",OR('Campaign Inventory'!BR158="Critical",'Campaign Inventory'!BR158="High",'Campaign Inventory'!N158="",'Campaign Inventory'!U158="",'Campaign Inventory'!AU158="Pending",'Campaign Inventory'!AU158="Not Available",'Campaign Inventory'!AU158="Unknown",'Campaign Inventory'!BP158="High",'Campaign Inventory'!F158=""),OR($B$3="All",'Campaign Inventory'!B158=$B$3),OR($D$3="All",'Campaign Inventory'!M158=$D$3),OR($F$3="All",'Campaign Inventory'!D158=$F$3),OR($H$3="All",'Campaign Inventory'!F158=$H$3),OR($J$3="All",'Campaign Inventory'!BR158=$J$3),OR($L$3="All",'Campaign Inventory'!H158=$L$3)),COUNT($AM$2:AM153)+1,"")</x:f>
      </x:c>
    </x:row>
    <x:row r="155">
      <x:c r="AM155" t="str">
        <x:f>IF(AND('Campaign Inventory'!A159&lt;&gt;"",OR('Campaign Inventory'!BR159="Critical",'Campaign Inventory'!BR159="High",'Campaign Inventory'!N159="",'Campaign Inventory'!U159="",'Campaign Inventory'!AU159="Pending",'Campaign Inventory'!AU159="Not Available",'Campaign Inventory'!AU159="Unknown",'Campaign Inventory'!BP159="High",'Campaign Inventory'!F159=""),OR($B$3="All",'Campaign Inventory'!B159=$B$3),OR($D$3="All",'Campaign Inventory'!M159=$D$3),OR($F$3="All",'Campaign Inventory'!D159=$F$3),OR($H$3="All",'Campaign Inventory'!F159=$H$3),OR($J$3="All",'Campaign Inventory'!BR159=$J$3),OR($L$3="All",'Campaign Inventory'!H159=$L$3)),COUNT($AM$2:AM154)+1,"")</x:f>
      </x:c>
    </x:row>
    <x:row r="156">
      <x:c r="AM156" t="str">
        <x:f>IF(AND('Campaign Inventory'!A160&lt;&gt;"",OR('Campaign Inventory'!BR160="Critical",'Campaign Inventory'!BR160="High",'Campaign Inventory'!N160="",'Campaign Inventory'!U160="",'Campaign Inventory'!AU160="Pending",'Campaign Inventory'!AU160="Not Available",'Campaign Inventory'!AU160="Unknown",'Campaign Inventory'!BP160="High",'Campaign Inventory'!F160=""),OR($B$3="All",'Campaign Inventory'!B160=$B$3),OR($D$3="All",'Campaign Inventory'!M160=$D$3),OR($F$3="All",'Campaign Inventory'!D160=$F$3),OR($H$3="All",'Campaign Inventory'!F160=$H$3),OR($J$3="All",'Campaign Inventory'!BR160=$J$3),OR($L$3="All",'Campaign Inventory'!H160=$L$3)),COUNT($AM$2:AM155)+1,"")</x:f>
      </x:c>
    </x:row>
    <x:row r="157">
      <x:c r="AM157" t="str">
        <x:f>IF(AND('Campaign Inventory'!A161&lt;&gt;"",OR('Campaign Inventory'!BR161="Critical",'Campaign Inventory'!BR161="High",'Campaign Inventory'!N161="",'Campaign Inventory'!U161="",'Campaign Inventory'!AU161="Pending",'Campaign Inventory'!AU161="Not Available",'Campaign Inventory'!AU161="Unknown",'Campaign Inventory'!BP161="High",'Campaign Inventory'!F161=""),OR($B$3="All",'Campaign Inventory'!B161=$B$3),OR($D$3="All",'Campaign Inventory'!M161=$D$3),OR($F$3="All",'Campaign Inventory'!D161=$F$3),OR($H$3="All",'Campaign Inventory'!F161=$H$3),OR($J$3="All",'Campaign Inventory'!BR161=$J$3),OR($L$3="All",'Campaign Inventory'!H161=$L$3)),COUNT($AM$2:AM156)+1,"")</x:f>
      </x:c>
    </x:row>
    <x:row r="158">
      <x:c r="AM158" t="str">
        <x:f>IF(AND('Campaign Inventory'!A162&lt;&gt;"",OR('Campaign Inventory'!BR162="Critical",'Campaign Inventory'!BR162="High",'Campaign Inventory'!N162="",'Campaign Inventory'!U162="",'Campaign Inventory'!AU162="Pending",'Campaign Inventory'!AU162="Not Available",'Campaign Inventory'!AU162="Unknown",'Campaign Inventory'!BP162="High",'Campaign Inventory'!F162=""),OR($B$3="All",'Campaign Inventory'!B162=$B$3),OR($D$3="All",'Campaign Inventory'!M162=$D$3),OR($F$3="All",'Campaign Inventory'!D162=$F$3),OR($H$3="All",'Campaign Inventory'!F162=$H$3),OR($J$3="All",'Campaign Inventory'!BR162=$J$3),OR($L$3="All",'Campaign Inventory'!H162=$L$3)),COUNT($AM$2:AM157)+1,"")</x:f>
      </x:c>
    </x:row>
    <x:row r="159">
      <x:c r="AM159" t="str">
        <x:f>IF(AND('Campaign Inventory'!A163&lt;&gt;"",OR('Campaign Inventory'!BR163="Critical",'Campaign Inventory'!BR163="High",'Campaign Inventory'!N163="",'Campaign Inventory'!U163="",'Campaign Inventory'!AU163="Pending",'Campaign Inventory'!AU163="Not Available",'Campaign Inventory'!AU163="Unknown",'Campaign Inventory'!BP163="High",'Campaign Inventory'!F163=""),OR($B$3="All",'Campaign Inventory'!B163=$B$3),OR($D$3="All",'Campaign Inventory'!M163=$D$3),OR($F$3="All",'Campaign Inventory'!D163=$F$3),OR($H$3="All",'Campaign Inventory'!F163=$H$3),OR($J$3="All",'Campaign Inventory'!BR163=$J$3),OR($L$3="All",'Campaign Inventory'!H163=$L$3)),COUNT($AM$2:AM158)+1,"")</x:f>
      </x:c>
    </x:row>
    <x:row r="160">
      <x:c r="AM160" t="str">
        <x:f>IF(AND('Campaign Inventory'!A164&lt;&gt;"",OR('Campaign Inventory'!BR164="Critical",'Campaign Inventory'!BR164="High",'Campaign Inventory'!N164="",'Campaign Inventory'!U164="",'Campaign Inventory'!AU164="Pending",'Campaign Inventory'!AU164="Not Available",'Campaign Inventory'!AU164="Unknown",'Campaign Inventory'!BP164="High",'Campaign Inventory'!F164=""),OR($B$3="All",'Campaign Inventory'!B164=$B$3),OR($D$3="All",'Campaign Inventory'!M164=$D$3),OR($F$3="All",'Campaign Inventory'!D164=$F$3),OR($H$3="All",'Campaign Inventory'!F164=$H$3),OR($J$3="All",'Campaign Inventory'!BR164=$J$3),OR($L$3="All",'Campaign Inventory'!H164=$L$3)),COUNT($AM$2:AM159)+1,"")</x:f>
      </x:c>
    </x:row>
    <x:row r="161">
      <x:c r="AM161" t="str">
        <x:f>IF(AND('Campaign Inventory'!A165&lt;&gt;"",OR('Campaign Inventory'!BR165="Critical",'Campaign Inventory'!BR165="High",'Campaign Inventory'!N165="",'Campaign Inventory'!U165="",'Campaign Inventory'!AU165="Pending",'Campaign Inventory'!AU165="Not Available",'Campaign Inventory'!AU165="Unknown",'Campaign Inventory'!BP165="High",'Campaign Inventory'!F165=""),OR($B$3="All",'Campaign Inventory'!B165=$B$3),OR($D$3="All",'Campaign Inventory'!M165=$D$3),OR($F$3="All",'Campaign Inventory'!D165=$F$3),OR($H$3="All",'Campaign Inventory'!F165=$H$3),OR($J$3="All",'Campaign Inventory'!BR165=$J$3),OR($L$3="All",'Campaign Inventory'!H165=$L$3)),COUNT($AM$2:AM160)+1,"")</x:f>
      </x:c>
    </x:row>
    <x:row r="162">
      <x:c r="AM162" t="str">
        <x:f>IF(AND('Campaign Inventory'!A166&lt;&gt;"",OR('Campaign Inventory'!BR166="Critical",'Campaign Inventory'!BR166="High",'Campaign Inventory'!N166="",'Campaign Inventory'!U166="",'Campaign Inventory'!AU166="Pending",'Campaign Inventory'!AU166="Not Available",'Campaign Inventory'!AU166="Unknown",'Campaign Inventory'!BP166="High",'Campaign Inventory'!F166=""),OR($B$3="All",'Campaign Inventory'!B166=$B$3),OR($D$3="All",'Campaign Inventory'!M166=$D$3),OR($F$3="All",'Campaign Inventory'!D166=$F$3),OR($H$3="All",'Campaign Inventory'!F166=$H$3),OR($J$3="All",'Campaign Inventory'!BR166=$J$3),OR($L$3="All",'Campaign Inventory'!H166=$L$3)),COUNT($AM$2:AM161)+1,"")</x:f>
      </x:c>
    </x:row>
    <x:row r="163">
      <x:c r="AM163" t="str">
        <x:f>IF(AND('Campaign Inventory'!A167&lt;&gt;"",OR('Campaign Inventory'!BR167="Critical",'Campaign Inventory'!BR167="High",'Campaign Inventory'!N167="",'Campaign Inventory'!U167="",'Campaign Inventory'!AU167="Pending",'Campaign Inventory'!AU167="Not Available",'Campaign Inventory'!AU167="Unknown",'Campaign Inventory'!BP167="High",'Campaign Inventory'!F167=""),OR($B$3="All",'Campaign Inventory'!B167=$B$3),OR($D$3="All",'Campaign Inventory'!M167=$D$3),OR($F$3="All",'Campaign Inventory'!D167=$F$3),OR($H$3="All",'Campaign Inventory'!F167=$H$3),OR($J$3="All",'Campaign Inventory'!BR167=$J$3),OR($L$3="All",'Campaign Inventory'!H167=$L$3)),COUNT($AM$2:AM162)+1,"")</x:f>
      </x:c>
    </x:row>
    <x:row r="164">
      <x:c r="AM164" t="str">
        <x:f>IF(AND('Campaign Inventory'!A168&lt;&gt;"",OR('Campaign Inventory'!BR168="Critical",'Campaign Inventory'!BR168="High",'Campaign Inventory'!N168="",'Campaign Inventory'!U168="",'Campaign Inventory'!AU168="Pending",'Campaign Inventory'!AU168="Not Available",'Campaign Inventory'!AU168="Unknown",'Campaign Inventory'!BP168="High",'Campaign Inventory'!F168=""),OR($B$3="All",'Campaign Inventory'!B168=$B$3),OR($D$3="All",'Campaign Inventory'!M168=$D$3),OR($F$3="All",'Campaign Inventory'!D168=$F$3),OR($H$3="All",'Campaign Inventory'!F168=$H$3),OR($J$3="All",'Campaign Inventory'!BR168=$J$3),OR($L$3="All",'Campaign Inventory'!H168=$L$3)),COUNT($AM$2:AM163)+1,"")</x:f>
      </x:c>
    </x:row>
    <x:row r="165">
      <x:c r="AM165" t="str">
        <x:f>IF(AND('Campaign Inventory'!A169&lt;&gt;"",OR('Campaign Inventory'!BR169="Critical",'Campaign Inventory'!BR169="High",'Campaign Inventory'!N169="",'Campaign Inventory'!U169="",'Campaign Inventory'!AU169="Pending",'Campaign Inventory'!AU169="Not Available",'Campaign Inventory'!AU169="Unknown",'Campaign Inventory'!BP169="High",'Campaign Inventory'!F169=""),OR($B$3="All",'Campaign Inventory'!B169=$B$3),OR($D$3="All",'Campaign Inventory'!M169=$D$3),OR($F$3="All",'Campaign Inventory'!D169=$F$3),OR($H$3="All",'Campaign Inventory'!F169=$H$3),OR($J$3="All",'Campaign Inventory'!BR169=$J$3),OR($L$3="All",'Campaign Inventory'!H169=$L$3)),COUNT($AM$2:AM164)+1,"")</x:f>
      </x:c>
    </x:row>
    <x:row r="166">
      <x:c r="AM166" t="str">
        <x:f>IF(AND('Campaign Inventory'!A170&lt;&gt;"",OR('Campaign Inventory'!BR170="Critical",'Campaign Inventory'!BR170="High",'Campaign Inventory'!N170="",'Campaign Inventory'!U170="",'Campaign Inventory'!AU170="Pending",'Campaign Inventory'!AU170="Not Available",'Campaign Inventory'!AU170="Unknown",'Campaign Inventory'!BP170="High",'Campaign Inventory'!F170=""),OR($B$3="All",'Campaign Inventory'!B170=$B$3),OR($D$3="All",'Campaign Inventory'!M170=$D$3),OR($F$3="All",'Campaign Inventory'!D170=$F$3),OR($H$3="All",'Campaign Inventory'!F170=$H$3),OR($J$3="All",'Campaign Inventory'!BR170=$J$3),OR($L$3="All",'Campaign Inventory'!H170=$L$3)),COUNT($AM$2:AM165)+1,"")</x:f>
      </x:c>
    </x:row>
    <x:row r="167">
      <x:c r="AM167" t="str">
        <x:f>IF(AND('Campaign Inventory'!A171&lt;&gt;"",OR('Campaign Inventory'!BR171="Critical",'Campaign Inventory'!BR171="High",'Campaign Inventory'!N171="",'Campaign Inventory'!U171="",'Campaign Inventory'!AU171="Pending",'Campaign Inventory'!AU171="Not Available",'Campaign Inventory'!AU171="Unknown",'Campaign Inventory'!BP171="High",'Campaign Inventory'!F171=""),OR($B$3="All",'Campaign Inventory'!B171=$B$3),OR($D$3="All",'Campaign Inventory'!M171=$D$3),OR($F$3="All",'Campaign Inventory'!D171=$F$3),OR($H$3="All",'Campaign Inventory'!F171=$H$3),OR($J$3="All",'Campaign Inventory'!BR171=$J$3),OR($L$3="All",'Campaign Inventory'!H171=$L$3)),COUNT($AM$2:AM166)+1,"")</x:f>
      </x:c>
    </x:row>
    <x:row r="168">
      <x:c r="AM168" t="str">
        <x:f>IF(AND('Campaign Inventory'!A172&lt;&gt;"",OR('Campaign Inventory'!BR172="Critical",'Campaign Inventory'!BR172="High",'Campaign Inventory'!N172="",'Campaign Inventory'!U172="",'Campaign Inventory'!AU172="Pending",'Campaign Inventory'!AU172="Not Available",'Campaign Inventory'!AU172="Unknown",'Campaign Inventory'!BP172="High",'Campaign Inventory'!F172=""),OR($B$3="All",'Campaign Inventory'!B172=$B$3),OR($D$3="All",'Campaign Inventory'!M172=$D$3),OR($F$3="All",'Campaign Inventory'!D172=$F$3),OR($H$3="All",'Campaign Inventory'!F172=$H$3),OR($J$3="All",'Campaign Inventory'!BR172=$J$3),OR($L$3="All",'Campaign Inventory'!H172=$L$3)),COUNT($AM$2:AM167)+1,"")</x:f>
      </x:c>
    </x:row>
    <x:row r="169">
      <x:c r="AM169" t="str">
        <x:f>IF(AND('Campaign Inventory'!A173&lt;&gt;"",OR('Campaign Inventory'!BR173="Critical",'Campaign Inventory'!BR173="High",'Campaign Inventory'!N173="",'Campaign Inventory'!U173="",'Campaign Inventory'!AU173="Pending",'Campaign Inventory'!AU173="Not Available",'Campaign Inventory'!AU173="Unknown",'Campaign Inventory'!BP173="High",'Campaign Inventory'!F173=""),OR($B$3="All",'Campaign Inventory'!B173=$B$3),OR($D$3="All",'Campaign Inventory'!M173=$D$3),OR($F$3="All",'Campaign Inventory'!D173=$F$3),OR($H$3="All",'Campaign Inventory'!F173=$H$3),OR($J$3="All",'Campaign Inventory'!BR173=$J$3),OR($L$3="All",'Campaign Inventory'!H173=$L$3)),COUNT($AM$2:AM168)+1,"")</x:f>
      </x:c>
    </x:row>
    <x:row r="170">
      <x:c r="AM170" t="str">
        <x:f>IF(AND('Campaign Inventory'!A174&lt;&gt;"",OR('Campaign Inventory'!BR174="Critical",'Campaign Inventory'!BR174="High",'Campaign Inventory'!N174="",'Campaign Inventory'!U174="",'Campaign Inventory'!AU174="Pending",'Campaign Inventory'!AU174="Not Available",'Campaign Inventory'!AU174="Unknown",'Campaign Inventory'!BP174="High",'Campaign Inventory'!F174=""),OR($B$3="All",'Campaign Inventory'!B174=$B$3),OR($D$3="All",'Campaign Inventory'!M174=$D$3),OR($F$3="All",'Campaign Inventory'!D174=$F$3),OR($H$3="All",'Campaign Inventory'!F174=$H$3),OR($J$3="All",'Campaign Inventory'!BR174=$J$3),OR($L$3="All",'Campaign Inventory'!H174=$L$3)),COUNT($AM$2:AM169)+1,"")</x:f>
      </x:c>
    </x:row>
    <x:row r="171">
      <x:c r="AM171" t="str">
        <x:f>IF(AND('Campaign Inventory'!A175&lt;&gt;"",OR('Campaign Inventory'!BR175="Critical",'Campaign Inventory'!BR175="High",'Campaign Inventory'!N175="",'Campaign Inventory'!U175="",'Campaign Inventory'!AU175="Pending",'Campaign Inventory'!AU175="Not Available",'Campaign Inventory'!AU175="Unknown",'Campaign Inventory'!BP175="High",'Campaign Inventory'!F175=""),OR($B$3="All",'Campaign Inventory'!B175=$B$3),OR($D$3="All",'Campaign Inventory'!M175=$D$3),OR($F$3="All",'Campaign Inventory'!D175=$F$3),OR($H$3="All",'Campaign Inventory'!F175=$H$3),OR($J$3="All",'Campaign Inventory'!BR175=$J$3),OR($L$3="All",'Campaign Inventory'!H175=$L$3)),COUNT($AM$2:AM170)+1,"")</x:f>
      </x:c>
    </x:row>
    <x:row r="172">
      <x:c r="AM172" t="str">
        <x:f>IF(AND('Campaign Inventory'!A176&lt;&gt;"",OR('Campaign Inventory'!BR176="Critical",'Campaign Inventory'!BR176="High",'Campaign Inventory'!N176="",'Campaign Inventory'!U176="",'Campaign Inventory'!AU176="Pending",'Campaign Inventory'!AU176="Not Available",'Campaign Inventory'!AU176="Unknown",'Campaign Inventory'!BP176="High",'Campaign Inventory'!F176=""),OR($B$3="All",'Campaign Inventory'!B176=$B$3),OR($D$3="All",'Campaign Inventory'!M176=$D$3),OR($F$3="All",'Campaign Inventory'!D176=$F$3),OR($H$3="All",'Campaign Inventory'!F176=$H$3),OR($J$3="All",'Campaign Inventory'!BR176=$J$3),OR($L$3="All",'Campaign Inventory'!H176=$L$3)),COUNT($AM$2:AM171)+1,"")</x:f>
      </x:c>
    </x:row>
    <x:row r="173">
      <x:c r="AM173" t="str">
        <x:f>IF(AND('Campaign Inventory'!A177&lt;&gt;"",OR('Campaign Inventory'!BR177="Critical",'Campaign Inventory'!BR177="High",'Campaign Inventory'!N177="",'Campaign Inventory'!U177="",'Campaign Inventory'!AU177="Pending",'Campaign Inventory'!AU177="Not Available",'Campaign Inventory'!AU177="Unknown",'Campaign Inventory'!BP177="High",'Campaign Inventory'!F177=""),OR($B$3="All",'Campaign Inventory'!B177=$B$3),OR($D$3="All",'Campaign Inventory'!M177=$D$3),OR($F$3="All",'Campaign Inventory'!D177=$F$3),OR($H$3="All",'Campaign Inventory'!F177=$H$3),OR($J$3="All",'Campaign Inventory'!BR177=$J$3),OR($L$3="All",'Campaign Inventory'!H177=$L$3)),COUNT($AM$2:AM172)+1,"")</x:f>
      </x:c>
    </x:row>
    <x:row r="174">
      <x:c r="AM174" t="str">
        <x:f>IF(AND('Campaign Inventory'!A178&lt;&gt;"",OR('Campaign Inventory'!BR178="Critical",'Campaign Inventory'!BR178="High",'Campaign Inventory'!N178="",'Campaign Inventory'!U178="",'Campaign Inventory'!AU178="Pending",'Campaign Inventory'!AU178="Not Available",'Campaign Inventory'!AU178="Unknown",'Campaign Inventory'!BP178="High",'Campaign Inventory'!F178=""),OR($B$3="All",'Campaign Inventory'!B178=$B$3),OR($D$3="All",'Campaign Inventory'!M178=$D$3),OR($F$3="All",'Campaign Inventory'!D178=$F$3),OR($H$3="All",'Campaign Inventory'!F178=$H$3),OR($J$3="All",'Campaign Inventory'!BR178=$J$3),OR($L$3="All",'Campaign Inventory'!H178=$L$3)),COUNT($AM$2:AM173)+1,"")</x:f>
      </x:c>
    </x:row>
    <x:row r="175">
      <x:c r="AM175" t="str">
        <x:f>IF(AND('Campaign Inventory'!A179&lt;&gt;"",OR('Campaign Inventory'!BR179="Critical",'Campaign Inventory'!BR179="High",'Campaign Inventory'!N179="",'Campaign Inventory'!U179="",'Campaign Inventory'!AU179="Pending",'Campaign Inventory'!AU179="Not Available",'Campaign Inventory'!AU179="Unknown",'Campaign Inventory'!BP179="High",'Campaign Inventory'!F179=""),OR($B$3="All",'Campaign Inventory'!B179=$B$3),OR($D$3="All",'Campaign Inventory'!M179=$D$3),OR($F$3="All",'Campaign Inventory'!D179=$F$3),OR($H$3="All",'Campaign Inventory'!F179=$H$3),OR($J$3="All",'Campaign Inventory'!BR179=$J$3),OR($L$3="All",'Campaign Inventory'!H179=$L$3)),COUNT($AM$2:AM174)+1,"")</x:f>
      </x:c>
    </x:row>
    <x:row r="176">
      <x:c r="AM176" t="str">
        <x:f>IF(AND('Campaign Inventory'!A180&lt;&gt;"",OR('Campaign Inventory'!BR180="Critical",'Campaign Inventory'!BR180="High",'Campaign Inventory'!N180="",'Campaign Inventory'!U180="",'Campaign Inventory'!AU180="Pending",'Campaign Inventory'!AU180="Not Available",'Campaign Inventory'!AU180="Unknown",'Campaign Inventory'!BP180="High",'Campaign Inventory'!F180=""),OR($B$3="All",'Campaign Inventory'!B180=$B$3),OR($D$3="All",'Campaign Inventory'!M180=$D$3),OR($F$3="All",'Campaign Inventory'!D180=$F$3),OR($H$3="All",'Campaign Inventory'!F180=$H$3),OR($J$3="All",'Campaign Inventory'!BR180=$J$3),OR($L$3="All",'Campaign Inventory'!H180=$L$3)),COUNT($AM$2:AM175)+1,"")</x:f>
      </x:c>
    </x:row>
    <x:row r="177">
      <x:c r="AM177" t="str">
        <x:f>IF(AND('Campaign Inventory'!A181&lt;&gt;"",OR('Campaign Inventory'!BR181="Critical",'Campaign Inventory'!BR181="High",'Campaign Inventory'!N181="",'Campaign Inventory'!U181="",'Campaign Inventory'!AU181="Pending",'Campaign Inventory'!AU181="Not Available",'Campaign Inventory'!AU181="Unknown",'Campaign Inventory'!BP181="High",'Campaign Inventory'!F181=""),OR($B$3="All",'Campaign Inventory'!B181=$B$3),OR($D$3="All",'Campaign Inventory'!M181=$D$3),OR($F$3="All",'Campaign Inventory'!D181=$F$3),OR($H$3="All",'Campaign Inventory'!F181=$H$3),OR($J$3="All",'Campaign Inventory'!BR181=$J$3),OR($L$3="All",'Campaign Inventory'!H181=$L$3)),COUNT($AM$2:AM176)+1,"")</x:f>
      </x:c>
    </x:row>
    <x:row r="178">
      <x:c r="AM178" t="str">
        <x:f>IF(AND('Campaign Inventory'!A182&lt;&gt;"",OR('Campaign Inventory'!BR182="Critical",'Campaign Inventory'!BR182="High",'Campaign Inventory'!N182="",'Campaign Inventory'!U182="",'Campaign Inventory'!AU182="Pending",'Campaign Inventory'!AU182="Not Available",'Campaign Inventory'!AU182="Unknown",'Campaign Inventory'!BP182="High",'Campaign Inventory'!F182=""),OR($B$3="All",'Campaign Inventory'!B182=$B$3),OR($D$3="All",'Campaign Inventory'!M182=$D$3),OR($F$3="All",'Campaign Inventory'!D182=$F$3),OR($H$3="All",'Campaign Inventory'!F182=$H$3),OR($J$3="All",'Campaign Inventory'!BR182=$J$3),OR($L$3="All",'Campaign Inventory'!H182=$L$3)),COUNT($AM$2:AM177)+1,"")</x:f>
      </x:c>
    </x:row>
    <x:row r="179">
      <x:c r="AM179" t="str">
        <x:f>IF(AND('Campaign Inventory'!A183&lt;&gt;"",OR('Campaign Inventory'!BR183="Critical",'Campaign Inventory'!BR183="High",'Campaign Inventory'!N183="",'Campaign Inventory'!U183="",'Campaign Inventory'!AU183="Pending",'Campaign Inventory'!AU183="Not Available",'Campaign Inventory'!AU183="Unknown",'Campaign Inventory'!BP183="High",'Campaign Inventory'!F183=""),OR($B$3="All",'Campaign Inventory'!B183=$B$3),OR($D$3="All",'Campaign Inventory'!M183=$D$3),OR($F$3="All",'Campaign Inventory'!D183=$F$3),OR($H$3="All",'Campaign Inventory'!F183=$H$3),OR($J$3="All",'Campaign Inventory'!BR183=$J$3),OR($L$3="All",'Campaign Inventory'!H183=$L$3)),COUNT($AM$2:AM178)+1,"")</x:f>
      </x:c>
    </x:row>
    <x:row r="180">
      <x:c r="AM180" t="str">
        <x:f>IF(AND('Campaign Inventory'!A184&lt;&gt;"",OR('Campaign Inventory'!BR184="Critical",'Campaign Inventory'!BR184="High",'Campaign Inventory'!N184="",'Campaign Inventory'!U184="",'Campaign Inventory'!AU184="Pending",'Campaign Inventory'!AU184="Not Available",'Campaign Inventory'!AU184="Unknown",'Campaign Inventory'!BP184="High",'Campaign Inventory'!F184=""),OR($B$3="All",'Campaign Inventory'!B184=$B$3),OR($D$3="All",'Campaign Inventory'!M184=$D$3),OR($F$3="All",'Campaign Inventory'!D184=$F$3),OR($H$3="All",'Campaign Inventory'!F184=$H$3),OR($J$3="All",'Campaign Inventory'!BR184=$J$3),OR($L$3="All",'Campaign Inventory'!H184=$L$3)),COUNT($AM$2:AM179)+1,"")</x:f>
      </x:c>
    </x:row>
    <x:row r="181">
      <x:c r="AM181" t="str">
        <x:f>IF(AND('Campaign Inventory'!A185&lt;&gt;"",OR('Campaign Inventory'!BR185="Critical",'Campaign Inventory'!BR185="High",'Campaign Inventory'!N185="",'Campaign Inventory'!U185="",'Campaign Inventory'!AU185="Pending",'Campaign Inventory'!AU185="Not Available",'Campaign Inventory'!AU185="Unknown",'Campaign Inventory'!BP185="High",'Campaign Inventory'!F185=""),OR($B$3="All",'Campaign Inventory'!B185=$B$3),OR($D$3="All",'Campaign Inventory'!M185=$D$3),OR($F$3="All",'Campaign Inventory'!D185=$F$3),OR($H$3="All",'Campaign Inventory'!F185=$H$3),OR($J$3="All",'Campaign Inventory'!BR185=$J$3),OR($L$3="All",'Campaign Inventory'!H185=$L$3)),COUNT($AM$2:AM180)+1,"")</x:f>
      </x:c>
    </x:row>
    <x:row r="182">
      <x:c r="AM182" t="str">
        <x:f>IF(AND('Campaign Inventory'!A186&lt;&gt;"",OR('Campaign Inventory'!BR186="Critical",'Campaign Inventory'!BR186="High",'Campaign Inventory'!N186="",'Campaign Inventory'!U186="",'Campaign Inventory'!AU186="Pending",'Campaign Inventory'!AU186="Not Available",'Campaign Inventory'!AU186="Unknown",'Campaign Inventory'!BP186="High",'Campaign Inventory'!F186=""),OR($B$3="All",'Campaign Inventory'!B186=$B$3),OR($D$3="All",'Campaign Inventory'!M186=$D$3),OR($F$3="All",'Campaign Inventory'!D186=$F$3),OR($H$3="All",'Campaign Inventory'!F186=$H$3),OR($J$3="All",'Campaign Inventory'!BR186=$J$3),OR($L$3="All",'Campaign Inventory'!H186=$L$3)),COUNT($AM$2:AM181)+1,"")</x:f>
      </x:c>
    </x:row>
    <x:row r="183">
      <x:c r="AM183" t="str">
        <x:f>IF(AND('Campaign Inventory'!A187&lt;&gt;"",OR('Campaign Inventory'!BR187="Critical",'Campaign Inventory'!BR187="High",'Campaign Inventory'!N187="",'Campaign Inventory'!U187="",'Campaign Inventory'!AU187="Pending",'Campaign Inventory'!AU187="Not Available",'Campaign Inventory'!AU187="Unknown",'Campaign Inventory'!BP187="High",'Campaign Inventory'!F187=""),OR($B$3="All",'Campaign Inventory'!B187=$B$3),OR($D$3="All",'Campaign Inventory'!M187=$D$3),OR($F$3="All",'Campaign Inventory'!D187=$F$3),OR($H$3="All",'Campaign Inventory'!F187=$H$3),OR($J$3="All",'Campaign Inventory'!BR187=$J$3),OR($L$3="All",'Campaign Inventory'!H187=$L$3)),COUNT($AM$2:AM182)+1,"")</x:f>
      </x:c>
    </x:row>
    <x:row r="184">
      <x:c r="AM184" t="str">
        <x:f>IF(AND('Campaign Inventory'!A188&lt;&gt;"",OR('Campaign Inventory'!BR188="Critical",'Campaign Inventory'!BR188="High",'Campaign Inventory'!N188="",'Campaign Inventory'!U188="",'Campaign Inventory'!AU188="Pending",'Campaign Inventory'!AU188="Not Available",'Campaign Inventory'!AU188="Unknown",'Campaign Inventory'!BP188="High",'Campaign Inventory'!F188=""),OR($B$3="All",'Campaign Inventory'!B188=$B$3),OR($D$3="All",'Campaign Inventory'!M188=$D$3),OR($F$3="All",'Campaign Inventory'!D188=$F$3),OR($H$3="All",'Campaign Inventory'!F188=$H$3),OR($J$3="All",'Campaign Inventory'!BR188=$J$3),OR($L$3="All",'Campaign Inventory'!H188=$L$3)),COUNT($AM$2:AM183)+1,"")</x:f>
      </x:c>
    </x:row>
    <x:row r="185">
      <x:c r="AM185" t="str">
        <x:f>IF(AND('Campaign Inventory'!A189&lt;&gt;"",OR('Campaign Inventory'!BR189="Critical",'Campaign Inventory'!BR189="High",'Campaign Inventory'!N189="",'Campaign Inventory'!U189="",'Campaign Inventory'!AU189="Pending",'Campaign Inventory'!AU189="Not Available",'Campaign Inventory'!AU189="Unknown",'Campaign Inventory'!BP189="High",'Campaign Inventory'!F189=""),OR($B$3="All",'Campaign Inventory'!B189=$B$3),OR($D$3="All",'Campaign Inventory'!M189=$D$3),OR($F$3="All",'Campaign Inventory'!D189=$F$3),OR($H$3="All",'Campaign Inventory'!F189=$H$3),OR($J$3="All",'Campaign Inventory'!BR189=$J$3),OR($L$3="All",'Campaign Inventory'!H189=$L$3)),COUNT($AM$2:AM184)+1,"")</x:f>
      </x:c>
    </x:row>
    <x:row r="186">
      <x:c r="AM186" t="str">
        <x:f>IF(AND('Campaign Inventory'!A190&lt;&gt;"",OR('Campaign Inventory'!BR190="Critical",'Campaign Inventory'!BR190="High",'Campaign Inventory'!N190="",'Campaign Inventory'!U190="",'Campaign Inventory'!AU190="Pending",'Campaign Inventory'!AU190="Not Available",'Campaign Inventory'!AU190="Unknown",'Campaign Inventory'!BP190="High",'Campaign Inventory'!F190=""),OR($B$3="All",'Campaign Inventory'!B190=$B$3),OR($D$3="All",'Campaign Inventory'!M190=$D$3),OR($F$3="All",'Campaign Inventory'!D190=$F$3),OR($H$3="All",'Campaign Inventory'!F190=$H$3),OR($J$3="All",'Campaign Inventory'!BR190=$J$3),OR($L$3="All",'Campaign Inventory'!H190=$L$3)),COUNT($AM$2:AM185)+1,"")</x:f>
      </x:c>
    </x:row>
    <x:row r="187">
      <x:c r="AM187" t="str">
        <x:f>IF(AND('Campaign Inventory'!A191&lt;&gt;"",OR('Campaign Inventory'!BR191="Critical",'Campaign Inventory'!BR191="High",'Campaign Inventory'!N191="",'Campaign Inventory'!U191="",'Campaign Inventory'!AU191="Pending",'Campaign Inventory'!AU191="Not Available",'Campaign Inventory'!AU191="Unknown",'Campaign Inventory'!BP191="High",'Campaign Inventory'!F191=""),OR($B$3="All",'Campaign Inventory'!B191=$B$3),OR($D$3="All",'Campaign Inventory'!M191=$D$3),OR($F$3="All",'Campaign Inventory'!D191=$F$3),OR($H$3="All",'Campaign Inventory'!F191=$H$3),OR($J$3="All",'Campaign Inventory'!BR191=$J$3),OR($L$3="All",'Campaign Inventory'!H191=$L$3)),COUNT($AM$2:AM186)+1,"")</x:f>
      </x:c>
    </x:row>
    <x:row r="188">
      <x:c r="AM188" t="str">
        <x:f>IF(AND('Campaign Inventory'!A192&lt;&gt;"",OR('Campaign Inventory'!BR192="Critical",'Campaign Inventory'!BR192="High",'Campaign Inventory'!N192="",'Campaign Inventory'!U192="",'Campaign Inventory'!AU192="Pending",'Campaign Inventory'!AU192="Not Available",'Campaign Inventory'!AU192="Unknown",'Campaign Inventory'!BP192="High",'Campaign Inventory'!F192=""),OR($B$3="All",'Campaign Inventory'!B192=$B$3),OR($D$3="All",'Campaign Inventory'!M192=$D$3),OR($F$3="All",'Campaign Inventory'!D192=$F$3),OR($H$3="All",'Campaign Inventory'!F192=$H$3),OR($J$3="All",'Campaign Inventory'!BR192=$J$3),OR($L$3="All",'Campaign Inventory'!H192=$L$3)),COUNT($AM$2:AM187)+1,"")</x:f>
      </x:c>
    </x:row>
    <x:row r="189">
      <x:c r="AM189" t="str">
        <x:f>IF(AND('Campaign Inventory'!A193&lt;&gt;"",OR('Campaign Inventory'!BR193="Critical",'Campaign Inventory'!BR193="High",'Campaign Inventory'!N193="",'Campaign Inventory'!U193="",'Campaign Inventory'!AU193="Pending",'Campaign Inventory'!AU193="Not Available",'Campaign Inventory'!AU193="Unknown",'Campaign Inventory'!BP193="High",'Campaign Inventory'!F193=""),OR($B$3="All",'Campaign Inventory'!B193=$B$3),OR($D$3="All",'Campaign Inventory'!M193=$D$3),OR($F$3="All",'Campaign Inventory'!D193=$F$3),OR($H$3="All",'Campaign Inventory'!F193=$H$3),OR($J$3="All",'Campaign Inventory'!BR193=$J$3),OR($L$3="All",'Campaign Inventory'!H193=$L$3)),COUNT($AM$2:AM188)+1,"")</x:f>
      </x:c>
    </x:row>
    <x:row r="190">
      <x:c r="AM190" t="str">
        <x:f>IF(AND('Campaign Inventory'!A194&lt;&gt;"",OR('Campaign Inventory'!BR194="Critical",'Campaign Inventory'!BR194="High",'Campaign Inventory'!N194="",'Campaign Inventory'!U194="",'Campaign Inventory'!AU194="Pending",'Campaign Inventory'!AU194="Not Available",'Campaign Inventory'!AU194="Unknown",'Campaign Inventory'!BP194="High",'Campaign Inventory'!F194=""),OR($B$3="All",'Campaign Inventory'!B194=$B$3),OR($D$3="All",'Campaign Inventory'!M194=$D$3),OR($F$3="All",'Campaign Inventory'!D194=$F$3),OR($H$3="All",'Campaign Inventory'!F194=$H$3),OR($J$3="All",'Campaign Inventory'!BR194=$J$3),OR($L$3="All",'Campaign Inventory'!H194=$L$3)),COUNT($AM$2:AM189)+1,"")</x:f>
      </x:c>
    </x:row>
    <x:row r="191">
      <x:c r="AM191" t="str">
        <x:f>IF(AND('Campaign Inventory'!A195&lt;&gt;"",OR('Campaign Inventory'!BR195="Critical",'Campaign Inventory'!BR195="High",'Campaign Inventory'!N195="",'Campaign Inventory'!U195="",'Campaign Inventory'!AU195="Pending",'Campaign Inventory'!AU195="Not Available",'Campaign Inventory'!AU195="Unknown",'Campaign Inventory'!BP195="High",'Campaign Inventory'!F195=""),OR($B$3="All",'Campaign Inventory'!B195=$B$3),OR($D$3="All",'Campaign Inventory'!M195=$D$3),OR($F$3="All",'Campaign Inventory'!D195=$F$3),OR($H$3="All",'Campaign Inventory'!F195=$H$3),OR($J$3="All",'Campaign Inventory'!BR195=$J$3),OR($L$3="All",'Campaign Inventory'!H195=$L$3)),COUNT($AM$2:AM190)+1,"")</x:f>
      </x:c>
    </x:row>
    <x:row r="192">
      <x:c r="AM192" t="str">
        <x:f>IF(AND('Campaign Inventory'!A196&lt;&gt;"",OR('Campaign Inventory'!BR196="Critical",'Campaign Inventory'!BR196="High",'Campaign Inventory'!N196="",'Campaign Inventory'!U196="",'Campaign Inventory'!AU196="Pending",'Campaign Inventory'!AU196="Not Available",'Campaign Inventory'!AU196="Unknown",'Campaign Inventory'!BP196="High",'Campaign Inventory'!F196=""),OR($B$3="All",'Campaign Inventory'!B196=$B$3),OR($D$3="All",'Campaign Inventory'!M196=$D$3),OR($F$3="All",'Campaign Inventory'!D196=$F$3),OR($H$3="All",'Campaign Inventory'!F196=$H$3),OR($J$3="All",'Campaign Inventory'!BR196=$J$3),OR($L$3="All",'Campaign Inventory'!H196=$L$3)),COUNT($AM$2:AM191)+1,"")</x:f>
      </x:c>
    </x:row>
    <x:row r="193">
      <x:c r="AM193" t="str">
        <x:f>IF(AND('Campaign Inventory'!A197&lt;&gt;"",OR('Campaign Inventory'!BR197="Critical",'Campaign Inventory'!BR197="High",'Campaign Inventory'!N197="",'Campaign Inventory'!U197="",'Campaign Inventory'!AU197="Pending",'Campaign Inventory'!AU197="Not Available",'Campaign Inventory'!AU197="Unknown",'Campaign Inventory'!BP197="High",'Campaign Inventory'!F197=""),OR($B$3="All",'Campaign Inventory'!B197=$B$3),OR($D$3="All",'Campaign Inventory'!M197=$D$3),OR($F$3="All",'Campaign Inventory'!D197=$F$3),OR($H$3="All",'Campaign Inventory'!F197=$H$3),OR($J$3="All",'Campaign Inventory'!BR197=$J$3),OR($L$3="All",'Campaign Inventory'!H197=$L$3)),COUNT($AM$2:AM192)+1,"")</x:f>
      </x:c>
    </x:row>
    <x:row r="194">
      <x:c r="AM194" t="str">
        <x:f>IF(AND('Campaign Inventory'!A198&lt;&gt;"",OR('Campaign Inventory'!BR198="Critical",'Campaign Inventory'!BR198="High",'Campaign Inventory'!N198="",'Campaign Inventory'!U198="",'Campaign Inventory'!AU198="Pending",'Campaign Inventory'!AU198="Not Available",'Campaign Inventory'!AU198="Unknown",'Campaign Inventory'!BP198="High",'Campaign Inventory'!F198=""),OR($B$3="All",'Campaign Inventory'!B198=$B$3),OR($D$3="All",'Campaign Inventory'!M198=$D$3),OR($F$3="All",'Campaign Inventory'!D198=$F$3),OR($H$3="All",'Campaign Inventory'!F198=$H$3),OR($J$3="All",'Campaign Inventory'!BR198=$J$3),OR($L$3="All",'Campaign Inventory'!H198=$L$3)),COUNT($AM$2:AM193)+1,"")</x:f>
      </x:c>
    </x:row>
    <x:row r="195">
      <x:c r="AM195" t="str">
        <x:f>IF(AND('Campaign Inventory'!A199&lt;&gt;"",OR('Campaign Inventory'!BR199="Critical",'Campaign Inventory'!BR199="High",'Campaign Inventory'!N199="",'Campaign Inventory'!U199="",'Campaign Inventory'!AU199="Pending",'Campaign Inventory'!AU199="Not Available",'Campaign Inventory'!AU199="Unknown",'Campaign Inventory'!BP199="High",'Campaign Inventory'!F199=""),OR($B$3="All",'Campaign Inventory'!B199=$B$3),OR($D$3="All",'Campaign Inventory'!M199=$D$3),OR($F$3="All",'Campaign Inventory'!D199=$F$3),OR($H$3="All",'Campaign Inventory'!F199=$H$3),OR($J$3="All",'Campaign Inventory'!BR199=$J$3),OR($L$3="All",'Campaign Inventory'!H199=$L$3)),COUNT($AM$2:AM194)+1,"")</x:f>
      </x:c>
    </x:row>
    <x:row r="196">
      <x:c r="AM196" t="str">
        <x:f>IF(AND('Campaign Inventory'!A200&lt;&gt;"",OR('Campaign Inventory'!BR200="Critical",'Campaign Inventory'!BR200="High",'Campaign Inventory'!N200="",'Campaign Inventory'!U200="",'Campaign Inventory'!AU200="Pending",'Campaign Inventory'!AU200="Not Available",'Campaign Inventory'!AU200="Unknown",'Campaign Inventory'!BP200="High",'Campaign Inventory'!F200=""),OR($B$3="All",'Campaign Inventory'!B200=$B$3),OR($D$3="All",'Campaign Inventory'!M200=$D$3),OR($F$3="All",'Campaign Inventory'!D200=$F$3),OR($H$3="All",'Campaign Inventory'!F200=$H$3),OR($J$3="All",'Campaign Inventory'!BR200=$J$3),OR($L$3="All",'Campaign Inventory'!H200=$L$3)),COUNT($AM$2:AM195)+1,"")</x:f>
      </x:c>
    </x:row>
    <x:row r="197">
      <x:c r="AM197" t="str">
        <x:f>IF(AND('Campaign Inventory'!A201&lt;&gt;"",OR('Campaign Inventory'!BR201="Critical",'Campaign Inventory'!BR201="High",'Campaign Inventory'!N201="",'Campaign Inventory'!U201="",'Campaign Inventory'!AU201="Pending",'Campaign Inventory'!AU201="Not Available",'Campaign Inventory'!AU201="Unknown",'Campaign Inventory'!BP201="High",'Campaign Inventory'!F201=""),OR($B$3="All",'Campaign Inventory'!B201=$B$3),OR($D$3="All",'Campaign Inventory'!M201=$D$3),OR($F$3="All",'Campaign Inventory'!D201=$F$3),OR($H$3="All",'Campaign Inventory'!F201=$H$3),OR($J$3="All",'Campaign Inventory'!BR201=$J$3),OR($L$3="All",'Campaign Inventory'!H201=$L$3)),COUNT($AM$2:AM196)+1,"")</x:f>
      </x:c>
    </x:row>
    <x:row r="198">
      <x:c r="AM198" t="str">
        <x:f>IF(AND('Campaign Inventory'!A202&lt;&gt;"",OR('Campaign Inventory'!BR202="Critical",'Campaign Inventory'!BR202="High",'Campaign Inventory'!N202="",'Campaign Inventory'!U202="",'Campaign Inventory'!AU202="Pending",'Campaign Inventory'!AU202="Not Available",'Campaign Inventory'!AU202="Unknown",'Campaign Inventory'!BP202="High",'Campaign Inventory'!F202=""),OR($B$3="All",'Campaign Inventory'!B202=$B$3),OR($D$3="All",'Campaign Inventory'!M202=$D$3),OR($F$3="All",'Campaign Inventory'!D202=$F$3),OR($H$3="All",'Campaign Inventory'!F202=$H$3),OR($J$3="All",'Campaign Inventory'!BR202=$J$3),OR($L$3="All",'Campaign Inventory'!H202=$L$3)),COUNT($AM$2:AM197)+1,"")</x:f>
      </x:c>
    </x:row>
    <x:row r="199">
      <x:c r="AM199" t="str">
        <x:f>IF(AND('Campaign Inventory'!A203&lt;&gt;"",OR('Campaign Inventory'!BR203="Critical",'Campaign Inventory'!BR203="High",'Campaign Inventory'!N203="",'Campaign Inventory'!U203="",'Campaign Inventory'!AU203="Pending",'Campaign Inventory'!AU203="Not Available",'Campaign Inventory'!AU203="Unknown",'Campaign Inventory'!BP203="High",'Campaign Inventory'!F203=""),OR($B$3="All",'Campaign Inventory'!B203=$B$3),OR($D$3="All",'Campaign Inventory'!M203=$D$3),OR($F$3="All",'Campaign Inventory'!D203=$F$3),OR($H$3="All",'Campaign Inventory'!F203=$H$3),OR($J$3="All",'Campaign Inventory'!BR203=$J$3),OR($L$3="All",'Campaign Inventory'!H203=$L$3)),COUNT($AM$2:AM198)+1,"")</x:f>
      </x:c>
    </x:row>
    <x:row r="200">
      <x:c r="AM200" t="str">
        <x:f>IF(AND('Campaign Inventory'!A204&lt;&gt;"",OR('Campaign Inventory'!BR204="Critical",'Campaign Inventory'!BR204="High",'Campaign Inventory'!N204="",'Campaign Inventory'!U204="",'Campaign Inventory'!AU204="Pending",'Campaign Inventory'!AU204="Not Available",'Campaign Inventory'!AU204="Unknown",'Campaign Inventory'!BP204="High",'Campaign Inventory'!F204=""),OR($B$3="All",'Campaign Inventory'!B204=$B$3),OR($D$3="All",'Campaign Inventory'!M204=$D$3),OR($F$3="All",'Campaign Inventory'!D204=$F$3),OR($H$3="All",'Campaign Inventory'!F204=$H$3),OR($J$3="All",'Campaign Inventory'!BR204=$J$3),OR($L$3="All",'Campaign Inventory'!H204=$L$3)),COUNT($AM$2:AM199)+1,"")</x:f>
      </x:c>
    </x:row>
    <x:row r="201">
      <x:c r="AM201" t="str">
        <x:f>IF(AND('Campaign Inventory'!A205&lt;&gt;"",OR('Campaign Inventory'!BR205="Critical",'Campaign Inventory'!BR205="High",'Campaign Inventory'!N205="",'Campaign Inventory'!U205="",'Campaign Inventory'!AU205="Pending",'Campaign Inventory'!AU205="Not Available",'Campaign Inventory'!AU205="Unknown",'Campaign Inventory'!BP205="High",'Campaign Inventory'!F205=""),OR($B$3="All",'Campaign Inventory'!B205=$B$3),OR($D$3="All",'Campaign Inventory'!M205=$D$3),OR($F$3="All",'Campaign Inventory'!D205=$F$3),OR($H$3="All",'Campaign Inventory'!F205=$H$3),OR($J$3="All",'Campaign Inventory'!BR205=$J$3),OR($L$3="All",'Campaign Inventory'!H205=$L$3)),COUNT($AM$2:AM200)+1,"")</x:f>
      </x:c>
    </x:row>
    <x:row r="202">
      <x:c r="AM202" t="str">
        <x:f>IF(AND('Campaign Inventory'!A206&lt;&gt;"",OR('Campaign Inventory'!BR206="Critical",'Campaign Inventory'!BR206="High",'Campaign Inventory'!N206="",'Campaign Inventory'!U206="",'Campaign Inventory'!AU206="Pending",'Campaign Inventory'!AU206="Not Available",'Campaign Inventory'!AU206="Unknown",'Campaign Inventory'!BP206="High",'Campaign Inventory'!F206=""),OR($B$3="All",'Campaign Inventory'!B206=$B$3),OR($D$3="All",'Campaign Inventory'!M206=$D$3),OR($F$3="All",'Campaign Inventory'!D206=$F$3),OR($H$3="All",'Campaign Inventory'!F206=$H$3),OR($J$3="All",'Campaign Inventory'!BR206=$J$3),OR($L$3="All",'Campaign Inventory'!H206=$L$3)),COUNT($AM$2:AM201)+1,"")</x:f>
      </x:c>
    </x:row>
    <x:row r="203">
      <x:c r="AM203" t="str">
        <x:f>IF(AND('Campaign Inventory'!A207&lt;&gt;"",OR('Campaign Inventory'!BR207="Critical",'Campaign Inventory'!BR207="High",'Campaign Inventory'!N207="",'Campaign Inventory'!U207="",'Campaign Inventory'!AU207="Pending",'Campaign Inventory'!AU207="Not Available",'Campaign Inventory'!AU207="Unknown",'Campaign Inventory'!BP207="High",'Campaign Inventory'!F207=""),OR($B$3="All",'Campaign Inventory'!B207=$B$3),OR($D$3="All",'Campaign Inventory'!M207=$D$3),OR($F$3="All",'Campaign Inventory'!D207=$F$3),OR($H$3="All",'Campaign Inventory'!F207=$H$3),OR($J$3="All",'Campaign Inventory'!BR207=$J$3),OR($L$3="All",'Campaign Inventory'!H207=$L$3)),COUNT($AM$2:AM202)+1,"")</x:f>
      </x:c>
    </x:row>
    <x:row r="204">
      <x:c r="AM204" t="str">
        <x:f>IF(AND('Campaign Inventory'!A208&lt;&gt;"",OR('Campaign Inventory'!BR208="Critical",'Campaign Inventory'!BR208="High",'Campaign Inventory'!N208="",'Campaign Inventory'!U208="",'Campaign Inventory'!AU208="Pending",'Campaign Inventory'!AU208="Not Available",'Campaign Inventory'!AU208="Unknown",'Campaign Inventory'!BP208="High",'Campaign Inventory'!F208=""),OR($B$3="All",'Campaign Inventory'!B208=$B$3),OR($D$3="All",'Campaign Inventory'!M208=$D$3),OR($F$3="All",'Campaign Inventory'!D208=$F$3),OR($H$3="All",'Campaign Inventory'!F208=$H$3),OR($J$3="All",'Campaign Inventory'!BR208=$J$3),OR($L$3="All",'Campaign Inventory'!H208=$L$3)),COUNT($AM$2:AM203)+1,"")</x:f>
      </x:c>
    </x:row>
    <x:row r="205">
      <x:c r="AM205" t="str">
        <x:f>IF(AND('Campaign Inventory'!A209&lt;&gt;"",OR('Campaign Inventory'!BR209="Critical",'Campaign Inventory'!BR209="High",'Campaign Inventory'!N209="",'Campaign Inventory'!U209="",'Campaign Inventory'!AU209="Pending",'Campaign Inventory'!AU209="Not Available",'Campaign Inventory'!AU209="Unknown",'Campaign Inventory'!BP209="High",'Campaign Inventory'!F209=""),OR($B$3="All",'Campaign Inventory'!B209=$B$3),OR($D$3="All",'Campaign Inventory'!M209=$D$3),OR($F$3="All",'Campaign Inventory'!D209=$F$3),OR($H$3="All",'Campaign Inventory'!F209=$H$3),OR($J$3="All",'Campaign Inventory'!BR209=$J$3),OR($L$3="All",'Campaign Inventory'!H209=$L$3)),COUNT($AM$2:AM204)+1,"")</x:f>
      </x:c>
    </x:row>
    <x:row r="206">
      <x:c r="AM206" t="str">
        <x:f>IF(AND('Campaign Inventory'!A210&lt;&gt;"",OR('Campaign Inventory'!BR210="Critical",'Campaign Inventory'!BR210="High",'Campaign Inventory'!N210="",'Campaign Inventory'!U210="",'Campaign Inventory'!AU210="Pending",'Campaign Inventory'!AU210="Not Available",'Campaign Inventory'!AU210="Unknown",'Campaign Inventory'!BP210="High",'Campaign Inventory'!F210=""),OR($B$3="All",'Campaign Inventory'!B210=$B$3),OR($D$3="All",'Campaign Inventory'!M210=$D$3),OR($F$3="All",'Campaign Inventory'!D210=$F$3),OR($H$3="All",'Campaign Inventory'!F210=$H$3),OR($J$3="All",'Campaign Inventory'!BR210=$J$3),OR($L$3="All",'Campaign Inventory'!H210=$L$3)),COUNT($AM$2:AM205)+1,"")</x:f>
      </x:c>
    </x:row>
    <x:row r="207">
      <x:c r="AM207" t="str">
        <x:f>IF(AND('Campaign Inventory'!A211&lt;&gt;"",OR('Campaign Inventory'!BR211="Critical",'Campaign Inventory'!BR211="High",'Campaign Inventory'!N211="",'Campaign Inventory'!U211="",'Campaign Inventory'!AU211="Pending",'Campaign Inventory'!AU211="Not Available",'Campaign Inventory'!AU211="Unknown",'Campaign Inventory'!BP211="High",'Campaign Inventory'!F211=""),OR($B$3="All",'Campaign Inventory'!B211=$B$3),OR($D$3="All",'Campaign Inventory'!M211=$D$3),OR($F$3="All",'Campaign Inventory'!D211=$F$3),OR($H$3="All",'Campaign Inventory'!F211=$H$3),OR($J$3="All",'Campaign Inventory'!BR211=$J$3),OR($L$3="All",'Campaign Inventory'!H211=$L$3)),COUNT($AM$2:AM206)+1,"")</x:f>
      </x:c>
    </x:row>
    <x:row r="208">
      <x:c r="AM208" t="str">
        <x:f>IF(AND('Campaign Inventory'!A212&lt;&gt;"",OR('Campaign Inventory'!BR212="Critical",'Campaign Inventory'!BR212="High",'Campaign Inventory'!N212="",'Campaign Inventory'!U212="",'Campaign Inventory'!AU212="Pending",'Campaign Inventory'!AU212="Not Available",'Campaign Inventory'!AU212="Unknown",'Campaign Inventory'!BP212="High",'Campaign Inventory'!F212=""),OR($B$3="All",'Campaign Inventory'!B212=$B$3),OR($D$3="All",'Campaign Inventory'!M212=$D$3),OR($F$3="All",'Campaign Inventory'!D212=$F$3),OR($H$3="All",'Campaign Inventory'!F212=$H$3),OR($J$3="All",'Campaign Inventory'!BR212=$J$3),OR($L$3="All",'Campaign Inventory'!H212=$L$3)),COUNT($AM$2:AM207)+1,"")</x:f>
      </x:c>
    </x:row>
    <x:row r="209">
      <x:c r="AM209" t="str">
        <x:f>IF(AND('Campaign Inventory'!A213&lt;&gt;"",OR('Campaign Inventory'!BR213="Critical",'Campaign Inventory'!BR213="High",'Campaign Inventory'!N213="",'Campaign Inventory'!U213="",'Campaign Inventory'!AU213="Pending",'Campaign Inventory'!AU213="Not Available",'Campaign Inventory'!AU213="Unknown",'Campaign Inventory'!BP213="High",'Campaign Inventory'!F213=""),OR($B$3="All",'Campaign Inventory'!B213=$B$3),OR($D$3="All",'Campaign Inventory'!M213=$D$3),OR($F$3="All",'Campaign Inventory'!D213=$F$3),OR($H$3="All",'Campaign Inventory'!F213=$H$3),OR($J$3="All",'Campaign Inventory'!BR213=$J$3),OR($L$3="All",'Campaign Inventory'!H213=$L$3)),COUNT($AM$2:AM208)+1,"")</x:f>
      </x:c>
    </x:row>
    <x:row r="210">
      <x:c r="AM210" t="str">
        <x:f>IF(AND('Campaign Inventory'!A214&lt;&gt;"",OR('Campaign Inventory'!BR214="Critical",'Campaign Inventory'!BR214="High",'Campaign Inventory'!N214="",'Campaign Inventory'!U214="",'Campaign Inventory'!AU214="Pending",'Campaign Inventory'!AU214="Not Available",'Campaign Inventory'!AU214="Unknown",'Campaign Inventory'!BP214="High",'Campaign Inventory'!F214=""),OR($B$3="All",'Campaign Inventory'!B214=$B$3),OR($D$3="All",'Campaign Inventory'!M214=$D$3),OR($F$3="All",'Campaign Inventory'!D214=$F$3),OR($H$3="All",'Campaign Inventory'!F214=$H$3),OR($J$3="All",'Campaign Inventory'!BR214=$J$3),OR($L$3="All",'Campaign Inventory'!H214=$L$3)),COUNT($AM$2:AM209)+1,"")</x:f>
      </x:c>
    </x:row>
    <x:row r="211">
      <x:c r="AM211" t="str">
        <x:f>IF(AND('Campaign Inventory'!A215&lt;&gt;"",OR('Campaign Inventory'!BR215="Critical",'Campaign Inventory'!BR215="High",'Campaign Inventory'!N215="",'Campaign Inventory'!U215="",'Campaign Inventory'!AU215="Pending",'Campaign Inventory'!AU215="Not Available",'Campaign Inventory'!AU215="Unknown",'Campaign Inventory'!BP215="High",'Campaign Inventory'!F215=""),OR($B$3="All",'Campaign Inventory'!B215=$B$3),OR($D$3="All",'Campaign Inventory'!M215=$D$3),OR($F$3="All",'Campaign Inventory'!D215=$F$3),OR($H$3="All",'Campaign Inventory'!F215=$H$3),OR($J$3="All",'Campaign Inventory'!BR215=$J$3),OR($L$3="All",'Campaign Inventory'!H215=$L$3)),COUNT($AM$2:AM210)+1,"")</x:f>
      </x:c>
    </x:row>
    <x:row r="212">
      <x:c r="AM212" t="str">
        <x:f>IF(AND('Campaign Inventory'!A216&lt;&gt;"",OR('Campaign Inventory'!BR216="Critical",'Campaign Inventory'!BR216="High",'Campaign Inventory'!N216="",'Campaign Inventory'!U216="",'Campaign Inventory'!AU216="Pending",'Campaign Inventory'!AU216="Not Available",'Campaign Inventory'!AU216="Unknown",'Campaign Inventory'!BP216="High",'Campaign Inventory'!F216=""),OR($B$3="All",'Campaign Inventory'!B216=$B$3),OR($D$3="All",'Campaign Inventory'!M216=$D$3),OR($F$3="All",'Campaign Inventory'!D216=$F$3),OR($H$3="All",'Campaign Inventory'!F216=$H$3),OR($J$3="All",'Campaign Inventory'!BR216=$J$3),OR($L$3="All",'Campaign Inventory'!H216=$L$3)),COUNT($AM$2:AM211)+1,"")</x:f>
      </x:c>
    </x:row>
    <x:row r="213">
      <x:c r="AM213" t="str">
        <x:f>IF(AND('Campaign Inventory'!A217&lt;&gt;"",OR('Campaign Inventory'!BR217="Critical",'Campaign Inventory'!BR217="High",'Campaign Inventory'!N217="",'Campaign Inventory'!U217="",'Campaign Inventory'!AU217="Pending",'Campaign Inventory'!AU217="Not Available",'Campaign Inventory'!AU217="Unknown",'Campaign Inventory'!BP217="High",'Campaign Inventory'!F217=""),OR($B$3="All",'Campaign Inventory'!B217=$B$3),OR($D$3="All",'Campaign Inventory'!M217=$D$3),OR($F$3="All",'Campaign Inventory'!D217=$F$3),OR($H$3="All",'Campaign Inventory'!F217=$H$3),OR($J$3="All",'Campaign Inventory'!BR217=$J$3),OR($L$3="All",'Campaign Inventory'!H217=$L$3)),COUNT($AM$2:AM212)+1,"")</x:f>
      </x:c>
    </x:row>
    <x:row r="214">
      <x:c r="AM214" t="str">
        <x:f>IF(AND('Campaign Inventory'!A218&lt;&gt;"",OR('Campaign Inventory'!BR218="Critical",'Campaign Inventory'!BR218="High",'Campaign Inventory'!N218="",'Campaign Inventory'!U218="",'Campaign Inventory'!AU218="Pending",'Campaign Inventory'!AU218="Not Available",'Campaign Inventory'!AU218="Unknown",'Campaign Inventory'!BP218="High",'Campaign Inventory'!F218=""),OR($B$3="All",'Campaign Inventory'!B218=$B$3),OR($D$3="All",'Campaign Inventory'!M218=$D$3),OR($F$3="All",'Campaign Inventory'!D218=$F$3),OR($H$3="All",'Campaign Inventory'!F218=$H$3),OR($J$3="All",'Campaign Inventory'!BR218=$J$3),OR($L$3="All",'Campaign Inventory'!H218=$L$3)),COUNT($AM$2:AM213)+1,"")</x:f>
      </x:c>
    </x:row>
    <x:row r="215">
      <x:c r="AM215" t="str">
        <x:f>IF(AND('Campaign Inventory'!A219&lt;&gt;"",OR('Campaign Inventory'!BR219="Critical",'Campaign Inventory'!BR219="High",'Campaign Inventory'!N219="",'Campaign Inventory'!U219="",'Campaign Inventory'!AU219="Pending",'Campaign Inventory'!AU219="Not Available",'Campaign Inventory'!AU219="Unknown",'Campaign Inventory'!BP219="High",'Campaign Inventory'!F219=""),OR($B$3="All",'Campaign Inventory'!B219=$B$3),OR($D$3="All",'Campaign Inventory'!M219=$D$3),OR($F$3="All",'Campaign Inventory'!D219=$F$3),OR($H$3="All",'Campaign Inventory'!F219=$H$3),OR($J$3="All",'Campaign Inventory'!BR219=$J$3),OR($L$3="All",'Campaign Inventory'!H219=$L$3)),COUNT($AM$2:AM214)+1,"")</x:f>
      </x:c>
    </x:row>
    <x:row r="216">
      <x:c r="AM216" t="str">
        <x:f>IF(AND('Campaign Inventory'!A220&lt;&gt;"",OR('Campaign Inventory'!BR220="Critical",'Campaign Inventory'!BR220="High",'Campaign Inventory'!N220="",'Campaign Inventory'!U220="",'Campaign Inventory'!AU220="Pending",'Campaign Inventory'!AU220="Not Available",'Campaign Inventory'!AU220="Unknown",'Campaign Inventory'!BP220="High",'Campaign Inventory'!F220=""),OR($B$3="All",'Campaign Inventory'!B220=$B$3),OR($D$3="All",'Campaign Inventory'!M220=$D$3),OR($F$3="All",'Campaign Inventory'!D220=$F$3),OR($H$3="All",'Campaign Inventory'!F220=$H$3),OR($J$3="All",'Campaign Inventory'!BR220=$J$3),OR($L$3="All",'Campaign Inventory'!H220=$L$3)),COUNT($AM$2:AM215)+1,"")</x:f>
      </x:c>
    </x:row>
    <x:row r="217">
      <x:c r="AM217" t="str">
        <x:f>IF(AND('Campaign Inventory'!A221&lt;&gt;"",OR('Campaign Inventory'!BR221="Critical",'Campaign Inventory'!BR221="High",'Campaign Inventory'!N221="",'Campaign Inventory'!U221="",'Campaign Inventory'!AU221="Pending",'Campaign Inventory'!AU221="Not Available",'Campaign Inventory'!AU221="Unknown",'Campaign Inventory'!BP221="High",'Campaign Inventory'!F221=""),OR($B$3="All",'Campaign Inventory'!B221=$B$3),OR($D$3="All",'Campaign Inventory'!M221=$D$3),OR($F$3="All",'Campaign Inventory'!D221=$F$3),OR($H$3="All",'Campaign Inventory'!F221=$H$3),OR($J$3="All",'Campaign Inventory'!BR221=$J$3),OR($L$3="All",'Campaign Inventory'!H221=$L$3)),COUNT($AM$2:AM216)+1,"")</x:f>
      </x:c>
    </x:row>
    <x:row r="218">
      <x:c r="AM218" t="str">
        <x:f>IF(AND('Campaign Inventory'!A222&lt;&gt;"",OR('Campaign Inventory'!BR222="Critical",'Campaign Inventory'!BR222="High",'Campaign Inventory'!N222="",'Campaign Inventory'!U222="",'Campaign Inventory'!AU222="Pending",'Campaign Inventory'!AU222="Not Available",'Campaign Inventory'!AU222="Unknown",'Campaign Inventory'!BP222="High",'Campaign Inventory'!F222=""),OR($B$3="All",'Campaign Inventory'!B222=$B$3),OR($D$3="All",'Campaign Inventory'!M222=$D$3),OR($F$3="All",'Campaign Inventory'!D222=$F$3),OR($H$3="All",'Campaign Inventory'!F222=$H$3),OR($J$3="All",'Campaign Inventory'!BR222=$J$3),OR($L$3="All",'Campaign Inventory'!H222=$L$3)),COUNT($AM$2:AM217)+1,"")</x:f>
      </x:c>
    </x:row>
    <x:row r="219">
      <x:c r="AM219" t="str">
        <x:f>IF(AND('Campaign Inventory'!A223&lt;&gt;"",OR('Campaign Inventory'!BR223="Critical",'Campaign Inventory'!BR223="High",'Campaign Inventory'!N223="",'Campaign Inventory'!U223="",'Campaign Inventory'!AU223="Pending",'Campaign Inventory'!AU223="Not Available",'Campaign Inventory'!AU223="Unknown",'Campaign Inventory'!BP223="High",'Campaign Inventory'!F223=""),OR($B$3="All",'Campaign Inventory'!B223=$B$3),OR($D$3="All",'Campaign Inventory'!M223=$D$3),OR($F$3="All",'Campaign Inventory'!D223=$F$3),OR($H$3="All",'Campaign Inventory'!F223=$H$3),OR($J$3="All",'Campaign Inventory'!BR223=$J$3),OR($L$3="All",'Campaign Inventory'!H223=$L$3)),COUNT($AM$2:AM218)+1,"")</x:f>
      </x:c>
    </x:row>
    <x:row r="220">
      <x:c r="AM220" t="str">
        <x:f>IF(AND('Campaign Inventory'!A224&lt;&gt;"",OR('Campaign Inventory'!BR224="Critical",'Campaign Inventory'!BR224="High",'Campaign Inventory'!N224="",'Campaign Inventory'!U224="",'Campaign Inventory'!AU224="Pending",'Campaign Inventory'!AU224="Not Available",'Campaign Inventory'!AU224="Unknown",'Campaign Inventory'!BP224="High",'Campaign Inventory'!F224=""),OR($B$3="All",'Campaign Inventory'!B224=$B$3),OR($D$3="All",'Campaign Inventory'!M224=$D$3),OR($F$3="All",'Campaign Inventory'!D224=$F$3),OR($H$3="All",'Campaign Inventory'!F224=$H$3),OR($J$3="All",'Campaign Inventory'!BR224=$J$3),OR($L$3="All",'Campaign Inventory'!H224=$L$3)),COUNT($AM$2:AM219)+1,"")</x:f>
      </x:c>
    </x:row>
    <x:row r="221">
      <x:c r="AM221" t="str">
        <x:f>IF(AND('Campaign Inventory'!A225&lt;&gt;"",OR('Campaign Inventory'!BR225="Critical",'Campaign Inventory'!BR225="High",'Campaign Inventory'!N225="",'Campaign Inventory'!U225="",'Campaign Inventory'!AU225="Pending",'Campaign Inventory'!AU225="Not Available",'Campaign Inventory'!AU225="Unknown",'Campaign Inventory'!BP225="High",'Campaign Inventory'!F225=""),OR($B$3="All",'Campaign Inventory'!B225=$B$3),OR($D$3="All",'Campaign Inventory'!M225=$D$3),OR($F$3="All",'Campaign Inventory'!D225=$F$3),OR($H$3="All",'Campaign Inventory'!F225=$H$3),OR($J$3="All",'Campaign Inventory'!BR225=$J$3),OR($L$3="All",'Campaign Inventory'!H225=$L$3)),COUNT($AM$2:AM220)+1,"")</x:f>
      </x:c>
    </x:row>
    <x:row r="222">
      <x:c r="AM222" t="str">
        <x:f>IF(AND('Campaign Inventory'!A226&lt;&gt;"",OR('Campaign Inventory'!BR226="Critical",'Campaign Inventory'!BR226="High",'Campaign Inventory'!N226="",'Campaign Inventory'!U226="",'Campaign Inventory'!AU226="Pending",'Campaign Inventory'!AU226="Not Available",'Campaign Inventory'!AU226="Unknown",'Campaign Inventory'!BP226="High",'Campaign Inventory'!F226=""),OR($B$3="All",'Campaign Inventory'!B226=$B$3),OR($D$3="All",'Campaign Inventory'!M226=$D$3),OR($F$3="All",'Campaign Inventory'!D226=$F$3),OR($H$3="All",'Campaign Inventory'!F226=$H$3),OR($J$3="All",'Campaign Inventory'!BR226=$J$3),OR($L$3="All",'Campaign Inventory'!H226=$L$3)),COUNT($AM$2:AM221)+1,"")</x:f>
      </x:c>
    </x:row>
    <x:row r="223">
      <x:c r="AM223" t="str">
        <x:f>IF(AND('Campaign Inventory'!A227&lt;&gt;"",OR('Campaign Inventory'!BR227="Critical",'Campaign Inventory'!BR227="High",'Campaign Inventory'!N227="",'Campaign Inventory'!U227="",'Campaign Inventory'!AU227="Pending",'Campaign Inventory'!AU227="Not Available",'Campaign Inventory'!AU227="Unknown",'Campaign Inventory'!BP227="High",'Campaign Inventory'!F227=""),OR($B$3="All",'Campaign Inventory'!B227=$B$3),OR($D$3="All",'Campaign Inventory'!M227=$D$3),OR($F$3="All",'Campaign Inventory'!D227=$F$3),OR($H$3="All",'Campaign Inventory'!F227=$H$3),OR($J$3="All",'Campaign Inventory'!BR227=$J$3),OR($L$3="All",'Campaign Inventory'!H227=$L$3)),COUNT($AM$2:AM222)+1,"")</x:f>
      </x:c>
    </x:row>
    <x:row r="224">
      <x:c r="AM224" t="str">
        <x:f>IF(AND('Campaign Inventory'!A228&lt;&gt;"",OR('Campaign Inventory'!BR228="Critical",'Campaign Inventory'!BR228="High",'Campaign Inventory'!N228="",'Campaign Inventory'!U228="",'Campaign Inventory'!AU228="Pending",'Campaign Inventory'!AU228="Not Available",'Campaign Inventory'!AU228="Unknown",'Campaign Inventory'!BP228="High",'Campaign Inventory'!F228=""),OR($B$3="All",'Campaign Inventory'!B228=$B$3),OR($D$3="All",'Campaign Inventory'!M228=$D$3),OR($F$3="All",'Campaign Inventory'!D228=$F$3),OR($H$3="All",'Campaign Inventory'!F228=$H$3),OR($J$3="All",'Campaign Inventory'!BR228=$J$3),OR($L$3="All",'Campaign Inventory'!H228=$L$3)),COUNT($AM$2:AM223)+1,"")</x:f>
      </x:c>
    </x:row>
    <x:row r="225">
      <x:c r="AM225" t="str">
        <x:f>IF(AND('Campaign Inventory'!A229&lt;&gt;"",OR('Campaign Inventory'!BR229="Critical",'Campaign Inventory'!BR229="High",'Campaign Inventory'!N229="",'Campaign Inventory'!U229="",'Campaign Inventory'!AU229="Pending",'Campaign Inventory'!AU229="Not Available",'Campaign Inventory'!AU229="Unknown",'Campaign Inventory'!BP229="High",'Campaign Inventory'!F229=""),OR($B$3="All",'Campaign Inventory'!B229=$B$3),OR($D$3="All",'Campaign Inventory'!M229=$D$3),OR($F$3="All",'Campaign Inventory'!D229=$F$3),OR($H$3="All",'Campaign Inventory'!F229=$H$3),OR($J$3="All",'Campaign Inventory'!BR229=$J$3),OR($L$3="All",'Campaign Inventory'!H229=$L$3)),COUNT($AM$2:AM224)+1,"")</x:f>
      </x:c>
    </x:row>
    <x:row r="226">
      <x:c r="AM226" t="str">
        <x:f>IF(AND('Campaign Inventory'!A230&lt;&gt;"",OR('Campaign Inventory'!BR230="Critical",'Campaign Inventory'!BR230="High",'Campaign Inventory'!N230="",'Campaign Inventory'!U230="",'Campaign Inventory'!AU230="Pending",'Campaign Inventory'!AU230="Not Available",'Campaign Inventory'!AU230="Unknown",'Campaign Inventory'!BP230="High",'Campaign Inventory'!F230=""),OR($B$3="All",'Campaign Inventory'!B230=$B$3),OR($D$3="All",'Campaign Inventory'!M230=$D$3),OR($F$3="All",'Campaign Inventory'!D230=$F$3),OR($H$3="All",'Campaign Inventory'!F230=$H$3),OR($J$3="All",'Campaign Inventory'!BR230=$J$3),OR($L$3="All",'Campaign Inventory'!H230=$L$3)),COUNT($AM$2:AM225)+1,"")</x:f>
      </x:c>
    </x:row>
    <x:row r="227">
      <x:c r="AM227" t="str">
        <x:f>IF(AND('Campaign Inventory'!A231&lt;&gt;"",OR('Campaign Inventory'!BR231="Critical",'Campaign Inventory'!BR231="High",'Campaign Inventory'!N231="",'Campaign Inventory'!U231="",'Campaign Inventory'!AU231="Pending",'Campaign Inventory'!AU231="Not Available",'Campaign Inventory'!AU231="Unknown",'Campaign Inventory'!BP231="High",'Campaign Inventory'!F231=""),OR($B$3="All",'Campaign Inventory'!B231=$B$3),OR($D$3="All",'Campaign Inventory'!M231=$D$3),OR($F$3="All",'Campaign Inventory'!D231=$F$3),OR($H$3="All",'Campaign Inventory'!F231=$H$3),OR($J$3="All",'Campaign Inventory'!BR231=$J$3),OR($L$3="All",'Campaign Inventory'!H231=$L$3)),COUNT($AM$2:AM226)+1,"")</x:f>
      </x:c>
    </x:row>
    <x:row r="228">
      <x:c r="AM228" t="str">
        <x:f>IF(AND('Campaign Inventory'!A232&lt;&gt;"",OR('Campaign Inventory'!BR232="Critical",'Campaign Inventory'!BR232="High",'Campaign Inventory'!N232="",'Campaign Inventory'!U232="",'Campaign Inventory'!AU232="Pending",'Campaign Inventory'!AU232="Not Available",'Campaign Inventory'!AU232="Unknown",'Campaign Inventory'!BP232="High",'Campaign Inventory'!F232=""),OR($B$3="All",'Campaign Inventory'!B232=$B$3),OR($D$3="All",'Campaign Inventory'!M232=$D$3),OR($F$3="All",'Campaign Inventory'!D232=$F$3),OR($H$3="All",'Campaign Inventory'!F232=$H$3),OR($J$3="All",'Campaign Inventory'!BR232=$J$3),OR($L$3="All",'Campaign Inventory'!H232=$L$3)),COUNT($AM$2:AM227)+1,"")</x:f>
      </x:c>
    </x:row>
    <x:row r="229">
      <x:c r="AM229" t="str">
        <x:f>IF(AND('Campaign Inventory'!A233&lt;&gt;"",OR('Campaign Inventory'!BR233="Critical",'Campaign Inventory'!BR233="High",'Campaign Inventory'!N233="",'Campaign Inventory'!U233="",'Campaign Inventory'!AU233="Pending",'Campaign Inventory'!AU233="Not Available",'Campaign Inventory'!AU233="Unknown",'Campaign Inventory'!BP233="High",'Campaign Inventory'!F233=""),OR($B$3="All",'Campaign Inventory'!B233=$B$3),OR($D$3="All",'Campaign Inventory'!M233=$D$3),OR($F$3="All",'Campaign Inventory'!D233=$F$3),OR($H$3="All",'Campaign Inventory'!F233=$H$3),OR($J$3="All",'Campaign Inventory'!BR233=$J$3),OR($L$3="All",'Campaign Inventory'!H233=$L$3)),COUNT($AM$2:AM228)+1,"")</x:f>
      </x:c>
    </x:row>
    <x:row r="230">
      <x:c r="AM230" t="str">
        <x:f>IF(AND('Campaign Inventory'!A234&lt;&gt;"",OR('Campaign Inventory'!BR234="Critical",'Campaign Inventory'!BR234="High",'Campaign Inventory'!N234="",'Campaign Inventory'!U234="",'Campaign Inventory'!AU234="Pending",'Campaign Inventory'!AU234="Not Available",'Campaign Inventory'!AU234="Unknown",'Campaign Inventory'!BP234="High",'Campaign Inventory'!F234=""),OR($B$3="All",'Campaign Inventory'!B234=$B$3),OR($D$3="All",'Campaign Inventory'!M234=$D$3),OR($F$3="All",'Campaign Inventory'!D234=$F$3),OR($H$3="All",'Campaign Inventory'!F234=$H$3),OR($J$3="All",'Campaign Inventory'!BR234=$J$3),OR($L$3="All",'Campaign Inventory'!H234=$L$3)),COUNT($AM$2:AM229)+1,"")</x:f>
      </x:c>
    </x:row>
    <x:row r="231">
      <x:c r="AM231" t="str">
        <x:f>IF(AND('Campaign Inventory'!A235&lt;&gt;"",OR('Campaign Inventory'!BR235="Critical",'Campaign Inventory'!BR235="High",'Campaign Inventory'!N235="",'Campaign Inventory'!U235="",'Campaign Inventory'!AU235="Pending",'Campaign Inventory'!AU235="Not Available",'Campaign Inventory'!AU235="Unknown",'Campaign Inventory'!BP235="High",'Campaign Inventory'!F235=""),OR($B$3="All",'Campaign Inventory'!B235=$B$3),OR($D$3="All",'Campaign Inventory'!M235=$D$3),OR($F$3="All",'Campaign Inventory'!D235=$F$3),OR($H$3="All",'Campaign Inventory'!F235=$H$3),OR($J$3="All",'Campaign Inventory'!BR235=$J$3),OR($L$3="All",'Campaign Inventory'!H235=$L$3)),COUNT($AM$2:AM230)+1,"")</x:f>
      </x:c>
    </x:row>
    <x:row r="232">
      <x:c r="AM232" t="str">
        <x:f>IF(AND('Campaign Inventory'!A236&lt;&gt;"",OR('Campaign Inventory'!BR236="Critical",'Campaign Inventory'!BR236="High",'Campaign Inventory'!N236="",'Campaign Inventory'!U236="",'Campaign Inventory'!AU236="Pending",'Campaign Inventory'!AU236="Not Available",'Campaign Inventory'!AU236="Unknown",'Campaign Inventory'!BP236="High",'Campaign Inventory'!F236=""),OR($B$3="All",'Campaign Inventory'!B236=$B$3),OR($D$3="All",'Campaign Inventory'!M236=$D$3),OR($F$3="All",'Campaign Inventory'!D236=$F$3),OR($H$3="All",'Campaign Inventory'!F236=$H$3),OR($J$3="All",'Campaign Inventory'!BR236=$J$3),OR($L$3="All",'Campaign Inventory'!H236=$L$3)),COUNT($AM$2:AM231)+1,"")</x:f>
      </x:c>
    </x:row>
    <x:row r="233">
      <x:c r="AM233" t="str">
        <x:f>IF(AND('Campaign Inventory'!A237&lt;&gt;"",OR('Campaign Inventory'!BR237="Critical",'Campaign Inventory'!BR237="High",'Campaign Inventory'!N237="",'Campaign Inventory'!U237="",'Campaign Inventory'!AU237="Pending",'Campaign Inventory'!AU237="Not Available",'Campaign Inventory'!AU237="Unknown",'Campaign Inventory'!BP237="High",'Campaign Inventory'!F237=""),OR($B$3="All",'Campaign Inventory'!B237=$B$3),OR($D$3="All",'Campaign Inventory'!M237=$D$3),OR($F$3="All",'Campaign Inventory'!D237=$F$3),OR($H$3="All",'Campaign Inventory'!F237=$H$3),OR($J$3="All",'Campaign Inventory'!BR237=$J$3),OR($L$3="All",'Campaign Inventory'!H237=$L$3)),COUNT($AM$2:AM232)+1,"")</x:f>
      </x:c>
    </x:row>
    <x:row r="234">
      <x:c r="AM234" t="str">
        <x:f>IF(AND('Campaign Inventory'!A238&lt;&gt;"",OR('Campaign Inventory'!BR238="Critical",'Campaign Inventory'!BR238="High",'Campaign Inventory'!N238="",'Campaign Inventory'!U238="",'Campaign Inventory'!AU238="Pending",'Campaign Inventory'!AU238="Not Available",'Campaign Inventory'!AU238="Unknown",'Campaign Inventory'!BP238="High",'Campaign Inventory'!F238=""),OR($B$3="All",'Campaign Inventory'!B238=$B$3),OR($D$3="All",'Campaign Inventory'!M238=$D$3),OR($F$3="All",'Campaign Inventory'!D238=$F$3),OR($H$3="All",'Campaign Inventory'!F238=$H$3),OR($J$3="All",'Campaign Inventory'!BR238=$J$3),OR($L$3="All",'Campaign Inventory'!H238=$L$3)),COUNT($AM$2:AM233)+1,"")</x:f>
      </x:c>
    </x:row>
    <x:row r="235">
      <x:c r="AM235" t="str">
        <x:f>IF(AND('Campaign Inventory'!A239&lt;&gt;"",OR('Campaign Inventory'!BR239="Critical",'Campaign Inventory'!BR239="High",'Campaign Inventory'!N239="",'Campaign Inventory'!U239="",'Campaign Inventory'!AU239="Pending",'Campaign Inventory'!AU239="Not Available",'Campaign Inventory'!AU239="Unknown",'Campaign Inventory'!BP239="High",'Campaign Inventory'!F239=""),OR($B$3="All",'Campaign Inventory'!B239=$B$3),OR($D$3="All",'Campaign Inventory'!M239=$D$3),OR($F$3="All",'Campaign Inventory'!D239=$F$3),OR($H$3="All",'Campaign Inventory'!F239=$H$3),OR($J$3="All",'Campaign Inventory'!BR239=$J$3),OR($L$3="All",'Campaign Inventory'!H239=$L$3)),COUNT($AM$2:AM234)+1,"")</x:f>
      </x:c>
    </x:row>
    <x:row r="236">
      <x:c r="AM236" t="str">
        <x:f>IF(AND('Campaign Inventory'!A240&lt;&gt;"",OR('Campaign Inventory'!BR240="Critical",'Campaign Inventory'!BR240="High",'Campaign Inventory'!N240="",'Campaign Inventory'!U240="",'Campaign Inventory'!AU240="Pending",'Campaign Inventory'!AU240="Not Available",'Campaign Inventory'!AU240="Unknown",'Campaign Inventory'!BP240="High",'Campaign Inventory'!F240=""),OR($B$3="All",'Campaign Inventory'!B240=$B$3),OR($D$3="All",'Campaign Inventory'!M240=$D$3),OR($F$3="All",'Campaign Inventory'!D240=$F$3),OR($H$3="All",'Campaign Inventory'!F240=$H$3),OR($J$3="All",'Campaign Inventory'!BR240=$J$3),OR($L$3="All",'Campaign Inventory'!H240=$L$3)),COUNT($AM$2:AM235)+1,"")</x:f>
      </x:c>
    </x:row>
    <x:row r="237">
      <x:c r="AM237" t="str">
        <x:f>IF(AND('Campaign Inventory'!A241&lt;&gt;"",OR('Campaign Inventory'!BR241="Critical",'Campaign Inventory'!BR241="High",'Campaign Inventory'!N241="",'Campaign Inventory'!U241="",'Campaign Inventory'!AU241="Pending",'Campaign Inventory'!AU241="Not Available",'Campaign Inventory'!AU241="Unknown",'Campaign Inventory'!BP241="High",'Campaign Inventory'!F241=""),OR($B$3="All",'Campaign Inventory'!B241=$B$3),OR($D$3="All",'Campaign Inventory'!M241=$D$3),OR($F$3="All",'Campaign Inventory'!D241=$F$3),OR($H$3="All",'Campaign Inventory'!F241=$H$3),OR($J$3="All",'Campaign Inventory'!BR241=$J$3),OR($L$3="All",'Campaign Inventory'!H241=$L$3)),COUNT($AM$2:AM236)+1,"")</x:f>
      </x:c>
    </x:row>
    <x:row r="238">
      <x:c r="AM238" t="str">
        <x:f>IF(AND('Campaign Inventory'!A242&lt;&gt;"",OR('Campaign Inventory'!BR242="Critical",'Campaign Inventory'!BR242="High",'Campaign Inventory'!N242="",'Campaign Inventory'!U242="",'Campaign Inventory'!AU242="Pending",'Campaign Inventory'!AU242="Not Available",'Campaign Inventory'!AU242="Unknown",'Campaign Inventory'!BP242="High",'Campaign Inventory'!F242=""),OR($B$3="All",'Campaign Inventory'!B242=$B$3),OR($D$3="All",'Campaign Inventory'!M242=$D$3),OR($F$3="All",'Campaign Inventory'!D242=$F$3),OR($H$3="All",'Campaign Inventory'!F242=$H$3),OR($J$3="All",'Campaign Inventory'!BR242=$J$3),OR($L$3="All",'Campaign Inventory'!H242=$L$3)),COUNT($AM$2:AM237)+1,"")</x:f>
      </x:c>
    </x:row>
    <x:row r="239">
      <x:c r="AM239" t="str">
        <x:f>IF(AND('Campaign Inventory'!A243&lt;&gt;"",OR('Campaign Inventory'!BR243="Critical",'Campaign Inventory'!BR243="High",'Campaign Inventory'!N243="",'Campaign Inventory'!U243="",'Campaign Inventory'!AU243="Pending",'Campaign Inventory'!AU243="Not Available",'Campaign Inventory'!AU243="Unknown",'Campaign Inventory'!BP243="High",'Campaign Inventory'!F243=""),OR($B$3="All",'Campaign Inventory'!B243=$B$3),OR($D$3="All",'Campaign Inventory'!M243=$D$3),OR($F$3="All",'Campaign Inventory'!D243=$F$3),OR($H$3="All",'Campaign Inventory'!F243=$H$3),OR($J$3="All",'Campaign Inventory'!BR243=$J$3),OR($L$3="All",'Campaign Inventory'!H243=$L$3)),COUNT($AM$2:AM238)+1,"")</x:f>
      </x:c>
    </x:row>
    <x:row r="240">
      <x:c r="AM240" t="str">
        <x:f>IF(AND('Campaign Inventory'!A244&lt;&gt;"",OR('Campaign Inventory'!BR244="Critical",'Campaign Inventory'!BR244="High",'Campaign Inventory'!N244="",'Campaign Inventory'!U244="",'Campaign Inventory'!AU244="Pending",'Campaign Inventory'!AU244="Not Available",'Campaign Inventory'!AU244="Unknown",'Campaign Inventory'!BP244="High",'Campaign Inventory'!F244=""),OR($B$3="All",'Campaign Inventory'!B244=$B$3),OR($D$3="All",'Campaign Inventory'!M244=$D$3),OR($F$3="All",'Campaign Inventory'!D244=$F$3),OR($H$3="All",'Campaign Inventory'!F244=$H$3),OR($J$3="All",'Campaign Inventory'!BR244=$J$3),OR($L$3="All",'Campaign Inventory'!H244=$L$3)),COUNT($AM$2:AM239)+1,"")</x:f>
      </x:c>
    </x:row>
    <x:row r="241">
      <x:c r="AM241" t="str">
        <x:f>IF(AND('Campaign Inventory'!A245&lt;&gt;"",OR('Campaign Inventory'!BR245="Critical",'Campaign Inventory'!BR245="High",'Campaign Inventory'!N245="",'Campaign Inventory'!U245="",'Campaign Inventory'!AU245="Pending",'Campaign Inventory'!AU245="Not Available",'Campaign Inventory'!AU245="Unknown",'Campaign Inventory'!BP245="High",'Campaign Inventory'!F245=""),OR($B$3="All",'Campaign Inventory'!B245=$B$3),OR($D$3="All",'Campaign Inventory'!M245=$D$3),OR($F$3="All",'Campaign Inventory'!D245=$F$3),OR($H$3="All",'Campaign Inventory'!F245=$H$3),OR($J$3="All",'Campaign Inventory'!BR245=$J$3),OR($L$3="All",'Campaign Inventory'!H245=$L$3)),COUNT($AM$2:AM240)+1,"")</x:f>
      </x:c>
    </x:row>
    <x:row r="242">
      <x:c r="AM242" t="str">
        <x:f>IF(AND('Campaign Inventory'!A246&lt;&gt;"",OR('Campaign Inventory'!BR246="Critical",'Campaign Inventory'!BR246="High",'Campaign Inventory'!N246="",'Campaign Inventory'!U246="",'Campaign Inventory'!AU246="Pending",'Campaign Inventory'!AU246="Not Available",'Campaign Inventory'!AU246="Unknown",'Campaign Inventory'!BP246="High",'Campaign Inventory'!F246=""),OR($B$3="All",'Campaign Inventory'!B246=$B$3),OR($D$3="All",'Campaign Inventory'!M246=$D$3),OR($F$3="All",'Campaign Inventory'!D246=$F$3),OR($H$3="All",'Campaign Inventory'!F246=$H$3),OR($J$3="All",'Campaign Inventory'!BR246=$J$3),OR($L$3="All",'Campaign Inventory'!H246=$L$3)),COUNT($AM$2:AM241)+1,"")</x:f>
      </x:c>
    </x:row>
    <x:row r="243">
      <x:c r="AM243" t="str">
        <x:f>IF(AND('Campaign Inventory'!A247&lt;&gt;"",OR('Campaign Inventory'!BR247="Critical",'Campaign Inventory'!BR247="High",'Campaign Inventory'!N247="",'Campaign Inventory'!U247="",'Campaign Inventory'!AU247="Pending",'Campaign Inventory'!AU247="Not Available",'Campaign Inventory'!AU247="Unknown",'Campaign Inventory'!BP247="High",'Campaign Inventory'!F247=""),OR($B$3="All",'Campaign Inventory'!B247=$B$3),OR($D$3="All",'Campaign Inventory'!M247=$D$3),OR($F$3="All",'Campaign Inventory'!D247=$F$3),OR($H$3="All",'Campaign Inventory'!F247=$H$3),OR($J$3="All",'Campaign Inventory'!BR247=$J$3),OR($L$3="All",'Campaign Inventory'!H247=$L$3)),COUNT($AM$2:AM242)+1,"")</x:f>
      </x:c>
    </x:row>
    <x:row r="244">
      <x:c r="AM244" t="str">
        <x:f>IF(AND('Campaign Inventory'!A248&lt;&gt;"",OR('Campaign Inventory'!BR248="Critical",'Campaign Inventory'!BR248="High",'Campaign Inventory'!N248="",'Campaign Inventory'!U248="",'Campaign Inventory'!AU248="Pending",'Campaign Inventory'!AU248="Not Available",'Campaign Inventory'!AU248="Unknown",'Campaign Inventory'!BP248="High",'Campaign Inventory'!F248=""),OR($B$3="All",'Campaign Inventory'!B248=$B$3),OR($D$3="All",'Campaign Inventory'!M248=$D$3),OR($F$3="All",'Campaign Inventory'!D248=$F$3),OR($H$3="All",'Campaign Inventory'!F248=$H$3),OR($J$3="All",'Campaign Inventory'!BR248=$J$3),OR($L$3="All",'Campaign Inventory'!H248=$L$3)),COUNT($AM$2:AM243)+1,"")</x:f>
      </x:c>
    </x:row>
    <x:row r="245">
      <x:c r="AM245" t="str">
        <x:f>IF(AND('Campaign Inventory'!A249&lt;&gt;"",OR('Campaign Inventory'!BR249="Critical",'Campaign Inventory'!BR249="High",'Campaign Inventory'!N249="",'Campaign Inventory'!U249="",'Campaign Inventory'!AU249="Pending",'Campaign Inventory'!AU249="Not Available",'Campaign Inventory'!AU249="Unknown",'Campaign Inventory'!BP249="High",'Campaign Inventory'!F249=""),OR($B$3="All",'Campaign Inventory'!B249=$B$3),OR($D$3="All",'Campaign Inventory'!M249=$D$3),OR($F$3="All",'Campaign Inventory'!D249=$F$3),OR($H$3="All",'Campaign Inventory'!F249=$H$3),OR($J$3="All",'Campaign Inventory'!BR249=$J$3),OR($L$3="All",'Campaign Inventory'!H249=$L$3)),COUNT($AM$2:AM244)+1,"")</x:f>
      </x:c>
    </x:row>
    <x:row r="246">
      <x:c r="AM246" t="str">
        <x:f>IF(AND('Campaign Inventory'!A250&lt;&gt;"",OR('Campaign Inventory'!BR250="Critical",'Campaign Inventory'!BR250="High",'Campaign Inventory'!N250="",'Campaign Inventory'!U250="",'Campaign Inventory'!AU250="Pending",'Campaign Inventory'!AU250="Not Available",'Campaign Inventory'!AU250="Unknown",'Campaign Inventory'!BP250="High",'Campaign Inventory'!F250=""),OR($B$3="All",'Campaign Inventory'!B250=$B$3),OR($D$3="All",'Campaign Inventory'!M250=$D$3),OR($F$3="All",'Campaign Inventory'!D250=$F$3),OR($H$3="All",'Campaign Inventory'!F250=$H$3),OR($J$3="All",'Campaign Inventory'!BR250=$J$3),OR($L$3="All",'Campaign Inventory'!H250=$L$3)),COUNT($AM$2:AM245)+1,"")</x:f>
      </x:c>
    </x:row>
    <x:row r="247">
      <x:c r="AM247" t="str">
        <x:f>IF(AND('Campaign Inventory'!A251&lt;&gt;"",OR('Campaign Inventory'!BR251="Critical",'Campaign Inventory'!BR251="High",'Campaign Inventory'!N251="",'Campaign Inventory'!U251="",'Campaign Inventory'!AU251="Pending",'Campaign Inventory'!AU251="Not Available",'Campaign Inventory'!AU251="Unknown",'Campaign Inventory'!BP251="High",'Campaign Inventory'!F251=""),OR($B$3="All",'Campaign Inventory'!B251=$B$3),OR($D$3="All",'Campaign Inventory'!M251=$D$3),OR($F$3="All",'Campaign Inventory'!D251=$F$3),OR($H$3="All",'Campaign Inventory'!F251=$H$3),OR($J$3="All",'Campaign Inventory'!BR251=$J$3),OR($L$3="All",'Campaign Inventory'!H251=$L$3)),COUNT($AM$2:AM246)+1,"")</x:f>
      </x:c>
    </x:row>
    <x:row r="248">
      <x:c r="AM248" t="str">
        <x:f>IF(AND('Campaign Inventory'!A252&lt;&gt;"",OR('Campaign Inventory'!BR252="Critical",'Campaign Inventory'!BR252="High",'Campaign Inventory'!N252="",'Campaign Inventory'!U252="",'Campaign Inventory'!AU252="Pending",'Campaign Inventory'!AU252="Not Available",'Campaign Inventory'!AU252="Unknown",'Campaign Inventory'!BP252="High",'Campaign Inventory'!F252=""),OR($B$3="All",'Campaign Inventory'!B252=$B$3),OR($D$3="All",'Campaign Inventory'!M252=$D$3),OR($F$3="All",'Campaign Inventory'!D252=$F$3),OR($H$3="All",'Campaign Inventory'!F252=$H$3),OR($J$3="All",'Campaign Inventory'!BR252=$J$3),OR($L$3="All",'Campaign Inventory'!H252=$L$3)),COUNT($AM$2:AM247)+1,"")</x:f>
      </x:c>
    </x:row>
    <x:row r="249">
      <x:c r="AM249" t="str">
        <x:f>IF(AND('Campaign Inventory'!A253&lt;&gt;"",OR('Campaign Inventory'!BR253="Critical",'Campaign Inventory'!BR253="High",'Campaign Inventory'!N253="",'Campaign Inventory'!U253="",'Campaign Inventory'!AU253="Pending",'Campaign Inventory'!AU253="Not Available",'Campaign Inventory'!AU253="Unknown",'Campaign Inventory'!BP253="High",'Campaign Inventory'!F253=""),OR($B$3="All",'Campaign Inventory'!B253=$B$3),OR($D$3="All",'Campaign Inventory'!M253=$D$3),OR($F$3="All",'Campaign Inventory'!D253=$F$3),OR($H$3="All",'Campaign Inventory'!F253=$H$3),OR($J$3="All",'Campaign Inventory'!BR253=$J$3),OR($L$3="All",'Campaign Inventory'!H253=$L$3)),COUNT($AM$2:AM248)+1,"")</x:f>
      </x:c>
    </x:row>
    <x:row r="250">
      <x:c r="AM250" t="str">
        <x:f>IF(AND('Campaign Inventory'!A254&lt;&gt;"",OR('Campaign Inventory'!BR254="Critical",'Campaign Inventory'!BR254="High",'Campaign Inventory'!N254="",'Campaign Inventory'!U254="",'Campaign Inventory'!AU254="Pending",'Campaign Inventory'!AU254="Not Available",'Campaign Inventory'!AU254="Unknown",'Campaign Inventory'!BP254="High",'Campaign Inventory'!F254=""),OR($B$3="All",'Campaign Inventory'!B254=$B$3),OR($D$3="All",'Campaign Inventory'!M254=$D$3),OR($F$3="All",'Campaign Inventory'!D254=$F$3),OR($H$3="All",'Campaign Inventory'!F254=$H$3),OR($J$3="All",'Campaign Inventory'!BR254=$J$3),OR($L$3="All",'Campaign Inventory'!H254=$L$3)),COUNT($AM$2:AM249)+1,"")</x:f>
      </x:c>
    </x:row>
    <x:row r="251">
      <x:c r="AM251" t="str">
        <x:f>IF(AND('Campaign Inventory'!A255&lt;&gt;"",OR('Campaign Inventory'!BR255="Critical",'Campaign Inventory'!BR255="High",'Campaign Inventory'!N255="",'Campaign Inventory'!U255="",'Campaign Inventory'!AU255="Pending",'Campaign Inventory'!AU255="Not Available",'Campaign Inventory'!AU255="Unknown",'Campaign Inventory'!BP255="High",'Campaign Inventory'!F255=""),OR($B$3="All",'Campaign Inventory'!B255=$B$3),OR($D$3="All",'Campaign Inventory'!M255=$D$3),OR($F$3="All",'Campaign Inventory'!D255=$F$3),OR($H$3="All",'Campaign Inventory'!F255=$H$3),OR($J$3="All",'Campaign Inventory'!BR255=$J$3),OR($L$3="All",'Campaign Inventory'!H255=$L$3)),COUNT($AM$2:AM250)+1,"")</x:f>
      </x:c>
    </x:row>
    <x:row r="252">
      <x:c r="AM252" t="str">
        <x:f>IF(AND('Campaign Inventory'!A256&lt;&gt;"",OR('Campaign Inventory'!BR256="Critical",'Campaign Inventory'!BR256="High",'Campaign Inventory'!N256="",'Campaign Inventory'!U256="",'Campaign Inventory'!AU256="Pending",'Campaign Inventory'!AU256="Not Available",'Campaign Inventory'!AU256="Unknown",'Campaign Inventory'!BP256="High",'Campaign Inventory'!F256=""),OR($B$3="All",'Campaign Inventory'!B256=$B$3),OR($D$3="All",'Campaign Inventory'!M256=$D$3),OR($F$3="All",'Campaign Inventory'!D256=$F$3),OR($H$3="All",'Campaign Inventory'!F256=$H$3),OR($J$3="All",'Campaign Inventory'!BR256=$J$3),OR($L$3="All",'Campaign Inventory'!H256=$L$3)),COUNT($AM$2:AM251)+1,"")</x:f>
      </x:c>
    </x:row>
    <x:row r="253">
      <x:c r="AM253" t="str">
        <x:f>IF(AND('Campaign Inventory'!A257&lt;&gt;"",OR('Campaign Inventory'!BR257="Critical",'Campaign Inventory'!BR257="High",'Campaign Inventory'!N257="",'Campaign Inventory'!U257="",'Campaign Inventory'!AU257="Pending",'Campaign Inventory'!AU257="Not Available",'Campaign Inventory'!AU257="Unknown",'Campaign Inventory'!BP257="High",'Campaign Inventory'!F257=""),OR($B$3="All",'Campaign Inventory'!B257=$B$3),OR($D$3="All",'Campaign Inventory'!M257=$D$3),OR($F$3="All",'Campaign Inventory'!D257=$F$3),OR($H$3="All",'Campaign Inventory'!F257=$H$3),OR($J$3="All",'Campaign Inventory'!BR257=$J$3),OR($L$3="All",'Campaign Inventory'!H257=$L$3)),COUNT($AM$2:AM252)+1,"")</x:f>
      </x:c>
    </x:row>
    <x:row r="254">
      <x:c r="AM254" t="str">
        <x:f>IF(AND('Campaign Inventory'!A258&lt;&gt;"",OR('Campaign Inventory'!BR258="Critical",'Campaign Inventory'!BR258="High",'Campaign Inventory'!N258="",'Campaign Inventory'!U258="",'Campaign Inventory'!AU258="Pending",'Campaign Inventory'!AU258="Not Available",'Campaign Inventory'!AU258="Unknown",'Campaign Inventory'!BP258="High",'Campaign Inventory'!F258=""),OR($B$3="All",'Campaign Inventory'!B258=$B$3),OR($D$3="All",'Campaign Inventory'!M258=$D$3),OR($F$3="All",'Campaign Inventory'!D258=$F$3),OR($H$3="All",'Campaign Inventory'!F258=$H$3),OR($J$3="All",'Campaign Inventory'!BR258=$J$3),OR($L$3="All",'Campaign Inventory'!H258=$L$3)),COUNT($AM$2:AM253)+1,"")</x:f>
      </x:c>
    </x:row>
    <x:row r="255">
      <x:c r="AM255" t="str">
        <x:f>IF(AND('Campaign Inventory'!A259&lt;&gt;"",OR('Campaign Inventory'!BR259="Critical",'Campaign Inventory'!BR259="High",'Campaign Inventory'!N259="",'Campaign Inventory'!U259="",'Campaign Inventory'!AU259="Pending",'Campaign Inventory'!AU259="Not Available",'Campaign Inventory'!AU259="Unknown",'Campaign Inventory'!BP259="High",'Campaign Inventory'!F259=""),OR($B$3="All",'Campaign Inventory'!B259=$B$3),OR($D$3="All",'Campaign Inventory'!M259=$D$3),OR($F$3="All",'Campaign Inventory'!D259=$F$3),OR($H$3="All",'Campaign Inventory'!F259=$H$3),OR($J$3="All",'Campaign Inventory'!BR259=$J$3),OR($L$3="All",'Campaign Inventory'!H259=$L$3)),COUNT($AM$2:AM254)+1,"")</x:f>
      </x:c>
    </x:row>
    <x:row r="256">
      <x:c r="AM256" t="str">
        <x:f>IF(AND('Campaign Inventory'!A260&lt;&gt;"",OR('Campaign Inventory'!BR260="Critical",'Campaign Inventory'!BR260="High",'Campaign Inventory'!N260="",'Campaign Inventory'!U260="",'Campaign Inventory'!AU260="Pending",'Campaign Inventory'!AU260="Not Available",'Campaign Inventory'!AU260="Unknown",'Campaign Inventory'!BP260="High",'Campaign Inventory'!F260=""),OR($B$3="All",'Campaign Inventory'!B260=$B$3),OR($D$3="All",'Campaign Inventory'!M260=$D$3),OR($F$3="All",'Campaign Inventory'!D260=$F$3),OR($H$3="All",'Campaign Inventory'!F260=$H$3),OR($J$3="All",'Campaign Inventory'!BR260=$J$3),OR($L$3="All",'Campaign Inventory'!H260=$L$3)),COUNT($AM$2:AM255)+1,"")</x:f>
      </x:c>
    </x:row>
    <x:row r="257">
      <x:c r="AM257" t="str">
        <x:f>IF(AND('Campaign Inventory'!A261&lt;&gt;"",OR('Campaign Inventory'!BR261="Critical",'Campaign Inventory'!BR261="High",'Campaign Inventory'!N261="",'Campaign Inventory'!U261="",'Campaign Inventory'!AU261="Pending",'Campaign Inventory'!AU261="Not Available",'Campaign Inventory'!AU261="Unknown",'Campaign Inventory'!BP261="High",'Campaign Inventory'!F261=""),OR($B$3="All",'Campaign Inventory'!B261=$B$3),OR($D$3="All",'Campaign Inventory'!M261=$D$3),OR($F$3="All",'Campaign Inventory'!D261=$F$3),OR($H$3="All",'Campaign Inventory'!F261=$H$3),OR($J$3="All",'Campaign Inventory'!BR261=$J$3),OR($L$3="All",'Campaign Inventory'!H261=$L$3)),COUNT($AM$2:AM256)+1,"")</x:f>
      </x:c>
    </x:row>
    <x:row r="258">
      <x:c r="AM258" t="str">
        <x:f>IF(AND('Campaign Inventory'!A262&lt;&gt;"",OR('Campaign Inventory'!BR262="Critical",'Campaign Inventory'!BR262="High",'Campaign Inventory'!N262="",'Campaign Inventory'!U262="",'Campaign Inventory'!AU262="Pending",'Campaign Inventory'!AU262="Not Available",'Campaign Inventory'!AU262="Unknown",'Campaign Inventory'!BP262="High",'Campaign Inventory'!F262=""),OR($B$3="All",'Campaign Inventory'!B262=$B$3),OR($D$3="All",'Campaign Inventory'!M262=$D$3),OR($F$3="All",'Campaign Inventory'!D262=$F$3),OR($H$3="All",'Campaign Inventory'!F262=$H$3),OR($J$3="All",'Campaign Inventory'!BR262=$J$3),OR($L$3="All",'Campaign Inventory'!H262=$L$3)),COUNT($AM$2:AM257)+1,"")</x:f>
      </x:c>
    </x:row>
    <x:row r="259">
      <x:c r="AM259" t="str">
        <x:f>IF(AND('Campaign Inventory'!A263&lt;&gt;"",OR('Campaign Inventory'!BR263="Critical",'Campaign Inventory'!BR263="High",'Campaign Inventory'!N263="",'Campaign Inventory'!U263="",'Campaign Inventory'!AU263="Pending",'Campaign Inventory'!AU263="Not Available",'Campaign Inventory'!AU263="Unknown",'Campaign Inventory'!BP263="High",'Campaign Inventory'!F263=""),OR($B$3="All",'Campaign Inventory'!B263=$B$3),OR($D$3="All",'Campaign Inventory'!M263=$D$3),OR($F$3="All",'Campaign Inventory'!D263=$F$3),OR($H$3="All",'Campaign Inventory'!F263=$H$3),OR($J$3="All",'Campaign Inventory'!BR263=$J$3),OR($L$3="All",'Campaign Inventory'!H263=$L$3)),COUNT($AM$2:AM258)+1,"")</x:f>
      </x:c>
    </x:row>
    <x:row r="260">
      <x:c r="AM260" t="str">
        <x:f>IF(AND('Campaign Inventory'!A264&lt;&gt;"",OR('Campaign Inventory'!BR264="Critical",'Campaign Inventory'!BR264="High",'Campaign Inventory'!N264="",'Campaign Inventory'!U264="",'Campaign Inventory'!AU264="Pending",'Campaign Inventory'!AU264="Not Available",'Campaign Inventory'!AU264="Unknown",'Campaign Inventory'!BP264="High",'Campaign Inventory'!F264=""),OR($B$3="All",'Campaign Inventory'!B264=$B$3),OR($D$3="All",'Campaign Inventory'!M264=$D$3),OR($F$3="All",'Campaign Inventory'!D264=$F$3),OR($H$3="All",'Campaign Inventory'!F264=$H$3),OR($J$3="All",'Campaign Inventory'!BR264=$J$3),OR($L$3="All",'Campaign Inventory'!H264=$L$3)),COUNT($AM$2:AM259)+1,"")</x:f>
      </x:c>
    </x:row>
    <x:row r="261">
      <x:c r="AM261" t="str">
        <x:f>IF(AND('Campaign Inventory'!A265&lt;&gt;"",OR('Campaign Inventory'!BR265="Critical",'Campaign Inventory'!BR265="High",'Campaign Inventory'!N265="",'Campaign Inventory'!U265="",'Campaign Inventory'!AU265="Pending",'Campaign Inventory'!AU265="Not Available",'Campaign Inventory'!AU265="Unknown",'Campaign Inventory'!BP265="High",'Campaign Inventory'!F265=""),OR($B$3="All",'Campaign Inventory'!B265=$B$3),OR($D$3="All",'Campaign Inventory'!M265=$D$3),OR($F$3="All",'Campaign Inventory'!D265=$F$3),OR($H$3="All",'Campaign Inventory'!F265=$H$3),OR($J$3="All",'Campaign Inventory'!BR265=$J$3),OR($L$3="All",'Campaign Inventory'!H265=$L$3)),COUNT($AM$2:AM260)+1,"")</x:f>
      </x:c>
    </x:row>
    <x:row r="262">
      <x:c r="AM262" t="str">
        <x:f>IF(AND('Campaign Inventory'!A266&lt;&gt;"",OR('Campaign Inventory'!BR266="Critical",'Campaign Inventory'!BR266="High",'Campaign Inventory'!N266="",'Campaign Inventory'!U266="",'Campaign Inventory'!AU266="Pending",'Campaign Inventory'!AU266="Not Available",'Campaign Inventory'!AU266="Unknown",'Campaign Inventory'!BP266="High",'Campaign Inventory'!F266=""),OR($B$3="All",'Campaign Inventory'!B266=$B$3),OR($D$3="All",'Campaign Inventory'!M266=$D$3),OR($F$3="All",'Campaign Inventory'!D266=$F$3),OR($H$3="All",'Campaign Inventory'!F266=$H$3),OR($J$3="All",'Campaign Inventory'!BR266=$J$3),OR($L$3="All",'Campaign Inventory'!H266=$L$3)),COUNT($AM$2:AM261)+1,"")</x:f>
      </x:c>
    </x:row>
    <x:row r="263">
      <x:c r="AM263" t="str">
        <x:f>IF(AND('Campaign Inventory'!A267&lt;&gt;"",OR('Campaign Inventory'!BR267="Critical",'Campaign Inventory'!BR267="High",'Campaign Inventory'!N267="",'Campaign Inventory'!U267="",'Campaign Inventory'!AU267="Pending",'Campaign Inventory'!AU267="Not Available",'Campaign Inventory'!AU267="Unknown",'Campaign Inventory'!BP267="High",'Campaign Inventory'!F267=""),OR($B$3="All",'Campaign Inventory'!B267=$B$3),OR($D$3="All",'Campaign Inventory'!M267=$D$3),OR($F$3="All",'Campaign Inventory'!D267=$F$3),OR($H$3="All",'Campaign Inventory'!F267=$H$3),OR($J$3="All",'Campaign Inventory'!BR267=$J$3),OR($L$3="All",'Campaign Inventory'!H267=$L$3)),COUNT($AM$2:AM262)+1,"")</x:f>
      </x:c>
    </x:row>
    <x:row r="264">
      <x:c r="AM264" t="str">
        <x:f>IF(AND('Campaign Inventory'!A268&lt;&gt;"",OR('Campaign Inventory'!BR268="Critical",'Campaign Inventory'!BR268="High",'Campaign Inventory'!N268="",'Campaign Inventory'!U268="",'Campaign Inventory'!AU268="Pending",'Campaign Inventory'!AU268="Not Available",'Campaign Inventory'!AU268="Unknown",'Campaign Inventory'!BP268="High",'Campaign Inventory'!F268=""),OR($B$3="All",'Campaign Inventory'!B268=$B$3),OR($D$3="All",'Campaign Inventory'!M268=$D$3),OR($F$3="All",'Campaign Inventory'!D268=$F$3),OR($H$3="All",'Campaign Inventory'!F268=$H$3),OR($J$3="All",'Campaign Inventory'!BR268=$J$3),OR($L$3="All",'Campaign Inventory'!H268=$L$3)),COUNT($AM$2:AM263)+1,"")</x:f>
      </x:c>
    </x:row>
    <x:row r="265">
      <x:c r="AM265" t="str">
        <x:f>IF(AND('Campaign Inventory'!A269&lt;&gt;"",OR('Campaign Inventory'!BR269="Critical",'Campaign Inventory'!BR269="High",'Campaign Inventory'!N269="",'Campaign Inventory'!U269="",'Campaign Inventory'!AU269="Pending",'Campaign Inventory'!AU269="Not Available",'Campaign Inventory'!AU269="Unknown",'Campaign Inventory'!BP269="High",'Campaign Inventory'!F269=""),OR($B$3="All",'Campaign Inventory'!B269=$B$3),OR($D$3="All",'Campaign Inventory'!M269=$D$3),OR($F$3="All",'Campaign Inventory'!D269=$F$3),OR($H$3="All",'Campaign Inventory'!F269=$H$3),OR($J$3="All",'Campaign Inventory'!BR269=$J$3),OR($L$3="All",'Campaign Inventory'!H269=$L$3)),COUNT($AM$2:AM264)+1,"")</x:f>
      </x:c>
    </x:row>
    <x:row r="266">
      <x:c r="AM266" t="str">
        <x:f>IF(AND('Campaign Inventory'!A270&lt;&gt;"",OR('Campaign Inventory'!BR270="Critical",'Campaign Inventory'!BR270="High",'Campaign Inventory'!N270="",'Campaign Inventory'!U270="",'Campaign Inventory'!AU270="Pending",'Campaign Inventory'!AU270="Not Available",'Campaign Inventory'!AU270="Unknown",'Campaign Inventory'!BP270="High",'Campaign Inventory'!F270=""),OR($B$3="All",'Campaign Inventory'!B270=$B$3),OR($D$3="All",'Campaign Inventory'!M270=$D$3),OR($F$3="All",'Campaign Inventory'!D270=$F$3),OR($H$3="All",'Campaign Inventory'!F270=$H$3),OR($J$3="All",'Campaign Inventory'!BR270=$J$3),OR($L$3="All",'Campaign Inventory'!H270=$L$3)),COUNT($AM$2:AM265)+1,"")</x:f>
      </x:c>
    </x:row>
    <x:row r="267">
      <x:c r="AM267" t="str">
        <x:f>IF(AND('Campaign Inventory'!A271&lt;&gt;"",OR('Campaign Inventory'!BR271="Critical",'Campaign Inventory'!BR271="High",'Campaign Inventory'!N271="",'Campaign Inventory'!U271="",'Campaign Inventory'!AU271="Pending",'Campaign Inventory'!AU271="Not Available",'Campaign Inventory'!AU271="Unknown",'Campaign Inventory'!BP271="High",'Campaign Inventory'!F271=""),OR($B$3="All",'Campaign Inventory'!B271=$B$3),OR($D$3="All",'Campaign Inventory'!M271=$D$3),OR($F$3="All",'Campaign Inventory'!D271=$F$3),OR($H$3="All",'Campaign Inventory'!F271=$H$3),OR($J$3="All",'Campaign Inventory'!BR271=$J$3),OR($L$3="All",'Campaign Inventory'!H271=$L$3)),COUNT($AM$2:AM266)+1,"")</x:f>
      </x:c>
    </x:row>
    <x:row r="268">
      <x:c r="AM268" t="str">
        <x:f>IF(AND('Campaign Inventory'!A272&lt;&gt;"",OR('Campaign Inventory'!BR272="Critical",'Campaign Inventory'!BR272="High",'Campaign Inventory'!N272="",'Campaign Inventory'!U272="",'Campaign Inventory'!AU272="Pending",'Campaign Inventory'!AU272="Not Available",'Campaign Inventory'!AU272="Unknown",'Campaign Inventory'!BP272="High",'Campaign Inventory'!F272=""),OR($B$3="All",'Campaign Inventory'!B272=$B$3),OR($D$3="All",'Campaign Inventory'!M272=$D$3),OR($F$3="All",'Campaign Inventory'!D272=$F$3),OR($H$3="All",'Campaign Inventory'!F272=$H$3),OR($J$3="All",'Campaign Inventory'!BR272=$J$3),OR($L$3="All",'Campaign Inventory'!H272=$L$3)),COUNT($AM$2:AM267)+1,"")</x:f>
      </x:c>
    </x:row>
    <x:row r="269">
      <x:c r="AM269" t="str">
        <x:f>IF(AND('Campaign Inventory'!A273&lt;&gt;"",OR('Campaign Inventory'!BR273="Critical",'Campaign Inventory'!BR273="High",'Campaign Inventory'!N273="",'Campaign Inventory'!U273="",'Campaign Inventory'!AU273="Pending",'Campaign Inventory'!AU273="Not Available",'Campaign Inventory'!AU273="Unknown",'Campaign Inventory'!BP273="High",'Campaign Inventory'!F273=""),OR($B$3="All",'Campaign Inventory'!B273=$B$3),OR($D$3="All",'Campaign Inventory'!M273=$D$3),OR($F$3="All",'Campaign Inventory'!D273=$F$3),OR($H$3="All",'Campaign Inventory'!F273=$H$3),OR($J$3="All",'Campaign Inventory'!BR273=$J$3),OR($L$3="All",'Campaign Inventory'!H273=$L$3)),COUNT($AM$2:AM268)+1,"")</x:f>
      </x:c>
    </x:row>
    <x:row r="270">
      <x:c r="AM270" t="str">
        <x:f>IF(AND('Campaign Inventory'!A274&lt;&gt;"",OR('Campaign Inventory'!BR274="Critical",'Campaign Inventory'!BR274="High",'Campaign Inventory'!N274="",'Campaign Inventory'!U274="",'Campaign Inventory'!AU274="Pending",'Campaign Inventory'!AU274="Not Available",'Campaign Inventory'!AU274="Unknown",'Campaign Inventory'!BP274="High",'Campaign Inventory'!F274=""),OR($B$3="All",'Campaign Inventory'!B274=$B$3),OR($D$3="All",'Campaign Inventory'!M274=$D$3),OR($F$3="All",'Campaign Inventory'!D274=$F$3),OR($H$3="All",'Campaign Inventory'!F274=$H$3),OR($J$3="All",'Campaign Inventory'!BR274=$J$3),OR($L$3="All",'Campaign Inventory'!H274=$L$3)),COUNT($AM$2:AM269)+1,"")</x:f>
      </x:c>
    </x:row>
    <x:row r="271">
      <x:c r="AM271" t="str">
        <x:f>IF(AND('Campaign Inventory'!A275&lt;&gt;"",OR('Campaign Inventory'!BR275="Critical",'Campaign Inventory'!BR275="High",'Campaign Inventory'!N275="",'Campaign Inventory'!U275="",'Campaign Inventory'!AU275="Pending",'Campaign Inventory'!AU275="Not Available",'Campaign Inventory'!AU275="Unknown",'Campaign Inventory'!BP275="High",'Campaign Inventory'!F275=""),OR($B$3="All",'Campaign Inventory'!B275=$B$3),OR($D$3="All",'Campaign Inventory'!M275=$D$3),OR($F$3="All",'Campaign Inventory'!D275=$F$3),OR($H$3="All",'Campaign Inventory'!F275=$H$3),OR($J$3="All",'Campaign Inventory'!BR275=$J$3),OR($L$3="All",'Campaign Inventory'!H275=$L$3)),COUNT($AM$2:AM270)+1,"")</x:f>
      </x:c>
    </x:row>
    <x:row r="272">
      <x:c r="AM272" t="str">
        <x:f>IF(AND('Campaign Inventory'!A276&lt;&gt;"",OR('Campaign Inventory'!BR276="Critical",'Campaign Inventory'!BR276="High",'Campaign Inventory'!N276="",'Campaign Inventory'!U276="",'Campaign Inventory'!AU276="Pending",'Campaign Inventory'!AU276="Not Available",'Campaign Inventory'!AU276="Unknown",'Campaign Inventory'!BP276="High",'Campaign Inventory'!F276=""),OR($B$3="All",'Campaign Inventory'!B276=$B$3),OR($D$3="All",'Campaign Inventory'!M276=$D$3),OR($F$3="All",'Campaign Inventory'!D276=$F$3),OR($H$3="All",'Campaign Inventory'!F276=$H$3),OR($J$3="All",'Campaign Inventory'!BR276=$J$3),OR($L$3="All",'Campaign Inventory'!H276=$L$3)),COUNT($AM$2:AM271)+1,"")</x:f>
      </x:c>
    </x:row>
    <x:row r="273">
      <x:c r="AM273" t="str">
        <x:f>IF(AND('Campaign Inventory'!A277&lt;&gt;"",OR('Campaign Inventory'!BR277="Critical",'Campaign Inventory'!BR277="High",'Campaign Inventory'!N277="",'Campaign Inventory'!U277="",'Campaign Inventory'!AU277="Pending",'Campaign Inventory'!AU277="Not Available",'Campaign Inventory'!AU277="Unknown",'Campaign Inventory'!BP277="High",'Campaign Inventory'!F277=""),OR($B$3="All",'Campaign Inventory'!B277=$B$3),OR($D$3="All",'Campaign Inventory'!M277=$D$3),OR($F$3="All",'Campaign Inventory'!D277=$F$3),OR($H$3="All",'Campaign Inventory'!F277=$H$3),OR($J$3="All",'Campaign Inventory'!BR277=$J$3),OR($L$3="All",'Campaign Inventory'!H277=$L$3)),COUNT($AM$2:AM272)+1,"")</x:f>
      </x:c>
    </x:row>
    <x:row r="274">
      <x:c r="AM274" t="str">
        <x:f>IF(AND('Campaign Inventory'!A278&lt;&gt;"",OR('Campaign Inventory'!BR278="Critical",'Campaign Inventory'!BR278="High",'Campaign Inventory'!N278="",'Campaign Inventory'!U278="",'Campaign Inventory'!AU278="Pending",'Campaign Inventory'!AU278="Not Available",'Campaign Inventory'!AU278="Unknown",'Campaign Inventory'!BP278="High",'Campaign Inventory'!F278=""),OR($B$3="All",'Campaign Inventory'!B278=$B$3),OR($D$3="All",'Campaign Inventory'!M278=$D$3),OR($F$3="All",'Campaign Inventory'!D278=$F$3),OR($H$3="All",'Campaign Inventory'!F278=$H$3),OR($J$3="All",'Campaign Inventory'!BR278=$J$3),OR($L$3="All",'Campaign Inventory'!H278=$L$3)),COUNT($AM$2:AM273)+1,"")</x:f>
      </x:c>
    </x:row>
    <x:row r="275">
      <x:c r="AM275" t="str">
        <x:f>IF(AND('Campaign Inventory'!A279&lt;&gt;"",OR('Campaign Inventory'!BR279="Critical",'Campaign Inventory'!BR279="High",'Campaign Inventory'!N279="",'Campaign Inventory'!U279="",'Campaign Inventory'!AU279="Pending",'Campaign Inventory'!AU279="Not Available",'Campaign Inventory'!AU279="Unknown",'Campaign Inventory'!BP279="High",'Campaign Inventory'!F279=""),OR($B$3="All",'Campaign Inventory'!B279=$B$3),OR($D$3="All",'Campaign Inventory'!M279=$D$3),OR($F$3="All",'Campaign Inventory'!D279=$F$3),OR($H$3="All",'Campaign Inventory'!F279=$H$3),OR($J$3="All",'Campaign Inventory'!BR279=$J$3),OR($L$3="All",'Campaign Inventory'!H279=$L$3)),COUNT($AM$2:AM274)+1,"")</x:f>
      </x:c>
    </x:row>
    <x:row r="276">
      <x:c r="AM276" t="str">
        <x:f>IF(AND('Campaign Inventory'!A280&lt;&gt;"",OR('Campaign Inventory'!BR280="Critical",'Campaign Inventory'!BR280="High",'Campaign Inventory'!N280="",'Campaign Inventory'!U280="",'Campaign Inventory'!AU280="Pending",'Campaign Inventory'!AU280="Not Available",'Campaign Inventory'!AU280="Unknown",'Campaign Inventory'!BP280="High",'Campaign Inventory'!F280=""),OR($B$3="All",'Campaign Inventory'!B280=$B$3),OR($D$3="All",'Campaign Inventory'!M280=$D$3),OR($F$3="All",'Campaign Inventory'!D280=$F$3),OR($H$3="All",'Campaign Inventory'!F280=$H$3),OR($J$3="All",'Campaign Inventory'!BR280=$J$3),OR($L$3="All",'Campaign Inventory'!H280=$L$3)),COUNT($AM$2:AM275)+1,"")</x:f>
      </x:c>
    </x:row>
    <x:row r="277">
      <x:c r="AM277" t="str">
        <x:f>IF(AND('Campaign Inventory'!A281&lt;&gt;"",OR('Campaign Inventory'!BR281="Critical",'Campaign Inventory'!BR281="High",'Campaign Inventory'!N281="",'Campaign Inventory'!U281="",'Campaign Inventory'!AU281="Pending",'Campaign Inventory'!AU281="Not Available",'Campaign Inventory'!AU281="Unknown",'Campaign Inventory'!BP281="High",'Campaign Inventory'!F281=""),OR($B$3="All",'Campaign Inventory'!B281=$B$3),OR($D$3="All",'Campaign Inventory'!M281=$D$3),OR($F$3="All",'Campaign Inventory'!D281=$F$3),OR($H$3="All",'Campaign Inventory'!F281=$H$3),OR($J$3="All",'Campaign Inventory'!BR281=$J$3),OR($L$3="All",'Campaign Inventory'!H281=$L$3)),COUNT($AM$2:AM276)+1,"")</x:f>
      </x:c>
    </x:row>
    <x:row r="278">
      <x:c r="AM278" t="str">
        <x:f>IF(AND('Campaign Inventory'!A282&lt;&gt;"",OR('Campaign Inventory'!BR282="Critical",'Campaign Inventory'!BR282="High",'Campaign Inventory'!N282="",'Campaign Inventory'!U282="",'Campaign Inventory'!AU282="Pending",'Campaign Inventory'!AU282="Not Available",'Campaign Inventory'!AU282="Unknown",'Campaign Inventory'!BP282="High",'Campaign Inventory'!F282=""),OR($B$3="All",'Campaign Inventory'!B282=$B$3),OR($D$3="All",'Campaign Inventory'!M282=$D$3),OR($F$3="All",'Campaign Inventory'!D282=$F$3),OR($H$3="All",'Campaign Inventory'!F282=$H$3),OR($J$3="All",'Campaign Inventory'!BR282=$J$3),OR($L$3="All",'Campaign Inventory'!H282=$L$3)),COUNT($AM$2:AM277)+1,"")</x:f>
      </x:c>
    </x:row>
    <x:row r="279">
      <x:c r="AM279" t="str">
        <x:f>IF(AND('Campaign Inventory'!A283&lt;&gt;"",OR('Campaign Inventory'!BR283="Critical",'Campaign Inventory'!BR283="High",'Campaign Inventory'!N283="",'Campaign Inventory'!U283="",'Campaign Inventory'!AU283="Pending",'Campaign Inventory'!AU283="Not Available",'Campaign Inventory'!AU283="Unknown",'Campaign Inventory'!BP283="High",'Campaign Inventory'!F283=""),OR($B$3="All",'Campaign Inventory'!B283=$B$3),OR($D$3="All",'Campaign Inventory'!M283=$D$3),OR($F$3="All",'Campaign Inventory'!D283=$F$3),OR($H$3="All",'Campaign Inventory'!F283=$H$3),OR($J$3="All",'Campaign Inventory'!BR283=$J$3),OR($L$3="All",'Campaign Inventory'!H283=$L$3)),COUNT($AM$2:AM278)+1,"")</x:f>
      </x:c>
    </x:row>
    <x:row r="280">
      <x:c r="AM280" t="str">
        <x:f>IF(AND('Campaign Inventory'!A284&lt;&gt;"",OR('Campaign Inventory'!BR284="Critical",'Campaign Inventory'!BR284="High",'Campaign Inventory'!N284="",'Campaign Inventory'!U284="",'Campaign Inventory'!AU284="Pending",'Campaign Inventory'!AU284="Not Available",'Campaign Inventory'!AU284="Unknown",'Campaign Inventory'!BP284="High",'Campaign Inventory'!F284=""),OR($B$3="All",'Campaign Inventory'!B284=$B$3),OR($D$3="All",'Campaign Inventory'!M284=$D$3),OR($F$3="All",'Campaign Inventory'!D284=$F$3),OR($H$3="All",'Campaign Inventory'!F284=$H$3),OR($J$3="All",'Campaign Inventory'!BR284=$J$3),OR($L$3="All",'Campaign Inventory'!H284=$L$3)),COUNT($AM$2:AM279)+1,"")</x:f>
      </x:c>
    </x:row>
    <x:row r="281">
      <x:c r="AM281" t="str">
        <x:f>IF(AND('Campaign Inventory'!A285&lt;&gt;"",OR('Campaign Inventory'!BR285="Critical",'Campaign Inventory'!BR285="High",'Campaign Inventory'!N285="",'Campaign Inventory'!U285="",'Campaign Inventory'!AU285="Pending",'Campaign Inventory'!AU285="Not Available",'Campaign Inventory'!AU285="Unknown",'Campaign Inventory'!BP285="High",'Campaign Inventory'!F285=""),OR($B$3="All",'Campaign Inventory'!B285=$B$3),OR($D$3="All",'Campaign Inventory'!M285=$D$3),OR($F$3="All",'Campaign Inventory'!D285=$F$3),OR($H$3="All",'Campaign Inventory'!F285=$H$3),OR($J$3="All",'Campaign Inventory'!BR285=$J$3),OR($L$3="All",'Campaign Inventory'!H285=$L$3)),COUNT($AM$2:AM280)+1,"")</x:f>
      </x:c>
    </x:row>
    <x:row r="282">
      <x:c r="AM282" t="str">
        <x:f>IF(AND('Campaign Inventory'!A286&lt;&gt;"",OR('Campaign Inventory'!BR286="Critical",'Campaign Inventory'!BR286="High",'Campaign Inventory'!N286="",'Campaign Inventory'!U286="",'Campaign Inventory'!AU286="Pending",'Campaign Inventory'!AU286="Not Available",'Campaign Inventory'!AU286="Unknown",'Campaign Inventory'!BP286="High",'Campaign Inventory'!F286=""),OR($B$3="All",'Campaign Inventory'!B286=$B$3),OR($D$3="All",'Campaign Inventory'!M286=$D$3),OR($F$3="All",'Campaign Inventory'!D286=$F$3),OR($H$3="All",'Campaign Inventory'!F286=$H$3),OR($J$3="All",'Campaign Inventory'!BR286=$J$3),OR($L$3="All",'Campaign Inventory'!H286=$L$3)),COUNT($AM$2:AM281)+1,"")</x:f>
      </x:c>
    </x:row>
    <x:row r="283">
      <x:c r="AM283" t="str">
        <x:f>IF(AND('Campaign Inventory'!A287&lt;&gt;"",OR('Campaign Inventory'!BR287="Critical",'Campaign Inventory'!BR287="High",'Campaign Inventory'!N287="",'Campaign Inventory'!U287="",'Campaign Inventory'!AU287="Pending",'Campaign Inventory'!AU287="Not Available",'Campaign Inventory'!AU287="Unknown",'Campaign Inventory'!BP287="High",'Campaign Inventory'!F287=""),OR($B$3="All",'Campaign Inventory'!B287=$B$3),OR($D$3="All",'Campaign Inventory'!M287=$D$3),OR($F$3="All",'Campaign Inventory'!D287=$F$3),OR($H$3="All",'Campaign Inventory'!F287=$H$3),OR($J$3="All",'Campaign Inventory'!BR287=$J$3),OR($L$3="All",'Campaign Inventory'!H287=$L$3)),COUNT($AM$2:AM282)+1,"")</x:f>
      </x:c>
    </x:row>
    <x:row r="284">
      <x:c r="AM284" t="str">
        <x:f>IF(AND('Campaign Inventory'!A288&lt;&gt;"",OR('Campaign Inventory'!BR288="Critical",'Campaign Inventory'!BR288="High",'Campaign Inventory'!N288="",'Campaign Inventory'!U288="",'Campaign Inventory'!AU288="Pending",'Campaign Inventory'!AU288="Not Available",'Campaign Inventory'!AU288="Unknown",'Campaign Inventory'!BP288="High",'Campaign Inventory'!F288=""),OR($B$3="All",'Campaign Inventory'!B288=$B$3),OR($D$3="All",'Campaign Inventory'!M288=$D$3),OR($F$3="All",'Campaign Inventory'!D288=$F$3),OR($H$3="All",'Campaign Inventory'!F288=$H$3),OR($J$3="All",'Campaign Inventory'!BR288=$J$3),OR($L$3="All",'Campaign Inventory'!H288=$L$3)),COUNT($AM$2:AM283)+1,"")</x:f>
      </x:c>
    </x:row>
    <x:row r="285">
      <x:c r="AM285" t="str">
        <x:f>IF(AND('Campaign Inventory'!A289&lt;&gt;"",OR('Campaign Inventory'!BR289="Critical",'Campaign Inventory'!BR289="High",'Campaign Inventory'!N289="",'Campaign Inventory'!U289="",'Campaign Inventory'!AU289="Pending",'Campaign Inventory'!AU289="Not Available",'Campaign Inventory'!AU289="Unknown",'Campaign Inventory'!BP289="High",'Campaign Inventory'!F289=""),OR($B$3="All",'Campaign Inventory'!B289=$B$3),OR($D$3="All",'Campaign Inventory'!M289=$D$3),OR($F$3="All",'Campaign Inventory'!D289=$F$3),OR($H$3="All",'Campaign Inventory'!F289=$H$3),OR($J$3="All",'Campaign Inventory'!BR289=$J$3),OR($L$3="All",'Campaign Inventory'!H289=$L$3)),COUNT($AM$2:AM284)+1,"")</x:f>
      </x:c>
    </x:row>
    <x:row r="286">
      <x:c r="AM286" t="str">
        <x:f>IF(AND('Campaign Inventory'!A290&lt;&gt;"",OR('Campaign Inventory'!BR290="Critical",'Campaign Inventory'!BR290="High",'Campaign Inventory'!N290="",'Campaign Inventory'!U290="",'Campaign Inventory'!AU290="Pending",'Campaign Inventory'!AU290="Not Available",'Campaign Inventory'!AU290="Unknown",'Campaign Inventory'!BP290="High",'Campaign Inventory'!F290=""),OR($B$3="All",'Campaign Inventory'!B290=$B$3),OR($D$3="All",'Campaign Inventory'!M290=$D$3),OR($F$3="All",'Campaign Inventory'!D290=$F$3),OR($H$3="All",'Campaign Inventory'!F290=$H$3),OR($J$3="All",'Campaign Inventory'!BR290=$J$3),OR($L$3="All",'Campaign Inventory'!H290=$L$3)),COUNT($AM$2:AM285)+1,"")</x:f>
      </x:c>
    </x:row>
    <x:row r="287">
      <x:c r="AM287" t="str">
        <x:f>IF(AND('Campaign Inventory'!A291&lt;&gt;"",OR('Campaign Inventory'!BR291="Critical",'Campaign Inventory'!BR291="High",'Campaign Inventory'!N291="",'Campaign Inventory'!U291="",'Campaign Inventory'!AU291="Pending",'Campaign Inventory'!AU291="Not Available",'Campaign Inventory'!AU291="Unknown",'Campaign Inventory'!BP291="High",'Campaign Inventory'!F291=""),OR($B$3="All",'Campaign Inventory'!B291=$B$3),OR($D$3="All",'Campaign Inventory'!M291=$D$3),OR($F$3="All",'Campaign Inventory'!D291=$F$3),OR($H$3="All",'Campaign Inventory'!F291=$H$3),OR($J$3="All",'Campaign Inventory'!BR291=$J$3),OR($L$3="All",'Campaign Inventory'!H291=$L$3)),COUNT($AM$2:AM286)+1,"")</x:f>
      </x:c>
    </x:row>
    <x:row r="288">
      <x:c r="AM288" t="str">
        <x:f>IF(AND('Campaign Inventory'!A292&lt;&gt;"",OR('Campaign Inventory'!BR292="Critical",'Campaign Inventory'!BR292="High",'Campaign Inventory'!N292="",'Campaign Inventory'!U292="",'Campaign Inventory'!AU292="Pending",'Campaign Inventory'!AU292="Not Available",'Campaign Inventory'!AU292="Unknown",'Campaign Inventory'!BP292="High",'Campaign Inventory'!F292=""),OR($B$3="All",'Campaign Inventory'!B292=$B$3),OR($D$3="All",'Campaign Inventory'!M292=$D$3),OR($F$3="All",'Campaign Inventory'!D292=$F$3),OR($H$3="All",'Campaign Inventory'!F292=$H$3),OR($J$3="All",'Campaign Inventory'!BR292=$J$3),OR($L$3="All",'Campaign Inventory'!H292=$L$3)),COUNT($AM$2:AM287)+1,"")</x:f>
      </x:c>
    </x:row>
    <x:row r="289">
      <x:c r="AM289" t="str">
        <x:f>IF(AND('Campaign Inventory'!A293&lt;&gt;"",OR('Campaign Inventory'!BR293="Critical",'Campaign Inventory'!BR293="High",'Campaign Inventory'!N293="",'Campaign Inventory'!U293="",'Campaign Inventory'!AU293="Pending",'Campaign Inventory'!AU293="Not Available",'Campaign Inventory'!AU293="Unknown",'Campaign Inventory'!BP293="High",'Campaign Inventory'!F293=""),OR($B$3="All",'Campaign Inventory'!B293=$B$3),OR($D$3="All",'Campaign Inventory'!M293=$D$3),OR($F$3="All",'Campaign Inventory'!D293=$F$3),OR($H$3="All",'Campaign Inventory'!F293=$H$3),OR($J$3="All",'Campaign Inventory'!BR293=$J$3),OR($L$3="All",'Campaign Inventory'!H293=$L$3)),COUNT($AM$2:AM288)+1,"")</x:f>
      </x:c>
    </x:row>
    <x:row r="290">
      <x:c r="AM290" t="str">
        <x:f>IF(AND('Campaign Inventory'!A294&lt;&gt;"",OR('Campaign Inventory'!BR294="Critical",'Campaign Inventory'!BR294="High",'Campaign Inventory'!N294="",'Campaign Inventory'!U294="",'Campaign Inventory'!AU294="Pending",'Campaign Inventory'!AU294="Not Available",'Campaign Inventory'!AU294="Unknown",'Campaign Inventory'!BP294="High",'Campaign Inventory'!F294=""),OR($B$3="All",'Campaign Inventory'!B294=$B$3),OR($D$3="All",'Campaign Inventory'!M294=$D$3),OR($F$3="All",'Campaign Inventory'!D294=$F$3),OR($H$3="All",'Campaign Inventory'!F294=$H$3),OR($J$3="All",'Campaign Inventory'!BR294=$J$3),OR($L$3="All",'Campaign Inventory'!H294=$L$3)),COUNT($AM$2:AM289)+1,"")</x:f>
      </x:c>
    </x:row>
    <x:row r="291">
      <x:c r="AM291" t="str">
        <x:f>IF(AND('Campaign Inventory'!A295&lt;&gt;"",OR('Campaign Inventory'!BR295="Critical",'Campaign Inventory'!BR295="High",'Campaign Inventory'!N295="",'Campaign Inventory'!U295="",'Campaign Inventory'!AU295="Pending",'Campaign Inventory'!AU295="Not Available",'Campaign Inventory'!AU295="Unknown",'Campaign Inventory'!BP295="High",'Campaign Inventory'!F295=""),OR($B$3="All",'Campaign Inventory'!B295=$B$3),OR($D$3="All",'Campaign Inventory'!M295=$D$3),OR($F$3="All",'Campaign Inventory'!D295=$F$3),OR($H$3="All",'Campaign Inventory'!F295=$H$3),OR($J$3="All",'Campaign Inventory'!BR295=$J$3),OR($L$3="All",'Campaign Inventory'!H295=$L$3)),COUNT($AM$2:AM290)+1,"")</x:f>
      </x:c>
    </x:row>
    <x:row r="292">
      <x:c r="AM292" t="str">
        <x:f>IF(AND('Campaign Inventory'!A296&lt;&gt;"",OR('Campaign Inventory'!BR296="Critical",'Campaign Inventory'!BR296="High",'Campaign Inventory'!N296="",'Campaign Inventory'!U296="",'Campaign Inventory'!AU296="Pending",'Campaign Inventory'!AU296="Not Available",'Campaign Inventory'!AU296="Unknown",'Campaign Inventory'!BP296="High",'Campaign Inventory'!F296=""),OR($B$3="All",'Campaign Inventory'!B296=$B$3),OR($D$3="All",'Campaign Inventory'!M296=$D$3),OR($F$3="All",'Campaign Inventory'!D296=$F$3),OR($H$3="All",'Campaign Inventory'!F296=$H$3),OR($J$3="All",'Campaign Inventory'!BR296=$J$3),OR($L$3="All",'Campaign Inventory'!H296=$L$3)),COUNT($AM$2:AM291)+1,"")</x:f>
      </x:c>
    </x:row>
    <x:row r="293">
      <x:c r="AM293" t="str">
        <x:f>IF(AND('Campaign Inventory'!A297&lt;&gt;"",OR('Campaign Inventory'!BR297="Critical",'Campaign Inventory'!BR297="High",'Campaign Inventory'!N297="",'Campaign Inventory'!U297="",'Campaign Inventory'!AU297="Pending",'Campaign Inventory'!AU297="Not Available",'Campaign Inventory'!AU297="Unknown",'Campaign Inventory'!BP297="High",'Campaign Inventory'!F297=""),OR($B$3="All",'Campaign Inventory'!B297=$B$3),OR($D$3="All",'Campaign Inventory'!M297=$D$3),OR($F$3="All",'Campaign Inventory'!D297=$F$3),OR($H$3="All",'Campaign Inventory'!F297=$H$3),OR($J$3="All",'Campaign Inventory'!BR297=$J$3),OR($L$3="All",'Campaign Inventory'!H297=$L$3)),COUNT($AM$2:AM292)+1,"")</x:f>
      </x:c>
    </x:row>
    <x:row r="294">
      <x:c r="AM294" t="str">
        <x:f>IF(AND('Campaign Inventory'!A298&lt;&gt;"",OR('Campaign Inventory'!BR298="Critical",'Campaign Inventory'!BR298="High",'Campaign Inventory'!N298="",'Campaign Inventory'!U298="",'Campaign Inventory'!AU298="Pending",'Campaign Inventory'!AU298="Not Available",'Campaign Inventory'!AU298="Unknown",'Campaign Inventory'!BP298="High",'Campaign Inventory'!F298=""),OR($B$3="All",'Campaign Inventory'!B298=$B$3),OR($D$3="All",'Campaign Inventory'!M298=$D$3),OR($F$3="All",'Campaign Inventory'!D298=$F$3),OR($H$3="All",'Campaign Inventory'!F298=$H$3),OR($J$3="All",'Campaign Inventory'!BR298=$J$3),OR($L$3="All",'Campaign Inventory'!H298=$L$3)),COUNT($AM$2:AM293)+1,"")</x:f>
      </x:c>
    </x:row>
    <x:row r="295">
      <x:c r="AM295" t="str">
        <x:f>IF(AND('Campaign Inventory'!A299&lt;&gt;"",OR('Campaign Inventory'!BR299="Critical",'Campaign Inventory'!BR299="High",'Campaign Inventory'!N299="",'Campaign Inventory'!U299="",'Campaign Inventory'!AU299="Pending",'Campaign Inventory'!AU299="Not Available",'Campaign Inventory'!AU299="Unknown",'Campaign Inventory'!BP299="High",'Campaign Inventory'!F299=""),OR($B$3="All",'Campaign Inventory'!B299=$B$3),OR($D$3="All",'Campaign Inventory'!M299=$D$3),OR($F$3="All",'Campaign Inventory'!D299=$F$3),OR($H$3="All",'Campaign Inventory'!F299=$H$3),OR($J$3="All",'Campaign Inventory'!BR299=$J$3),OR($L$3="All",'Campaign Inventory'!H299=$L$3)),COUNT($AM$2:AM294)+1,"")</x:f>
      </x:c>
    </x:row>
    <x:row r="296">
      <x:c r="AM296" t="str">
        <x:f>IF(AND('Campaign Inventory'!A300&lt;&gt;"",OR('Campaign Inventory'!BR300="Critical",'Campaign Inventory'!BR300="High",'Campaign Inventory'!N300="",'Campaign Inventory'!U300="",'Campaign Inventory'!AU300="Pending",'Campaign Inventory'!AU300="Not Available",'Campaign Inventory'!AU300="Unknown",'Campaign Inventory'!BP300="High",'Campaign Inventory'!F300=""),OR($B$3="All",'Campaign Inventory'!B300=$B$3),OR($D$3="All",'Campaign Inventory'!M300=$D$3),OR($F$3="All",'Campaign Inventory'!D300=$F$3),OR($H$3="All",'Campaign Inventory'!F300=$H$3),OR($J$3="All",'Campaign Inventory'!BR300=$J$3),OR($L$3="All",'Campaign Inventory'!H300=$L$3)),COUNT($AM$2:AM295)+1,"")</x:f>
      </x:c>
    </x:row>
    <x:row r="297">
      <x:c r="AM297" t="str">
        <x:f>IF(AND('Campaign Inventory'!A301&lt;&gt;"",OR('Campaign Inventory'!BR301="Critical",'Campaign Inventory'!BR301="High",'Campaign Inventory'!N301="",'Campaign Inventory'!U301="",'Campaign Inventory'!AU301="Pending",'Campaign Inventory'!AU301="Not Available",'Campaign Inventory'!AU301="Unknown",'Campaign Inventory'!BP301="High",'Campaign Inventory'!F301=""),OR($B$3="All",'Campaign Inventory'!B301=$B$3),OR($D$3="All",'Campaign Inventory'!M301=$D$3),OR($F$3="All",'Campaign Inventory'!D301=$F$3),OR($H$3="All",'Campaign Inventory'!F301=$H$3),OR($J$3="All",'Campaign Inventory'!BR301=$J$3),OR($L$3="All",'Campaign Inventory'!H301=$L$3)),COUNT($AM$2:AM296)+1,"")</x:f>
      </x:c>
    </x:row>
    <x:row r="298">
      <x:c r="AM298" t="str">
        <x:f>IF(AND('Campaign Inventory'!A302&lt;&gt;"",OR('Campaign Inventory'!BR302="Critical",'Campaign Inventory'!BR302="High",'Campaign Inventory'!N302="",'Campaign Inventory'!U302="",'Campaign Inventory'!AU302="Pending",'Campaign Inventory'!AU302="Not Available",'Campaign Inventory'!AU302="Unknown",'Campaign Inventory'!BP302="High",'Campaign Inventory'!F302=""),OR($B$3="All",'Campaign Inventory'!B302=$B$3),OR($D$3="All",'Campaign Inventory'!M302=$D$3),OR($F$3="All",'Campaign Inventory'!D302=$F$3),OR($H$3="All",'Campaign Inventory'!F302=$H$3),OR($J$3="All",'Campaign Inventory'!BR302=$J$3),OR($L$3="All",'Campaign Inventory'!H302=$L$3)),COUNT($AM$2:AM297)+1,"")</x:f>
      </x:c>
    </x:row>
    <x:row r="299">
      <x:c r="AM299" t="str">
        <x:f>IF(AND('Campaign Inventory'!A303&lt;&gt;"",OR('Campaign Inventory'!BR303="Critical",'Campaign Inventory'!BR303="High",'Campaign Inventory'!N303="",'Campaign Inventory'!U303="",'Campaign Inventory'!AU303="Pending",'Campaign Inventory'!AU303="Not Available",'Campaign Inventory'!AU303="Unknown",'Campaign Inventory'!BP303="High",'Campaign Inventory'!F303=""),OR($B$3="All",'Campaign Inventory'!B303=$B$3),OR($D$3="All",'Campaign Inventory'!M303=$D$3),OR($F$3="All",'Campaign Inventory'!D303=$F$3),OR($H$3="All",'Campaign Inventory'!F303=$H$3),OR($J$3="All",'Campaign Inventory'!BR303=$J$3),OR($L$3="All",'Campaign Inventory'!H303=$L$3)),COUNT($AM$2:AM298)+1,"")</x:f>
      </x:c>
    </x:row>
    <x:row r="300">
      <x:c r="AM300" t="str">
        <x:f>IF(AND('Campaign Inventory'!A304&lt;&gt;"",OR('Campaign Inventory'!BR304="Critical",'Campaign Inventory'!BR304="High",'Campaign Inventory'!N304="",'Campaign Inventory'!U304="",'Campaign Inventory'!AU304="Pending",'Campaign Inventory'!AU304="Not Available",'Campaign Inventory'!AU304="Unknown",'Campaign Inventory'!BP304="High",'Campaign Inventory'!F304=""),OR($B$3="All",'Campaign Inventory'!B304=$B$3),OR($D$3="All",'Campaign Inventory'!M304=$D$3),OR($F$3="All",'Campaign Inventory'!D304=$F$3),OR($H$3="All",'Campaign Inventory'!F304=$H$3),OR($J$3="All",'Campaign Inventory'!BR304=$J$3),OR($L$3="All",'Campaign Inventory'!H304=$L$3)),COUNT($AM$2:AM299)+1,"")</x:f>
      </x:c>
    </x:row>
    <x:row r="301">
      <x:c r="AM301" t="str">
        <x:f>IF(AND('Campaign Inventory'!A305&lt;&gt;"",OR('Campaign Inventory'!BR305="Critical",'Campaign Inventory'!BR305="High",'Campaign Inventory'!N305="",'Campaign Inventory'!U305="",'Campaign Inventory'!AU305="Pending",'Campaign Inventory'!AU305="Not Available",'Campaign Inventory'!AU305="Unknown",'Campaign Inventory'!BP305="High",'Campaign Inventory'!F305=""),OR($B$3="All",'Campaign Inventory'!B305=$B$3),OR($D$3="All",'Campaign Inventory'!M305=$D$3),OR($F$3="All",'Campaign Inventory'!D305=$F$3),OR($H$3="All",'Campaign Inventory'!F305=$H$3),OR($J$3="All",'Campaign Inventory'!BR305=$J$3),OR($L$3="All",'Campaign Inventory'!H305=$L$3)),COUNT($AM$2:AM300)+1,"")</x:f>
      </x:c>
    </x:row>
    <x:row r="302">
      <x:c r="AM302" t="str">
        <x:f>IF(AND('Campaign Inventory'!A306&lt;&gt;"",OR('Campaign Inventory'!BR306="Critical",'Campaign Inventory'!BR306="High",'Campaign Inventory'!N306="",'Campaign Inventory'!U306="",'Campaign Inventory'!AU306="Pending",'Campaign Inventory'!AU306="Not Available",'Campaign Inventory'!AU306="Unknown",'Campaign Inventory'!BP306="High",'Campaign Inventory'!F306=""),OR($B$3="All",'Campaign Inventory'!B306=$B$3),OR($D$3="All",'Campaign Inventory'!M306=$D$3),OR($F$3="All",'Campaign Inventory'!D306=$F$3),OR($H$3="All",'Campaign Inventory'!F306=$H$3),OR($J$3="All",'Campaign Inventory'!BR306=$J$3),OR($L$3="All",'Campaign Inventory'!H306=$L$3)),COUNT($AM$2:AM301)+1,"")</x:f>
      </x:c>
    </x:row>
  </x:sheetData>
  <x:mergeCells>
    <x:mergeCell ref="A2:R2"/>
    <x:mergeCell ref="A1:R1"/>
    <x:mergeCell ref="A11:F11"/>
    <x:mergeCell ref="H11:R11"/>
  </x:mergeCells>
  <x:dataValidations count="6">
    <x:dataValidation type="list" allowBlank="1" showDropDown="0" showInputMessage="0" showErrorMessage="0" errorTitle="Invalid selection" error="Select a value from the dropdown list." promptTitle="Select value" prompt="Choose from the approved list." sqref="B3">
      <x:formula1>=FilterAllBrands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D3">
      <x:formula1>=FilterCategories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F3">
      <x:formula1>=FilterSources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H3">
      <x:formula1>=FilterOwners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J3">
      <x:formula1>=FilterSeverities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L3">
      <x:formula1>=FilterStatuses</x:formula1>
    </x:dataValidation>
  </x:dataValidations>
  <x:pageMargins left="0.7" right="0.7" top="0.75" bottom="0.75" header="0.3" footer="0.3"/>
  <x:drawing xmlns:r="http://schemas.openxmlformats.org/officeDocument/2006/relationships" r:id="R8d38d9deaa4b436d"/>
  <x:tableParts count="2">
    <x:tablePart xmlns:r="http://schemas.openxmlformats.org/officeDocument/2006/relationships" r:id="Rdc111ff59f254237"/>
    <x:tablePart xmlns:r="http://schemas.openxmlformats.org/officeDocument/2006/relationships" r:id="Rbc11982329e845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5" customWidth="1"/>
    <x:col min="3" max="3" width="25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25" customWidth="1"/>
    <x:col min="11" max="11" width="25" customWidth="1"/>
    <x:col min="12" max="12" width="30" hidden="0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25" customWidth="1"/>
    <x:col min="22" max="22" width="25" customWidth="1"/>
    <x:col min="23" max="23" width="25" customWidth="1"/>
  </x:cols>
  <x:sheetData>
    <x:row r="1" ht="34" customHeight="1">
      <x:c r="A1" s="1" t="inlineStr">
        <x:is>
          <x:t xml:space="preserve">WS1 Segment Map</x:t>
        </x:is>
      </x:c>
    </x:row>
    <x:row r="2" ht="30" customHeight="1">
      <x:c r="A2" s="2" t="str">
        <x:v>Real segment evidence from the WS1 Bonus Menu. Value-band labels are recorded exactly as supplied; their metric, lookback period and eligibility rules still require VIP confirmation.</x:v>
      </x:c>
    </x:row>
    <x:row r="5" ht="42" customHeight="1">
      <x:c r="A5" s="16" t="inlineStr">
        <x:is>
          <x:t xml:space="preserve">Segment ID</x:t>
        </x:is>
      </x:c>
      <x:c r="B5" s="16" t="inlineStr">
        <x:is>
          <x:t xml:space="preserve">Segment name</x:t>
        </x:is>
      </x:c>
      <x:c r="C5" s="16" t="inlineStr">
        <x:is>
          <x:t xml:space="preserve">Segment description</x:t>
        </x:is>
      </x:c>
      <x:c r="D5" s="16" t="inlineStr">
        <x:is>
          <x:t xml:space="preserve">Player activity status</x:t>
        </x:is>
      </x:c>
      <x:c r="E5" s="16" t="inlineStr">
        <x:is>
          <x:t xml:space="preserve">Inactive-day range</x:t>
        </x:is>
      </x:c>
      <x:c r="F5" s="16" t="inlineStr">
        <x:is>
          <x:t xml:space="preserve">Deposit range</x:t>
        </x:is>
      </x:c>
      <x:c r="G5" s="16" t="inlineStr">
        <x:is>
          <x:t xml:space="preserve">VIP tier</x:t>
        </x:is>
      </x:c>
      <x:c r="H5" s="16" t="inlineStr">
        <x:is>
          <x:t xml:space="preserve">Primary product</x:t>
        </x:is>
      </x:c>
      <x:c r="I5" s="16" t="inlineStr">
        <x:is>
          <x:t xml:space="preserve">Secondary product</x:t>
        </x:is>
      </x:c>
      <x:c r="J5" s="16" t="inlineStr">
        <x:is>
          <x:t xml:space="preserve">Player behaviour</x:t>
        </x:is>
      </x:c>
      <x:c r="K5" s="16" t="inlineStr">
        <x:is>
          <x:t xml:space="preserve">Exclusion criteria</x:t>
        </x:is>
      </x:c>
      <x:c r="L5" s="16" t="inlineStr">
        <x:is>
          <x:t xml:space="preserve">Campaigns using this segment</x:t>
        </x:is>
      </x:c>
      <x:c r="M5" s="16" t="inlineStr">
        <x:is>
          <x:t xml:space="preserve">Number of campaigns</x:t>
        </x:is>
      </x:c>
      <x:c r="N5" s="16" t="inlineStr">
        <x:is>
          <x:t xml:space="preserve">Campaign categories used</x:t>
        </x:is>
      </x:c>
      <x:c r="O5" s="16" t="inlineStr">
        <x:is>
          <x:t xml:space="preserve">Main objective</x:t>
        </x:is>
      </x:c>
      <x:c r="P5" s="16" t="inlineStr">
        <x:is>
          <x:t xml:space="preserve">Segment owner</x:t>
        </x:is>
      </x:c>
      <x:c r="Q5" s="16" t="inlineStr">
        <x:is>
          <x:t xml:space="preserve">Data source</x:t>
        </x:is>
      </x:c>
      <x:c r="R5" s="16" t="inlineStr">
        <x:is>
          <x:t xml:space="preserve">Segment currently available</x:t>
        </x:is>
      </x:c>
      <x:c r="S5" s="16" t="inlineStr">
        <x:is>
          <x:t xml:space="preserve">Segment clarity</x:t>
        </x:is>
      </x:c>
      <x:c r="T5" s="16" t="inlineStr">
        <x:is>
          <x:t xml:space="preserve">Overlap risk</x:t>
        </x:is>
      </x:c>
      <x:c r="U5" s="16" t="inlineStr">
        <x:is>
          <x:t xml:space="preserve">Missing segment opportunity</x:t>
        </x:is>
      </x:c>
      <x:c r="V5" s="16" t="inlineStr">
        <x:is>
          <x:t xml:space="preserve">Recommended action</x:t>
        </x:is>
      </x:c>
      <x:c r="W5" s="16" t="inlineStr">
        <x:is>
          <x:t xml:space="preserve">Notes</x:t>
        </x:is>
      </x:c>
    </x:row>
    <x:row r="6" ht="54" customHeight="1">
      <x:c r="A6" s="17" t="str">
        <x:v>SEG-001</x:v>
      </x:c>
      <x:c r="B6" s="17" t="str">
        <x:v>VM-managed players – criteria not documented</x:v>
      </x:c>
      <x:c r="C6" s="17" t="str">
        <x:v>Observed VM promo codes without a documented player-value band or reproducible selection rule.</x:v>
      </x:c>
      <x:c r="D6" s="17" t="str">
        <x:v>Unknown</x:v>
      </x:c>
      <x:c r="E6" s="17"/>
      <x:c r="F6" s="17"/>
      <x:c r="G6" s="17"/>
      <x:c r="H6" s="17"/>
      <x:c r="I6" s="17"/>
      <x:c r="J6" s="17"/>
      <x:c r="K6" s="17"/>
      <x:c r="L6" s="17" t="str">
        <x:v>See Campaign Inventory – filter Stated target segment</x:v>
      </x:c>
      <x:c r="M6" s="22" t="n">
        <x:f>COUNTIF('Campaign Inventory'!$AG$7:$AG$306,"Not Provided")</x:f>
        <x:v>20</x:v>
      </x:c>
      <x:c r="N6" s="17" t="str">
        <x:v>Retention</x:v>
      </x:c>
      <x:c r="O6" s="17"/>
      <x:c r="P6" s="18" t="str">
        <x:v>VIP</x:v>
      </x:c>
      <x:c r="Q6" s="18" t="str">
        <x:v>Bonus Menu – VIP Overview MYS – Team CD</x:v>
      </x:c>
      <x:c r="R6" s="17" t="str">
        <x:v>Partial</x:v>
      </x:c>
      <x:c r="S6" s="17" t="str">
        <x:v>Not Provided</x:v>
      </x:c>
      <x:c r="T6" s="17" t="str">
        <x:v>Unknown</x:v>
      </x:c>
      <x:c r="U6" s="17" t="str">
        <x:v>Define the exact metric, lookback period, eligibility rules and exclusions.</x:v>
      </x:c>
      <x:c r="V6" s="17" t="str">
        <x:v>Define Segment Criteria</x:v>
      </x:c>
      <x:c r="W6" s="17" t="str">
        <x:v>20 observed promo codes use this segment label or lack one. Confirmation is required from the source team.</x:v>
      </x:c>
    </x:row>
    <x:row r="7" ht="54" customHeight="1">
      <x:c r="A7" s="17" t="str">
        <x:v>SEG-002</x:v>
      </x:c>
      <x:c r="B7" s="17" t="str">
        <x:v>VM value band – &lt;10K</x:v>
      </x:c>
      <x:c r="C7" s="17" t="str">
        <x:v>Bonus Menu remark: &lt;10K. The source does not define whether this is deposit value, turnover, lifetime value or another metric.</x:v>
      </x:c>
      <x:c r="D7" s="17" t="str">
        <x:v>Unknown</x:v>
      </x:c>
      <x:c r="E7" s="17"/>
      <x:c r="F7" s="17"/>
      <x:c r="G7" s="17"/>
      <x:c r="H7" s="17"/>
      <x:c r="I7" s="17"/>
      <x:c r="J7" s="17"/>
      <x:c r="K7" s="17"/>
      <x:c r="L7" s="17" t="str">
        <x:v>See Campaign Inventory – filter Stated target segment</x:v>
      </x:c>
      <x:c r="M7" s="22" t="n">
        <x:f>COUNTIF('Campaign Inventory'!$U$7:$U$306,"VM value band: &lt;10K")</x:f>
        <x:v>1</x:v>
      </x:c>
      <x:c r="N7" s="17" t="str">
        <x:v>Retention</x:v>
      </x:c>
      <x:c r="O7" s="17"/>
      <x:c r="P7" s="18" t="str">
        <x:v>VIP</x:v>
      </x:c>
      <x:c r="Q7" s="18" t="str">
        <x:v>Bonus Menu – VIP Overview MYS – Team CD</x:v>
      </x:c>
      <x:c r="R7" s="17" t="str">
        <x:v>Partial</x:v>
      </x:c>
      <x:c r="S7" s="17" t="str">
        <x:v>Partly Clear</x:v>
      </x:c>
      <x:c r="T7" s="17" t="str">
        <x:v>Unknown</x:v>
      </x:c>
      <x:c r="U7" s="17" t="str">
        <x:v>Define the exact metric, lookback period, eligibility rules and exclusions.</x:v>
      </x:c>
      <x:c r="V7" s="17" t="str">
        <x:v>Define Segment Criteria</x:v>
      </x:c>
      <x:c r="W7" s="17" t="str">
        <x:v>1 observed promo codes use this segment label or lack one. Confirmation is required from the source team.</x:v>
      </x:c>
    </x:row>
    <x:row r="8" ht="54" customHeight="1">
      <x:c r="A8" s="17" t="str">
        <x:v>SEG-003</x:v>
      </x:c>
      <x:c r="B8" s="17" t="str">
        <x:v>VM value band – 10K to 24K</x:v>
      </x:c>
      <x:c r="C8" s="17" t="str">
        <x:v>Bonus Menu remark: 10K to 24K. The source does not define whether this is deposit value, turnover, lifetime value or another metric.</x:v>
      </x:c>
      <x:c r="D8" s="17" t="str">
        <x:v>Unknown</x:v>
      </x:c>
      <x:c r="E8" s="17"/>
      <x:c r="F8" s="17"/>
      <x:c r="G8" s="17"/>
      <x:c r="H8" s="17"/>
      <x:c r="I8" s="17"/>
      <x:c r="J8" s="17"/>
      <x:c r="K8" s="17"/>
      <x:c r="L8" s="17" t="str">
        <x:v>See Campaign Inventory – filter Stated target segment</x:v>
      </x:c>
      <x:c r="M8" s="22" t="n">
        <x:f>COUNTIF('Campaign Inventory'!$U$7:$U$306,"VM value band: 10K to 24K")</x:f>
        <x:v>1</x:v>
      </x:c>
      <x:c r="N8" s="17" t="str">
        <x:v>Retention</x:v>
      </x:c>
      <x:c r="O8" s="17"/>
      <x:c r="P8" s="18" t="str">
        <x:v>VIP</x:v>
      </x:c>
      <x:c r="Q8" s="18" t="str">
        <x:v>Bonus Menu – VIP Overview MYS – Team CD</x:v>
      </x:c>
      <x:c r="R8" s="17" t="str">
        <x:v>Partial</x:v>
      </x:c>
      <x:c r="S8" s="17" t="str">
        <x:v>Partly Clear</x:v>
      </x:c>
      <x:c r="T8" s="17" t="str">
        <x:v>Unknown</x:v>
      </x:c>
      <x:c r="U8" s="17" t="str">
        <x:v>Define the exact metric, lookback period, eligibility rules and exclusions.</x:v>
      </x:c>
      <x:c r="V8" s="17" t="str">
        <x:v>Define Segment Criteria</x:v>
      </x:c>
      <x:c r="W8" s="17" t="str">
        <x:v>1 observed promo codes use this segment label or lack one. Confirmation is required from the source team.</x:v>
      </x:c>
    </x:row>
    <x:row r="9" ht="54" customHeight="1">
      <x:c r="A9" s="17" t="str">
        <x:v>SEG-004</x:v>
      </x:c>
      <x:c r="B9" s="17" t="str">
        <x:v>VM value band – 25k to 49K</x:v>
      </x:c>
      <x:c r="C9" s="17" t="str">
        <x:v>Bonus Menu remark: 25k to 49K. The source does not define whether this is deposit value, turnover, lifetime value or another metric.</x:v>
      </x:c>
      <x:c r="D9" s="17" t="str">
        <x:v>Unknown</x:v>
      </x:c>
      <x:c r="E9" s="17"/>
      <x:c r="F9" s="17"/>
      <x:c r="G9" s="17"/>
      <x:c r="H9" s="17"/>
      <x:c r="I9" s="17"/>
      <x:c r="J9" s="17"/>
      <x:c r="K9" s="17"/>
      <x:c r="L9" s="17" t="str">
        <x:v>See Campaign Inventory – filter Stated target segment</x:v>
      </x:c>
      <x:c r="M9" s="22" t="n">
        <x:f>COUNTIF('Campaign Inventory'!$U$7:$U$306,"VM value band: 25k to 49K")</x:f>
        <x:v>1</x:v>
      </x:c>
      <x:c r="N9" s="17" t="str">
        <x:v>Retention</x:v>
      </x:c>
      <x:c r="O9" s="17"/>
      <x:c r="P9" s="18" t="str">
        <x:v>VIP</x:v>
      </x:c>
      <x:c r="Q9" s="18" t="str">
        <x:v>Bonus Menu – VIP Overview MYS – Team CD</x:v>
      </x:c>
      <x:c r="R9" s="17" t="str">
        <x:v>Partial</x:v>
      </x:c>
      <x:c r="S9" s="17" t="str">
        <x:v>Partly Clear</x:v>
      </x:c>
      <x:c r="T9" s="17" t="str">
        <x:v>Unknown</x:v>
      </x:c>
      <x:c r="U9" s="17" t="str">
        <x:v>Define the exact metric, lookback period, eligibility rules and exclusions.</x:v>
      </x:c>
      <x:c r="V9" s="17" t="str">
        <x:v>Define Segment Criteria</x:v>
      </x:c>
      <x:c r="W9" s="17" t="str">
        <x:v>1 observed promo codes use this segment label or lack one. Confirmation is required from the source team.</x:v>
      </x:c>
    </x:row>
    <x:row r="10" ht="54" customHeight="1">
      <x:c r="A10" s="17" t="str">
        <x:v>SEG-005</x:v>
      </x:c>
      <x:c r="B10" s="17" t="str">
        <x:v>VM value band – 50K to 99K</x:v>
      </x:c>
      <x:c r="C10" s="17" t="str">
        <x:v>Bonus Menu remark: 50K to 99K. The source does not define whether this is deposit value, turnover, lifetime value or another metric.</x:v>
      </x:c>
      <x:c r="D10" s="17" t="str">
        <x:v>Unknown</x:v>
      </x:c>
      <x:c r="E10" s="17"/>
      <x:c r="F10" s="17"/>
      <x:c r="G10" s="17"/>
      <x:c r="H10" s="17"/>
      <x:c r="I10" s="17"/>
      <x:c r="J10" s="17"/>
      <x:c r="K10" s="17"/>
      <x:c r="L10" s="17" t="str">
        <x:v>See Campaign Inventory – filter Stated target segment</x:v>
      </x:c>
      <x:c r="M10" s="22" t="n">
        <x:f>COUNTIF('Campaign Inventory'!$U$7:$U$306,"VM value band: 50K to 99K")</x:f>
        <x:v>1</x:v>
      </x:c>
      <x:c r="N10" s="17" t="str">
        <x:v>Retention</x:v>
      </x:c>
      <x:c r="O10" s="17"/>
      <x:c r="P10" s="18" t="str">
        <x:v>VIP</x:v>
      </x:c>
      <x:c r="Q10" s="18" t="str">
        <x:v>Bonus Menu – VIP Overview MYS – Team CD</x:v>
      </x:c>
      <x:c r="R10" s="17" t="str">
        <x:v>Partial</x:v>
      </x:c>
      <x:c r="S10" s="17" t="str">
        <x:v>Partly Clear</x:v>
      </x:c>
      <x:c r="T10" s="17" t="str">
        <x:v>Unknown</x:v>
      </x:c>
      <x:c r="U10" s="17" t="str">
        <x:v>Define the exact metric, lookback period, eligibility rules and exclusions.</x:v>
      </x:c>
      <x:c r="V10" s="17" t="str">
        <x:v>Define Segment Criteria</x:v>
      </x:c>
      <x:c r="W10" s="17" t="str">
        <x:v>1 observed promo codes use this segment label or lack one. Confirmation is required from the source team.</x:v>
      </x:c>
    </x:row>
    <x:row r="11" ht="54" customHeight="1">
      <x:c r="A11" s="17" t="str">
        <x:v>SEG-006</x:v>
      </x:c>
      <x:c r="B11" s="17" t="str">
        <x:v>VM value band – 100K to 499K</x:v>
      </x:c>
      <x:c r="C11" s="17" t="str">
        <x:v>Bonus Menu remark: 100K to 499K. The source does not define whether this is deposit value, turnover, lifetime value or another metric.</x:v>
      </x:c>
      <x:c r="D11" s="17" t="str">
        <x:v>Unknown</x:v>
      </x:c>
      <x:c r="E11" s="17"/>
      <x:c r="F11" s="17"/>
      <x:c r="G11" s="17"/>
      <x:c r="H11" s="17"/>
      <x:c r="I11" s="17"/>
      <x:c r="J11" s="17"/>
      <x:c r="K11" s="17"/>
      <x:c r="L11" s="17" t="str">
        <x:v>See Campaign Inventory – filter Stated target segment</x:v>
      </x:c>
      <x:c r="M11" s="22" t="n">
        <x:f>COUNTIF('Campaign Inventory'!$U$7:$U$306,"VM value band: 100K to 499K")</x:f>
        <x:v>1</x:v>
      </x:c>
      <x:c r="N11" s="17" t="str">
        <x:v>Retention</x:v>
      </x:c>
      <x:c r="O11" s="17"/>
      <x:c r="P11" s="18" t="str">
        <x:v>VIP</x:v>
      </x:c>
      <x:c r="Q11" s="18" t="str">
        <x:v>Bonus Menu – VIP Overview MYS – Team CD</x:v>
      </x:c>
      <x:c r="R11" s="17" t="str">
        <x:v>Partial</x:v>
      </x:c>
      <x:c r="S11" s="17" t="str">
        <x:v>Partly Clear</x:v>
      </x:c>
      <x:c r="T11" s="17" t="str">
        <x:v>Unknown</x:v>
      </x:c>
      <x:c r="U11" s="17" t="str">
        <x:v>Define the exact metric, lookback period, eligibility rules and exclusions.</x:v>
      </x:c>
      <x:c r="V11" s="17" t="str">
        <x:v>Define Segment Criteria</x:v>
      </x:c>
      <x:c r="W11" s="17" t="str">
        <x:v>1 observed promo codes use this segment label or lack one. Confirmation is required from the source team.</x:v>
      </x:c>
    </x:row>
    <x:row r="12" ht="54" customHeight="1">
      <x:c r="A12" s="17" t="str">
        <x:v>SEG-007</x:v>
      </x:c>
      <x:c r="B12" s="17" t="str">
        <x:v>VM value band – 500K and above</x:v>
      </x:c>
      <x:c r="C12" s="17" t="str">
        <x:v>Bonus Menu remark: 500K and above. The source does not define whether this is deposit value, turnover, lifetime value or another metric.</x:v>
      </x:c>
      <x:c r="D12" s="17" t="str">
        <x:v>Unknown</x:v>
      </x:c>
      <x:c r="E12" s="17"/>
      <x:c r="F12" s="17"/>
      <x:c r="G12" s="17"/>
      <x:c r="H12" s="17"/>
      <x:c r="I12" s="17"/>
      <x:c r="J12" s="17"/>
      <x:c r="K12" s="17"/>
      <x:c r="L12" s="17" t="str">
        <x:v>See Campaign Inventory – filter Stated target segment</x:v>
      </x:c>
      <x:c r="M12" s="22" t="n">
        <x:f>COUNTIF('Campaign Inventory'!$U$7:$U$306,"VM value band: 500K and above")</x:f>
        <x:v>1</x:v>
      </x:c>
      <x:c r="N12" s="17" t="str">
        <x:v>Retention</x:v>
      </x:c>
      <x:c r="O12" s="17"/>
      <x:c r="P12" s="18" t="str">
        <x:v>VIP</x:v>
      </x:c>
      <x:c r="Q12" s="18" t="str">
        <x:v>Bonus Menu – VIP Overview MYS – Team CD</x:v>
      </x:c>
      <x:c r="R12" s="17" t="str">
        <x:v>Partial</x:v>
      </x:c>
      <x:c r="S12" s="17" t="str">
        <x:v>Partly Clear</x:v>
      </x:c>
      <x:c r="T12" s="17" t="str">
        <x:v>Unknown</x:v>
      </x:c>
      <x:c r="U12" s="17" t="str">
        <x:v>Define the exact metric, lookback period, eligibility rules and exclusions.</x:v>
      </x:c>
      <x:c r="V12" s="17" t="str">
        <x:v>Define Segment Criteria</x:v>
      </x:c>
      <x:c r="W12" s="17" t="str">
        <x:v>1 observed promo codes use this segment label or lack one. Confirmation is required from the source team.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22" t="n">
        <x:f>IF(L13="",0,LEN(L13)-LEN(SUBSTITUTE(L13,";",""))+1)</x:f>
        <x:v>0</x:v>
      </x:c>
      <x:c r="N13" s="17"/>
      <x:c r="O13" s="17"/>
      <x:c r="P13" s="18"/>
      <x:c r="Q13" s="18"/>
      <x:c r="R13" s="17"/>
      <x:c r="S13" s="17"/>
      <x:c r="T13" s="17"/>
      <x:c r="U13" s="17"/>
      <x:c r="V13" s="17"/>
      <x:c r="W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22" t="n">
        <x:f>IF(L14="",0,LEN(L14)-LEN(SUBSTITUTE(L14,";",""))+1)</x:f>
        <x:v>0</x:v>
      </x:c>
      <x:c r="N14" s="17"/>
      <x:c r="O14" s="17"/>
      <x:c r="P14" s="18"/>
      <x:c r="Q14" s="18"/>
      <x:c r="R14" s="17"/>
      <x:c r="S14" s="17"/>
      <x:c r="T14" s="17"/>
      <x:c r="U14" s="17"/>
      <x:c r="V14" s="17"/>
      <x:c r="W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22" t="n">
        <x:f>IF(L15="",0,LEN(L15)-LEN(SUBSTITUTE(L15,";",""))+1)</x:f>
        <x:v>0</x:v>
      </x:c>
      <x:c r="N15" s="17"/>
      <x:c r="O15" s="17"/>
      <x:c r="P15" s="18"/>
      <x:c r="Q15" s="18"/>
      <x:c r="R15" s="17"/>
      <x:c r="S15" s="17"/>
      <x:c r="T15" s="17"/>
      <x:c r="U15" s="17"/>
      <x:c r="V15" s="17"/>
      <x:c r="W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22" t="n">
        <x:f>IF(L16="",0,LEN(L16)-LEN(SUBSTITUTE(L16,";",""))+1)</x:f>
        <x:v>0</x:v>
      </x:c>
      <x:c r="N16" s="17"/>
      <x:c r="O16" s="17"/>
      <x:c r="P16" s="18"/>
      <x:c r="Q16" s="18"/>
      <x:c r="R16" s="17"/>
      <x:c r="S16" s="17"/>
      <x:c r="T16" s="17"/>
      <x:c r="U16" s="17"/>
      <x:c r="V16" s="17"/>
      <x:c r="W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22" t="n">
        <x:f>IF(L17="",0,LEN(L17)-LEN(SUBSTITUTE(L17,";",""))+1)</x:f>
        <x:v>0</x:v>
      </x:c>
      <x:c r="N17" s="17"/>
      <x:c r="O17" s="17"/>
      <x:c r="P17" s="18"/>
      <x:c r="Q17" s="18"/>
      <x:c r="R17" s="17"/>
      <x:c r="S17" s="17"/>
      <x:c r="T17" s="17"/>
      <x:c r="U17" s="17"/>
      <x:c r="V17" s="17"/>
      <x:c r="W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22" t="n"/>
      <x:c r="N18" s="17"/>
      <x:c r="O18" s="17"/>
      <x:c r="P18" s="18"/>
      <x:c r="Q18" s="18"/>
      <x:c r="R18" s="17"/>
      <x:c r="S18" s="17"/>
      <x:c r="T18" s="17"/>
      <x:c r="U18" s="17"/>
      <x:c r="V18" s="17"/>
      <x:c r="W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22" t="n"/>
      <x:c r="N19" s="17"/>
      <x:c r="O19" s="17"/>
      <x:c r="P19" s="18"/>
      <x:c r="Q19" s="18"/>
      <x:c r="R19" s="17"/>
      <x:c r="S19" s="17"/>
      <x:c r="T19" s="17"/>
      <x:c r="U19" s="17"/>
      <x:c r="V19" s="17"/>
      <x:c r="W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22" t="n"/>
      <x:c r="N20" s="17"/>
      <x:c r="O20" s="17"/>
      <x:c r="P20" s="18"/>
      <x:c r="Q20" s="18"/>
      <x:c r="R20" s="17"/>
      <x:c r="S20" s="17"/>
      <x:c r="T20" s="17"/>
      <x:c r="U20" s="17"/>
      <x:c r="V20" s="17"/>
      <x:c r="W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22" t="n"/>
      <x:c r="N21" s="17"/>
      <x:c r="O21" s="17"/>
      <x:c r="P21" s="18"/>
      <x:c r="Q21" s="18"/>
      <x:c r="R21" s="17"/>
      <x:c r="S21" s="17"/>
      <x:c r="T21" s="17"/>
      <x:c r="U21" s="17"/>
      <x:c r="V21" s="17"/>
      <x:c r="W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22" t="n"/>
      <x:c r="N22" s="17"/>
      <x:c r="O22" s="17"/>
      <x:c r="P22" s="18"/>
      <x:c r="Q22" s="18"/>
      <x:c r="R22" s="17"/>
      <x:c r="S22" s="17"/>
      <x:c r="T22" s="17"/>
      <x:c r="U22" s="17"/>
      <x:c r="V22" s="17"/>
      <x:c r="W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22" t="n"/>
      <x:c r="N23" s="17"/>
      <x:c r="O23" s="17"/>
      <x:c r="P23" s="18"/>
      <x:c r="Q23" s="18"/>
      <x:c r="R23" s="17"/>
      <x:c r="S23" s="17"/>
      <x:c r="T23" s="17"/>
      <x:c r="U23" s="17"/>
      <x:c r="V23" s="17"/>
      <x:c r="W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22" t="n"/>
      <x:c r="N24" s="17"/>
      <x:c r="O24" s="17"/>
      <x:c r="P24" s="18"/>
      <x:c r="Q24" s="18"/>
      <x:c r="R24" s="17"/>
      <x:c r="S24" s="17"/>
      <x:c r="T24" s="17"/>
      <x:c r="U24" s="17"/>
      <x:c r="V24" s="17"/>
      <x:c r="W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22" t="n"/>
      <x:c r="N25" s="17"/>
      <x:c r="O25" s="17"/>
      <x:c r="P25" s="18"/>
      <x:c r="Q25" s="18"/>
      <x:c r="R25" s="17"/>
      <x:c r="S25" s="17"/>
      <x:c r="T25" s="17"/>
      <x:c r="U25" s="17"/>
      <x:c r="V25" s="17"/>
      <x:c r="W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22" t="n"/>
      <x:c r="N26" s="17"/>
      <x:c r="O26" s="17"/>
      <x:c r="P26" s="18"/>
      <x:c r="Q26" s="18"/>
      <x:c r="R26" s="17"/>
      <x:c r="S26" s="17"/>
      <x:c r="T26" s="17"/>
      <x:c r="U26" s="17"/>
      <x:c r="V26" s="17"/>
      <x:c r="W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22" t="n"/>
      <x:c r="N27" s="17"/>
      <x:c r="O27" s="17"/>
      <x:c r="P27" s="18"/>
      <x:c r="Q27" s="18"/>
      <x:c r="R27" s="17"/>
      <x:c r="S27" s="17"/>
      <x:c r="T27" s="17"/>
      <x:c r="U27" s="17"/>
      <x:c r="V27" s="17"/>
      <x:c r="W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22" t="n"/>
      <x:c r="N28" s="17"/>
      <x:c r="O28" s="17"/>
      <x:c r="P28" s="18"/>
      <x:c r="Q28" s="18"/>
      <x:c r="R28" s="17"/>
      <x:c r="S28" s="17"/>
      <x:c r="T28" s="17"/>
      <x:c r="U28" s="17"/>
      <x:c r="V28" s="17"/>
      <x:c r="W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22" t="n"/>
      <x:c r="N29" s="17"/>
      <x:c r="O29" s="17"/>
      <x:c r="P29" s="18"/>
      <x:c r="Q29" s="18"/>
      <x:c r="R29" s="17"/>
      <x:c r="S29" s="17"/>
      <x:c r="T29" s="17"/>
      <x:c r="U29" s="17"/>
      <x:c r="V29" s="17"/>
      <x:c r="W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22" t="n"/>
      <x:c r="N30" s="17"/>
      <x:c r="O30" s="17"/>
      <x:c r="P30" s="18"/>
      <x:c r="Q30" s="18"/>
      <x:c r="R30" s="17"/>
      <x:c r="S30" s="17"/>
      <x:c r="T30" s="17"/>
      <x:c r="U30" s="17"/>
      <x:c r="V30" s="17"/>
      <x:c r="W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22" t="n"/>
      <x:c r="N31" s="17"/>
      <x:c r="O31" s="17"/>
      <x:c r="P31" s="18"/>
      <x:c r="Q31" s="18"/>
      <x:c r="R31" s="17"/>
      <x:c r="S31" s="17"/>
      <x:c r="T31" s="17"/>
      <x:c r="U31" s="17"/>
      <x:c r="V31" s="17"/>
      <x:c r="W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22" t="n"/>
      <x:c r="N32" s="17"/>
      <x:c r="O32" s="17"/>
      <x:c r="P32" s="18"/>
      <x:c r="Q32" s="18"/>
      <x:c r="R32" s="17"/>
      <x:c r="S32" s="17"/>
      <x:c r="T32" s="17"/>
      <x:c r="U32" s="17"/>
      <x:c r="V32" s="17"/>
      <x:c r="W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22" t="n"/>
      <x:c r="N33" s="17"/>
      <x:c r="O33" s="17"/>
      <x:c r="P33" s="18"/>
      <x:c r="Q33" s="18"/>
      <x:c r="R33" s="17"/>
      <x:c r="S33" s="17"/>
      <x:c r="T33" s="17"/>
      <x:c r="U33" s="17"/>
      <x:c r="V33" s="17"/>
      <x:c r="W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22" t="n"/>
      <x:c r="N34" s="17"/>
      <x:c r="O34" s="17"/>
      <x:c r="P34" s="18"/>
      <x:c r="Q34" s="18"/>
      <x:c r="R34" s="17"/>
      <x:c r="S34" s="17"/>
      <x:c r="T34" s="17"/>
      <x:c r="U34" s="17"/>
      <x:c r="V34" s="17"/>
      <x:c r="W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22" t="n"/>
      <x:c r="N35" s="17"/>
      <x:c r="O35" s="17"/>
      <x:c r="P35" s="18"/>
      <x:c r="Q35" s="18"/>
      <x:c r="R35" s="17"/>
      <x:c r="S35" s="17"/>
      <x:c r="T35" s="17"/>
      <x:c r="U35" s="17"/>
      <x:c r="V35" s="17"/>
      <x:c r="W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22" t="n"/>
      <x:c r="N36" s="17"/>
      <x:c r="O36" s="17"/>
      <x:c r="P36" s="18"/>
      <x:c r="Q36" s="18"/>
      <x:c r="R36" s="17"/>
      <x:c r="S36" s="17"/>
      <x:c r="T36" s="17"/>
      <x:c r="U36" s="17"/>
      <x:c r="V36" s="17"/>
      <x:c r="W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22" t="n"/>
      <x:c r="N37" s="17"/>
      <x:c r="O37" s="17"/>
      <x:c r="P37" s="18"/>
      <x:c r="Q37" s="18"/>
      <x:c r="R37" s="17"/>
      <x:c r="S37" s="17"/>
      <x:c r="T37" s="17"/>
      <x:c r="U37" s="17"/>
      <x:c r="V37" s="17"/>
      <x:c r="W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22" t="n"/>
      <x:c r="N38" s="17"/>
      <x:c r="O38" s="17"/>
      <x:c r="P38" s="18"/>
      <x:c r="Q38" s="18"/>
      <x:c r="R38" s="17"/>
      <x:c r="S38" s="17"/>
      <x:c r="T38" s="17"/>
      <x:c r="U38" s="17"/>
      <x:c r="V38" s="17"/>
      <x:c r="W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22" t="n"/>
      <x:c r="N39" s="17"/>
      <x:c r="O39" s="17"/>
      <x:c r="P39" s="18"/>
      <x:c r="Q39" s="18"/>
      <x:c r="R39" s="17"/>
      <x:c r="S39" s="17"/>
      <x:c r="T39" s="17"/>
      <x:c r="U39" s="17"/>
      <x:c r="V39" s="17"/>
      <x:c r="W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22" t="n"/>
      <x:c r="N40" s="17"/>
      <x:c r="O40" s="17"/>
      <x:c r="P40" s="18"/>
      <x:c r="Q40" s="18"/>
      <x:c r="R40" s="17"/>
      <x:c r="S40" s="17"/>
      <x:c r="T40" s="17"/>
      <x:c r="U40" s="17"/>
      <x:c r="V40" s="17"/>
      <x:c r="W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22" t="n"/>
      <x:c r="N41" s="17"/>
      <x:c r="O41" s="17"/>
      <x:c r="P41" s="18"/>
      <x:c r="Q41" s="18"/>
      <x:c r="R41" s="17"/>
      <x:c r="S41" s="17"/>
      <x:c r="T41" s="17"/>
      <x:c r="U41" s="17"/>
      <x:c r="V41" s="17"/>
      <x:c r="W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22" t="n"/>
      <x:c r="N42" s="17"/>
      <x:c r="O42" s="17"/>
      <x:c r="P42" s="18"/>
      <x:c r="Q42" s="18"/>
      <x:c r="R42" s="17"/>
      <x:c r="S42" s="17"/>
      <x:c r="T42" s="17"/>
      <x:c r="U42" s="17"/>
      <x:c r="V42" s="17"/>
      <x:c r="W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22" t="n"/>
      <x:c r="N43" s="17"/>
      <x:c r="O43" s="17"/>
      <x:c r="P43" s="18"/>
      <x:c r="Q43" s="18"/>
      <x:c r="R43" s="17"/>
      <x:c r="S43" s="17"/>
      <x:c r="T43" s="17"/>
      <x:c r="U43" s="17"/>
      <x:c r="V43" s="17"/>
      <x:c r="W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22" t="n"/>
      <x:c r="N44" s="17"/>
      <x:c r="O44" s="17"/>
      <x:c r="P44" s="18"/>
      <x:c r="Q44" s="18"/>
      <x:c r="R44" s="17"/>
      <x:c r="S44" s="17"/>
      <x:c r="T44" s="17"/>
      <x:c r="U44" s="17"/>
      <x:c r="V44" s="17"/>
      <x:c r="W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22" t="n"/>
      <x:c r="N45" s="17"/>
      <x:c r="O45" s="17"/>
      <x:c r="P45" s="18"/>
      <x:c r="Q45" s="18"/>
      <x:c r="R45" s="17"/>
      <x:c r="S45" s="17"/>
      <x:c r="T45" s="17"/>
      <x:c r="U45" s="17"/>
      <x:c r="V45" s="17"/>
      <x:c r="W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22" t="n"/>
      <x:c r="N46" s="17"/>
      <x:c r="O46" s="17"/>
      <x:c r="P46" s="18"/>
      <x:c r="Q46" s="18"/>
      <x:c r="R46" s="17"/>
      <x:c r="S46" s="17"/>
      <x:c r="T46" s="17"/>
      <x:c r="U46" s="17"/>
      <x:c r="V46" s="17"/>
      <x:c r="W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22" t="n"/>
      <x:c r="N47" s="17"/>
      <x:c r="O47" s="17"/>
      <x:c r="P47" s="18"/>
      <x:c r="Q47" s="18"/>
      <x:c r="R47" s="17"/>
      <x:c r="S47" s="17"/>
      <x:c r="T47" s="17"/>
      <x:c r="U47" s="17"/>
      <x:c r="V47" s="17"/>
      <x:c r="W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22" t="n"/>
      <x:c r="N48" s="17"/>
      <x:c r="O48" s="17"/>
      <x:c r="P48" s="18"/>
      <x:c r="Q48" s="18"/>
      <x:c r="R48" s="17"/>
      <x:c r="S48" s="17"/>
      <x:c r="T48" s="17"/>
      <x:c r="U48" s="17"/>
      <x:c r="V48" s="17"/>
      <x:c r="W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22" t="n"/>
      <x:c r="N49" s="17"/>
      <x:c r="O49" s="17"/>
      <x:c r="P49" s="18"/>
      <x:c r="Q49" s="18"/>
      <x:c r="R49" s="17"/>
      <x:c r="S49" s="17"/>
      <x:c r="T49" s="17"/>
      <x:c r="U49" s="17"/>
      <x:c r="V49" s="17"/>
      <x:c r="W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22" t="n"/>
      <x:c r="N50" s="17"/>
      <x:c r="O50" s="17"/>
      <x:c r="P50" s="18"/>
      <x:c r="Q50" s="18"/>
      <x:c r="R50" s="17"/>
      <x:c r="S50" s="17"/>
      <x:c r="T50" s="17"/>
      <x:c r="U50" s="17"/>
      <x:c r="V50" s="17"/>
      <x:c r="W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22" t="n"/>
      <x:c r="N51" s="17"/>
      <x:c r="O51" s="17"/>
      <x:c r="P51" s="18"/>
      <x:c r="Q51" s="18"/>
      <x:c r="R51" s="17"/>
      <x:c r="S51" s="17"/>
      <x:c r="T51" s="17"/>
      <x:c r="U51" s="17"/>
      <x:c r="V51" s="17"/>
      <x:c r="W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22" t="n"/>
      <x:c r="N52" s="17"/>
      <x:c r="O52" s="17"/>
      <x:c r="P52" s="18"/>
      <x:c r="Q52" s="18"/>
      <x:c r="R52" s="17"/>
      <x:c r="S52" s="17"/>
      <x:c r="T52" s="17"/>
      <x:c r="U52" s="17"/>
      <x:c r="V52" s="17"/>
      <x:c r="W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22" t="n"/>
      <x:c r="N53" s="17"/>
      <x:c r="O53" s="17"/>
      <x:c r="P53" s="18"/>
      <x:c r="Q53" s="18"/>
      <x:c r="R53" s="17"/>
      <x:c r="S53" s="17"/>
      <x:c r="T53" s="17"/>
      <x:c r="U53" s="17"/>
      <x:c r="V53" s="17"/>
      <x:c r="W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22" t="n"/>
      <x:c r="N54" s="17"/>
      <x:c r="O54" s="17"/>
      <x:c r="P54" s="18"/>
      <x:c r="Q54" s="18"/>
      <x:c r="R54" s="17"/>
      <x:c r="S54" s="17"/>
      <x:c r="T54" s="17"/>
      <x:c r="U54" s="17"/>
      <x:c r="V54" s="17"/>
      <x:c r="W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22" t="n"/>
      <x:c r="N55" s="17"/>
      <x:c r="O55" s="17"/>
      <x:c r="P55" s="18"/>
      <x:c r="Q55" s="18"/>
      <x:c r="R55" s="17"/>
      <x:c r="S55" s="17"/>
      <x:c r="T55" s="17"/>
      <x:c r="U55" s="17"/>
      <x:c r="V55" s="17"/>
      <x:c r="W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22" t="n"/>
      <x:c r="N56" s="17"/>
      <x:c r="O56" s="17"/>
      <x:c r="P56" s="18"/>
      <x:c r="Q56" s="18"/>
      <x:c r="R56" s="17"/>
      <x:c r="S56" s="17"/>
      <x:c r="T56" s="17"/>
      <x:c r="U56" s="17"/>
      <x:c r="V56" s="17"/>
      <x:c r="W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22" t="n"/>
      <x:c r="N57" s="17"/>
      <x:c r="O57" s="17"/>
      <x:c r="P57" s="18"/>
      <x:c r="Q57" s="18"/>
      <x:c r="R57" s="17"/>
      <x:c r="S57" s="17"/>
      <x:c r="T57" s="17"/>
      <x:c r="U57" s="17"/>
      <x:c r="V57" s="17"/>
      <x:c r="W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22" t="n"/>
      <x:c r="N58" s="17"/>
      <x:c r="O58" s="17"/>
      <x:c r="P58" s="18"/>
      <x:c r="Q58" s="18"/>
      <x:c r="R58" s="17"/>
      <x:c r="S58" s="17"/>
      <x:c r="T58" s="17"/>
      <x:c r="U58" s="17"/>
      <x:c r="V58" s="17"/>
      <x:c r="W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22" t="n"/>
      <x:c r="N59" s="17"/>
      <x:c r="O59" s="17"/>
      <x:c r="P59" s="18"/>
      <x:c r="Q59" s="18"/>
      <x:c r="R59" s="17"/>
      <x:c r="S59" s="17"/>
      <x:c r="T59" s="17"/>
      <x:c r="U59" s="17"/>
      <x:c r="V59" s="17"/>
      <x:c r="W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22" t="n"/>
      <x:c r="N60" s="17"/>
      <x:c r="O60" s="17"/>
      <x:c r="P60" s="18"/>
      <x:c r="Q60" s="18"/>
      <x:c r="R60" s="17"/>
      <x:c r="S60" s="17"/>
      <x:c r="T60" s="17"/>
      <x:c r="U60" s="17"/>
      <x:c r="V60" s="17"/>
      <x:c r="W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22" t="n"/>
      <x:c r="N61" s="17"/>
      <x:c r="O61" s="17"/>
      <x:c r="P61" s="18"/>
      <x:c r="Q61" s="18"/>
      <x:c r="R61" s="17"/>
      <x:c r="S61" s="17"/>
      <x:c r="T61" s="17"/>
      <x:c r="U61" s="17"/>
      <x:c r="V61" s="17"/>
      <x:c r="W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22" t="n"/>
      <x:c r="N62" s="17"/>
      <x:c r="O62" s="17"/>
      <x:c r="P62" s="18"/>
      <x:c r="Q62" s="18"/>
      <x:c r="R62" s="17"/>
      <x:c r="S62" s="17"/>
      <x:c r="T62" s="17"/>
      <x:c r="U62" s="17"/>
      <x:c r="V62" s="17"/>
      <x:c r="W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22" t="n"/>
      <x:c r="N63" s="17"/>
      <x:c r="O63" s="17"/>
      <x:c r="P63" s="18"/>
      <x:c r="Q63" s="18"/>
      <x:c r="R63" s="17"/>
      <x:c r="S63" s="17"/>
      <x:c r="T63" s="17"/>
      <x:c r="U63" s="17"/>
      <x:c r="V63" s="17"/>
      <x:c r="W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22" t="n"/>
      <x:c r="N64" s="17"/>
      <x:c r="O64" s="17"/>
      <x:c r="P64" s="18"/>
      <x:c r="Q64" s="18"/>
      <x:c r="R64" s="17"/>
      <x:c r="S64" s="17"/>
      <x:c r="T64" s="17"/>
      <x:c r="U64" s="17"/>
      <x:c r="V64" s="17"/>
      <x:c r="W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22" t="n"/>
      <x:c r="N65" s="17"/>
      <x:c r="O65" s="17"/>
      <x:c r="P65" s="18"/>
      <x:c r="Q65" s="18"/>
      <x:c r="R65" s="17"/>
      <x:c r="S65" s="17"/>
      <x:c r="T65" s="17"/>
      <x:c r="U65" s="17"/>
      <x:c r="V65" s="17"/>
      <x:c r="W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22" t="n"/>
      <x:c r="N66" s="17"/>
      <x:c r="O66" s="17"/>
      <x:c r="P66" s="18"/>
      <x:c r="Q66" s="18"/>
      <x:c r="R66" s="17"/>
      <x:c r="S66" s="17"/>
      <x:c r="T66" s="17"/>
      <x:c r="U66" s="17"/>
      <x:c r="V66" s="17"/>
      <x:c r="W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22" t="n"/>
      <x:c r="N67" s="17"/>
      <x:c r="O67" s="17"/>
      <x:c r="P67" s="18"/>
      <x:c r="Q67" s="18"/>
      <x:c r="R67" s="17"/>
      <x:c r="S67" s="17"/>
      <x:c r="T67" s="17"/>
      <x:c r="U67" s="17"/>
      <x:c r="V67" s="17"/>
      <x:c r="W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22" t="n"/>
      <x:c r="N68" s="17"/>
      <x:c r="O68" s="17"/>
      <x:c r="P68" s="18"/>
      <x:c r="Q68" s="18"/>
      <x:c r="R68" s="17"/>
      <x:c r="S68" s="17"/>
      <x:c r="T68" s="17"/>
      <x:c r="U68" s="17"/>
      <x:c r="V68" s="17"/>
      <x:c r="W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22" t="n"/>
      <x:c r="N69" s="17"/>
      <x:c r="O69" s="17"/>
      <x:c r="P69" s="18"/>
      <x:c r="Q69" s="18"/>
      <x:c r="R69" s="17"/>
      <x:c r="S69" s="17"/>
      <x:c r="T69" s="17"/>
      <x:c r="U69" s="17"/>
      <x:c r="V69" s="17"/>
      <x:c r="W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22" t="n"/>
      <x:c r="N70" s="17"/>
      <x:c r="O70" s="17"/>
      <x:c r="P70" s="18"/>
      <x:c r="Q70" s="18"/>
      <x:c r="R70" s="17"/>
      <x:c r="S70" s="17"/>
      <x:c r="T70" s="17"/>
      <x:c r="U70" s="17"/>
      <x:c r="V70" s="17"/>
      <x:c r="W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22" t="n"/>
      <x:c r="N71" s="17"/>
      <x:c r="O71" s="17"/>
      <x:c r="P71" s="18"/>
      <x:c r="Q71" s="18"/>
      <x:c r="R71" s="17"/>
      <x:c r="S71" s="17"/>
      <x:c r="T71" s="17"/>
      <x:c r="U71" s="17"/>
      <x:c r="V71" s="17"/>
      <x:c r="W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22" t="n"/>
      <x:c r="N72" s="17"/>
      <x:c r="O72" s="17"/>
      <x:c r="P72" s="18"/>
      <x:c r="Q72" s="18"/>
      <x:c r="R72" s="17"/>
      <x:c r="S72" s="17"/>
      <x:c r="T72" s="17"/>
      <x:c r="U72" s="17"/>
      <x:c r="V72" s="17"/>
      <x:c r="W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22" t="n"/>
      <x:c r="N73" s="17"/>
      <x:c r="O73" s="17"/>
      <x:c r="P73" s="18"/>
      <x:c r="Q73" s="18"/>
      <x:c r="R73" s="17"/>
      <x:c r="S73" s="17"/>
      <x:c r="T73" s="17"/>
      <x:c r="U73" s="17"/>
      <x:c r="V73" s="17"/>
      <x:c r="W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22" t="n"/>
      <x:c r="N74" s="17"/>
      <x:c r="O74" s="17"/>
      <x:c r="P74" s="18"/>
      <x:c r="Q74" s="18"/>
      <x:c r="R74" s="17"/>
      <x:c r="S74" s="17"/>
      <x:c r="T74" s="17"/>
      <x:c r="U74" s="17"/>
      <x:c r="V74" s="17"/>
      <x:c r="W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22" t="n"/>
      <x:c r="N75" s="17"/>
      <x:c r="O75" s="17"/>
      <x:c r="P75" s="18"/>
      <x:c r="Q75" s="18"/>
      <x:c r="R75" s="17"/>
      <x:c r="S75" s="17"/>
      <x:c r="T75" s="17"/>
      <x:c r="U75" s="17"/>
      <x:c r="V75" s="17"/>
      <x:c r="W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22" t="n"/>
      <x:c r="N76" s="17"/>
      <x:c r="O76" s="17"/>
      <x:c r="P76" s="18"/>
      <x:c r="Q76" s="18"/>
      <x:c r="R76" s="17"/>
      <x:c r="S76" s="17"/>
      <x:c r="T76" s="17"/>
      <x:c r="U76" s="17"/>
      <x:c r="V76" s="17"/>
      <x:c r="W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22" t="n"/>
      <x:c r="N77" s="17"/>
      <x:c r="O77" s="17"/>
      <x:c r="P77" s="18"/>
      <x:c r="Q77" s="18"/>
      <x:c r="R77" s="17"/>
      <x:c r="S77" s="17"/>
      <x:c r="T77" s="17"/>
      <x:c r="U77" s="17"/>
      <x:c r="V77" s="17"/>
      <x:c r="W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22" t="n"/>
      <x:c r="N78" s="17"/>
      <x:c r="O78" s="17"/>
      <x:c r="P78" s="18"/>
      <x:c r="Q78" s="18"/>
      <x:c r="R78" s="17"/>
      <x:c r="S78" s="17"/>
      <x:c r="T78" s="17"/>
      <x:c r="U78" s="17"/>
      <x:c r="V78" s="17"/>
      <x:c r="W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22" t="n"/>
      <x:c r="N79" s="17"/>
      <x:c r="O79" s="17"/>
      <x:c r="P79" s="18"/>
      <x:c r="Q79" s="18"/>
      <x:c r="R79" s="17"/>
      <x:c r="S79" s="17"/>
      <x:c r="T79" s="17"/>
      <x:c r="U79" s="17"/>
      <x:c r="V79" s="17"/>
      <x:c r="W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22" t="n"/>
      <x:c r="N80" s="17"/>
      <x:c r="O80" s="17"/>
      <x:c r="P80" s="18"/>
      <x:c r="Q80" s="18"/>
      <x:c r="R80" s="17"/>
      <x:c r="S80" s="17"/>
      <x:c r="T80" s="17"/>
      <x:c r="U80" s="17"/>
      <x:c r="V80" s="17"/>
      <x:c r="W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22" t="n"/>
      <x:c r="N81" s="17"/>
      <x:c r="O81" s="17"/>
      <x:c r="P81" s="18"/>
      <x:c r="Q81" s="18"/>
      <x:c r="R81" s="17"/>
      <x:c r="S81" s="17"/>
      <x:c r="T81" s="17"/>
      <x:c r="U81" s="17"/>
      <x:c r="V81" s="17"/>
      <x:c r="W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22" t="n"/>
      <x:c r="N82" s="17"/>
      <x:c r="O82" s="17"/>
      <x:c r="P82" s="18"/>
      <x:c r="Q82" s="18"/>
      <x:c r="R82" s="17"/>
      <x:c r="S82" s="17"/>
      <x:c r="T82" s="17"/>
      <x:c r="U82" s="17"/>
      <x:c r="V82" s="17"/>
      <x:c r="W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22" t="n"/>
      <x:c r="N83" s="17"/>
      <x:c r="O83" s="17"/>
      <x:c r="P83" s="18"/>
      <x:c r="Q83" s="18"/>
      <x:c r="R83" s="17"/>
      <x:c r="S83" s="17"/>
      <x:c r="T83" s="17"/>
      <x:c r="U83" s="17"/>
      <x:c r="V83" s="17"/>
      <x:c r="W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22" t="n"/>
      <x:c r="N84" s="17"/>
      <x:c r="O84" s="17"/>
      <x:c r="P84" s="18"/>
      <x:c r="Q84" s="18"/>
      <x:c r="R84" s="17"/>
      <x:c r="S84" s="17"/>
      <x:c r="T84" s="17"/>
      <x:c r="U84" s="17"/>
      <x:c r="V84" s="17"/>
      <x:c r="W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22" t="n"/>
      <x:c r="N85" s="17"/>
      <x:c r="O85" s="17"/>
      <x:c r="P85" s="18"/>
      <x:c r="Q85" s="18"/>
      <x:c r="R85" s="17"/>
      <x:c r="S85" s="17"/>
      <x:c r="T85" s="17"/>
      <x:c r="U85" s="17"/>
      <x:c r="V85" s="17"/>
      <x:c r="W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22" t="n"/>
      <x:c r="N86" s="17"/>
      <x:c r="O86" s="17"/>
      <x:c r="P86" s="18"/>
      <x:c r="Q86" s="18"/>
      <x:c r="R86" s="17"/>
      <x:c r="S86" s="17"/>
      <x:c r="T86" s="17"/>
      <x:c r="U86" s="17"/>
      <x:c r="V86" s="17"/>
      <x:c r="W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22" t="n"/>
      <x:c r="N87" s="17"/>
      <x:c r="O87" s="17"/>
      <x:c r="P87" s="18"/>
      <x:c r="Q87" s="18"/>
      <x:c r="R87" s="17"/>
      <x:c r="S87" s="17"/>
      <x:c r="T87" s="17"/>
      <x:c r="U87" s="17"/>
      <x:c r="V87" s="17"/>
      <x:c r="W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22" t="n"/>
      <x:c r="N88" s="17"/>
      <x:c r="O88" s="17"/>
      <x:c r="P88" s="18"/>
      <x:c r="Q88" s="18"/>
      <x:c r="R88" s="17"/>
      <x:c r="S88" s="17"/>
      <x:c r="T88" s="17"/>
      <x:c r="U88" s="17"/>
      <x:c r="V88" s="17"/>
      <x:c r="W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22" t="n"/>
      <x:c r="N89" s="17"/>
      <x:c r="O89" s="17"/>
      <x:c r="P89" s="18"/>
      <x:c r="Q89" s="18"/>
      <x:c r="R89" s="17"/>
      <x:c r="S89" s="17"/>
      <x:c r="T89" s="17"/>
      <x:c r="U89" s="17"/>
      <x:c r="V89" s="17"/>
      <x:c r="W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22" t="n"/>
      <x:c r="N90" s="17"/>
      <x:c r="O90" s="17"/>
      <x:c r="P90" s="18"/>
      <x:c r="Q90" s="18"/>
      <x:c r="R90" s="17"/>
      <x:c r="S90" s="17"/>
      <x:c r="T90" s="17"/>
      <x:c r="U90" s="17"/>
      <x:c r="V90" s="17"/>
      <x:c r="W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22" t="n"/>
      <x:c r="N91" s="17"/>
      <x:c r="O91" s="17"/>
      <x:c r="P91" s="18"/>
      <x:c r="Q91" s="18"/>
      <x:c r="R91" s="17"/>
      <x:c r="S91" s="17"/>
      <x:c r="T91" s="17"/>
      <x:c r="U91" s="17"/>
      <x:c r="V91" s="17"/>
      <x:c r="W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22" t="n"/>
      <x:c r="N92" s="17"/>
      <x:c r="O92" s="17"/>
      <x:c r="P92" s="18"/>
      <x:c r="Q92" s="18"/>
      <x:c r="R92" s="17"/>
      <x:c r="S92" s="17"/>
      <x:c r="T92" s="17"/>
      <x:c r="U92" s="17"/>
      <x:c r="V92" s="17"/>
      <x:c r="W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22" t="n"/>
      <x:c r="N93" s="17"/>
      <x:c r="O93" s="17"/>
      <x:c r="P93" s="18"/>
      <x:c r="Q93" s="18"/>
      <x:c r="R93" s="17"/>
      <x:c r="S93" s="17"/>
      <x:c r="T93" s="17"/>
      <x:c r="U93" s="17"/>
      <x:c r="V93" s="17"/>
      <x:c r="W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22" t="n"/>
      <x:c r="N94" s="17"/>
      <x:c r="O94" s="17"/>
      <x:c r="P94" s="18"/>
      <x:c r="Q94" s="18"/>
      <x:c r="R94" s="17"/>
      <x:c r="S94" s="17"/>
      <x:c r="T94" s="17"/>
      <x:c r="U94" s="17"/>
      <x:c r="V94" s="17"/>
      <x:c r="W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22" t="n"/>
      <x:c r="N95" s="17"/>
      <x:c r="O95" s="17"/>
      <x:c r="P95" s="18"/>
      <x:c r="Q95" s="18"/>
      <x:c r="R95" s="17"/>
      <x:c r="S95" s="17"/>
      <x:c r="T95" s="17"/>
      <x:c r="U95" s="17"/>
      <x:c r="V95" s="17"/>
      <x:c r="W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22" t="n"/>
      <x:c r="N96" s="17"/>
      <x:c r="O96" s="17"/>
      <x:c r="P96" s="18"/>
      <x:c r="Q96" s="18"/>
      <x:c r="R96" s="17"/>
      <x:c r="S96" s="17"/>
      <x:c r="T96" s="17"/>
      <x:c r="U96" s="17"/>
      <x:c r="V96" s="17"/>
      <x:c r="W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22" t="n"/>
      <x:c r="N97" s="17"/>
      <x:c r="O97" s="17"/>
      <x:c r="P97" s="18"/>
      <x:c r="Q97" s="18"/>
      <x:c r="R97" s="17"/>
      <x:c r="S97" s="17"/>
      <x:c r="T97" s="17"/>
      <x:c r="U97" s="17"/>
      <x:c r="V97" s="17"/>
      <x:c r="W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22" t="n"/>
      <x:c r="N98" s="17"/>
      <x:c r="O98" s="17"/>
      <x:c r="P98" s="18"/>
      <x:c r="Q98" s="18"/>
      <x:c r="R98" s="17"/>
      <x:c r="S98" s="17"/>
      <x:c r="T98" s="17"/>
      <x:c r="U98" s="17"/>
      <x:c r="V98" s="17"/>
      <x:c r="W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22" t="n"/>
      <x:c r="N99" s="17"/>
      <x:c r="O99" s="17"/>
      <x:c r="P99" s="18"/>
      <x:c r="Q99" s="18"/>
      <x:c r="R99" s="17"/>
      <x:c r="S99" s="17"/>
      <x:c r="T99" s="17"/>
      <x:c r="U99" s="17"/>
      <x:c r="V99" s="17"/>
      <x:c r="W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22" t="n"/>
      <x:c r="N100" s="17"/>
      <x:c r="O100" s="17"/>
      <x:c r="P100" s="18"/>
      <x:c r="Q100" s="18"/>
      <x:c r="R100" s="17"/>
      <x:c r="S100" s="17"/>
      <x:c r="T100" s="17"/>
      <x:c r="U100" s="17"/>
      <x:c r="V100" s="17"/>
      <x:c r="W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22" t="n"/>
      <x:c r="N101" s="17"/>
      <x:c r="O101" s="17"/>
      <x:c r="P101" s="18"/>
      <x:c r="Q101" s="18"/>
      <x:c r="R101" s="17"/>
      <x:c r="S101" s="17"/>
      <x:c r="T101" s="17"/>
      <x:c r="U101" s="17"/>
      <x:c r="V101" s="17"/>
      <x:c r="W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22" t="n"/>
      <x:c r="N102" s="17"/>
      <x:c r="O102" s="17"/>
      <x:c r="P102" s="18"/>
      <x:c r="Q102" s="18"/>
      <x:c r="R102" s="17"/>
      <x:c r="S102" s="17"/>
      <x:c r="T102" s="17"/>
      <x:c r="U102" s="17"/>
      <x:c r="V102" s="17"/>
      <x:c r="W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22" t="n"/>
      <x:c r="N103" s="17"/>
      <x:c r="O103" s="17"/>
      <x:c r="P103" s="18"/>
      <x:c r="Q103" s="18"/>
      <x:c r="R103" s="17"/>
      <x:c r="S103" s="17"/>
      <x:c r="T103" s="17"/>
      <x:c r="U103" s="17"/>
      <x:c r="V103" s="17"/>
      <x:c r="W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22" t="n"/>
      <x:c r="N104" s="17"/>
      <x:c r="O104" s="17"/>
      <x:c r="P104" s="18"/>
      <x:c r="Q104" s="18"/>
      <x:c r="R104" s="17"/>
      <x:c r="S104" s="17"/>
      <x:c r="T104" s="17"/>
      <x:c r="U104" s="17"/>
      <x:c r="V104" s="17"/>
      <x:c r="W104" s="17"/>
    </x:row>
    <x:row r="105">
      <x:c r="A105" s="17" t="n"/>
      <x:c r="B105" s="17" t="n"/>
      <x:c r="C105" s="17" t="n"/>
      <x:c r="D105" s="17" t="n"/>
      <x:c r="E105" s="17" t="n"/>
      <x:c r="F105" s="17" t="n"/>
      <x:c r="G105" s="17" t="n"/>
      <x:c r="H105" s="17" t="n"/>
      <x:c r="I105" s="17" t="n"/>
      <x:c r="J105" s="17" t="n"/>
      <x:c r="K105" s="17" t="n"/>
      <x:c r="L105" s="17" t="n"/>
      <x:c r="M105" s="22" t="n"/>
      <x:c r="N105" s="17" t="n"/>
      <x:c r="O105" s="17" t="n"/>
      <x:c r="P105" s="18" t="n"/>
      <x:c r="Q105" s="18" t="n"/>
      <x:c r="R105" s="17" t="n"/>
      <x:c r="S105" s="17" t="n"/>
      <x:c r="T105" s="17" t="n"/>
      <x:c r="U105" s="17" t="n"/>
      <x:c r="V105" s="17" t="n"/>
      <x:c r="W105" s="17" t="n"/>
    </x:row>
  </x:sheetData>
  <x:mergeCells>
    <x:mergeCell ref="A2:W2"/>
    <x:mergeCell ref="A1:W1"/>
  </x:mergeCells>
  <x:conditionalFormatting sqref="M6:M105">
    <x:cfRule type="cellIs" dxfId="4" priority="1" operator="greaterThan">
      <x:formula>3</x:formula>
    </x:cfRule>
    <x:cfRule type="cellIs" dxfId="2" priority="2" operator="equal">
      <x:formula>0</x:formula>
    </x:cfRule>
  </x:conditionalFormatting>
  <x:conditionalFormatting sqref="S6:S105">
    <x:cfRule type="expression" dxfId="2" priority="3">
      <x:formula>OR(S6="Unclear",S6="Not Provided")</x:formula>
    </x:cfRule>
  </x:conditionalFormatting>
  <x:conditionalFormatting sqref="T6:T105">
    <x:cfRule type="expression" dxfId="4" priority="4">
      <x:formula>T6="High"</x:formula>
    </x:cfRule>
  </x:conditionalFormatting>
  <x:dataValidations count="9">
    <x:dataValidation type="list" allowBlank="1" showDropDown="0" showInputMessage="0" showErrorMessage="0" errorTitle="Invalid selection" error="Select a value from the dropdown list." promptTitle="Select value" prompt="Choose from the approved list." sqref="D6:D105">
      <x:formula1>=PlayerActivityStatuses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G6:G105">
      <x:formula1>=VIPTiers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H6:H105">
      <x:formula1>=Products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I6:I105">
      <x:formula1>=Products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P6:P105">
      <x:formula1>=OwnerGroups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R6:R105">
      <x:formula1>=YesNoUnknown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S6:S105">
      <x:formula1>=SegmentClarityStatuses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T6:T105">
      <x:formula1>=OverlapRisks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V6:V105">
      <x:formula1>=RecommendedActions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7b31801fb848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5" customWidth="1"/>
    <x:col min="3" max="3" width="25" customWidth="1"/>
    <x:col min="4" max="4" width="16" customWidth="1"/>
    <x:col min="5" max="5" width="16" customWidth="1"/>
    <x:col min="6" max="6" width="25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25" customWidth="1"/>
    <x:col min="17" max="17" width="25" customWidth="1"/>
    <x:col min="18" max="18" width="25" customWidth="1"/>
  </x:cols>
  <x:sheetData>
    <x:row r="1" ht="34" customHeight="1">
      <x:c r="A1" s="1" t="inlineStr">
        <x:is>
          <x:t xml:space="preserve">WS1 Data Source Map</x:t>
        </x:is>
      </x:c>
    </x:row>
    <x:row r="2" ht="30" customHeight="1">
      <x:c r="A2" s="2" t="str">
        <x:v>Availability status updated from the downloaded WS1 source workbook and CSIR ClickHouse snapshot as of 2026-07-23.</x:v>
      </x:c>
    </x:row>
    <x:row r="3">
      <x:c r="A3" s="25" t="inlineStr">
        <x:is>
          <x:t xml:space="preserve">Total required data fields</x:t>
        </x:is>
      </x:c>
      <x:c r="C3" s="25" t="inlineStr">
        <x:is>
          <x:t xml:space="preserve">Available fields</x:t>
        </x:is>
      </x:c>
      <x:c r="E3" s="25" t="inlineStr">
        <x:is>
          <x:t xml:space="preserve">Partial fields</x:t>
        </x:is>
      </x:c>
      <x:c r="G3" s="25" t="inlineStr">
        <x:is>
          <x:t xml:space="preserve">Pending fields</x:t>
        </x:is>
      </x:c>
      <x:c r="I3" s="25" t="inlineStr">
        <x:is>
          <x:t xml:space="preserve">Unclear ownership</x:t>
        </x:is>
      </x:c>
      <x:c r="K3" s="25" t="inlineStr">
        <x:is>
          <x:t xml:space="preserve">Blocked by access</x:t>
        </x:is>
      </x:c>
      <x:c r="M3" s="25" t="inlineStr">
        <x:is>
          <x:t xml:space="preserve">Data readiness %</x:t>
        </x:is>
      </x:c>
    </x:row>
    <x:row r="4">
      <x:c r="A4" s="26" t="n">
        <x:f>COUNTA(A8:A33)</x:f>
        <x:v>26</x:v>
      </x:c>
      <x:c r="C4" s="26" t="n">
        <x:f>COUNTIF(L8:L33,"Available")</x:f>
        <x:v>4</x:v>
      </x:c>
      <x:c r="E4" s="26" t="n">
        <x:f>COUNTIF(L8:L33,"Partial")</x:f>
        <x:v>10</x:v>
      </x:c>
      <x:c r="G4" s="26" t="n">
        <x:f>COUNTIF(L8:L33,"Pending")</x:f>
        <x:v>10</x:v>
      </x:c>
      <x:c r="I4" s="26" t="n">
        <x:f>COUNTIF(D8:D33,"Unknown")</x:f>
        <x:v>0</x:v>
      </x:c>
      <x:c r="K4" s="26" t="n">
        <x:f>COUNTIF(L8:L33,"Blocked")</x:f>
        <x:v>2</x:v>
      </x:c>
      <x:c r="M4" s="28" t="n">
        <x:f>IFERROR((COUNTIF(L8:L33,"Available")+0.5*COUNTIF(L8:L33,"Partial"))/COUNTA(A8:A33),0)</x:f>
        <x:v>0.34615384615384615</x:v>
      </x:c>
    </x:row>
    <x:row r="7" ht="42" customHeight="1">
      <x:c r="A7" s="16" t="inlineStr">
        <x:is>
          <x:t xml:space="preserve">Data field</x:t>
        </x:is>
      </x:c>
      <x:c r="B7" s="16" t="inlineStr">
        <x:is>
          <x:t xml:space="preserve">Business definition</x:t>
        </x:is>
      </x:c>
      <x:c r="C7" s="16" t="inlineStr">
        <x:is>
          <x:t xml:space="preserve">Why it is needed</x:t>
        </x:is>
      </x:c>
      <x:c r="D7" s="16" t="inlineStr">
        <x:is>
          <x:t xml:space="preserve">Primary owner</x:t>
        </x:is>
      </x:c>
      <x:c r="E7" s="16" t="inlineStr">
        <x:is>
          <x:t xml:space="preserve">Supporting owner</x:t>
        </x:is>
      </x:c>
      <x:c r="F7" s="16" t="inlineStr">
        <x:is>
          <x:t xml:space="preserve">Likely system or source</x:t>
        </x:is>
      </x:c>
      <x:c r="G7" s="16" t="inlineStr">
        <x:is>
          <x:t xml:space="preserve">Available now</x:t>
        </x:is>
      </x:c>
      <x:c r="H7" s="16" t="inlineStr">
        <x:is>
          <x:t xml:space="preserve">Access available</x:t>
        </x:is>
      </x:c>
      <x:c r="I7" s="16" t="inlineStr">
        <x:is>
          <x:t xml:space="preserve">Extraction method</x:t>
        </x:is>
      </x:c>
      <x:c r="J7" s="16" t="inlineStr">
        <x:is>
          <x:t xml:space="preserve">Update frequency</x:t>
        </x:is>
      </x:c>
      <x:c r="K7" s="16" t="inlineStr">
        <x:is>
          <x:t xml:space="preserve">Data quality</x:t>
        </x:is>
      </x:c>
      <x:c r="L7" s="16" t="inlineStr">
        <x:is>
          <x:t xml:space="preserve">Current status</x:t>
        </x:is>
      </x:c>
      <x:c r="M7" s="16" t="inlineStr">
        <x:is>
          <x:t xml:space="preserve">Request date</x:t>
        </x:is>
      </x:c>
      <x:c r="N7" s="16" t="inlineStr">
        <x:is>
          <x:t xml:space="preserve">Request sent to</x:t>
        </x:is>
      </x:c>
      <x:c r="O7" s="16" t="inlineStr">
        <x:is>
          <x:t xml:space="preserve">Expected response date</x:t>
        </x:is>
      </x:c>
      <x:c r="P7" s="16" t="inlineStr">
        <x:is>
          <x:t xml:space="preserve">Blocker</x:t>
        </x:is>
      </x:c>
      <x:c r="Q7" s="16" t="inlineStr">
        <x:is>
          <x:t xml:space="preserve">Next action</x:t>
        </x:is>
      </x:c>
      <x:c r="R7" s="16" t="inlineStr">
        <x:is>
          <x:t xml:space="preserve">Notes</x:t>
        </x:is>
      </x:c>
    </x:row>
    <x:row r="8">
      <x:c r="A8" s="17" t="str">
        <x:v>Campaign objective</x:v>
      </x:c>
      <x:c r="B8" s="17" t="str">
        <x:v>The intended business or player outcome</x:v>
      </x:c>
      <x:c r="C8" s="17" t="str">
        <x:v>Needed to judge whether the campaign worked</x:v>
      </x:c>
      <x:c r="D8" s="18" t="str">
        <x:v>VIP</x:v>
      </x:c>
      <x:c r="E8" s="18" t="str">
        <x:v>Stakeholder</x:v>
      </x:c>
      <x:c r="F8" s="17" t="str">
        <x:v>Campaign brief / source-team request</x:v>
      </x:c>
      <x:c r="G8" s="17" t="str">
        <x:v>No</x:v>
      </x:c>
      <x:c r="H8" s="17" t="str">
        <x:v>Partial</x:v>
      </x:c>
      <x:c r="I8" s="17" t="str">
        <x:v>Document request</x:v>
      </x:c>
      <x:c r="J8" s="17" t="str">
        <x:v>Per campaign</x:v>
      </x:c>
      <x:c r="K8" s="17" t="str">
        <x:v>Unknown</x:v>
      </x:c>
      <x:c r="L8" s="17" t="str">
        <x:v>Pending</x:v>
      </x:c>
      <x:c r="M8" s="19"/>
      <x:c r="N8" s="18"/>
      <x:c r="O8" s="19"/>
      <x:c r="P8" s="17" t="str">
        <x:v>No objective brief was included in the downloaded data.</x:v>
      </x:c>
      <x:c r="Q8" s="17" t="str">
        <x:v>Confirm objective and success target</x:v>
      </x:c>
      <x:c r="R8" s="17" t="str">
        <x:v>Promotion executes the request; the business objective must come from the initiating team.</x:v>
      </x:c>
    </x:row>
    <x:row r="9">
      <x:c r="A9" s="17" t="str">
        <x:v>Campaign target segment</x:v>
      </x:c>
      <x:c r="B9" s="17" t="str">
        <x:v>The intended player group</x:v>
      </x:c>
      <x:c r="C9" s="17" t="str">
        <x:v>Needed to assess targeting relevance</x:v>
      </x:c>
      <x:c r="D9" s="18" t="str">
        <x:v>VIP</x:v>
      </x:c>
      <x:c r="E9" s="18" t="str">
        <x:v>CK Analytics</x:v>
      </x:c>
      <x:c r="F9" s="17" t="str">
        <x:v>Campaign brief / CRM / VM criteria</x:v>
      </x:c>
      <x:c r="G9" s="17" t="str">
        <x:v>Partial</x:v>
      </x:c>
      <x:c r="H9" s="17" t="str">
        <x:v>Partial</x:v>
      </x:c>
      <x:c r="I9" s="17" t="str">
        <x:v>Document request</x:v>
      </x:c>
      <x:c r="J9" s="17" t="str">
        <x:v>Per campaign</x:v>
      </x:c>
      <x:c r="K9" s="17" t="str">
        <x:v>Needs Review</x:v>
      </x:c>
      <x:c r="L9" s="17" t="str">
        <x:v>Partial</x:v>
      </x:c>
      <x:c r="M9" s="19"/>
      <x:c r="N9" s="18"/>
      <x:c r="O9" s="19"/>
      <x:c r="P9" s="17" t="str">
        <x:v>Only VM handling and a few value-band remarks are visible.</x:v>
      </x:c>
      <x:c r="Q9" s="17" t="str">
        <x:v>Define segment criteria</x:v>
      </x:c>
      <x:c r="R9" s="17" t="str">
        <x:v>Actual reproducible eligibility rules are still missing.</x:v>
      </x:c>
    </x:row>
    <x:row r="10">
      <x:c r="A10" s="17" t="str">
        <x:v>Campaign dates</x:v>
      </x:c>
      <x:c r="B10" s="17" t="str">
        <x:v>Planned start and end dates</x:v>
      </x:c>
      <x:c r="C10" s="17" t="str">
        <x:v>Needed to define the measurement window</x:v>
      </x:c>
      <x:c r="D10" s="18" t="str">
        <x:v>VIP</x:v>
      </x:c>
      <x:c r="E10" s="18" t="str">
        <x:v>Promotion</x:v>
      </x:c>
      <x:c r="F10" s="17" t="str">
        <x:v>Assignment log / ClickHouse execution dates</x:v>
      </x:c>
      <x:c r="G10" s="17" t="str">
        <x:v>Partial</x:v>
      </x:c>
      <x:c r="H10" s="17" t="str">
        <x:v>Yes</x:v>
      </x:c>
      <x:c r="I10" s="17" t="str">
        <x:v>Google Sheet download + ClickHouse query</x:v>
      </x:c>
      <x:c r="J10" s="17" t="str">
        <x:v>Per campaign</x:v>
      </x:c>
      <x:c r="K10" s="17" t="str">
        <x:v>Needs Review</x:v>
      </x:c>
      <x:c r="L10" s="17" t="str">
        <x:v>Partial</x:v>
      </x:c>
      <x:c r="M10" s="19"/>
      <x:c r="N10" s="18"/>
      <x:c r="O10" s="19"/>
      <x:c r="P10" s="17" t="str">
        <x:v>Only observed assignment/execution dates are available; the planned schedule was not supplied.</x:v>
      </x:c>
      <x:c r="Q10" s="17" t="str">
        <x:v>Confirm planned calendar and frequency</x:v>
      </x:c>
      <x:c r="R10" s="17" t="str">
        <x:v>Observed coverage is 2026-01-06 to 2026-07-23.</x:v>
      </x:c>
    </x:row>
    <x:row r="11">
      <x:c r="A11" s="17" t="str">
        <x:v>Campaign owner</x:v>
      </x:c>
      <x:c r="B11" s="17" t="str">
        <x:v>Accountable business owner</x:v>
      </x:c>
      <x:c r="C11" s="17" t="str">
        <x:v>Needed for decisions and clarification</x:v>
      </x:c>
      <x:c r="D11" s="18" t="str">
        <x:v>VIP</x:v>
      </x:c>
      <x:c r="E11" s="18" t="str">
        <x:v>Stakeholder</x:v>
      </x:c>
      <x:c r="F11" s="17" t="str">
        <x:v>Campaign brief / source-team confirmation</x:v>
      </x:c>
      <x:c r="G11" s="17" t="str">
        <x:v>No</x:v>
      </x:c>
      <x:c r="H11" s="17" t="str">
        <x:v>Partial</x:v>
      </x:c>
      <x:c r="I11" s="17" t="str">
        <x:v>Document request</x:v>
      </x:c>
      <x:c r="J11" s="17" t="str">
        <x:v>Per campaign</x:v>
      </x:c>
      <x:c r="K11" s="17" t="str">
        <x:v>Unknown</x:v>
      </x:c>
      <x:c r="L11" s="17" t="str">
        <x:v>Pending</x:v>
      </x:c>
      <x:c r="M11" s="19"/>
      <x:c r="N11" s="18"/>
      <x:c r="O11" s="19"/>
      <x:c r="P11" s="17" t="str">
        <x:v>The initiating source is VIP VM, but an accountable owner is not named per code.</x:v>
      </x:c>
      <x:c r="Q11" s="17" t="str">
        <x:v>Confirm campaign owner</x:v>
      </x:c>
      <x:c r="R11" s="17" t="str">
        <x:v>Do not treat Promotion as the campaign source; Promotion is the execution PIC.</x:v>
      </x:c>
    </x:row>
    <x:row r="12">
      <x:c r="A12" s="17" t="str">
        <x:v>Targeted-player count</x:v>
      </x:c>
      <x:c r="B12" s="17" t="str">
        <x:v>Players selected for communication or assignment</x:v>
      </x:c>
      <x:c r="C12" s="17" t="str">
        <x:v>Needed for targeting and reach rates</x:v>
      </x:c>
      <x:c r="D12" s="18" t="str">
        <x:v>VIP</x:v>
      </x:c>
      <x:c r="E12" s="18" t="str">
        <x:v>CK Analytics</x:v>
      </x:c>
      <x:c r="F12" s="17" t="str">
        <x:v>HandlerAssignmentLog / CRM export</x:v>
      </x:c>
      <x:c r="G12" s="17" t="str">
        <x:v>Partial</x:v>
      </x:c>
      <x:c r="H12" s="17" t="str">
        <x:v>Yes</x:v>
      </x:c>
      <x:c r="I12" s="17" t="str">
        <x:v>Google Sheet download</x:v>
      </x:c>
      <x:c r="J12" s="17" t="str">
        <x:v>Per assignment batch</x:v>
      </x:c>
      <x:c r="K12" s="17" t="str">
        <x:v>Acceptable</x:v>
      </x:c>
      <x:c r="L12" s="17" t="str">
        <x:v>Partial</x:v>
      </x:c>
      <x:c r="M12" s="19"/>
      <x:c r="N12" s="18"/>
      <x:c r="O12" s="19"/>
      <x:c r="P12" s="17" t="str">
        <x:v>179 valid assignment rows end on 2026-03-24; Apr–Jul target lists are missing.</x:v>
      </x:c>
      <x:c r="Q12" s="17" t="str">
        <x:v>Request Apr–Jul assignment export</x:v>
      </x:c>
      <x:c r="R12" s="17" t="str">
        <x:v>Jan–Mar unique assigned members are populated by promo code in Campaign Inventory.</x:v>
      </x:c>
    </x:row>
    <x:row r="13">
      <x:c r="A13" s="17" t="str">
        <x:v>Eligible-player count</x:v>
      </x:c>
      <x:c r="B13" s="17" t="str">
        <x:v>Players meeting the final mechanic rules</x:v>
      </x:c>
      <x:c r="C13" s="17" t="str">
        <x:v>Needed to separate targeting from eligibility</x:v>
      </x:c>
      <x:c r="D13" s="18" t="str">
        <x:v>VIP</x:v>
      </x:c>
      <x:c r="E13" s="18" t="str">
        <x:v>CK Analytics</x:v>
      </x:c>
      <x:c r="F13" s="17" t="str">
        <x:v>CRM / eligibility extract</x:v>
      </x:c>
      <x:c r="G13" s="17" t="str">
        <x:v>No</x:v>
      </x:c>
      <x:c r="H13" s="17" t="str">
        <x:v>Partial</x:v>
      </x:c>
      <x:c r="I13" s="17" t="str">
        <x:v>Data request</x:v>
      </x:c>
      <x:c r="J13" s="17" t="str">
        <x:v>Per campaign</x:v>
      </x:c>
      <x:c r="K13" s="17" t="str">
        <x:v>Unknown</x:v>
      </x:c>
      <x:c r="L13" s="17" t="str">
        <x:v>Pending</x:v>
      </x:c>
      <x:c r="M13" s="19"/>
      <x:c r="N13" s="18"/>
      <x:c r="O13" s="19"/>
      <x:c r="P13" s="17" t="str">
        <x:v>No eligible-population denominator was downloaded.</x:v>
      </x:c>
      <x:c r="Q13" s="17" t="str">
        <x:v>Request eligible-player extract</x:v>
      </x:c>
      <x:c r="R13" s="17" t="str">
        <x:v>Required before claim conversion can be calculated.</x:v>
      </x:c>
    </x:row>
    <x:row r="14">
      <x:c r="A14" s="17" t="str">
        <x:v>Bonus mechanic</x:v>
      </x:c>
      <x:c r="B14" s="17" t="str">
        <x:v>Reward type and calculation</x:v>
      </x:c>
      <x:c r="C14" s="17" t="str">
        <x:v>Needed to compare campaign structures</x:v>
      </x:c>
      <x:c r="D14" s="18" t="str">
        <x:v>Promotion</x:v>
      </x:c>
      <x:c r="E14" s="18" t="str">
        <x:v>VIP</x:v>
      </x:c>
      <x:c r="F14" s="17" t="str">
        <x:v>Bonus Menu / promo code</x:v>
      </x:c>
      <x:c r="G14" s="17" t="str">
        <x:v>Yes</x:v>
      </x:c>
      <x:c r="H14" s="17" t="str">
        <x:v>Yes</x:v>
      </x:c>
      <x:c r="I14" s="17" t="str">
        <x:v>Google Sheet download</x:v>
      </x:c>
      <x:c r="J14" s="17" t="str">
        <x:v>Per code</x:v>
      </x:c>
      <x:c r="K14" s="17" t="str">
        <x:v>Good</x:v>
      </x:c>
      <x:c r="L14" s="17" t="str">
        <x:v>Available</x:v>
      </x:c>
      <x:c r="M14" s="19"/>
      <x:c r="N14" s="18"/>
      <x:c r="O14" s="19"/>
      <x:c r="P14" s="17"/>
      <x:c r="Q14" s="17" t="str">
        <x:v>Continue code-level review</x:v>
      </x:c>
      <x:c r="R14" s="17" t="str">
        <x:v>26 promo codes were observed in the YTD evidence.</x:v>
      </x:c>
    </x:row>
    <x:row r="15">
      <x:c r="A15" s="17" t="str">
        <x:v>Minimum deposit</x:v>
      </x:c>
      <x:c r="B15" s="17" t="str">
        <x:v>Minimum qualifying deposit</x:v>
      </x:c>
      <x:c r="C15" s="17" t="str">
        <x:v>Needed for mechanic and cost review</x:v>
      </x:c>
      <x:c r="D15" s="18" t="str">
        <x:v>Promotion</x:v>
      </x:c>
      <x:c r="E15" s="18" t="str">
        <x:v>VIP</x:v>
      </x:c>
      <x:c r="F15" s="17" t="str">
        <x:v>Promo code / Bonus Menu</x:v>
      </x:c>
      <x:c r="G15" s="17" t="str">
        <x:v>Partial</x:v>
      </x:c>
      <x:c r="H15" s="17" t="str">
        <x:v>Yes</x:v>
      </x:c>
      <x:c r="I15" s="17" t="str">
        <x:v>Parsed from code and verified against reward name</x:v>
      </x:c>
      <x:c r="J15" s="17" t="str">
        <x:v>Per code</x:v>
      </x:c>
      <x:c r="K15" s="17" t="str">
        <x:v>Acceptable</x:v>
      </x:c>
      <x:c r="L15" s="17" t="str">
        <x:v>Partial</x:v>
      </x:c>
      <x:c r="M15" s="19"/>
      <x:c r="N15" s="18"/>
      <x:c r="O15" s="19"/>
      <x:c r="P15" s="17" t="str">
        <x:v>Variable free-credit and reload offers do not expose a minimum deposit in the downloaded source.</x:v>
      </x:c>
      <x:c r="Q15" s="17" t="str">
        <x:v>Confirm missing mechanic fields</x:v>
      </x:c>
      <x:c r="R15" s="17" t="str">
        <x:v>Exact values are populated where encoded in DEP###_GET### codes.</x:v>
      </x:c>
    </x:row>
    <x:row r="16">
      <x:c r="A16" s="17" t="str">
        <x:v>Maximum bonus cap</x:v>
      </x:c>
      <x:c r="B16" s="17" t="str">
        <x:v>Maximum reward per player</x:v>
      </x:c>
      <x:c r="C16" s="17" t="str">
        <x:v>Needed for cap and cost exposure review</x:v>
      </x:c>
      <x:c r="D16" s="18" t="str">
        <x:v>Promotion</x:v>
      </x:c>
      <x:c r="E16" s="18" t="str">
        <x:v>Finance</x:v>
      </x:c>
      <x:c r="F16" s="17" t="str">
        <x:v>Promo code / Bonus Menu</x:v>
      </x:c>
      <x:c r="G16" s="17" t="str">
        <x:v>Partial</x:v>
      </x:c>
      <x:c r="H16" s="17" t="str">
        <x:v>Yes</x:v>
      </x:c>
      <x:c r="I16" s="17" t="str">
        <x:v>Parsed from code and verified against reward name</x:v>
      </x:c>
      <x:c r="J16" s="17" t="str">
        <x:v>Per code</x:v>
      </x:c>
      <x:c r="K16" s="17" t="str">
        <x:v>Acceptable</x:v>
      </x:c>
      <x:c r="L16" s="17" t="str">
        <x:v>Partial</x:v>
      </x:c>
      <x:c r="M16" s="19"/>
      <x:c r="N16" s="18"/>
      <x:c r="O16" s="19"/>
      <x:c r="P16" s="17" t="str">
        <x:v>Variable free-credit amounts and the reload cap are not documented.</x:v>
      </x:c>
      <x:c r="Q16" s="17" t="str">
        <x:v>Run promo cap audit</x:v>
      </x:c>
      <x:c r="R16" s="17" t="str">
        <x:v>Fixed GET amounts are recorded as the code-level cap.</x:v>
      </x:c>
    </x:row>
    <x:row r="17">
      <x:c r="A17" s="17" t="str">
        <x:v>Turnover requirement</x:v>
      </x:c>
      <x:c r="B17" s="17" t="str">
        <x:v>Wagering requirement</x:v>
      </x:c>
      <x:c r="C17" s="17" t="str">
        <x:v>Needed for mechanic and player-value review</x:v>
      </x:c>
      <x:c r="D17" s="18" t="str">
        <x:v>Promotion</x:v>
      </x:c>
      <x:c r="E17" s="18" t="str">
        <x:v>VIP</x:v>
      </x:c>
      <x:c r="F17" s="17" t="str">
        <x:v>Promo code / reward name</x:v>
      </x:c>
      <x:c r="G17" s="17" t="str">
        <x:v>Yes</x:v>
      </x:c>
      <x:c r="H17" s="17" t="str">
        <x:v>Yes</x:v>
      </x:c>
      <x:c r="I17" s="17" t="str">
        <x:v>Parsed from code and reward name</x:v>
      </x:c>
      <x:c r="J17" s="17" t="str">
        <x:v>Per code</x:v>
      </x:c>
      <x:c r="K17" s="17" t="str">
        <x:v>Good</x:v>
      </x:c>
      <x:c r="L17" s="17" t="str">
        <x:v>Available</x:v>
      </x:c>
      <x:c r="M17" s="19"/>
      <x:c r="N17" s="18"/>
      <x:c r="O17" s="19"/>
      <x:c r="P17" s="17"/>
      <x:c r="Q17" s="17" t="str">
        <x:v>Continue mechanic review</x:v>
      </x:c>
      <x:c r="R17" s="17" t="str">
        <x:v>1x, 2x, 3x, 5x and 8x variants were observed.</x:v>
      </x:c>
    </x:row>
    <x:row r="18">
      <x:c r="A18" s="17" t="str">
        <x:v>Campaign budget</x:v>
      </x:c>
      <x:c r="B18" s="17" t="str">
        <x:v>Approved total campaign budget</x:v>
      </x:c>
      <x:c r="C18" s="17" t="str">
        <x:v>Needed for cost governance</x:v>
      </x:c>
      <x:c r="D18" s="18" t="str">
        <x:v>Management</x:v>
      </x:c>
      <x:c r="E18" s="18" t="str">
        <x:v>Finance</x:v>
      </x:c>
      <x:c r="F18" s="17" t="str">
        <x:v>Approval record</x:v>
      </x:c>
      <x:c r="G18" s="17" t="str">
        <x:v>No</x:v>
      </x:c>
      <x:c r="H18" s="17" t="str">
        <x:v>Partial</x:v>
      </x:c>
      <x:c r="I18" s="17" t="str">
        <x:v>Document request</x:v>
      </x:c>
      <x:c r="J18" s="17" t="str">
        <x:v>Per campaign</x:v>
      </x:c>
      <x:c r="K18" s="17" t="str">
        <x:v>Unknown</x:v>
      </x:c>
      <x:c r="L18" s="17" t="str">
        <x:v>Pending</x:v>
      </x:c>
      <x:c r="M18" s="19"/>
      <x:c r="N18" s="18"/>
      <x:c r="O18" s="19"/>
      <x:c r="P18" s="17" t="str">
        <x:v>No approved campaign budget was included.</x:v>
      </x:c>
      <x:c r="Q18" s="17" t="str">
        <x:v>Confirm budget owner and approval source</x:v>
      </x:c>
      <x:c r="R18" s="17" t="str">
        <x:v>Bonus cost is available; approved budget is not.</x:v>
      </x:c>
    </x:row>
    <x:row r="19">
      <x:c r="A19" s="17" t="str">
        <x:v>Promo cost</x:v>
      </x:c>
      <x:c r="B19" s="17" t="str">
        <x:v>Actual approved bonus cost</x:v>
      </x:c>
      <x:c r="C19" s="17" t="str">
        <x:v>Needed for later efficiency analysis</x:v>
      </x:c>
      <x:c r="D19" s="18" t="str">
        <x:v>CK Analytics</x:v>
      </x:c>
      <x:c r="E19" s="18" t="str">
        <x:v>Finance</x:v>
      </x:c>
      <x:c r="F19" s="17" t="str">
        <x:v>CSIR ClickHouse bonus extract</x:v>
      </x:c>
      <x:c r="G19" s="17" t="str">
        <x:v>Yes</x:v>
      </x:c>
      <x:c r="H19" s="17" t="str">
        <x:v>Yes</x:v>
      </x:c>
      <x:c r="I19" s="17" t="str">
        <x:v>ClickHouse query</x:v>
      </x:c>
      <x:c r="J19" s="17" t="str">
        <x:v>Daily snapshot</x:v>
      </x:c>
      <x:c r="K19" s="17" t="str">
        <x:v>Good</x:v>
      </x:c>
      <x:c r="L19" s="17" t="str">
        <x:v>Available</x:v>
      </x:c>
      <x:c r="M19" s="19"/>
      <x:c r="N19" s="18"/>
      <x:c r="O19" s="19"/>
      <x:c r="P19" s="17"/>
      <x:c r="Q19" s="17" t="str">
        <x:v>Continue controlled cost review</x:v>
      </x:c>
      <x:c r="R19" s="17" t="str">
        <x:v>Apr–Jul approved bonus executions total MYR 657,328.</x:v>
      </x:c>
    </x:row>
    <x:row r="20">
      <x:c r="A20" s="17" t="str">
        <x:v>Total claims</x:v>
      </x:c>
      <x:c r="B20" s="17" t="str">
        <x:v>Number of claimed or approved bonus executions</x:v>
      </x:c>
      <x:c r="C20" s="17" t="str">
        <x:v>Needed for campaign response measurement</x:v>
      </x:c>
      <x:c r="D20" s="18" t="str">
        <x:v>CK Analytics</x:v>
      </x:c>
      <x:c r="E20" s="18" t="str">
        <x:v>Promotion</x:v>
      </x:c>
      <x:c r="F20" s="17" t="str">
        <x:v>Assignment claim match + ClickHouse execution extract</x:v>
      </x:c>
      <x:c r="G20" s="17" t="str">
        <x:v>Partial</x:v>
      </x:c>
      <x:c r="H20" s="17" t="str">
        <x:v>Yes</x:v>
      </x:c>
      <x:c r="I20" s="17" t="str">
        <x:v>ClickHouse query</x:v>
      </x:c>
      <x:c r="J20" s="17" t="str">
        <x:v>Daily snapshot</x:v>
      </x:c>
      <x:c r="K20" s="17" t="str">
        <x:v>Needs Review</x:v>
      </x:c>
      <x:c r="L20" s="17" t="str">
        <x:v>Partial</x:v>
      </x:c>
      <x:c r="M20" s="19"/>
      <x:c r="N20" s="18"/>
      <x:c r="O20" s="19"/>
      <x:c r="P20" s="17" t="str">
        <x:v>Jan–Mar assignments and Apr–Jul executions are separate windows.</x:v>
      </x:c>
      <x:c r="Q20" s="17" t="str">
        <x:v>Request a continuous assignment-to-claim dataset</x:v>
      </x:c>
      <x:c r="R20" s="17" t="str">
        <x:v>Apr–Jul execution count is available, but the assignment denominator is missing.</x:v>
      </x:c>
    </x:row>
    <x:row r="21">
      <x:c r="A21" s="17" t="str">
        <x:v>Unique claimants</x:v>
      </x:c>
      <x:c r="B21" s="17" t="str">
        <x:v>Distinct members with an approved bonus execution</x:v>
      </x:c>
      <x:c r="C21" s="17" t="str">
        <x:v>Needed to avoid duplicate claim counts</x:v>
      </x:c>
      <x:c r="D21" s="18" t="str">
        <x:v>CK Analytics</x:v>
      </x:c>
      <x:c r="E21" s="18" t="str">
        <x:v>Promotion</x:v>
      </x:c>
      <x:c r="F21" s="17" t="str">
        <x:v>CSIR ClickHouse bonus extract</x:v>
      </x:c>
      <x:c r="G21" s="17" t="str">
        <x:v>Yes</x:v>
      </x:c>
      <x:c r="H21" s="17" t="str">
        <x:v>Yes</x:v>
      </x:c>
      <x:c r="I21" s="17" t="str">
        <x:v>ClickHouse query</x:v>
      </x:c>
      <x:c r="J21" s="17" t="str">
        <x:v>Daily snapshot</x:v>
      </x:c>
      <x:c r="K21" s="17" t="str">
        <x:v>Good</x:v>
      </x:c>
      <x:c r="L21" s="17" t="str">
        <x:v>Available</x:v>
      </x:c>
      <x:c r="M21" s="19"/>
      <x:c r="N21" s="18"/>
      <x:c r="O21" s="19"/>
      <x:c r="P21" s="17"/>
      <x:c r="Q21" s="17" t="str">
        <x:v>Continue member-level monitoring</x:v>
      </x:c>
      <x:c r="R21" s="17" t="str">
        <x:v>Apr–Jul contains 592 unique members across 1,439 executions.</x:v>
      </x:c>
    </x:row>
    <x:row r="22">
      <x:c r="A22" s="17" t="str">
        <x:v>Deposit amount</x:v>
      </x:c>
      <x:c r="B22" s="17" t="str">
        <x:v>Deposits after assignment or execution in the agreed window</x:v>
      </x:c>
      <x:c r="C22" s="17" t="str">
        <x:v>Needed for directional response analysis</x:v>
      </x:c>
      <x:c r="D22" s="18" t="str">
        <x:v>CK Analytics</x:v>
      </x:c>
      <x:c r="E22" s="18" t="str">
        <x:v>Finance</x:v>
      </x:c>
      <x:c r="F22" s="17" t="str">
        <x:v>CSIR ClickHouse deposit extract</x:v>
      </x:c>
      <x:c r="G22" s="17" t="str">
        <x:v>Yes</x:v>
      </x:c>
      <x:c r="H22" s="17" t="str">
        <x:v>Yes</x:v>
      </x:c>
      <x:c r="I22" s="17" t="str">
        <x:v>ClickHouse query</x:v>
      </x:c>
      <x:c r="J22" s="17" t="str">
        <x:v>Daily snapshot</x:v>
      </x:c>
      <x:c r="K22" s="17" t="str">
        <x:v>Needs Review</x:v>
      </x:c>
      <x:c r="L22" s="17" t="str">
        <x:v>Partial</x:v>
      </x:c>
      <x:c r="M22" s="19"/>
      <x:c r="N22" s="18"/>
      <x:c r="O22" s="19"/>
      <x:c r="P22" s="17" t="str">
        <x:v>Post-offer deposits are available, but causal attribution is not validated.</x:v>
      </x:c>
      <x:c r="Q22" s="17" t="str">
        <x:v>Confirm measurement window and control logic</x:v>
      </x:c>
      <x:c r="R22" s="17" t="str">
        <x:v>7-day and 14-day deposit windows are available.</x:v>
      </x:c>
    </x:row>
    <x:row r="23">
      <x:c r="A23" s="17" t="str">
        <x:v>NGR</x:v>
      </x:c>
      <x:c r="B23" s="17" t="str">
        <x:v>Net gaming revenue</x:v>
      </x:c>
      <x:c r="C23" s="17" t="str">
        <x:v>Needed only for validated future profitability analysis</x:v>
      </x:c>
      <x:c r="D23" s="18" t="str">
        <x:v>CK Analytics</x:v>
      </x:c>
      <x:c r="E23" s="18" t="str">
        <x:v>Finance</x:v>
      </x:c>
      <x:c r="F23" s="17" t="str">
        <x:v>CSIR ClickHouse daily snapshot</x:v>
      </x:c>
      <x:c r="G23" s="17" t="str">
        <x:v>Partial</x:v>
      </x:c>
      <x:c r="H23" s="17" t="str">
        <x:v>Yes</x:v>
      </x:c>
      <x:c r="I23" s="17" t="str">
        <x:v>ClickHouse query</x:v>
      </x:c>
      <x:c r="J23" s="17" t="str">
        <x:v>Daily snapshot</x:v>
      </x:c>
      <x:c r="K23" s="17" t="str">
        <x:v>Needs Review</x:v>
      </x:c>
      <x:c r="L23" s="17" t="str">
        <x:v>Blocked</x:v>
      </x:c>
      <x:c r="M23" s="19"/>
      <x:c r="N23" s="18"/>
      <x:c r="O23" s="19"/>
      <x:c r="P23" s="17" t="str">
        <x:v>Promo attribution model is not validated.</x:v>
      </x:c>
      <x:c r="Q23" s="17" t="str">
        <x:v>Validate attribution before reporting NGR</x:v>
      </x:c>
      <x:c r="R23" s="17" t="str">
        <x:v>NGR is deliberately excluded from Campaign Inventory results.</x:v>
      </x:c>
    </x:row>
    <x:row r="24">
      <x:c r="A24" s="17" t="str">
        <x:v>GGR</x:v>
      </x:c>
      <x:c r="B24" s="17" t="str">
        <x:v>Gross gaming revenue</x:v>
      </x:c>
      <x:c r="C24" s="17" t="str">
        <x:v>Needed for future revenue context</x:v>
      </x:c>
      <x:c r="D24" s="18" t="str">
        <x:v>CK Analytics</x:v>
      </x:c>
      <x:c r="E24" s="18" t="str">
        <x:v>Finance</x:v>
      </x:c>
      <x:c r="F24" s="17" t="str">
        <x:v>CSIR ClickHouse daily snapshot</x:v>
      </x:c>
      <x:c r="G24" s="17" t="str">
        <x:v>No</x:v>
      </x:c>
      <x:c r="H24" s="17" t="str">
        <x:v>Yes</x:v>
      </x:c>
      <x:c r="I24" s="17" t="str">
        <x:v>ClickHouse query</x:v>
      </x:c>
      <x:c r="J24" s="17" t="str">
        <x:v>Daily snapshot</x:v>
      </x:c>
      <x:c r="K24" s="17" t="str">
        <x:v>Unknown</x:v>
      </x:c>
      <x:c r="L24" s="17" t="str">
        <x:v>Pending</x:v>
      </x:c>
      <x:c r="M24" s="19"/>
      <x:c r="N24" s="18"/>
      <x:c r="O24" s="19"/>
      <x:c r="P24" s="17" t="str">
        <x:v>GGR was not included in the downloaded discovery extract.</x:v>
      </x:c>
      <x:c r="Q24" s="17" t="str">
        <x:v>Request only if the future analysis requires it</x:v>
      </x:c>
      <x:c r="R24" s="17" t="str">
        <x:v>Not needed to begin campaign discovery.</x:v>
      </x:c>
    </x:row>
    <x:row r="25">
      <x:c r="A25" s="17" t="str">
        <x:v>Reactivated players</x:v>
      </x:c>
      <x:c r="B25" s="17" t="str">
        <x:v>Previously inactive players returning under an agreed definition</x:v>
      </x:c>
      <x:c r="C25" s="17" t="str">
        <x:v>Needed for reactivation measurement</x:v>
      </x:c>
      <x:c r="D25" s="18" t="str">
        <x:v>CK Analytics</x:v>
      </x:c>
      <x:c r="E25" s="18" t="str">
        <x:v>VIP</x:v>
      </x:c>
      <x:c r="F25" s="17" t="str">
        <x:v>CSIR ClickHouse deposit activity</x:v>
      </x:c>
      <x:c r="G25" s="17" t="str">
        <x:v>Partial</x:v>
      </x:c>
      <x:c r="H25" s="17" t="str">
        <x:v>Yes</x:v>
      </x:c>
      <x:c r="I25" s="17" t="str">
        <x:v>ClickHouse query</x:v>
      </x:c>
      <x:c r="J25" s="17" t="str">
        <x:v>Per campaign</x:v>
      </x:c>
      <x:c r="K25" s="17" t="str">
        <x:v>Needs Review</x:v>
      </x:c>
      <x:c r="L25" s="17" t="str">
        <x:v>Blocked</x:v>
      </x:c>
      <x:c r="M25" s="19"/>
      <x:c r="N25" s="18"/>
      <x:c r="O25" s="19"/>
      <x:c r="P25" s="17" t="str">
        <x:v>The WS1 churn/reactivation definition requires business validation.</x:v>
      </x:c>
      <x:c r="Q25" s="17" t="str">
        <x:v>Validate inactivity window and return event</x:v>
      </x:c>
      <x:c r="R25" s="17" t="str">
        <x:v>Prior-deposit and post-offer deposit indicators exist, but the rule is not final.</x:v>
      </x:c>
    </x:row>
    <x:row r="26">
      <x:c r="A26" s="17" t="str">
        <x:v>Cross-product converted players</x:v>
      </x:c>
      <x:c r="B26" s="17" t="str">
        <x:v>Players adopting the target product</x:v>
      </x:c>
      <x:c r="C26" s="17" t="str">
        <x:v>Needed for cross-product measurement</x:v>
      </x:c>
      <x:c r="D26" s="18" t="str">
        <x:v>CK Analytics</x:v>
      </x:c>
      <x:c r="E26" s="18" t="str">
        <x:v>Sales</x:v>
      </x:c>
      <x:c r="F26" s="17" t="str">
        <x:v>Product activity data</x:v>
      </x:c>
      <x:c r="G26" s="17" t="str">
        <x:v>No</x:v>
      </x:c>
      <x:c r="H26" s="17" t="str">
        <x:v>Partial</x:v>
      </x:c>
      <x:c r="I26" s="17" t="str">
        <x:v>Data request</x:v>
      </x:c>
      <x:c r="J26" s="17" t="str">
        <x:v>Per campaign</x:v>
      </x:c>
      <x:c r="K26" s="17" t="str">
        <x:v>Unknown</x:v>
      </x:c>
      <x:c r="L26" s="17" t="str">
        <x:v>Pending</x:v>
      </x:c>
      <x:c r="M26" s="19"/>
      <x:c r="N26" s="18"/>
      <x:c r="O26" s="19"/>
      <x:c r="P26" s="17" t="str">
        <x:v>No source-product or target-product activity was downloaded.</x:v>
      </x:c>
      <x:c r="Q26" s="17" t="str">
        <x:v>Define cross-product event and request extract</x:v>
      </x:c>
      <x:c r="R26" s="17" t="str">
        <x:v>Keep this blank until product attribution is defined.</x:v>
      </x:c>
    </x:row>
    <x:row r="27">
      <x:c r="A27" s="17" t="str">
        <x:v>Repeat deposit behaviour</x:v>
      </x:c>
      <x:c r="B27" s="17" t="str">
        <x:v>Deposits after the initial campaign action</x:v>
      </x:c>
      <x:c r="C27" s="17" t="str">
        <x:v>Needed for retention context</x:v>
      </x:c>
      <x:c r="D27" s="18" t="str">
        <x:v>CK Analytics</x:v>
      </x:c>
      <x:c r="E27" s="18" t="str">
        <x:v>VIP</x:v>
      </x:c>
      <x:c r="F27" s="17" t="str">
        <x:v>CSIR ClickHouse deposit extract</x:v>
      </x:c>
      <x:c r="G27" s="17" t="str">
        <x:v>Partial</x:v>
      </x:c>
      <x:c r="H27" s="17" t="str">
        <x:v>Yes</x:v>
      </x:c>
      <x:c r="I27" s="17" t="str">
        <x:v>ClickHouse query</x:v>
      </x:c>
      <x:c r="J27" s="17" t="str">
        <x:v>Per campaign</x:v>
      </x:c>
      <x:c r="K27" s="17" t="str">
        <x:v>Needs Review</x:v>
      </x:c>
      <x:c r="L27" s="17" t="str">
        <x:v>Partial</x:v>
      </x:c>
      <x:c r="M27" s="19"/>
      <x:c r="N27" s="18"/>
      <x:c r="O27" s="19"/>
      <x:c r="P27" s="17" t="str">
        <x:v>Amount windows exist, but repeat-deposit event counts were not extracted.</x:v>
      </x:c>
      <x:c r="Q27" s="17" t="str">
        <x:v>Add repeat-deposit count after definitions are agreed</x:v>
      </x:c>
      <x:c r="R27" s="17" t="str">
        <x:v>7-day and 14-day deposit amounts are available.</x:v>
      </x:c>
    </x:row>
    <x:row r="28">
      <x:c r="A28" s="17" t="str">
        <x:v>Player activity after campaign</x:v>
      </x:c>
      <x:c r="B28" s="17" t="str">
        <x:v>Post-campaign play and activity</x:v>
      </x:c>
      <x:c r="C28" s="17" t="str">
        <x:v>Needed to understand durability</x:v>
      </x:c>
      <x:c r="D28" s="18" t="str">
        <x:v>CK Analytics</x:v>
      </x:c>
      <x:c r="E28" s="18" t="str">
        <x:v>Promotion</x:v>
      </x:c>
      <x:c r="F28" s="17" t="str">
        <x:v>CSIR ClickHouse daily snapshot</x:v>
      </x:c>
      <x:c r="G28" s="17" t="str">
        <x:v>Partial</x:v>
      </x:c>
      <x:c r="H28" s="17" t="str">
        <x:v>Yes</x:v>
      </x:c>
      <x:c r="I28" s="17" t="str">
        <x:v>ClickHouse query</x:v>
      </x:c>
      <x:c r="J28" s="17" t="str">
        <x:v>Per campaign</x:v>
      </x:c>
      <x:c r="K28" s="17" t="str">
        <x:v>Needs Review</x:v>
      </x:c>
      <x:c r="L28" s="17" t="str">
        <x:v>Partial</x:v>
      </x:c>
      <x:c r="M28" s="19"/>
      <x:c r="N28" s="18"/>
      <x:c r="O28" s="19"/>
      <x:c r="P28" s="17" t="str">
        <x:v>Only selected post-event windows were downloaded.</x:v>
      </x:c>
      <x:c r="Q28" s="17" t="str">
        <x:v>Agree the standard follow-up window</x:v>
      </x:c>
      <x:c r="R28" s="17" t="str">
        <x:v>Do not interpret as incremental impact without a control group.</x:v>
      </x:c>
    </x:row>
    <x:row r="29">
      <x:c r="A29" s="17" t="str">
        <x:v>Abuse or duplicate-claim flags</x:v>
      </x:c>
      <x:c r="B29" s="17" t="str">
        <x:v>Player or claim risk indicators</x:v>
      </x:c>
      <x:c r="C29" s="17" t="str">
        <x:v>Needed for cost and control review</x:v>
      </x:c>
      <x:c r="D29" s="18" t="str">
        <x:v>Promotion</x:v>
      </x:c>
      <x:c r="E29" s="18" t="str">
        <x:v>CK Analytics</x:v>
      </x:c>
      <x:c r="F29" s="17" t="str">
        <x:v>Risk / promo platform</x:v>
      </x:c>
      <x:c r="G29" s="17" t="str">
        <x:v>No</x:v>
      </x:c>
      <x:c r="H29" s="17" t="str">
        <x:v>Partial</x:v>
      </x:c>
      <x:c r="I29" s="17" t="str">
        <x:v>Data request</x:v>
      </x:c>
      <x:c r="J29" s="17" t="str">
        <x:v>Per campaign</x:v>
      </x:c>
      <x:c r="K29" s="17" t="str">
        <x:v>Unknown</x:v>
      </x:c>
      <x:c r="L29" s="17" t="str">
        <x:v>Pending</x:v>
      </x:c>
      <x:c r="M29" s="19"/>
      <x:c r="N29" s="18"/>
      <x:c r="O29" s="19"/>
      <x:c r="P29" s="17" t="str">
        <x:v>No abuse or eligibility exclusions were included.</x:v>
      </x:c>
      <x:c r="Q29" s="17" t="str">
        <x:v>Confirm QC and abuse-control evidence</x:v>
      </x:c>
      <x:c r="R29" s="17" t="str">
        <x:v>Required for a complete promo cap audit.</x:v>
      </x:c>
    </x:row>
    <x:row r="30">
      <x:c r="A30" s="17" t="str">
        <x:v>VM weekly campaign details</x:v>
      </x:c>
      <x:c r="B30" s="17" t="str">
        <x:v>Weekly VM code, mechanic, timing and purpose</x:v>
      </x:c>
      <x:c r="C30" s="17" t="str">
        <x:v>Needed to document recurring retention work</x:v>
      </x:c>
      <x:c r="D30" s="18" t="str">
        <x:v>VIP</x:v>
      </x:c>
      <x:c r="E30" s="18" t="str">
        <x:v>Promotion</x:v>
      </x:c>
      <x:c r="F30" s="17" t="str">
        <x:v>VM tracker / team-lead confirmation</x:v>
      </x:c>
      <x:c r="G30" s="17" t="str">
        <x:v>Partial</x:v>
      </x:c>
      <x:c r="H30" s="17" t="str">
        <x:v>Partial</x:v>
      </x:c>
      <x:c r="I30" s="17" t="str">
        <x:v>Manual confirmation</x:v>
      </x:c>
      <x:c r="J30" s="17" t="str">
        <x:v>Weekly</x:v>
      </x:c>
      <x:c r="K30" s="17" t="str">
        <x:v>Needs Review</x:v>
      </x:c>
      <x:c r="L30" s="17" t="str">
        <x:v>Partial</x:v>
      </x:c>
      <x:c r="M30" s="19" t="n">
        <x:v>46226</x:v>
      </x:c>
      <x:c r="N30" s="18" t="str">
        <x:v>Szee Szee (TSM TL); Kevin (AM TL)</x:v>
      </x:c>
      <x:c r="O30" s="19" t="n">
        <x:v>46233</x:v>
      </x:c>
      <x:c r="P30" s="17" t="str">
        <x:v>Joe and Syham share the same VM codes; replies from Szee Szee and Kevin are still pending.</x:v>
      </x:c>
      <x:c r="Q30" s="17" t="str">
        <x:v>Follow up and confirm complete code coverage</x:v>
      </x:c>
      <x:c r="R30" s="17" t="str">
        <x:v>This is the correct next discovery step.</x:v>
      </x:c>
    </x:row>
    <x:row r="31">
      <x:c r="A31" s="17" t="str">
        <x:v>Stakeholder campaign brief</x:v>
      </x:c>
      <x:c r="B31" s="17" t="str">
        <x:v>Original request, rationale and owner</x:v>
      </x:c>
      <x:c r="C31" s="17" t="str">
        <x:v>Needed to confirm campaign intent</x:v>
      </x:c>
      <x:c r="D31" s="18" t="str">
        <x:v>Stakeholder</x:v>
      </x:c>
      <x:c r="E31" s="18" t="str">
        <x:v>Promotion</x:v>
      </x:c>
      <x:c r="F31" s="17" t="str">
        <x:v>Brief / email / request form</x:v>
      </x:c>
      <x:c r="G31" s="17" t="str">
        <x:v>No</x:v>
      </x:c>
      <x:c r="H31" s="17" t="str">
        <x:v>Partial</x:v>
      </x:c>
      <x:c r="I31" s="17" t="str">
        <x:v>Document request</x:v>
      </x:c>
      <x:c r="J31" s="17" t="str">
        <x:v>Per campaign</x:v>
      </x:c>
      <x:c r="K31" s="17" t="str">
        <x:v>Unknown</x:v>
      </x:c>
      <x:c r="L31" s="17" t="str">
        <x:v>Pending</x:v>
      </x:c>
      <x:c r="M31" s="19"/>
      <x:c r="N31" s="18"/>
      <x:c r="O31" s="19"/>
      <x:c r="P31" s="17" t="str">
        <x:v>No campaign briefs were included in the download.</x:v>
      </x:c>
      <x:c r="Q31" s="17" t="str">
        <x:v>Request brief for each campaign family</x:v>
      </x:c>
      <x:c r="R31" s="17" t="str">
        <x:v>Start with the highest-cost and most frequently executed codes.</x:v>
      </x:c>
    </x:row>
    <x:row r="32">
      <x:c r="A32" s="17" t="str">
        <x:v>CRM campaign segment</x:v>
      </x:c>
      <x:c r="B32" s="17" t="str">
        <x:v>Actual CRM or handler selection logic</x:v>
      </x:c>
      <x:c r="C32" s="17" t="str">
        <x:v>Needed to reproduce target segments</x:v>
      </x:c>
      <x:c r="D32" s="18" t="str">
        <x:v>CK Analytics</x:v>
      </x:c>
      <x:c r="E32" s="18" t="str">
        <x:v>VIP</x:v>
      </x:c>
      <x:c r="F32" s="17" t="str">
        <x:v>CRM / VM selection file</x:v>
      </x:c>
      <x:c r="G32" s="17" t="str">
        <x:v>No</x:v>
      </x:c>
      <x:c r="H32" s="17" t="str">
        <x:v>Partial</x:v>
      </x:c>
      <x:c r="I32" s="17" t="str">
        <x:v>Data request</x:v>
      </x:c>
      <x:c r="J32" s="17" t="str">
        <x:v>Per campaign</x:v>
      </x:c>
      <x:c r="K32" s="17" t="str">
        <x:v>Unknown</x:v>
      </x:c>
      <x:c r="L32" s="17" t="str">
        <x:v>Pending</x:v>
      </x:c>
      <x:c r="M32" s="19"/>
      <x:c r="N32" s="18"/>
      <x:c r="O32" s="19"/>
      <x:c r="P32" s="17" t="str">
        <x:v>Only assignment rows and a few menu remarks are available.</x:v>
      </x:c>
      <x:c r="Q32" s="17" t="str">
        <x:v>Request segment logic and exclusions</x:v>
      </x:c>
      <x:c r="R32" s="17" t="str">
        <x:v>The value-band labels need a metric and lookback definition.</x:v>
      </x:c>
    </x:row>
    <x:row r="33">
      <x:c r="A33" s="17" t="str">
        <x:v>Campaign success target</x:v>
      </x:c>
      <x:c r="B33" s="17" t="str">
        <x:v>Planned performance target</x:v>
      </x:c>
      <x:c r="C33" s="17" t="str">
        <x:v>Needed to define success before launch</x:v>
      </x:c>
      <x:c r="D33" s="18" t="str">
        <x:v>VIP</x:v>
      </x:c>
      <x:c r="E33" s="18" t="str">
        <x:v>Stakeholder</x:v>
      </x:c>
      <x:c r="F33" s="17" t="str">
        <x:v>Campaign brief</x:v>
      </x:c>
      <x:c r="G33" s="17" t="str">
        <x:v>No</x:v>
      </x:c>
      <x:c r="H33" s="17" t="str">
        <x:v>Partial</x:v>
      </x:c>
      <x:c r="I33" s="17" t="str">
        <x:v>Document request</x:v>
      </x:c>
      <x:c r="J33" s="17" t="str">
        <x:v>Per campaign</x:v>
      </x:c>
      <x:c r="K33" s="17" t="str">
        <x:v>Unknown</x:v>
      </x:c>
      <x:c r="L33" s="17" t="str">
        <x:v>Pending</x:v>
      </x:c>
      <x:c r="M33" s="19"/>
      <x:c r="N33" s="18"/>
      <x:c r="O33" s="19"/>
      <x:c r="P33" s="17" t="str">
        <x:v>No planned target was included.</x:v>
      </x:c>
      <x:c r="Q33" s="17" t="str">
        <x:v>Confirm target before performance analysis</x:v>
      </x:c>
      <x:c r="R33" s="17" t="str">
        <x:v>Avoid judging campaigns only from post-event totals.</x:v>
      </x:c>
    </x:row>
    <x:row r="34">
      <x:c r="A34" s="17"/>
      <x:c r="B34" s="17"/>
      <x:c r="C34" s="17"/>
      <x:c r="D34" s="18"/>
      <x:c r="E34" s="18"/>
      <x:c r="F34" s="17"/>
      <x:c r="G34" s="17"/>
      <x:c r="H34" s="17"/>
      <x:c r="I34" s="17"/>
      <x:c r="J34" s="17"/>
      <x:c r="K34" s="17"/>
      <x:c r="L34" s="17"/>
      <x:c r="M34" s="19"/>
      <x:c r="N34" s="18"/>
      <x:c r="O34" s="19"/>
      <x:c r="P34" s="17"/>
      <x:c r="Q34" s="17"/>
      <x:c r="R34" s="17"/>
    </x:row>
    <x:row r="35">
      <x:c r="A35" s="17"/>
      <x:c r="B35" s="17"/>
      <x:c r="C35" s="17"/>
      <x:c r="D35" s="18"/>
      <x:c r="E35" s="18"/>
      <x:c r="F35" s="17"/>
      <x:c r="G35" s="17"/>
      <x:c r="H35" s="17"/>
      <x:c r="I35" s="17"/>
      <x:c r="J35" s="17"/>
      <x:c r="K35" s="17"/>
      <x:c r="L35" s="17"/>
      <x:c r="M35" s="19"/>
      <x:c r="N35" s="18"/>
      <x:c r="O35" s="19"/>
      <x:c r="P35" s="17"/>
      <x:c r="Q35" s="17"/>
      <x:c r="R35" s="17"/>
    </x:row>
    <x:row r="36">
      <x:c r="A36" s="17"/>
      <x:c r="B36" s="17"/>
      <x:c r="C36" s="17"/>
      <x:c r="D36" s="18"/>
      <x:c r="E36" s="18"/>
      <x:c r="F36" s="17"/>
      <x:c r="G36" s="17"/>
      <x:c r="H36" s="17"/>
      <x:c r="I36" s="17"/>
      <x:c r="J36" s="17"/>
      <x:c r="K36" s="17"/>
      <x:c r="L36" s="17"/>
      <x:c r="M36" s="19"/>
      <x:c r="N36" s="18"/>
      <x:c r="O36" s="19"/>
      <x:c r="P36" s="17"/>
      <x:c r="Q36" s="17"/>
      <x:c r="R36" s="17"/>
    </x:row>
    <x:row r="37">
      <x:c r="A37" s="17"/>
      <x:c r="B37" s="17"/>
      <x:c r="C37" s="17"/>
      <x:c r="D37" s="18"/>
      <x:c r="E37" s="18"/>
      <x:c r="F37" s="17"/>
      <x:c r="G37" s="17"/>
      <x:c r="H37" s="17"/>
      <x:c r="I37" s="17"/>
      <x:c r="J37" s="17"/>
      <x:c r="K37" s="17"/>
      <x:c r="L37" s="17"/>
      <x:c r="M37" s="19"/>
      <x:c r="N37" s="18"/>
      <x:c r="O37" s="19"/>
      <x:c r="P37" s="17"/>
      <x:c r="Q37" s="17"/>
      <x:c r="R37" s="17"/>
    </x:row>
    <x:row r="38">
      <x:c r="A38" s="17"/>
      <x:c r="B38" s="17"/>
      <x:c r="C38" s="17"/>
      <x:c r="D38" s="18"/>
      <x:c r="E38" s="18"/>
      <x:c r="F38" s="17"/>
      <x:c r="G38" s="17"/>
      <x:c r="H38" s="17"/>
      <x:c r="I38" s="17"/>
      <x:c r="J38" s="17"/>
      <x:c r="K38" s="17"/>
      <x:c r="L38" s="17"/>
      <x:c r="M38" s="19"/>
      <x:c r="N38" s="18"/>
      <x:c r="O38" s="19"/>
      <x:c r="P38" s="17"/>
      <x:c r="Q38" s="17"/>
      <x:c r="R38" s="17"/>
    </x:row>
    <x:row r="39">
      <x:c r="A39" s="17"/>
      <x:c r="B39" s="17"/>
      <x:c r="C39" s="17"/>
      <x:c r="D39" s="18"/>
      <x:c r="E39" s="18"/>
      <x:c r="F39" s="17"/>
      <x:c r="G39" s="17"/>
      <x:c r="H39" s="17"/>
      <x:c r="I39" s="17"/>
      <x:c r="J39" s="17"/>
      <x:c r="K39" s="17"/>
      <x:c r="L39" s="17"/>
      <x:c r="M39" s="19"/>
      <x:c r="N39" s="18"/>
      <x:c r="O39" s="19"/>
      <x:c r="P39" s="17"/>
      <x:c r="Q39" s="17"/>
      <x:c r="R39" s="17"/>
    </x:row>
    <x:row r="40">
      <x:c r="A40" s="17"/>
      <x:c r="B40" s="17"/>
      <x:c r="C40" s="17"/>
      <x:c r="D40" s="18"/>
      <x:c r="E40" s="18"/>
      <x:c r="F40" s="17"/>
      <x:c r="G40" s="17"/>
      <x:c r="H40" s="17"/>
      <x:c r="I40" s="17"/>
      <x:c r="J40" s="17"/>
      <x:c r="K40" s="17"/>
      <x:c r="L40" s="17"/>
      <x:c r="M40" s="19"/>
      <x:c r="N40" s="18"/>
      <x:c r="O40" s="19"/>
      <x:c r="P40" s="17"/>
      <x:c r="Q40" s="17"/>
      <x:c r="R40" s="17"/>
    </x:row>
    <x:row r="41">
      <x:c r="A41" s="17"/>
      <x:c r="B41" s="17"/>
      <x:c r="C41" s="17"/>
      <x:c r="D41" s="18"/>
      <x:c r="E41" s="18"/>
      <x:c r="F41" s="17"/>
      <x:c r="G41" s="17"/>
      <x:c r="H41" s="17"/>
      <x:c r="I41" s="17"/>
      <x:c r="J41" s="17"/>
      <x:c r="K41" s="17"/>
      <x:c r="L41" s="17"/>
      <x:c r="M41" s="19"/>
      <x:c r="N41" s="18"/>
      <x:c r="O41" s="19"/>
      <x:c r="P41" s="17"/>
      <x:c r="Q41" s="17"/>
      <x:c r="R41" s="17"/>
    </x:row>
    <x:row r="42">
      <x:c r="A42" s="17"/>
      <x:c r="B42" s="17"/>
      <x:c r="C42" s="17"/>
      <x:c r="D42" s="18"/>
      <x:c r="E42" s="18"/>
      <x:c r="F42" s="17"/>
      <x:c r="G42" s="17"/>
      <x:c r="H42" s="17"/>
      <x:c r="I42" s="17"/>
      <x:c r="J42" s="17"/>
      <x:c r="K42" s="17"/>
      <x:c r="L42" s="17"/>
      <x:c r="M42" s="19"/>
      <x:c r="N42" s="18"/>
      <x:c r="O42" s="19"/>
      <x:c r="P42" s="17"/>
      <x:c r="Q42" s="17"/>
      <x:c r="R42" s="17"/>
    </x:row>
    <x:row r="43">
      <x:c r="A43" s="17"/>
      <x:c r="B43" s="17"/>
      <x:c r="C43" s="17"/>
      <x:c r="D43" s="18"/>
      <x:c r="E43" s="18"/>
      <x:c r="F43" s="17"/>
      <x:c r="G43" s="17"/>
      <x:c r="H43" s="17"/>
      <x:c r="I43" s="17"/>
      <x:c r="J43" s="17"/>
      <x:c r="K43" s="17"/>
      <x:c r="L43" s="17"/>
      <x:c r="M43" s="19"/>
      <x:c r="N43" s="18"/>
      <x:c r="O43" s="19"/>
      <x:c r="P43" s="17"/>
      <x:c r="Q43" s="17"/>
      <x:c r="R43" s="17"/>
    </x:row>
    <x:row r="44">
      <x:c r="A44" s="17"/>
      <x:c r="B44" s="17"/>
      <x:c r="C44" s="17"/>
      <x:c r="D44" s="18"/>
      <x:c r="E44" s="18"/>
      <x:c r="F44" s="17"/>
      <x:c r="G44" s="17"/>
      <x:c r="H44" s="17"/>
      <x:c r="I44" s="17"/>
      <x:c r="J44" s="17"/>
      <x:c r="K44" s="17"/>
      <x:c r="L44" s="17"/>
      <x:c r="M44" s="19"/>
      <x:c r="N44" s="18"/>
      <x:c r="O44" s="19"/>
      <x:c r="P44" s="17"/>
      <x:c r="Q44" s="17"/>
      <x:c r="R44" s="17"/>
    </x:row>
    <x:row r="45">
      <x:c r="A45" s="17"/>
      <x:c r="B45" s="17"/>
      <x:c r="C45" s="17"/>
      <x:c r="D45" s="18"/>
      <x:c r="E45" s="18"/>
      <x:c r="F45" s="17"/>
      <x:c r="G45" s="17"/>
      <x:c r="H45" s="17"/>
      <x:c r="I45" s="17"/>
      <x:c r="J45" s="17"/>
      <x:c r="K45" s="17"/>
      <x:c r="L45" s="17"/>
      <x:c r="M45" s="19"/>
      <x:c r="N45" s="18"/>
      <x:c r="O45" s="19"/>
      <x:c r="P45" s="17"/>
      <x:c r="Q45" s="17"/>
      <x:c r="R45" s="17"/>
    </x:row>
    <x:row r="46">
      <x:c r="A46" s="17"/>
      <x:c r="B46" s="17"/>
      <x:c r="C46" s="17"/>
      <x:c r="D46" s="18"/>
      <x:c r="E46" s="18"/>
      <x:c r="F46" s="17"/>
      <x:c r="G46" s="17"/>
      <x:c r="H46" s="17"/>
      <x:c r="I46" s="17"/>
      <x:c r="J46" s="17"/>
      <x:c r="K46" s="17"/>
      <x:c r="L46" s="17"/>
      <x:c r="M46" s="19"/>
      <x:c r="N46" s="18"/>
      <x:c r="O46" s="19"/>
      <x:c r="P46" s="17"/>
      <x:c r="Q46" s="17"/>
      <x:c r="R46" s="17"/>
    </x:row>
    <x:row r="47">
      <x:c r="A47" s="17"/>
      <x:c r="B47" s="17"/>
      <x:c r="C47" s="17"/>
      <x:c r="D47" s="18"/>
      <x:c r="E47" s="18"/>
      <x:c r="F47" s="17"/>
      <x:c r="G47" s="17"/>
      <x:c r="H47" s="17"/>
      <x:c r="I47" s="17"/>
      <x:c r="J47" s="17"/>
      <x:c r="K47" s="17"/>
      <x:c r="L47" s="17"/>
      <x:c r="M47" s="19"/>
      <x:c r="N47" s="18"/>
      <x:c r="O47" s="19"/>
      <x:c r="P47" s="17"/>
      <x:c r="Q47" s="17"/>
      <x:c r="R47" s="17"/>
    </x:row>
    <x:row r="48">
      <x:c r="A48" s="17"/>
      <x:c r="B48" s="17"/>
      <x:c r="C48" s="17"/>
      <x:c r="D48" s="18"/>
      <x:c r="E48" s="18"/>
      <x:c r="F48" s="17"/>
      <x:c r="G48" s="17"/>
      <x:c r="H48" s="17"/>
      <x:c r="I48" s="17"/>
      <x:c r="J48" s="17"/>
      <x:c r="K48" s="17"/>
      <x:c r="L48" s="17"/>
      <x:c r="M48" s="19"/>
      <x:c r="N48" s="18"/>
      <x:c r="O48" s="19"/>
      <x:c r="P48" s="17"/>
      <x:c r="Q48" s="17"/>
      <x:c r="R48" s="17"/>
    </x:row>
    <x:row r="49">
      <x:c r="A49" s="17"/>
      <x:c r="B49" s="17"/>
      <x:c r="C49" s="17"/>
      <x:c r="D49" s="18"/>
      <x:c r="E49" s="18"/>
      <x:c r="F49" s="17"/>
      <x:c r="G49" s="17"/>
      <x:c r="H49" s="17"/>
      <x:c r="I49" s="17"/>
      <x:c r="J49" s="17"/>
      <x:c r="K49" s="17"/>
      <x:c r="L49" s="17"/>
      <x:c r="M49" s="19"/>
      <x:c r="N49" s="18"/>
      <x:c r="O49" s="19"/>
      <x:c r="P49" s="17"/>
      <x:c r="Q49" s="17"/>
      <x:c r="R49" s="17"/>
    </x:row>
    <x:row r="50">
      <x:c r="A50" s="17"/>
      <x:c r="B50" s="17"/>
      <x:c r="C50" s="17"/>
      <x:c r="D50" s="18"/>
      <x:c r="E50" s="18"/>
      <x:c r="F50" s="17"/>
      <x:c r="G50" s="17"/>
      <x:c r="H50" s="17"/>
      <x:c r="I50" s="17"/>
      <x:c r="J50" s="17"/>
      <x:c r="K50" s="17"/>
      <x:c r="L50" s="17"/>
      <x:c r="M50" s="19"/>
      <x:c r="N50" s="18"/>
      <x:c r="O50" s="19"/>
      <x:c r="P50" s="17"/>
      <x:c r="Q50" s="17"/>
      <x:c r="R50" s="17"/>
    </x:row>
    <x:row r="51">
      <x:c r="A51" s="17"/>
      <x:c r="B51" s="17"/>
      <x:c r="C51" s="17"/>
      <x:c r="D51" s="18"/>
      <x:c r="E51" s="18"/>
      <x:c r="F51" s="17"/>
      <x:c r="G51" s="17"/>
      <x:c r="H51" s="17"/>
      <x:c r="I51" s="17"/>
      <x:c r="J51" s="17"/>
      <x:c r="K51" s="17"/>
      <x:c r="L51" s="17"/>
      <x:c r="M51" s="19"/>
      <x:c r="N51" s="18"/>
      <x:c r="O51" s="19"/>
      <x:c r="P51" s="17"/>
      <x:c r="Q51" s="17"/>
      <x:c r="R51" s="17"/>
    </x:row>
    <x:row r="52">
      <x:c r="A52" s="17"/>
      <x:c r="B52" s="17"/>
      <x:c r="C52" s="17"/>
      <x:c r="D52" s="18"/>
      <x:c r="E52" s="18"/>
      <x:c r="F52" s="17"/>
      <x:c r="G52" s="17"/>
      <x:c r="H52" s="17"/>
      <x:c r="I52" s="17"/>
      <x:c r="J52" s="17"/>
      <x:c r="K52" s="17"/>
      <x:c r="L52" s="17"/>
      <x:c r="M52" s="19"/>
      <x:c r="N52" s="18"/>
      <x:c r="O52" s="19"/>
      <x:c r="P52" s="17"/>
      <x:c r="Q52" s="17"/>
      <x:c r="R52" s="17"/>
    </x:row>
    <x:row r="53">
      <x:c r="A53" s="17"/>
      <x:c r="B53" s="17"/>
      <x:c r="C53" s="17"/>
      <x:c r="D53" s="18"/>
      <x:c r="E53" s="18"/>
      <x:c r="F53" s="17"/>
      <x:c r="G53" s="17"/>
      <x:c r="H53" s="17"/>
      <x:c r="I53" s="17"/>
      <x:c r="J53" s="17"/>
      <x:c r="K53" s="17"/>
      <x:c r="L53" s="17"/>
      <x:c r="M53" s="19"/>
      <x:c r="N53" s="18"/>
      <x:c r="O53" s="19"/>
      <x:c r="P53" s="17"/>
      <x:c r="Q53" s="17"/>
      <x:c r="R53" s="17"/>
    </x:row>
    <x:row r="54">
      <x:c r="A54" s="17"/>
      <x:c r="B54" s="17"/>
      <x:c r="C54" s="17"/>
      <x:c r="D54" s="18"/>
      <x:c r="E54" s="18"/>
      <x:c r="F54" s="17"/>
      <x:c r="G54" s="17"/>
      <x:c r="H54" s="17"/>
      <x:c r="I54" s="17"/>
      <x:c r="J54" s="17"/>
      <x:c r="K54" s="17"/>
      <x:c r="L54" s="17"/>
      <x:c r="M54" s="19"/>
      <x:c r="N54" s="18"/>
      <x:c r="O54" s="19"/>
      <x:c r="P54" s="17"/>
      <x:c r="Q54" s="17"/>
      <x:c r="R54" s="17"/>
    </x:row>
    <x:row r="55">
      <x:c r="A55" s="17"/>
      <x:c r="B55" s="17"/>
      <x:c r="C55" s="17"/>
      <x:c r="D55" s="18"/>
      <x:c r="E55" s="18"/>
      <x:c r="F55" s="17"/>
      <x:c r="G55" s="17"/>
      <x:c r="H55" s="17"/>
      <x:c r="I55" s="17"/>
      <x:c r="J55" s="17"/>
      <x:c r="K55" s="17"/>
      <x:c r="L55" s="17"/>
      <x:c r="M55" s="19"/>
      <x:c r="N55" s="18"/>
      <x:c r="O55" s="19"/>
      <x:c r="P55" s="17"/>
      <x:c r="Q55" s="17"/>
      <x:c r="R55" s="17"/>
    </x:row>
    <x:row r="56">
      <x:c r="A56" s="17"/>
      <x:c r="B56" s="17"/>
      <x:c r="C56" s="17"/>
      <x:c r="D56" s="18"/>
      <x:c r="E56" s="18"/>
      <x:c r="F56" s="17"/>
      <x:c r="G56" s="17"/>
      <x:c r="H56" s="17"/>
      <x:c r="I56" s="17"/>
      <x:c r="J56" s="17"/>
      <x:c r="K56" s="17"/>
      <x:c r="L56" s="17"/>
      <x:c r="M56" s="19"/>
      <x:c r="N56" s="18"/>
      <x:c r="O56" s="19"/>
      <x:c r="P56" s="17"/>
      <x:c r="Q56" s="17"/>
      <x:c r="R56" s="17"/>
    </x:row>
    <x:row r="57">
      <x:c r="A57" s="17"/>
      <x:c r="B57" s="17"/>
      <x:c r="C57" s="17"/>
      <x:c r="D57" s="18"/>
      <x:c r="E57" s="18"/>
      <x:c r="F57" s="17"/>
      <x:c r="G57" s="17"/>
      <x:c r="H57" s="17"/>
      <x:c r="I57" s="17"/>
      <x:c r="J57" s="17"/>
      <x:c r="K57" s="17"/>
      <x:c r="L57" s="17"/>
      <x:c r="M57" s="19"/>
      <x:c r="N57" s="18"/>
      <x:c r="O57" s="19"/>
      <x:c r="P57" s="17"/>
      <x:c r="Q57" s="17"/>
      <x:c r="R57" s="17"/>
    </x:row>
    <x:row r="58">
      <x:c r="A58" s="17"/>
      <x:c r="B58" s="17"/>
      <x:c r="C58" s="17"/>
      <x:c r="D58" s="18"/>
      <x:c r="E58" s="18"/>
      <x:c r="F58" s="17"/>
      <x:c r="G58" s="17"/>
      <x:c r="H58" s="17"/>
      <x:c r="I58" s="17"/>
      <x:c r="J58" s="17"/>
      <x:c r="K58" s="17"/>
      <x:c r="L58" s="17"/>
      <x:c r="M58" s="19"/>
      <x:c r="N58" s="18"/>
      <x:c r="O58" s="19"/>
      <x:c r="P58" s="17"/>
      <x:c r="Q58" s="17"/>
      <x:c r="R58" s="17"/>
    </x:row>
    <x:row r="59">
      <x:c r="A59" s="17"/>
      <x:c r="B59" s="17"/>
      <x:c r="C59" s="17"/>
      <x:c r="D59" s="18"/>
      <x:c r="E59" s="18"/>
      <x:c r="F59" s="17"/>
      <x:c r="G59" s="17"/>
      <x:c r="H59" s="17"/>
      <x:c r="I59" s="17"/>
      <x:c r="J59" s="17"/>
      <x:c r="K59" s="17"/>
      <x:c r="L59" s="17"/>
      <x:c r="M59" s="19"/>
      <x:c r="N59" s="18"/>
      <x:c r="O59" s="19"/>
      <x:c r="P59" s="17"/>
      <x:c r="Q59" s="17"/>
      <x:c r="R59" s="17"/>
    </x:row>
    <x:row r="60">
      <x:c r="A60" s="17"/>
      <x:c r="B60" s="17"/>
      <x:c r="C60" s="17"/>
      <x:c r="D60" s="18"/>
      <x:c r="E60" s="18"/>
      <x:c r="F60" s="17"/>
      <x:c r="G60" s="17"/>
      <x:c r="H60" s="17"/>
      <x:c r="I60" s="17"/>
      <x:c r="J60" s="17"/>
      <x:c r="K60" s="17"/>
      <x:c r="L60" s="17"/>
      <x:c r="M60" s="19"/>
      <x:c r="N60" s="18"/>
      <x:c r="O60" s="19"/>
      <x:c r="P60" s="17"/>
      <x:c r="Q60" s="17"/>
      <x:c r="R60" s="17"/>
    </x:row>
    <x:row r="61">
      <x:c r="A61" s="17"/>
      <x:c r="B61" s="17"/>
      <x:c r="C61" s="17"/>
      <x:c r="D61" s="18"/>
      <x:c r="E61" s="18"/>
      <x:c r="F61" s="17"/>
      <x:c r="G61" s="17"/>
      <x:c r="H61" s="17"/>
      <x:c r="I61" s="17"/>
      <x:c r="J61" s="17"/>
      <x:c r="K61" s="17"/>
      <x:c r="L61" s="17"/>
      <x:c r="M61" s="19"/>
      <x:c r="N61" s="18"/>
      <x:c r="O61" s="19"/>
      <x:c r="P61" s="17"/>
      <x:c r="Q61" s="17"/>
      <x:c r="R61" s="17"/>
    </x:row>
    <x:row r="62">
      <x:c r="A62" s="17"/>
      <x:c r="B62" s="17"/>
      <x:c r="C62" s="17"/>
      <x:c r="D62" s="18"/>
      <x:c r="E62" s="18"/>
      <x:c r="F62" s="17"/>
      <x:c r="G62" s="17"/>
      <x:c r="H62" s="17"/>
      <x:c r="I62" s="17"/>
      <x:c r="J62" s="17"/>
      <x:c r="K62" s="17"/>
      <x:c r="L62" s="17"/>
      <x:c r="M62" s="19"/>
      <x:c r="N62" s="18"/>
      <x:c r="O62" s="19"/>
      <x:c r="P62" s="17"/>
      <x:c r="Q62" s="17"/>
      <x:c r="R62" s="17"/>
    </x:row>
    <x:row r="63">
      <x:c r="A63" s="17"/>
      <x:c r="B63" s="17"/>
      <x:c r="C63" s="17"/>
      <x:c r="D63" s="18"/>
      <x:c r="E63" s="18"/>
      <x:c r="F63" s="17"/>
      <x:c r="G63" s="17"/>
      <x:c r="H63" s="17"/>
      <x:c r="I63" s="17"/>
      <x:c r="J63" s="17"/>
      <x:c r="K63" s="17"/>
      <x:c r="L63" s="17"/>
      <x:c r="M63" s="19"/>
      <x:c r="N63" s="18"/>
      <x:c r="O63" s="19"/>
      <x:c r="P63" s="17"/>
      <x:c r="Q63" s="17"/>
      <x:c r="R63" s="17"/>
    </x:row>
    <x:row r="64">
      <x:c r="A64" s="17"/>
      <x:c r="B64" s="17"/>
      <x:c r="C64" s="17"/>
      <x:c r="D64" s="18"/>
      <x:c r="E64" s="18"/>
      <x:c r="F64" s="17"/>
      <x:c r="G64" s="17"/>
      <x:c r="H64" s="17"/>
      <x:c r="I64" s="17"/>
      <x:c r="J64" s="17"/>
      <x:c r="K64" s="17"/>
      <x:c r="L64" s="17"/>
      <x:c r="M64" s="19"/>
      <x:c r="N64" s="18"/>
      <x:c r="O64" s="19"/>
      <x:c r="P64" s="17"/>
      <x:c r="Q64" s="17"/>
      <x:c r="R64" s="17"/>
    </x:row>
    <x:row r="65">
      <x:c r="A65" s="17"/>
      <x:c r="B65" s="17"/>
      <x:c r="C65" s="17"/>
      <x:c r="D65" s="18"/>
      <x:c r="E65" s="18"/>
      <x:c r="F65" s="17"/>
      <x:c r="G65" s="17"/>
      <x:c r="H65" s="17"/>
      <x:c r="I65" s="17"/>
      <x:c r="J65" s="17"/>
      <x:c r="K65" s="17"/>
      <x:c r="L65" s="17"/>
      <x:c r="M65" s="19"/>
      <x:c r="N65" s="18"/>
      <x:c r="O65" s="19"/>
      <x:c r="P65" s="17"/>
      <x:c r="Q65" s="17"/>
      <x:c r="R65" s="17"/>
    </x:row>
    <x:row r="66">
      <x:c r="A66" s="17"/>
      <x:c r="B66" s="17"/>
      <x:c r="C66" s="17"/>
      <x:c r="D66" s="18"/>
      <x:c r="E66" s="18"/>
      <x:c r="F66" s="17"/>
      <x:c r="G66" s="17"/>
      <x:c r="H66" s="17"/>
      <x:c r="I66" s="17"/>
      <x:c r="J66" s="17"/>
      <x:c r="K66" s="17"/>
      <x:c r="L66" s="17"/>
      <x:c r="M66" s="19"/>
      <x:c r="N66" s="18"/>
      <x:c r="O66" s="19"/>
      <x:c r="P66" s="17"/>
      <x:c r="Q66" s="17"/>
      <x:c r="R66" s="17"/>
    </x:row>
    <x:row r="67">
      <x:c r="A67" s="17"/>
      <x:c r="B67" s="17"/>
      <x:c r="C67" s="17"/>
      <x:c r="D67" s="18"/>
      <x:c r="E67" s="18"/>
      <x:c r="F67" s="17"/>
      <x:c r="G67" s="17"/>
      <x:c r="H67" s="17"/>
      <x:c r="I67" s="17"/>
      <x:c r="J67" s="17"/>
      <x:c r="K67" s="17"/>
      <x:c r="L67" s="17"/>
      <x:c r="M67" s="19"/>
      <x:c r="N67" s="18"/>
      <x:c r="O67" s="19"/>
      <x:c r="P67" s="17"/>
      <x:c r="Q67" s="17"/>
      <x:c r="R67" s="17"/>
    </x:row>
    <x:row r="68">
      <x:c r="A68" s="17"/>
      <x:c r="B68" s="17"/>
      <x:c r="C68" s="17"/>
      <x:c r="D68" s="18"/>
      <x:c r="E68" s="18"/>
      <x:c r="F68" s="17"/>
      <x:c r="G68" s="17"/>
      <x:c r="H68" s="17"/>
      <x:c r="I68" s="17"/>
      <x:c r="J68" s="17"/>
      <x:c r="K68" s="17"/>
      <x:c r="L68" s="17"/>
      <x:c r="M68" s="19"/>
      <x:c r="N68" s="18"/>
      <x:c r="O68" s="19"/>
      <x:c r="P68" s="17"/>
      <x:c r="Q68" s="17"/>
      <x:c r="R68" s="17"/>
    </x:row>
    <x:row r="69">
      <x:c r="A69" s="17"/>
      <x:c r="B69" s="17"/>
      <x:c r="C69" s="17"/>
      <x:c r="D69" s="18"/>
      <x:c r="E69" s="18"/>
      <x:c r="F69" s="17"/>
      <x:c r="G69" s="17"/>
      <x:c r="H69" s="17"/>
      <x:c r="I69" s="17"/>
      <x:c r="J69" s="17"/>
      <x:c r="K69" s="17"/>
      <x:c r="L69" s="17"/>
      <x:c r="M69" s="19"/>
      <x:c r="N69" s="18"/>
      <x:c r="O69" s="19"/>
      <x:c r="P69" s="17"/>
      <x:c r="Q69" s="17"/>
      <x:c r="R69" s="17"/>
    </x:row>
    <x:row r="70">
      <x:c r="A70" s="17"/>
      <x:c r="B70" s="17"/>
      <x:c r="C70" s="17"/>
      <x:c r="D70" s="18"/>
      <x:c r="E70" s="18"/>
      <x:c r="F70" s="17"/>
      <x:c r="G70" s="17"/>
      <x:c r="H70" s="17"/>
      <x:c r="I70" s="17"/>
      <x:c r="J70" s="17"/>
      <x:c r="K70" s="17"/>
      <x:c r="L70" s="17"/>
      <x:c r="M70" s="19"/>
      <x:c r="N70" s="18"/>
      <x:c r="O70" s="19"/>
      <x:c r="P70" s="17"/>
      <x:c r="Q70" s="17"/>
      <x:c r="R70" s="17"/>
    </x:row>
    <x:row r="71">
      <x:c r="A71" s="17"/>
      <x:c r="B71" s="17"/>
      <x:c r="C71" s="17"/>
      <x:c r="D71" s="18"/>
      <x:c r="E71" s="18"/>
      <x:c r="F71" s="17"/>
      <x:c r="G71" s="17"/>
      <x:c r="H71" s="17"/>
      <x:c r="I71" s="17"/>
      <x:c r="J71" s="17"/>
      <x:c r="K71" s="17"/>
      <x:c r="L71" s="17"/>
      <x:c r="M71" s="19"/>
      <x:c r="N71" s="18"/>
      <x:c r="O71" s="19"/>
      <x:c r="P71" s="17"/>
      <x:c r="Q71" s="17"/>
      <x:c r="R71" s="17"/>
    </x:row>
    <x:row r="72">
      <x:c r="A72" s="17"/>
      <x:c r="B72" s="17"/>
      <x:c r="C72" s="17"/>
      <x:c r="D72" s="18"/>
      <x:c r="E72" s="18"/>
      <x:c r="F72" s="17"/>
      <x:c r="G72" s="17"/>
      <x:c r="H72" s="17"/>
      <x:c r="I72" s="17"/>
      <x:c r="J72" s="17"/>
      <x:c r="K72" s="17"/>
      <x:c r="L72" s="17"/>
      <x:c r="M72" s="19"/>
      <x:c r="N72" s="18"/>
      <x:c r="O72" s="19"/>
      <x:c r="P72" s="17"/>
      <x:c r="Q72" s="17"/>
      <x:c r="R72" s="17"/>
    </x:row>
    <x:row r="73">
      <x:c r="A73" s="17"/>
      <x:c r="B73" s="17"/>
      <x:c r="C73" s="17"/>
      <x:c r="D73" s="18"/>
      <x:c r="E73" s="18"/>
      <x:c r="F73" s="17"/>
      <x:c r="G73" s="17"/>
      <x:c r="H73" s="17"/>
      <x:c r="I73" s="17"/>
      <x:c r="J73" s="17"/>
      <x:c r="K73" s="17"/>
      <x:c r="L73" s="17"/>
      <x:c r="M73" s="19"/>
      <x:c r="N73" s="18"/>
      <x:c r="O73" s="19"/>
      <x:c r="P73" s="17"/>
      <x:c r="Q73" s="17"/>
      <x:c r="R73" s="17"/>
    </x:row>
    <x:row r="74">
      <x:c r="A74" s="17"/>
      <x:c r="B74" s="17"/>
      <x:c r="C74" s="17"/>
      <x:c r="D74" s="18"/>
      <x:c r="E74" s="18"/>
      <x:c r="F74" s="17"/>
      <x:c r="G74" s="17"/>
      <x:c r="H74" s="17"/>
      <x:c r="I74" s="17"/>
      <x:c r="J74" s="17"/>
      <x:c r="K74" s="17"/>
      <x:c r="L74" s="17"/>
      <x:c r="M74" s="19"/>
      <x:c r="N74" s="18"/>
      <x:c r="O74" s="19"/>
      <x:c r="P74" s="17"/>
      <x:c r="Q74" s="17"/>
      <x:c r="R74" s="17"/>
    </x:row>
    <x:row r="75">
      <x:c r="A75" s="17"/>
      <x:c r="B75" s="17"/>
      <x:c r="C75" s="17"/>
      <x:c r="D75" s="18"/>
      <x:c r="E75" s="18"/>
      <x:c r="F75" s="17"/>
      <x:c r="G75" s="17"/>
      <x:c r="H75" s="17"/>
      <x:c r="I75" s="17"/>
      <x:c r="J75" s="17"/>
      <x:c r="K75" s="17"/>
      <x:c r="L75" s="17"/>
      <x:c r="M75" s="19"/>
      <x:c r="N75" s="18"/>
      <x:c r="O75" s="19"/>
      <x:c r="P75" s="17"/>
      <x:c r="Q75" s="17"/>
      <x:c r="R75" s="17"/>
    </x:row>
    <x:row r="76">
      <x:c r="A76" s="17"/>
      <x:c r="B76" s="17"/>
      <x:c r="C76" s="17"/>
      <x:c r="D76" s="18"/>
      <x:c r="E76" s="18"/>
      <x:c r="F76" s="17"/>
      <x:c r="G76" s="17"/>
      <x:c r="H76" s="17"/>
      <x:c r="I76" s="17"/>
      <x:c r="J76" s="17"/>
      <x:c r="K76" s="17"/>
      <x:c r="L76" s="17"/>
      <x:c r="M76" s="19"/>
      <x:c r="N76" s="18"/>
      <x:c r="O76" s="19"/>
      <x:c r="P76" s="17"/>
      <x:c r="Q76" s="17"/>
      <x:c r="R76" s="17"/>
    </x:row>
    <x:row r="77">
      <x:c r="A77" s="17"/>
      <x:c r="B77" s="17"/>
      <x:c r="C77" s="17"/>
      <x:c r="D77" s="18"/>
      <x:c r="E77" s="18"/>
      <x:c r="F77" s="17"/>
      <x:c r="G77" s="17"/>
      <x:c r="H77" s="17"/>
      <x:c r="I77" s="17"/>
      <x:c r="J77" s="17"/>
      <x:c r="K77" s="17"/>
      <x:c r="L77" s="17"/>
      <x:c r="M77" s="19"/>
      <x:c r="N77" s="18"/>
      <x:c r="O77" s="19"/>
      <x:c r="P77" s="17"/>
      <x:c r="Q77" s="17"/>
      <x:c r="R77" s="17"/>
    </x:row>
    <x:row r="78">
      <x:c r="A78" s="17"/>
      <x:c r="B78" s="17"/>
      <x:c r="C78" s="17"/>
      <x:c r="D78" s="18"/>
      <x:c r="E78" s="18"/>
      <x:c r="F78" s="17"/>
      <x:c r="G78" s="17"/>
      <x:c r="H78" s="17"/>
      <x:c r="I78" s="17"/>
      <x:c r="J78" s="17"/>
      <x:c r="K78" s="17"/>
      <x:c r="L78" s="17"/>
      <x:c r="M78" s="19"/>
      <x:c r="N78" s="18"/>
      <x:c r="O78" s="19"/>
      <x:c r="P78" s="17"/>
      <x:c r="Q78" s="17"/>
      <x:c r="R78" s="17"/>
    </x:row>
    <x:row r="79">
      <x:c r="A79" s="17"/>
      <x:c r="B79" s="17"/>
      <x:c r="C79" s="17"/>
      <x:c r="D79" s="18"/>
      <x:c r="E79" s="18"/>
      <x:c r="F79" s="17"/>
      <x:c r="G79" s="17"/>
      <x:c r="H79" s="17"/>
      <x:c r="I79" s="17"/>
      <x:c r="J79" s="17"/>
      <x:c r="K79" s="17"/>
      <x:c r="L79" s="17"/>
      <x:c r="M79" s="19"/>
      <x:c r="N79" s="18"/>
      <x:c r="O79" s="19"/>
      <x:c r="P79" s="17"/>
      <x:c r="Q79" s="17"/>
      <x:c r="R79" s="17"/>
    </x:row>
    <x:row r="80">
      <x:c r="A80" s="17"/>
      <x:c r="B80" s="17"/>
      <x:c r="C80" s="17"/>
      <x:c r="D80" s="18"/>
      <x:c r="E80" s="18"/>
      <x:c r="F80" s="17"/>
      <x:c r="G80" s="17"/>
      <x:c r="H80" s="17"/>
      <x:c r="I80" s="17"/>
      <x:c r="J80" s="17"/>
      <x:c r="K80" s="17"/>
      <x:c r="L80" s="17"/>
      <x:c r="M80" s="19"/>
      <x:c r="N80" s="18"/>
      <x:c r="O80" s="19"/>
      <x:c r="P80" s="17"/>
      <x:c r="Q80" s="17"/>
      <x:c r="R80" s="17"/>
    </x:row>
    <x:row r="81">
      <x:c r="A81" s="17"/>
      <x:c r="B81" s="17"/>
      <x:c r="C81" s="17"/>
      <x:c r="D81" s="18"/>
      <x:c r="E81" s="18"/>
      <x:c r="F81" s="17"/>
      <x:c r="G81" s="17"/>
      <x:c r="H81" s="17"/>
      <x:c r="I81" s="17"/>
      <x:c r="J81" s="17"/>
      <x:c r="K81" s="17"/>
      <x:c r="L81" s="17"/>
      <x:c r="M81" s="19"/>
      <x:c r="N81" s="18"/>
      <x:c r="O81" s="19"/>
      <x:c r="P81" s="17"/>
      <x:c r="Q81" s="17"/>
      <x:c r="R81" s="17"/>
    </x:row>
    <x:row r="82">
      <x:c r="A82" s="17"/>
      <x:c r="B82" s="17"/>
      <x:c r="C82" s="17"/>
      <x:c r="D82" s="18"/>
      <x:c r="E82" s="18"/>
      <x:c r="F82" s="17"/>
      <x:c r="G82" s="17"/>
      <x:c r="H82" s="17"/>
      <x:c r="I82" s="17"/>
      <x:c r="J82" s="17"/>
      <x:c r="K82" s="17"/>
      <x:c r="L82" s="17"/>
      <x:c r="M82" s="19"/>
      <x:c r="N82" s="18"/>
      <x:c r="O82" s="19"/>
      <x:c r="P82" s="17"/>
      <x:c r="Q82" s="17"/>
      <x:c r="R82" s="17"/>
    </x:row>
    <x:row r="83">
      <x:c r="A83" s="17"/>
      <x:c r="B83" s="17"/>
      <x:c r="C83" s="17"/>
      <x:c r="D83" s="18"/>
      <x:c r="E83" s="18"/>
      <x:c r="F83" s="17"/>
      <x:c r="G83" s="17"/>
      <x:c r="H83" s="17"/>
      <x:c r="I83" s="17"/>
      <x:c r="J83" s="17"/>
      <x:c r="K83" s="17"/>
      <x:c r="L83" s="17"/>
      <x:c r="M83" s="19"/>
      <x:c r="N83" s="18"/>
      <x:c r="O83" s="19"/>
      <x:c r="P83" s="17"/>
      <x:c r="Q83" s="17"/>
      <x:c r="R83" s="17"/>
    </x:row>
    <x:row r="84">
      <x:c r="A84" s="17"/>
      <x:c r="B84" s="17"/>
      <x:c r="C84" s="17"/>
      <x:c r="D84" s="18"/>
      <x:c r="E84" s="18"/>
      <x:c r="F84" s="17"/>
      <x:c r="G84" s="17"/>
      <x:c r="H84" s="17"/>
      <x:c r="I84" s="17"/>
      <x:c r="J84" s="17"/>
      <x:c r="K84" s="17"/>
      <x:c r="L84" s="17"/>
      <x:c r="M84" s="19"/>
      <x:c r="N84" s="18"/>
      <x:c r="O84" s="19"/>
      <x:c r="P84" s="17"/>
      <x:c r="Q84" s="17"/>
      <x:c r="R84" s="17"/>
    </x:row>
    <x:row r="85">
      <x:c r="A85" s="17"/>
      <x:c r="B85" s="17"/>
      <x:c r="C85" s="17"/>
      <x:c r="D85" s="18"/>
      <x:c r="E85" s="18"/>
      <x:c r="F85" s="17"/>
      <x:c r="G85" s="17"/>
      <x:c r="H85" s="17"/>
      <x:c r="I85" s="17"/>
      <x:c r="J85" s="17"/>
      <x:c r="K85" s="17"/>
      <x:c r="L85" s="17"/>
      <x:c r="M85" s="19"/>
      <x:c r="N85" s="18"/>
      <x:c r="O85" s="19"/>
      <x:c r="P85" s="17"/>
      <x:c r="Q85" s="17"/>
      <x:c r="R85" s="17"/>
    </x:row>
    <x:row r="86">
      <x:c r="A86" s="17"/>
      <x:c r="B86" s="17"/>
      <x:c r="C86" s="17"/>
      <x:c r="D86" s="18"/>
      <x:c r="E86" s="18"/>
      <x:c r="F86" s="17"/>
      <x:c r="G86" s="17"/>
      <x:c r="H86" s="17"/>
      <x:c r="I86" s="17"/>
      <x:c r="J86" s="17"/>
      <x:c r="K86" s="17"/>
      <x:c r="L86" s="17"/>
      <x:c r="M86" s="19"/>
      <x:c r="N86" s="18"/>
      <x:c r="O86" s="19"/>
      <x:c r="P86" s="17"/>
      <x:c r="Q86" s="17"/>
      <x:c r="R86" s="17"/>
    </x:row>
    <x:row r="87">
      <x:c r="A87" s="17"/>
      <x:c r="B87" s="17"/>
      <x:c r="C87" s="17"/>
      <x:c r="D87" s="18"/>
      <x:c r="E87" s="18"/>
      <x:c r="F87" s="17"/>
      <x:c r="G87" s="17"/>
      <x:c r="H87" s="17"/>
      <x:c r="I87" s="17"/>
      <x:c r="J87" s="17"/>
      <x:c r="K87" s="17"/>
      <x:c r="L87" s="17"/>
      <x:c r="M87" s="19"/>
      <x:c r="N87" s="18"/>
      <x:c r="O87" s="19"/>
      <x:c r="P87" s="17"/>
      <x:c r="Q87" s="17"/>
      <x:c r="R87" s="17"/>
    </x:row>
    <x:row r="88">
      <x:c r="A88" s="17"/>
      <x:c r="B88" s="17"/>
      <x:c r="C88" s="17"/>
      <x:c r="D88" s="18"/>
      <x:c r="E88" s="18"/>
      <x:c r="F88" s="17"/>
      <x:c r="G88" s="17"/>
      <x:c r="H88" s="17"/>
      <x:c r="I88" s="17"/>
      <x:c r="J88" s="17"/>
      <x:c r="K88" s="17"/>
      <x:c r="L88" s="17"/>
      <x:c r="M88" s="19"/>
      <x:c r="N88" s="18"/>
      <x:c r="O88" s="19"/>
      <x:c r="P88" s="17"/>
      <x:c r="Q88" s="17"/>
      <x:c r="R88" s="17"/>
    </x:row>
    <x:row r="89">
      <x:c r="A89" s="17"/>
      <x:c r="B89" s="17"/>
      <x:c r="C89" s="17"/>
      <x:c r="D89" s="18"/>
      <x:c r="E89" s="18"/>
      <x:c r="F89" s="17"/>
      <x:c r="G89" s="17"/>
      <x:c r="H89" s="17"/>
      <x:c r="I89" s="17"/>
      <x:c r="J89" s="17"/>
      <x:c r="K89" s="17"/>
      <x:c r="L89" s="17"/>
      <x:c r="M89" s="19"/>
      <x:c r="N89" s="18"/>
      <x:c r="O89" s="19"/>
      <x:c r="P89" s="17"/>
      <x:c r="Q89" s="17"/>
      <x:c r="R89" s="17"/>
    </x:row>
    <x:row r="90">
      <x:c r="A90" s="17"/>
      <x:c r="B90" s="17"/>
      <x:c r="C90" s="17"/>
      <x:c r="D90" s="18"/>
      <x:c r="E90" s="18"/>
      <x:c r="F90" s="17"/>
      <x:c r="G90" s="17"/>
      <x:c r="H90" s="17"/>
      <x:c r="I90" s="17"/>
      <x:c r="J90" s="17"/>
      <x:c r="K90" s="17"/>
      <x:c r="L90" s="17"/>
      <x:c r="M90" s="19"/>
      <x:c r="N90" s="18"/>
      <x:c r="O90" s="19"/>
      <x:c r="P90" s="17"/>
      <x:c r="Q90" s="17"/>
      <x:c r="R90" s="17"/>
    </x:row>
    <x:row r="91">
      <x:c r="A91" s="17"/>
      <x:c r="B91" s="17"/>
      <x:c r="C91" s="17"/>
      <x:c r="D91" s="18"/>
      <x:c r="E91" s="18"/>
      <x:c r="F91" s="17"/>
      <x:c r="G91" s="17"/>
      <x:c r="H91" s="17"/>
      <x:c r="I91" s="17"/>
      <x:c r="J91" s="17"/>
      <x:c r="K91" s="17"/>
      <x:c r="L91" s="17"/>
      <x:c r="M91" s="19"/>
      <x:c r="N91" s="18"/>
      <x:c r="O91" s="19"/>
      <x:c r="P91" s="17"/>
      <x:c r="Q91" s="17"/>
      <x:c r="R91" s="17"/>
    </x:row>
    <x:row r="92">
      <x:c r="A92" s="17"/>
      <x:c r="B92" s="17"/>
      <x:c r="C92" s="17"/>
      <x:c r="D92" s="18"/>
      <x:c r="E92" s="18"/>
      <x:c r="F92" s="17"/>
      <x:c r="G92" s="17"/>
      <x:c r="H92" s="17"/>
      <x:c r="I92" s="17"/>
      <x:c r="J92" s="17"/>
      <x:c r="K92" s="17"/>
      <x:c r="L92" s="17"/>
      <x:c r="M92" s="19"/>
      <x:c r="N92" s="18"/>
      <x:c r="O92" s="19"/>
      <x:c r="P92" s="17"/>
      <x:c r="Q92" s="17"/>
      <x:c r="R92" s="17"/>
    </x:row>
    <x:row r="93">
      <x:c r="A93" s="17"/>
      <x:c r="B93" s="17"/>
      <x:c r="C93" s="17"/>
      <x:c r="D93" s="18"/>
      <x:c r="E93" s="18"/>
      <x:c r="F93" s="17"/>
      <x:c r="G93" s="17"/>
      <x:c r="H93" s="17"/>
      <x:c r="I93" s="17"/>
      <x:c r="J93" s="17"/>
      <x:c r="K93" s="17"/>
      <x:c r="L93" s="17"/>
      <x:c r="M93" s="19"/>
      <x:c r="N93" s="18"/>
      <x:c r="O93" s="19"/>
      <x:c r="P93" s="17"/>
      <x:c r="Q93" s="17"/>
      <x:c r="R93" s="17"/>
    </x:row>
    <x:row r="94">
      <x:c r="A94" s="17"/>
      <x:c r="B94" s="17"/>
      <x:c r="C94" s="17"/>
      <x:c r="D94" s="18"/>
      <x:c r="E94" s="18"/>
      <x:c r="F94" s="17"/>
      <x:c r="G94" s="17"/>
      <x:c r="H94" s="17"/>
      <x:c r="I94" s="17"/>
      <x:c r="J94" s="17"/>
      <x:c r="K94" s="17"/>
      <x:c r="L94" s="17"/>
      <x:c r="M94" s="19"/>
      <x:c r="N94" s="18"/>
      <x:c r="O94" s="19"/>
      <x:c r="P94" s="17"/>
      <x:c r="Q94" s="17"/>
      <x:c r="R94" s="17"/>
    </x:row>
    <x:row r="95">
      <x:c r="A95" s="17"/>
      <x:c r="B95" s="17"/>
      <x:c r="C95" s="17"/>
      <x:c r="D95" s="18"/>
      <x:c r="E95" s="18"/>
      <x:c r="F95" s="17"/>
      <x:c r="G95" s="17"/>
      <x:c r="H95" s="17"/>
      <x:c r="I95" s="17"/>
      <x:c r="J95" s="17"/>
      <x:c r="K95" s="17"/>
      <x:c r="L95" s="17"/>
      <x:c r="M95" s="19"/>
      <x:c r="N95" s="18"/>
      <x:c r="O95" s="19"/>
      <x:c r="P95" s="17"/>
      <x:c r="Q95" s="17"/>
      <x:c r="R95" s="17"/>
    </x:row>
    <x:row r="96">
      <x:c r="A96" s="17"/>
      <x:c r="B96" s="17"/>
      <x:c r="C96" s="17"/>
      <x:c r="D96" s="18"/>
      <x:c r="E96" s="18"/>
      <x:c r="F96" s="17"/>
      <x:c r="G96" s="17"/>
      <x:c r="H96" s="17"/>
      <x:c r="I96" s="17"/>
      <x:c r="J96" s="17"/>
      <x:c r="K96" s="17"/>
      <x:c r="L96" s="17"/>
      <x:c r="M96" s="19"/>
      <x:c r="N96" s="18"/>
      <x:c r="O96" s="19"/>
      <x:c r="P96" s="17"/>
      <x:c r="Q96" s="17"/>
      <x:c r="R96" s="17"/>
    </x:row>
    <x:row r="97">
      <x:c r="A97" s="17"/>
      <x:c r="B97" s="17"/>
      <x:c r="C97" s="17"/>
      <x:c r="D97" s="18"/>
      <x:c r="E97" s="18"/>
      <x:c r="F97" s="17"/>
      <x:c r="G97" s="17"/>
      <x:c r="H97" s="17"/>
      <x:c r="I97" s="17"/>
      <x:c r="J97" s="17"/>
      <x:c r="K97" s="17"/>
      <x:c r="L97" s="17"/>
      <x:c r="M97" s="19"/>
      <x:c r="N97" s="18"/>
      <x:c r="O97" s="19"/>
      <x:c r="P97" s="17"/>
      <x:c r="Q97" s="17"/>
      <x:c r="R97" s="17"/>
    </x:row>
    <x:row r="98">
      <x:c r="A98" s="17"/>
      <x:c r="B98" s="17"/>
      <x:c r="C98" s="17"/>
      <x:c r="D98" s="18"/>
      <x:c r="E98" s="18"/>
      <x:c r="F98" s="17"/>
      <x:c r="G98" s="17"/>
      <x:c r="H98" s="17"/>
      <x:c r="I98" s="17"/>
      <x:c r="J98" s="17"/>
      <x:c r="K98" s="17"/>
      <x:c r="L98" s="17"/>
      <x:c r="M98" s="19"/>
      <x:c r="N98" s="18"/>
      <x:c r="O98" s="19"/>
      <x:c r="P98" s="17"/>
      <x:c r="Q98" s="17"/>
      <x:c r="R98" s="17"/>
    </x:row>
    <x:row r="99">
      <x:c r="A99" s="17"/>
      <x:c r="B99" s="17"/>
      <x:c r="C99" s="17"/>
      <x:c r="D99" s="18"/>
      <x:c r="E99" s="18"/>
      <x:c r="F99" s="17"/>
      <x:c r="G99" s="17"/>
      <x:c r="H99" s="17"/>
      <x:c r="I99" s="17"/>
      <x:c r="J99" s="17"/>
      <x:c r="K99" s="17"/>
      <x:c r="L99" s="17"/>
      <x:c r="M99" s="19"/>
      <x:c r="N99" s="18"/>
      <x:c r="O99" s="19"/>
      <x:c r="P99" s="17"/>
      <x:c r="Q99" s="17"/>
      <x:c r="R99" s="17"/>
    </x:row>
    <x:row r="100">
      <x:c r="A100" s="17"/>
      <x:c r="B100" s="17"/>
      <x:c r="C100" s="17"/>
      <x:c r="D100" s="18"/>
      <x:c r="E100" s="18"/>
      <x:c r="F100" s="17"/>
      <x:c r="G100" s="17"/>
      <x:c r="H100" s="17"/>
      <x:c r="I100" s="17"/>
      <x:c r="J100" s="17"/>
      <x:c r="K100" s="17"/>
      <x:c r="L100" s="17"/>
      <x:c r="M100" s="19"/>
      <x:c r="N100" s="18"/>
      <x:c r="O100" s="19"/>
      <x:c r="P100" s="17"/>
      <x:c r="Q100" s="17"/>
      <x:c r="R100" s="17"/>
    </x:row>
    <x:row r="101">
      <x:c r="A101" s="17"/>
      <x:c r="B101" s="17"/>
      <x:c r="C101" s="17"/>
      <x:c r="D101" s="18"/>
      <x:c r="E101" s="18"/>
      <x:c r="F101" s="17"/>
      <x:c r="G101" s="17"/>
      <x:c r="H101" s="17"/>
      <x:c r="I101" s="17"/>
      <x:c r="J101" s="17"/>
      <x:c r="K101" s="17"/>
      <x:c r="L101" s="17"/>
      <x:c r="M101" s="19"/>
      <x:c r="N101" s="18"/>
      <x:c r="O101" s="19"/>
      <x:c r="P101" s="17"/>
      <x:c r="Q101" s="17"/>
      <x:c r="R101" s="17"/>
    </x:row>
    <x:row r="102">
      <x:c r="A102" s="17"/>
      <x:c r="B102" s="17"/>
      <x:c r="C102" s="17"/>
      <x:c r="D102" s="18"/>
      <x:c r="E102" s="18"/>
      <x:c r="F102" s="17"/>
      <x:c r="G102" s="17"/>
      <x:c r="H102" s="17"/>
      <x:c r="I102" s="17"/>
      <x:c r="J102" s="17"/>
      <x:c r="K102" s="17"/>
      <x:c r="L102" s="17"/>
      <x:c r="M102" s="19"/>
      <x:c r="N102" s="18"/>
      <x:c r="O102" s="19"/>
      <x:c r="P102" s="17"/>
      <x:c r="Q102" s="17"/>
      <x:c r="R102" s="17"/>
    </x:row>
    <x:row r="103">
      <x:c r="A103" s="17"/>
      <x:c r="B103" s="17"/>
      <x:c r="C103" s="17"/>
      <x:c r="D103" s="18"/>
      <x:c r="E103" s="18"/>
      <x:c r="F103" s="17"/>
      <x:c r="G103" s="17"/>
      <x:c r="H103" s="17"/>
      <x:c r="I103" s="17"/>
      <x:c r="J103" s="17"/>
      <x:c r="K103" s="17"/>
      <x:c r="L103" s="17"/>
      <x:c r="M103" s="19"/>
      <x:c r="N103" s="18"/>
      <x:c r="O103" s="19"/>
      <x:c r="P103" s="17"/>
      <x:c r="Q103" s="17"/>
      <x:c r="R103" s="17"/>
    </x:row>
    <x:row r="104">
      <x:c r="A104" s="17"/>
      <x:c r="B104" s="17"/>
      <x:c r="C104" s="17"/>
      <x:c r="D104" s="18"/>
      <x:c r="E104" s="18"/>
      <x:c r="F104" s="17"/>
      <x:c r="G104" s="17"/>
      <x:c r="H104" s="17"/>
      <x:c r="I104" s="17"/>
      <x:c r="J104" s="17"/>
      <x:c r="K104" s="17"/>
      <x:c r="L104" s="17"/>
      <x:c r="M104" s="19"/>
      <x:c r="N104" s="18"/>
      <x:c r="O104" s="19"/>
      <x:c r="P104" s="17"/>
      <x:c r="Q104" s="17"/>
      <x:c r="R104" s="17"/>
    </x:row>
    <x:row r="105">
      <x:c r="A105" s="17"/>
      <x:c r="B105" s="17"/>
      <x:c r="C105" s="17"/>
      <x:c r="D105" s="18"/>
      <x:c r="E105" s="18"/>
      <x:c r="F105" s="17"/>
      <x:c r="G105" s="17"/>
      <x:c r="H105" s="17"/>
      <x:c r="I105" s="17"/>
      <x:c r="J105" s="17"/>
      <x:c r="K105" s="17"/>
      <x:c r="L105" s="17"/>
      <x:c r="M105" s="19"/>
      <x:c r="N105" s="18"/>
      <x:c r="O105" s="19"/>
      <x:c r="P105" s="17"/>
      <x:c r="Q105" s="17"/>
      <x:c r="R105" s="17"/>
    </x:row>
    <x:row r="106">
      <x:c r="A106" s="17"/>
      <x:c r="B106" s="17"/>
      <x:c r="C106" s="17"/>
      <x:c r="D106" s="18"/>
      <x:c r="E106" s="18"/>
      <x:c r="F106" s="17"/>
      <x:c r="G106" s="17"/>
      <x:c r="H106" s="17"/>
      <x:c r="I106" s="17"/>
      <x:c r="J106" s="17"/>
      <x:c r="K106" s="17"/>
      <x:c r="L106" s="17"/>
      <x:c r="M106" s="19"/>
      <x:c r="N106" s="18"/>
      <x:c r="O106" s="19"/>
      <x:c r="P106" s="17"/>
      <x:c r="Q106" s="17"/>
      <x:c r="R106" s="17"/>
    </x:row>
    <x:row r="107">
      <x:c r="A107" s="17"/>
      <x:c r="B107" s="17"/>
      <x:c r="C107" s="17"/>
      <x:c r="D107" s="18"/>
      <x:c r="E107" s="18"/>
      <x:c r="F107" s="17"/>
      <x:c r="G107" s="17"/>
      <x:c r="H107" s="17"/>
      <x:c r="I107" s="17"/>
      <x:c r="J107" s="17"/>
      <x:c r="K107" s="17"/>
      <x:c r="L107" s="17"/>
      <x:c r="M107" s="19"/>
      <x:c r="N107" s="18"/>
      <x:c r="O107" s="19"/>
      <x:c r="P107" s="17"/>
      <x:c r="Q107" s="17"/>
      <x:c r="R107" s="17"/>
    </x:row>
  </x:sheetData>
  <x:mergeCells>
    <x:mergeCell ref="A2:R2"/>
    <x:mergeCell ref="A1:R1"/>
  </x:mergeCells>
  <x:conditionalFormatting sqref="L8:L107">
    <x:cfRule type="expression" dxfId="2" priority="1">
      <x:formula>L8="Blocked"</x:formula>
    </x:cfRule>
  </x:conditionalFormatting>
  <x:conditionalFormatting sqref="D8:D107">
    <x:cfRule type="expression" dxfId="4" priority="2">
      <x:formula>D8="Unknown"</x:formula>
    </x:cfRule>
  </x:conditionalFormatting>
  <x:dataValidations count="6">
    <x:dataValidation type="list" allowBlank="1" showDropDown="0" showInputMessage="0" showErrorMessage="0" errorTitle="Invalid selection" error="Select a value from the dropdown list." promptTitle="Select value" prompt="Choose from the approved list." sqref="D8:D107">
      <x:formula1>=OwnerGroups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E8:E107">
      <x:formula1>=OwnerGroups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G8:G107">
      <x:formula1>=YesNoUnknown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H8:H107">
      <x:formula1>=AccessStatuses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K8:K107">
      <x:formula1>=DataQualityStatuses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L8:L107">
      <x:formula1>=DataMapStatuses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c5c314c9614d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25" customWidth="1"/>
    <x:col min="4" max="4" width="16" customWidth="1"/>
    <x:col min="5" max="5" width="25" customWidth="1"/>
    <x:col min="6" max="6" width="25" customWidth="1"/>
    <x:col min="7" max="7" width="25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25" customWidth="1"/>
    <x:col min="16" max="16" width="16" customWidth="1"/>
    <x:col min="17" max="17" width="16" customWidth="1"/>
    <x:col min="18" max="18" width="25" customWidth="1"/>
  </x:cols>
  <x:sheetData>
    <x:row r="1" ht="34" customHeight="1">
      <x:c r="A1" s="1" t="inlineStr">
        <x:is>
          <x:t xml:space="preserve">WS1 Clarification Action Tracker</x:t>
        </x:is>
      </x:c>
    </x:row>
    <x:row r="2" ht="30" customHeight="1">
      <x:c r="A2" s="2" t="str">
        <x:v>Real clarification actions created from the WS1 evidence gaps and the current team-lead follow-up status.</x:v>
      </x:c>
    </x:row>
    <x:row r="3">
      <x:c r="A3" s="25" t="inlineStr">
        <x:is>
          <x:t xml:space="preserve">Total open actions</x:t>
        </x:is>
      </x:c>
      <x:c r="C3" s="25" t="inlineStr">
        <x:is>
          <x:t xml:space="preserve">High-priority actions</x:t>
        </x:is>
      </x:c>
      <x:c r="E3" s="25" t="inlineStr">
        <x:is>
          <x:t xml:space="preserve">Overdue actions</x:t>
        </x:is>
      </x:c>
      <x:c r="G3" s="25" t="inlineStr">
        <x:is>
          <x:t xml:space="preserve">Waiting for stakeholder</x:t>
        </x:is>
      </x:c>
      <x:c r="I3" s="25" t="inlineStr">
        <x:is>
          <x:t xml:space="preserve">Waiting for Analytics</x:t>
        </x:is>
      </x:c>
      <x:c r="K3" s="25" t="inlineStr">
        <x:is>
          <x:t xml:space="preserve">Completed actions</x:t>
        </x:is>
      </x:c>
    </x:row>
    <x:row r="4">
      <x:c r="A4" s="26" t="n">
        <x:f>COUNTIFS(M8:M107,"&lt;&gt;Completed",A8:A107,"&lt;&gt;")</x:f>
        <x:v>9</x:v>
      </x:c>
      <x:c r="C4" s="26" t="n">
        <x:f>COUNTIFS(J8:J107,"High",M8:M107,"&lt;&gt;Completed")+COUNTIFS(J8:J107,"Critical",M8:M107,"&lt;&gt;Completed")</x:f>
        <x:v>8</x:v>
      </x:c>
      <x:c r="E4" s="26" t="n">
        <x:f>COUNTIFS(L8:L107,"&lt;"&amp;TODAY(),L8:L107,"&lt;&gt;",M8:M107,"&lt;&gt;Completed",A8:A107,"&lt;&gt;")</x:f>
        <x:v>0</x:v>
      </x:c>
      <x:c r="G4" s="26" t="n">
        <x:f>COUNTIFS(H8:H107,"Stakeholder",M8:M107,"Waiting for Response")</x:f>
        <x:v>0</x:v>
      </x:c>
      <x:c r="I4" s="26" t="n">
        <x:f>COUNTIFS(H8:H107,"CK Analytics",M8:M107,"Waiting for Response")</x:f>
        <x:v>0</x:v>
      </x:c>
      <x:c r="K4" s="26" t="n">
        <x:f>COUNTIF(M8:M107,"Completed")</x:f>
        <x:v>0</x:v>
      </x:c>
    </x:row>
    <x:row r="7" ht="42" customHeight="1">
      <x:c r="A7" s="16" t="inlineStr">
        <x:is>
          <x:t xml:space="preserve">Action ID</x:t>
        </x:is>
      </x:c>
      <x:c r="B7" s="16" t="inlineStr">
        <x:is>
          <x:t xml:space="preserve">Campaign ID</x:t>
        </x:is>
      </x:c>
      <x:c r="C7" s="16" t="inlineStr">
        <x:is>
          <x:t xml:space="preserve">Campaign name</x:t>
        </x:is>
      </x:c>
      <x:c r="D7" s="16" t="inlineStr">
        <x:is>
          <x:t xml:space="preserve">Gap category</x:t>
        </x:is>
      </x:c>
      <x:c r="E7" s="16" t="inlineStr">
        <x:is>
          <x:t xml:space="preserve">Issue</x:t>
        </x:is>
      </x:c>
      <x:c r="F7" s="16" t="inlineStr">
        <x:is>
          <x:t xml:space="preserve">Required action</x:t>
        </x:is>
      </x:c>
      <x:c r="G7" s="16" t="inlineStr">
        <x:is>
          <x:t xml:space="preserve">Information required</x:t>
        </x:is>
      </x:c>
      <x:c r="H7" s="16" t="inlineStr">
        <x:is>
          <x:t xml:space="preserve">Request to</x:t>
        </x:is>
      </x:c>
      <x:c r="I7" s="16" t="inlineStr">
        <x:is>
          <x:t xml:space="preserve">PIC</x:t>
        </x:is>
      </x:c>
      <x:c r="J7" s="16" t="inlineStr">
        <x:is>
          <x:t xml:space="preserve">Priority</x:t>
        </x:is>
      </x:c>
      <x:c r="K7" s="16" t="inlineStr">
        <x:is>
          <x:t xml:space="preserve">Start date</x:t>
        </x:is>
      </x:c>
      <x:c r="L7" s="16" t="inlineStr">
        <x:is>
          <x:t xml:space="preserve">Due date</x:t>
        </x:is>
      </x:c>
      <x:c r="M7" s="16" t="inlineStr">
        <x:is>
          <x:t xml:space="preserve">Status</x:t>
        </x:is>
      </x:c>
      <x:c r="N7" s="16" t="inlineStr">
        <x:is>
          <x:t xml:space="preserve">Response received</x:t>
        </x:is>
      </x:c>
      <x:c r="O7" s="16" t="inlineStr">
        <x:is>
          <x:t xml:space="preserve">Resolution</x:t>
        </x:is>
      </x:c>
      <x:c r="P7" s="16" t="inlineStr">
        <x:is>
          <x:t xml:space="preserve">Follow-up required</x:t>
        </x:is>
      </x:c>
      <x:c r="Q7" s="16" t="inlineStr">
        <x:is>
          <x:t xml:space="preserve">Last updated</x:t>
        </x:is>
      </x:c>
      <x:c r="R7" s="16" t="inlineStr">
        <x:is>
          <x:t xml:space="preserve">Notes</x:t>
        </x:is>
      </x:c>
    </x:row>
    <x:row r="8">
      <x:c r="A8" s="17" t="str">
        <x:v>ACT-001</x:v>
      </x:c>
      <x:c r="B8" s="17" t="str">
        <x:v>WS1-VM-ALL</x:v>
      </x:c>
      <x:c r="C8" s="17" t="str">
        <x:v>WS1 VM promo-code inventory</x:v>
      </x:c>
      <x:c r="D8" s="17" t="str">
        <x:v>Code coverage</x:v>
      </x:c>
      <x:c r="E8" s="17" t="str">
        <x:v>The common VM code list needs a completeness check.</x:v>
      </x:c>
      <x:c r="F8" s="17" t="str">
        <x:v>Confirm the shared Joe/Syham code list and identify any code not represented.</x:v>
      </x:c>
      <x:c r="G8" s="17" t="str">
        <x:v>Complete VM code list, owner, purpose and active period</x:v>
      </x:c>
      <x:c r="H8" s="18" t="str">
        <x:v>VIP</x:v>
      </x:c>
      <x:c r="I8" s="17" t="str">
        <x:v>Promotion</x:v>
      </x:c>
      <x:c r="J8" s="17" t="str">
        <x:v>High</x:v>
      </x:c>
      <x:c r="K8" s="19" t="n">
        <x:v>46226</x:v>
      </x:c>
      <x:c r="L8" s="19" t="n">
        <x:v>46231</x:v>
      </x:c>
      <x:c r="M8" s="17" t="str">
        <x:v>In Progress</x:v>
      </x:c>
      <x:c r="N8" s="18" t="str">
        <x:v>Partial</x:v>
      </x:c>
      <x:c r="O8" s="17"/>
      <x:c r="P8" s="17" t="str">
        <x:v>Yes</x:v>
      </x:c>
      <x:c r="Q8" s="19" t="n">
        <x:v>46226</x:v>
      </x:c>
      <x:c r="R8" s="17" t="str">
        <x:v>Joe and Syham are VM TLs using the same codes.</x:v>
      </x:c>
    </x:row>
    <x:row r="9">
      <x:c r="A9" s="17" t="str">
        <x:v>ACT-002</x:v>
      </x:c>
      <x:c r="B9" s="17" t="str">
        <x:v>WS1-VM-ALL</x:v>
      </x:c>
      <x:c r="C9" s="17" t="str">
        <x:v>WS1 TSM promo-code inventory</x:v>
      </x:c>
      <x:c r="D9" s="17" t="str">
        <x:v>Code coverage</x:v>
      </x:c>
      <x:c r="E9" s="17" t="str">
        <x:v>TSM code information is still pending.</x:v>
      </x:c>
      <x:c r="F9" s="17" t="str">
        <x:v>Follow up with Szee Szee and capture code, purpose, segment and calendar.</x:v>
      </x:c>
      <x:c r="G9" s="17" t="str">
        <x:v>TSM code list and campaign brief fields</x:v>
      </x:c>
      <x:c r="H9" s="18" t="str">
        <x:v>VIP</x:v>
      </x:c>
      <x:c r="I9" s="17" t="str">
        <x:v>Promotion</x:v>
      </x:c>
      <x:c r="J9" s="17" t="str">
        <x:v>High</x:v>
      </x:c>
      <x:c r="K9" s="19" t="n">
        <x:v>46226</x:v>
      </x:c>
      <x:c r="L9" s="19" t="n">
        <x:v>46231</x:v>
      </x:c>
      <x:c r="M9" s="17" t="str">
        <x:v>Waiting for Response</x:v>
      </x:c>
      <x:c r="N9" s="18" t="str">
        <x:v>No</x:v>
      </x:c>
      <x:c r="O9" s="17"/>
      <x:c r="P9" s="17" t="str">
        <x:v>Yes</x:v>
      </x:c>
      <x:c r="Q9" s="19" t="n">
        <x:v>46226</x:v>
      </x:c>
      <x:c r="R9" s="17" t="str">
        <x:v>Specific contact: Szee Szee, TSM TL.</x:v>
      </x:c>
    </x:row>
    <x:row r="10">
      <x:c r="A10" s="17" t="str">
        <x:v>ACT-003</x:v>
      </x:c>
      <x:c r="B10" s="17" t="str">
        <x:v>WS1-VM-ALL</x:v>
      </x:c>
      <x:c r="C10" s="17" t="str">
        <x:v>WS1 AM promo-code inventory</x:v>
      </x:c>
      <x:c r="D10" s="17" t="str">
        <x:v>Code coverage</x:v>
      </x:c>
      <x:c r="E10" s="17" t="str">
        <x:v>AM code information is still pending.</x:v>
      </x:c>
      <x:c r="F10" s="17" t="str">
        <x:v>Follow up with Kevin and capture code, purpose, segment and calendar.</x:v>
      </x:c>
      <x:c r="G10" s="17" t="str">
        <x:v>AM code list and campaign brief fields</x:v>
      </x:c>
      <x:c r="H10" s="18" t="str">
        <x:v>VIP</x:v>
      </x:c>
      <x:c r="I10" s="17" t="str">
        <x:v>Promotion</x:v>
      </x:c>
      <x:c r="J10" s="17" t="str">
        <x:v>High</x:v>
      </x:c>
      <x:c r="K10" s="19" t="n">
        <x:v>46226</x:v>
      </x:c>
      <x:c r="L10" s="19" t="n">
        <x:v>46231</x:v>
      </x:c>
      <x:c r="M10" s="17" t="str">
        <x:v>Waiting for Response</x:v>
      </x:c>
      <x:c r="N10" s="18" t="str">
        <x:v>No</x:v>
      </x:c>
      <x:c r="O10" s="17"/>
      <x:c r="P10" s="17" t="str">
        <x:v>Yes</x:v>
      </x:c>
      <x:c r="Q10" s="19" t="n">
        <x:v>46226</x:v>
      </x:c>
      <x:c r="R10" s="17" t="str">
        <x:v>Specific contact: Kevin, AM TL.</x:v>
      </x:c>
    </x:row>
    <x:row r="11">
      <x:c r="A11" s="17" t="str">
        <x:v>ACT-004</x:v>
      </x:c>
      <x:c r="B11" s="17" t="str">
        <x:v>WS1-VM-ALL</x:v>
      </x:c>
      <x:c r="C11" s="17" t="str">
        <x:v>Apr–Jul assignment denominator</x:v>
      </x:c>
      <x:c r="D11" s="17" t="str">
        <x:v>Data gap</x:v>
      </x:c>
      <x:c r="E11" s="17" t="str">
        <x:v>HandlerAssignmentLog stops on 2026-03-24.</x:v>
      </x:c>
      <x:c r="F11" s="17" t="str">
        <x:v>Request Apr–Jul offer-assignment or targeted-player export.</x:v>
      </x:c>
      <x:c r="G11" s="17" t="str">
        <x:v>Assignment date, member ID, code, handler and team</x:v>
      </x:c>
      <x:c r="H11" s="18" t="str">
        <x:v>VIP</x:v>
      </x:c>
      <x:c r="I11" s="17" t="str">
        <x:v>Promotion</x:v>
      </x:c>
      <x:c r="J11" s="17" t="str">
        <x:v>Critical</x:v>
      </x:c>
      <x:c r="K11" s="19" t="n">
        <x:v>46226</x:v>
      </x:c>
      <x:c r="L11" s="19" t="n">
        <x:v>46233</x:v>
      </x:c>
      <x:c r="M11" s="17" t="str">
        <x:v>Waiting for Response</x:v>
      </x:c>
      <x:c r="N11" s="18" t="str">
        <x:v>No</x:v>
      </x:c>
      <x:c r="O11" s="17"/>
      <x:c r="P11" s="17" t="str">
        <x:v>Yes</x:v>
      </x:c>
      <x:c r="Q11" s="19" t="n">
        <x:v>46226</x:v>
      </x:c>
      <x:c r="R11" s="17" t="str">
        <x:v>Without this, Apr–Jul claim conversion cannot be calculated.</x:v>
      </x:c>
    </x:row>
    <x:row r="12">
      <x:c r="A12" s="17" t="str">
        <x:v>ACT-005</x:v>
      </x:c>
      <x:c r="B12" s="17" t="str">
        <x:v>WS1-VM-ALL</x:v>
      </x:c>
      <x:c r="C12" s="17" t="str">
        <x:v>Campaign objective and ownership confirmation</x:v>
      </x:c>
      <x:c r="D12" s="17" t="str">
        <x:v>Objective / ownership</x:v>
      </x:c>
      <x:c r="E12" s="17" t="str">
        <x:v>26 observed codes do not have a confirmed objective, accountable owner or planned success target.</x:v>
      </x:c>
      <x:c r="F12" s="17" t="str">
        <x:v>Confirm objective, source owner, calendar and success measure by campaign family.</x:v>
      </x:c>
      <x:c r="G12" s="17" t="str">
        <x:v>Campaign brief or owner confirmation</x:v>
      </x:c>
      <x:c r="H12" s="18" t="str">
        <x:v>VIP</x:v>
      </x:c>
      <x:c r="I12" s="17" t="str">
        <x:v>Promotion</x:v>
      </x:c>
      <x:c r="J12" s="17" t="str">
        <x:v>Critical</x:v>
      </x:c>
      <x:c r="K12" s="19" t="n">
        <x:v>46226</x:v>
      </x:c>
      <x:c r="L12" s="19" t="n">
        <x:v>46237</x:v>
      </x:c>
      <x:c r="M12" s="17" t="str">
        <x:v>Not Started</x:v>
      </x:c>
      <x:c r="N12" s="18" t="str">
        <x:v>No</x:v>
      </x:c>
      <x:c r="O12" s="17"/>
      <x:c r="P12" s="17" t="str">
        <x:v>Yes</x:v>
      </x:c>
      <x:c r="Q12" s="19" t="n">
        <x:v>46226</x:v>
      </x:c>
      <x:c r="R12" s="17" t="str">
        <x:v>Promotion is recorded as execution PIC, not campaign source.</x:v>
      </x:c>
    </x:row>
    <x:row r="13">
      <x:c r="A13" s="17" t="str">
        <x:v>ACT-006</x:v>
      </x:c>
      <x:c r="B13" s="17" t="str">
        <x:v>WS1-VM-ALL</x:v>
      </x:c>
      <x:c r="C13" s="17" t="str">
        <x:v>VM segment definition</x:v>
      </x:c>
      <x:c r="D13" s="17" t="str">
        <x:v>Segment criteria</x:v>
      </x:c>
      <x:c r="E13" s="17" t="str">
        <x:v>Value bands such as &lt;10K and 10K–24K do not define the metric or lookback period.</x:v>
      </x:c>
      <x:c r="F13" s="17" t="str">
        <x:v>Document selection rules, exclusions, metric and lookback window.</x:v>
      </x:c>
      <x:c r="G13" s="17" t="str">
        <x:v>CRM or VM selection logic</x:v>
      </x:c>
      <x:c r="H13" s="18" t="str">
        <x:v>VIP</x:v>
      </x:c>
      <x:c r="I13" s="17" t="str">
        <x:v>Promotion</x:v>
      </x:c>
      <x:c r="J13" s="17" t="str">
        <x:v>Critical</x:v>
      </x:c>
      <x:c r="K13" s="19" t="n">
        <x:v>46226</x:v>
      </x:c>
      <x:c r="L13" s="19" t="n">
        <x:v>46237</x:v>
      </x:c>
      <x:c r="M13" s="17" t="str">
        <x:v>Not Started</x:v>
      </x:c>
      <x:c r="N13" s="18" t="str">
        <x:v>No</x:v>
      </x:c>
      <x:c r="O13" s="17"/>
      <x:c r="P13" s="17" t="str">
        <x:v>Yes</x:v>
      </x:c>
      <x:c r="Q13" s="19" t="n">
        <x:v>46226</x:v>
      </x:c>
      <x:c r="R13" s="17" t="str">
        <x:v>Needed before comparing response or cost by segment.</x:v>
      </x:c>
    </x:row>
    <x:row r="14">
      <x:c r="A14" s="17" t="str">
        <x:v>ACT-007</x:v>
      </x:c>
      <x:c r="B14" s="17" t="str">
        <x:v>WS1-VM-ALL</x:v>
      </x:c>
      <x:c r="C14" s="17" t="str">
        <x:v>WS1 reactivation definition</x:v>
      </x:c>
      <x:c r="D14" s="17" t="str">
        <x:v>Measurement definition</x:v>
      </x:c>
      <x:c r="E14" s="17" t="str">
        <x:v>A reactivation indicator is possible, but the churn window and qualifying return event are not validated.</x:v>
      </x:c>
      <x:c r="F14" s="17" t="str">
        <x:v>Agree the standard WS1 inactivity window and reactivation event.</x:v>
      </x:c>
      <x:c r="G14" s="17" t="str">
        <x:v>Approved business definition and SQL rule</x:v>
      </x:c>
      <x:c r="H14" s="18" t="str">
        <x:v>CK Analytics</x:v>
      </x:c>
      <x:c r="I14" s="17" t="str">
        <x:v>Promotion</x:v>
      </x:c>
      <x:c r="J14" s="17" t="str">
        <x:v>High</x:v>
      </x:c>
      <x:c r="K14" s="19" t="n">
        <x:v>46226</x:v>
      </x:c>
      <x:c r="L14" s="19" t="n">
        <x:v>46239</x:v>
      </x:c>
      <x:c r="M14" s="17" t="str">
        <x:v>Not Started</x:v>
      </x:c>
      <x:c r="N14" s="18" t="str">
        <x:v>No</x:v>
      </x:c>
      <x:c r="O14" s="17"/>
      <x:c r="P14" s="17" t="str">
        <x:v>Yes</x:v>
      </x:c>
      <x:c r="Q14" s="19" t="n">
        <x:v>46226</x:v>
      </x:c>
      <x:c r="R14" s="17" t="str">
        <x:v>Do not label players reactivated until this definition is approved.</x:v>
      </x:c>
    </x:row>
    <x:row r="15">
      <x:c r="A15" s="17" t="str">
        <x:v>ACT-008</x:v>
      </x:c>
      <x:c r="B15" s="17" t="str">
        <x:v>WS1-VM-ALL</x:v>
      </x:c>
      <x:c r="C15" s="17" t="str">
        <x:v>Promo attribution model</x:v>
      </x:c>
      <x:c r="D15" s="17" t="str">
        <x:v>Measurement definition</x:v>
      </x:c>
      <x:c r="E15" s="17" t="str">
        <x:v>Post-event NGR exists but cannot yet be attributed to the promotion.</x:v>
      </x:c>
      <x:c r="F15" s="17" t="str">
        <x:v>Validate attribution window, comparison baseline and control method.</x:v>
      </x:c>
      <x:c r="G15" s="17" t="str">
        <x:v>Approved attribution model and QA evidence</x:v>
      </x:c>
      <x:c r="H15" s="18" t="str">
        <x:v>CK Analytics</x:v>
      </x:c>
      <x:c r="I15" s="17" t="str">
        <x:v>Promotion</x:v>
      </x:c>
      <x:c r="J15" s="17" t="str">
        <x:v>Critical</x:v>
      </x:c>
      <x:c r="K15" s="19" t="n">
        <x:v>46226</x:v>
      </x:c>
      <x:c r="L15" s="19" t="n">
        <x:v>46241</x:v>
      </x:c>
      <x:c r="M15" s="17" t="str">
        <x:v>Not Started</x:v>
      </x:c>
      <x:c r="N15" s="18" t="str">
        <x:v>No</x:v>
      </x:c>
      <x:c r="O15" s="17"/>
      <x:c r="P15" s="17" t="str">
        <x:v>Yes</x:v>
      </x:c>
      <x:c r="Q15" s="19" t="n">
        <x:v>46226</x:v>
      </x:c>
      <x:c r="R15" s="17" t="str">
        <x:v>NGR remains excluded until validation is complete.</x:v>
      </x:c>
    </x:row>
    <x:row r="16">
      <x:c r="A16" s="17" t="str">
        <x:v>ACT-009</x:v>
      </x:c>
      <x:c r="B16" s="17" t="str">
        <x:v>WS1-VM-ALL</x:v>
      </x:c>
      <x:c r="C16" s="17" t="str">
        <x:v>Handler-to-team mapping</x:v>
      </x:c>
      <x:c r="D16" s="17" t="str">
        <x:v>Ownership gap</x:v>
      </x:c>
      <x:c r="E16" s="17" t="str">
        <x:v>Handler names are observed, but TL/team mapping is incomplete.</x:v>
      </x:c>
      <x:c r="F16" s="17" t="str">
        <x:v>Confirm each observed handler's TL/team and effective period.</x:v>
      </x:c>
      <x:c r="G16" s="17" t="str">
        <x:v>Handler, team/TL and assignment dates</x:v>
      </x:c>
      <x:c r="H16" s="18" t="str">
        <x:v>VIP</x:v>
      </x:c>
      <x:c r="I16" s="17" t="str">
        <x:v>Promotion</x:v>
      </x:c>
      <x:c r="J16" s="17" t="str">
        <x:v>Medium</x:v>
      </x:c>
      <x:c r="K16" s="19" t="n">
        <x:v>46226</x:v>
      </x:c>
      <x:c r="L16" s="19" t="n">
        <x:v>46234</x:v>
      </x:c>
      <x:c r="M16" s="17" t="str">
        <x:v>In Progress</x:v>
      </x:c>
      <x:c r="N16" s="18" t="str">
        <x:v>Partial</x:v>
      </x:c>
      <x:c r="O16" s="17"/>
      <x:c r="P16" s="17" t="str">
        <x:v>Yes</x:v>
      </x:c>
      <x:c r="Q16" s="19" t="n">
        <x:v>46226</x:v>
      </x:c>
      <x:c r="R16" s="17" t="str">
        <x:v>Use Joe, Syham, Szee Szee and Kevin as the starting contacts.</x:v>
      </x:c>
    </x:row>
    <x:row r="17">
      <x:c r="A17" s="17"/>
      <x:c r="B17" s="17"/>
      <x:c r="C17" s="17"/>
      <x:c r="D17" s="17"/>
      <x:c r="E17" s="17"/>
      <x:c r="F17" s="17"/>
      <x:c r="G17" s="17"/>
      <x:c r="H17" s="18"/>
      <x:c r="I17" s="17"/>
      <x:c r="J17" s="17"/>
      <x:c r="K17" s="19"/>
      <x:c r="L17" s="19"/>
      <x:c r="M17" s="17"/>
      <x:c r="N17" s="18"/>
      <x:c r="O17" s="17"/>
      <x:c r="P17" s="17"/>
      <x:c r="Q17" s="19"/>
      <x:c r="R17" s="17"/>
    </x:row>
    <x:row r="18">
      <x:c r="A18" s="17"/>
      <x:c r="B18" s="17"/>
      <x:c r="C18" s="17"/>
      <x:c r="D18" s="17"/>
      <x:c r="E18" s="17"/>
      <x:c r="F18" s="17"/>
      <x:c r="G18" s="17"/>
      <x:c r="H18" s="18"/>
      <x:c r="I18" s="17"/>
      <x:c r="J18" s="17"/>
      <x:c r="K18" s="19"/>
      <x:c r="L18" s="19"/>
      <x:c r="M18" s="17"/>
      <x:c r="N18" s="18"/>
      <x:c r="O18" s="17"/>
      <x:c r="P18" s="17"/>
      <x:c r="Q18" s="19"/>
      <x:c r="R18" s="17"/>
    </x:row>
    <x:row r="19">
      <x:c r="A19" s="17"/>
      <x:c r="B19" s="17"/>
      <x:c r="C19" s="17"/>
      <x:c r="D19" s="17"/>
      <x:c r="E19" s="17"/>
      <x:c r="F19" s="17"/>
      <x:c r="G19" s="17"/>
      <x:c r="H19" s="18"/>
      <x:c r="I19" s="17"/>
      <x:c r="J19" s="17"/>
      <x:c r="K19" s="19"/>
      <x:c r="L19" s="19"/>
      <x:c r="M19" s="17"/>
      <x:c r="N19" s="18"/>
      <x:c r="O19" s="17"/>
      <x:c r="P19" s="17"/>
      <x:c r="Q19" s="19"/>
      <x:c r="R19" s="17"/>
    </x:row>
    <x:row r="20">
      <x:c r="A20" s="17"/>
      <x:c r="B20" s="17"/>
      <x:c r="C20" s="17"/>
      <x:c r="D20" s="17"/>
      <x:c r="E20" s="17"/>
      <x:c r="F20" s="17"/>
      <x:c r="G20" s="17"/>
      <x:c r="H20" s="18"/>
      <x:c r="I20" s="17"/>
      <x:c r="J20" s="17"/>
      <x:c r="K20" s="19"/>
      <x:c r="L20" s="19"/>
      <x:c r="M20" s="17"/>
      <x:c r="N20" s="18"/>
      <x:c r="O20" s="17"/>
      <x:c r="P20" s="17"/>
      <x:c r="Q20" s="19"/>
      <x:c r="R20" s="17"/>
    </x:row>
    <x:row r="21">
      <x:c r="A21" s="17"/>
      <x:c r="B21" s="17"/>
      <x:c r="C21" s="17"/>
      <x:c r="D21" s="17"/>
      <x:c r="E21" s="17"/>
      <x:c r="F21" s="17"/>
      <x:c r="G21" s="17"/>
      <x:c r="H21" s="18"/>
      <x:c r="I21" s="17"/>
      <x:c r="J21" s="17"/>
      <x:c r="K21" s="19"/>
      <x:c r="L21" s="19"/>
      <x:c r="M21" s="17"/>
      <x:c r="N21" s="18"/>
      <x:c r="O21" s="17"/>
      <x:c r="P21" s="17"/>
      <x:c r="Q21" s="19"/>
      <x:c r="R21" s="17"/>
    </x:row>
    <x:row r="22">
      <x:c r="A22" s="17"/>
      <x:c r="B22" s="17"/>
      <x:c r="C22" s="17"/>
      <x:c r="D22" s="17"/>
      <x:c r="E22" s="17"/>
      <x:c r="F22" s="17"/>
      <x:c r="G22" s="17"/>
      <x:c r="H22" s="18"/>
      <x:c r="I22" s="17"/>
      <x:c r="J22" s="17"/>
      <x:c r="K22" s="19"/>
      <x:c r="L22" s="19"/>
      <x:c r="M22" s="17"/>
      <x:c r="N22" s="18"/>
      <x:c r="O22" s="17"/>
      <x:c r="P22" s="17"/>
      <x:c r="Q22" s="19"/>
      <x:c r="R22" s="17"/>
    </x:row>
    <x:row r="23">
      <x:c r="A23" s="17"/>
      <x:c r="B23" s="17"/>
      <x:c r="C23" s="17"/>
      <x:c r="D23" s="17"/>
      <x:c r="E23" s="17"/>
      <x:c r="F23" s="17"/>
      <x:c r="G23" s="17"/>
      <x:c r="H23" s="18"/>
      <x:c r="I23" s="17"/>
      <x:c r="J23" s="17"/>
      <x:c r="K23" s="19"/>
      <x:c r="L23" s="19"/>
      <x:c r="M23" s="17"/>
      <x:c r="N23" s="18"/>
      <x:c r="O23" s="17"/>
      <x:c r="P23" s="17"/>
      <x:c r="Q23" s="19"/>
      <x:c r="R23" s="17"/>
    </x:row>
    <x:row r="24">
      <x:c r="A24" s="17"/>
      <x:c r="B24" s="17"/>
      <x:c r="C24" s="17"/>
      <x:c r="D24" s="17"/>
      <x:c r="E24" s="17"/>
      <x:c r="F24" s="17"/>
      <x:c r="G24" s="17"/>
      <x:c r="H24" s="18"/>
      <x:c r="I24" s="17"/>
      <x:c r="J24" s="17"/>
      <x:c r="K24" s="19"/>
      <x:c r="L24" s="19"/>
      <x:c r="M24" s="17"/>
      <x:c r="N24" s="18"/>
      <x:c r="O24" s="17"/>
      <x:c r="P24" s="17"/>
      <x:c r="Q24" s="19"/>
      <x:c r="R24" s="17"/>
    </x:row>
    <x:row r="25">
      <x:c r="A25" s="17"/>
      <x:c r="B25" s="17"/>
      <x:c r="C25" s="17"/>
      <x:c r="D25" s="17"/>
      <x:c r="E25" s="17"/>
      <x:c r="F25" s="17"/>
      <x:c r="G25" s="17"/>
      <x:c r="H25" s="18"/>
      <x:c r="I25" s="17"/>
      <x:c r="J25" s="17"/>
      <x:c r="K25" s="19"/>
      <x:c r="L25" s="19"/>
      <x:c r="M25" s="17"/>
      <x:c r="N25" s="18"/>
      <x:c r="O25" s="17"/>
      <x:c r="P25" s="17"/>
      <x:c r="Q25" s="19"/>
      <x:c r="R25" s="17"/>
    </x:row>
    <x:row r="26">
      <x:c r="A26" s="17"/>
      <x:c r="B26" s="17"/>
      <x:c r="C26" s="17"/>
      <x:c r="D26" s="17"/>
      <x:c r="E26" s="17"/>
      <x:c r="F26" s="17"/>
      <x:c r="G26" s="17"/>
      <x:c r="H26" s="18"/>
      <x:c r="I26" s="17"/>
      <x:c r="J26" s="17"/>
      <x:c r="K26" s="19"/>
      <x:c r="L26" s="19"/>
      <x:c r="M26" s="17"/>
      <x:c r="N26" s="18"/>
      <x:c r="O26" s="17"/>
      <x:c r="P26" s="17"/>
      <x:c r="Q26" s="19"/>
      <x:c r="R26" s="17"/>
    </x:row>
    <x:row r="27">
      <x:c r="A27" s="17"/>
      <x:c r="B27" s="17"/>
      <x:c r="C27" s="17"/>
      <x:c r="D27" s="17"/>
      <x:c r="E27" s="17"/>
      <x:c r="F27" s="17"/>
      <x:c r="G27" s="17"/>
      <x:c r="H27" s="18"/>
      <x:c r="I27" s="17"/>
      <x:c r="J27" s="17"/>
      <x:c r="K27" s="19"/>
      <x:c r="L27" s="19"/>
      <x:c r="M27" s="17"/>
      <x:c r="N27" s="18"/>
      <x:c r="O27" s="17"/>
      <x:c r="P27" s="17"/>
      <x:c r="Q27" s="19"/>
      <x:c r="R27" s="17"/>
    </x:row>
    <x:row r="28">
      <x:c r="A28" s="17"/>
      <x:c r="B28" s="17"/>
      <x:c r="C28" s="17"/>
      <x:c r="D28" s="17"/>
      <x:c r="E28" s="17"/>
      <x:c r="F28" s="17"/>
      <x:c r="G28" s="17"/>
      <x:c r="H28" s="18"/>
      <x:c r="I28" s="17"/>
      <x:c r="J28" s="17"/>
      <x:c r="K28" s="19"/>
      <x:c r="L28" s="19"/>
      <x:c r="M28" s="17"/>
      <x:c r="N28" s="18"/>
      <x:c r="O28" s="17"/>
      <x:c r="P28" s="17"/>
      <x:c r="Q28" s="19"/>
      <x:c r="R28" s="17"/>
    </x:row>
    <x:row r="29">
      <x:c r="A29" s="17"/>
      <x:c r="B29" s="17"/>
      <x:c r="C29" s="17"/>
      <x:c r="D29" s="17"/>
      <x:c r="E29" s="17"/>
      <x:c r="F29" s="17"/>
      <x:c r="G29" s="17"/>
      <x:c r="H29" s="18"/>
      <x:c r="I29" s="17"/>
      <x:c r="J29" s="17"/>
      <x:c r="K29" s="19"/>
      <x:c r="L29" s="19"/>
      <x:c r="M29" s="17"/>
      <x:c r="N29" s="18"/>
      <x:c r="O29" s="17"/>
      <x:c r="P29" s="17"/>
      <x:c r="Q29" s="19"/>
      <x:c r="R29" s="17"/>
    </x:row>
    <x:row r="30">
      <x:c r="A30" s="17"/>
      <x:c r="B30" s="17"/>
      <x:c r="C30" s="17"/>
      <x:c r="D30" s="17"/>
      <x:c r="E30" s="17"/>
      <x:c r="F30" s="17"/>
      <x:c r="G30" s="17"/>
      <x:c r="H30" s="18"/>
      <x:c r="I30" s="17"/>
      <x:c r="J30" s="17"/>
      <x:c r="K30" s="19"/>
      <x:c r="L30" s="19"/>
      <x:c r="M30" s="17"/>
      <x:c r="N30" s="18"/>
      <x:c r="O30" s="17"/>
      <x:c r="P30" s="17"/>
      <x:c r="Q30" s="19"/>
      <x:c r="R30" s="17"/>
    </x:row>
    <x:row r="31">
      <x:c r="A31" s="17"/>
      <x:c r="B31" s="17"/>
      <x:c r="C31" s="17"/>
      <x:c r="D31" s="17"/>
      <x:c r="E31" s="17"/>
      <x:c r="F31" s="17"/>
      <x:c r="G31" s="17"/>
      <x:c r="H31" s="18"/>
      <x:c r="I31" s="17"/>
      <x:c r="J31" s="17"/>
      <x:c r="K31" s="19"/>
      <x:c r="L31" s="19"/>
      <x:c r="M31" s="17"/>
      <x:c r="N31" s="18"/>
      <x:c r="O31" s="17"/>
      <x:c r="P31" s="17"/>
      <x:c r="Q31" s="19"/>
      <x:c r="R31" s="17"/>
    </x:row>
    <x:row r="32">
      <x:c r="A32" s="17"/>
      <x:c r="B32" s="17"/>
      <x:c r="C32" s="17"/>
      <x:c r="D32" s="17"/>
      <x:c r="E32" s="17"/>
      <x:c r="F32" s="17"/>
      <x:c r="G32" s="17"/>
      <x:c r="H32" s="18"/>
      <x:c r="I32" s="17"/>
      <x:c r="J32" s="17"/>
      <x:c r="K32" s="19"/>
      <x:c r="L32" s="19"/>
      <x:c r="M32" s="17"/>
      <x:c r="N32" s="18"/>
      <x:c r="O32" s="17"/>
      <x:c r="P32" s="17"/>
      <x:c r="Q32" s="19"/>
      <x:c r="R32" s="17"/>
    </x:row>
    <x:row r="33">
      <x:c r="A33" s="17"/>
      <x:c r="B33" s="17"/>
      <x:c r="C33" s="17"/>
      <x:c r="D33" s="17"/>
      <x:c r="E33" s="17"/>
      <x:c r="F33" s="17"/>
      <x:c r="G33" s="17"/>
      <x:c r="H33" s="18"/>
      <x:c r="I33" s="17"/>
      <x:c r="J33" s="17"/>
      <x:c r="K33" s="19"/>
      <x:c r="L33" s="19"/>
      <x:c r="M33" s="17"/>
      <x:c r="N33" s="18"/>
      <x:c r="O33" s="17"/>
      <x:c r="P33" s="17"/>
      <x:c r="Q33" s="19"/>
      <x:c r="R33" s="17"/>
    </x:row>
    <x:row r="34">
      <x:c r="A34" s="17"/>
      <x:c r="B34" s="17"/>
      <x:c r="C34" s="17"/>
      <x:c r="D34" s="17"/>
      <x:c r="E34" s="17"/>
      <x:c r="F34" s="17"/>
      <x:c r="G34" s="17"/>
      <x:c r="H34" s="18"/>
      <x:c r="I34" s="17"/>
      <x:c r="J34" s="17"/>
      <x:c r="K34" s="19"/>
      <x:c r="L34" s="19"/>
      <x:c r="M34" s="17"/>
      <x:c r="N34" s="18"/>
      <x:c r="O34" s="17"/>
      <x:c r="P34" s="17"/>
      <x:c r="Q34" s="19"/>
      <x:c r="R34" s="17"/>
    </x:row>
    <x:row r="35">
      <x:c r="A35" s="17"/>
      <x:c r="B35" s="17"/>
      <x:c r="C35" s="17"/>
      <x:c r="D35" s="17"/>
      <x:c r="E35" s="17"/>
      <x:c r="F35" s="17"/>
      <x:c r="G35" s="17"/>
      <x:c r="H35" s="18"/>
      <x:c r="I35" s="17"/>
      <x:c r="J35" s="17"/>
      <x:c r="K35" s="19"/>
      <x:c r="L35" s="19"/>
      <x:c r="M35" s="17"/>
      <x:c r="N35" s="18"/>
      <x:c r="O35" s="17"/>
      <x:c r="P35" s="17"/>
      <x:c r="Q35" s="19"/>
      <x:c r="R35" s="17"/>
    </x:row>
    <x:row r="36">
      <x:c r="A36" s="17"/>
      <x:c r="B36" s="17"/>
      <x:c r="C36" s="17"/>
      <x:c r="D36" s="17"/>
      <x:c r="E36" s="17"/>
      <x:c r="F36" s="17"/>
      <x:c r="G36" s="17"/>
      <x:c r="H36" s="18"/>
      <x:c r="I36" s="17"/>
      <x:c r="J36" s="17"/>
      <x:c r="K36" s="19"/>
      <x:c r="L36" s="19"/>
      <x:c r="M36" s="17"/>
      <x:c r="N36" s="18"/>
      <x:c r="O36" s="17"/>
      <x:c r="P36" s="17"/>
      <x:c r="Q36" s="19"/>
      <x:c r="R36" s="17"/>
    </x:row>
    <x:row r="37">
      <x:c r="A37" s="17"/>
      <x:c r="B37" s="17"/>
      <x:c r="C37" s="17"/>
      <x:c r="D37" s="17"/>
      <x:c r="E37" s="17"/>
      <x:c r="F37" s="17"/>
      <x:c r="G37" s="17"/>
      <x:c r="H37" s="18"/>
      <x:c r="I37" s="17"/>
      <x:c r="J37" s="17"/>
      <x:c r="K37" s="19"/>
      <x:c r="L37" s="19"/>
      <x:c r="M37" s="17"/>
      <x:c r="N37" s="18"/>
      <x:c r="O37" s="17"/>
      <x:c r="P37" s="17"/>
      <x:c r="Q37" s="19"/>
      <x:c r="R37" s="17"/>
    </x:row>
    <x:row r="38">
      <x:c r="A38" s="17"/>
      <x:c r="B38" s="17"/>
      <x:c r="C38" s="17"/>
      <x:c r="D38" s="17"/>
      <x:c r="E38" s="17"/>
      <x:c r="F38" s="17"/>
      <x:c r="G38" s="17"/>
      <x:c r="H38" s="18"/>
      <x:c r="I38" s="17"/>
      <x:c r="J38" s="17"/>
      <x:c r="K38" s="19"/>
      <x:c r="L38" s="19"/>
      <x:c r="M38" s="17"/>
      <x:c r="N38" s="18"/>
      <x:c r="O38" s="17"/>
      <x:c r="P38" s="17"/>
      <x:c r="Q38" s="19"/>
      <x:c r="R38" s="17"/>
    </x:row>
    <x:row r="39">
      <x:c r="A39" s="17"/>
      <x:c r="B39" s="17"/>
      <x:c r="C39" s="17"/>
      <x:c r="D39" s="17"/>
      <x:c r="E39" s="17"/>
      <x:c r="F39" s="17"/>
      <x:c r="G39" s="17"/>
      <x:c r="H39" s="18"/>
      <x:c r="I39" s="17"/>
      <x:c r="J39" s="17"/>
      <x:c r="K39" s="19"/>
      <x:c r="L39" s="19"/>
      <x:c r="M39" s="17"/>
      <x:c r="N39" s="18"/>
      <x:c r="O39" s="17"/>
      <x:c r="P39" s="17"/>
      <x:c r="Q39" s="19"/>
      <x:c r="R39" s="17"/>
    </x:row>
    <x:row r="40">
      <x:c r="A40" s="17"/>
      <x:c r="B40" s="17"/>
      <x:c r="C40" s="17"/>
      <x:c r="D40" s="17"/>
      <x:c r="E40" s="17"/>
      <x:c r="F40" s="17"/>
      <x:c r="G40" s="17"/>
      <x:c r="H40" s="18"/>
      <x:c r="I40" s="17"/>
      <x:c r="J40" s="17"/>
      <x:c r="K40" s="19"/>
      <x:c r="L40" s="19"/>
      <x:c r="M40" s="17"/>
      <x:c r="N40" s="18"/>
      <x:c r="O40" s="17"/>
      <x:c r="P40" s="17"/>
      <x:c r="Q40" s="19"/>
      <x:c r="R40" s="17"/>
    </x:row>
    <x:row r="41">
      <x:c r="A41" s="17"/>
      <x:c r="B41" s="17"/>
      <x:c r="C41" s="17"/>
      <x:c r="D41" s="17"/>
      <x:c r="E41" s="17"/>
      <x:c r="F41" s="17"/>
      <x:c r="G41" s="17"/>
      <x:c r="H41" s="18"/>
      <x:c r="I41" s="17"/>
      <x:c r="J41" s="17"/>
      <x:c r="K41" s="19"/>
      <x:c r="L41" s="19"/>
      <x:c r="M41" s="17"/>
      <x:c r="N41" s="18"/>
      <x:c r="O41" s="17"/>
      <x:c r="P41" s="17"/>
      <x:c r="Q41" s="19"/>
      <x:c r="R41" s="17"/>
    </x:row>
    <x:row r="42">
      <x:c r="A42" s="17"/>
      <x:c r="B42" s="17"/>
      <x:c r="C42" s="17"/>
      <x:c r="D42" s="17"/>
      <x:c r="E42" s="17"/>
      <x:c r="F42" s="17"/>
      <x:c r="G42" s="17"/>
      <x:c r="H42" s="18"/>
      <x:c r="I42" s="17"/>
      <x:c r="J42" s="17"/>
      <x:c r="K42" s="19"/>
      <x:c r="L42" s="19"/>
      <x:c r="M42" s="17"/>
      <x:c r="N42" s="18"/>
      <x:c r="O42" s="17"/>
      <x:c r="P42" s="17"/>
      <x:c r="Q42" s="19"/>
      <x:c r="R42" s="17"/>
    </x:row>
    <x:row r="43">
      <x:c r="A43" s="17"/>
      <x:c r="B43" s="17"/>
      <x:c r="C43" s="17"/>
      <x:c r="D43" s="17"/>
      <x:c r="E43" s="17"/>
      <x:c r="F43" s="17"/>
      <x:c r="G43" s="17"/>
      <x:c r="H43" s="18"/>
      <x:c r="I43" s="17"/>
      <x:c r="J43" s="17"/>
      <x:c r="K43" s="19"/>
      <x:c r="L43" s="19"/>
      <x:c r="M43" s="17"/>
      <x:c r="N43" s="18"/>
      <x:c r="O43" s="17"/>
      <x:c r="P43" s="17"/>
      <x:c r="Q43" s="19"/>
      <x:c r="R43" s="17"/>
    </x:row>
    <x:row r="44">
      <x:c r="A44" s="17"/>
      <x:c r="B44" s="17"/>
      <x:c r="C44" s="17"/>
      <x:c r="D44" s="17"/>
      <x:c r="E44" s="17"/>
      <x:c r="F44" s="17"/>
      <x:c r="G44" s="17"/>
      <x:c r="H44" s="18"/>
      <x:c r="I44" s="17"/>
      <x:c r="J44" s="17"/>
      <x:c r="K44" s="19"/>
      <x:c r="L44" s="19"/>
      <x:c r="M44" s="17"/>
      <x:c r="N44" s="18"/>
      <x:c r="O44" s="17"/>
      <x:c r="P44" s="17"/>
      <x:c r="Q44" s="19"/>
      <x:c r="R44" s="17"/>
    </x:row>
    <x:row r="45">
      <x:c r="A45" s="17"/>
      <x:c r="B45" s="17"/>
      <x:c r="C45" s="17"/>
      <x:c r="D45" s="17"/>
      <x:c r="E45" s="17"/>
      <x:c r="F45" s="17"/>
      <x:c r="G45" s="17"/>
      <x:c r="H45" s="18"/>
      <x:c r="I45" s="17"/>
      <x:c r="J45" s="17"/>
      <x:c r="K45" s="19"/>
      <x:c r="L45" s="19"/>
      <x:c r="M45" s="17"/>
      <x:c r="N45" s="18"/>
      <x:c r="O45" s="17"/>
      <x:c r="P45" s="17"/>
      <x:c r="Q45" s="19"/>
      <x:c r="R45" s="17"/>
    </x:row>
    <x:row r="46">
      <x:c r="A46" s="17"/>
      <x:c r="B46" s="17"/>
      <x:c r="C46" s="17"/>
      <x:c r="D46" s="17"/>
      <x:c r="E46" s="17"/>
      <x:c r="F46" s="17"/>
      <x:c r="G46" s="17"/>
      <x:c r="H46" s="18"/>
      <x:c r="I46" s="17"/>
      <x:c r="J46" s="17"/>
      <x:c r="K46" s="19"/>
      <x:c r="L46" s="19"/>
      <x:c r="M46" s="17"/>
      <x:c r="N46" s="18"/>
      <x:c r="O46" s="17"/>
      <x:c r="P46" s="17"/>
      <x:c r="Q46" s="19"/>
      <x:c r="R46" s="17"/>
    </x:row>
    <x:row r="47">
      <x:c r="A47" s="17"/>
      <x:c r="B47" s="17"/>
      <x:c r="C47" s="17"/>
      <x:c r="D47" s="17"/>
      <x:c r="E47" s="17"/>
      <x:c r="F47" s="17"/>
      <x:c r="G47" s="17"/>
      <x:c r="H47" s="18"/>
      <x:c r="I47" s="17"/>
      <x:c r="J47" s="17"/>
      <x:c r="K47" s="19"/>
      <x:c r="L47" s="19"/>
      <x:c r="M47" s="17"/>
      <x:c r="N47" s="18"/>
      <x:c r="O47" s="17"/>
      <x:c r="P47" s="17"/>
      <x:c r="Q47" s="19"/>
      <x:c r="R47" s="17"/>
    </x:row>
    <x:row r="48">
      <x:c r="A48" s="17"/>
      <x:c r="B48" s="17"/>
      <x:c r="C48" s="17"/>
      <x:c r="D48" s="17"/>
      <x:c r="E48" s="17"/>
      <x:c r="F48" s="17"/>
      <x:c r="G48" s="17"/>
      <x:c r="H48" s="18"/>
      <x:c r="I48" s="17"/>
      <x:c r="J48" s="17"/>
      <x:c r="K48" s="19"/>
      <x:c r="L48" s="19"/>
      <x:c r="M48" s="17"/>
      <x:c r="N48" s="18"/>
      <x:c r="O48" s="17"/>
      <x:c r="P48" s="17"/>
      <x:c r="Q48" s="19"/>
      <x:c r="R48" s="17"/>
    </x:row>
    <x:row r="49">
      <x:c r="A49" s="17"/>
      <x:c r="B49" s="17"/>
      <x:c r="C49" s="17"/>
      <x:c r="D49" s="17"/>
      <x:c r="E49" s="17"/>
      <x:c r="F49" s="17"/>
      <x:c r="G49" s="17"/>
      <x:c r="H49" s="18"/>
      <x:c r="I49" s="17"/>
      <x:c r="J49" s="17"/>
      <x:c r="K49" s="19"/>
      <x:c r="L49" s="19"/>
      <x:c r="M49" s="17"/>
      <x:c r="N49" s="18"/>
      <x:c r="O49" s="17"/>
      <x:c r="P49" s="17"/>
      <x:c r="Q49" s="19"/>
      <x:c r="R49" s="17"/>
    </x:row>
    <x:row r="50">
      <x:c r="A50" s="17"/>
      <x:c r="B50" s="17"/>
      <x:c r="C50" s="17"/>
      <x:c r="D50" s="17"/>
      <x:c r="E50" s="17"/>
      <x:c r="F50" s="17"/>
      <x:c r="G50" s="17"/>
      <x:c r="H50" s="18"/>
      <x:c r="I50" s="17"/>
      <x:c r="J50" s="17"/>
      <x:c r="K50" s="19"/>
      <x:c r="L50" s="19"/>
      <x:c r="M50" s="17"/>
      <x:c r="N50" s="18"/>
      <x:c r="O50" s="17"/>
      <x:c r="P50" s="17"/>
      <x:c r="Q50" s="19"/>
      <x:c r="R50" s="17"/>
    </x:row>
    <x:row r="51">
      <x:c r="A51" s="17"/>
      <x:c r="B51" s="17"/>
      <x:c r="C51" s="17"/>
      <x:c r="D51" s="17"/>
      <x:c r="E51" s="17"/>
      <x:c r="F51" s="17"/>
      <x:c r="G51" s="17"/>
      <x:c r="H51" s="18"/>
      <x:c r="I51" s="17"/>
      <x:c r="J51" s="17"/>
      <x:c r="K51" s="19"/>
      <x:c r="L51" s="19"/>
      <x:c r="M51" s="17"/>
      <x:c r="N51" s="18"/>
      <x:c r="O51" s="17"/>
      <x:c r="P51" s="17"/>
      <x:c r="Q51" s="19"/>
      <x:c r="R51" s="17"/>
    </x:row>
    <x:row r="52">
      <x:c r="A52" s="17"/>
      <x:c r="B52" s="17"/>
      <x:c r="C52" s="17"/>
      <x:c r="D52" s="17"/>
      <x:c r="E52" s="17"/>
      <x:c r="F52" s="17"/>
      <x:c r="G52" s="17"/>
      <x:c r="H52" s="18"/>
      <x:c r="I52" s="17"/>
      <x:c r="J52" s="17"/>
      <x:c r="K52" s="19"/>
      <x:c r="L52" s="19"/>
      <x:c r="M52" s="17"/>
      <x:c r="N52" s="18"/>
      <x:c r="O52" s="17"/>
      <x:c r="P52" s="17"/>
      <x:c r="Q52" s="19"/>
      <x:c r="R52" s="17"/>
    </x:row>
    <x:row r="53">
      <x:c r="A53" s="17"/>
      <x:c r="B53" s="17"/>
      <x:c r="C53" s="17"/>
      <x:c r="D53" s="17"/>
      <x:c r="E53" s="17"/>
      <x:c r="F53" s="17"/>
      <x:c r="G53" s="17"/>
      <x:c r="H53" s="18"/>
      <x:c r="I53" s="17"/>
      <x:c r="J53" s="17"/>
      <x:c r="K53" s="19"/>
      <x:c r="L53" s="19"/>
      <x:c r="M53" s="17"/>
      <x:c r="N53" s="18"/>
      <x:c r="O53" s="17"/>
      <x:c r="P53" s="17"/>
      <x:c r="Q53" s="19"/>
      <x:c r="R53" s="17"/>
    </x:row>
    <x:row r="54">
      <x:c r="A54" s="17"/>
      <x:c r="B54" s="17"/>
      <x:c r="C54" s="17"/>
      <x:c r="D54" s="17"/>
      <x:c r="E54" s="17"/>
      <x:c r="F54" s="17"/>
      <x:c r="G54" s="17"/>
      <x:c r="H54" s="18"/>
      <x:c r="I54" s="17"/>
      <x:c r="J54" s="17"/>
      <x:c r="K54" s="19"/>
      <x:c r="L54" s="19"/>
      <x:c r="M54" s="17"/>
      <x:c r="N54" s="18"/>
      <x:c r="O54" s="17"/>
      <x:c r="P54" s="17"/>
      <x:c r="Q54" s="19"/>
      <x:c r="R54" s="17"/>
    </x:row>
    <x:row r="55">
      <x:c r="A55" s="17"/>
      <x:c r="B55" s="17"/>
      <x:c r="C55" s="17"/>
      <x:c r="D55" s="17"/>
      <x:c r="E55" s="17"/>
      <x:c r="F55" s="17"/>
      <x:c r="G55" s="17"/>
      <x:c r="H55" s="18"/>
      <x:c r="I55" s="17"/>
      <x:c r="J55" s="17"/>
      <x:c r="K55" s="19"/>
      <x:c r="L55" s="19"/>
      <x:c r="M55" s="17"/>
      <x:c r="N55" s="18"/>
      <x:c r="O55" s="17"/>
      <x:c r="P55" s="17"/>
      <x:c r="Q55" s="19"/>
      <x:c r="R55" s="17"/>
    </x:row>
    <x:row r="56">
      <x:c r="A56" s="17"/>
      <x:c r="B56" s="17"/>
      <x:c r="C56" s="17"/>
      <x:c r="D56" s="17"/>
      <x:c r="E56" s="17"/>
      <x:c r="F56" s="17"/>
      <x:c r="G56" s="17"/>
      <x:c r="H56" s="18"/>
      <x:c r="I56" s="17"/>
      <x:c r="J56" s="17"/>
      <x:c r="K56" s="19"/>
      <x:c r="L56" s="19"/>
      <x:c r="M56" s="17"/>
      <x:c r="N56" s="18"/>
      <x:c r="O56" s="17"/>
      <x:c r="P56" s="17"/>
      <x:c r="Q56" s="19"/>
      <x:c r="R56" s="17"/>
    </x:row>
    <x:row r="57">
      <x:c r="A57" s="17"/>
      <x:c r="B57" s="17"/>
      <x:c r="C57" s="17"/>
      <x:c r="D57" s="17"/>
      <x:c r="E57" s="17"/>
      <x:c r="F57" s="17"/>
      <x:c r="G57" s="17"/>
      <x:c r="H57" s="18"/>
      <x:c r="I57" s="17"/>
      <x:c r="J57" s="17"/>
      <x:c r="K57" s="19"/>
      <x:c r="L57" s="19"/>
      <x:c r="M57" s="17"/>
      <x:c r="N57" s="18"/>
      <x:c r="O57" s="17"/>
      <x:c r="P57" s="17"/>
      <x:c r="Q57" s="19"/>
      <x:c r="R57" s="17"/>
    </x:row>
    <x:row r="58">
      <x:c r="A58" s="17"/>
      <x:c r="B58" s="17"/>
      <x:c r="C58" s="17"/>
      <x:c r="D58" s="17"/>
      <x:c r="E58" s="17"/>
      <x:c r="F58" s="17"/>
      <x:c r="G58" s="17"/>
      <x:c r="H58" s="18"/>
      <x:c r="I58" s="17"/>
      <x:c r="J58" s="17"/>
      <x:c r="K58" s="19"/>
      <x:c r="L58" s="19"/>
      <x:c r="M58" s="17"/>
      <x:c r="N58" s="18"/>
      <x:c r="O58" s="17"/>
      <x:c r="P58" s="17"/>
      <x:c r="Q58" s="19"/>
      <x:c r="R58" s="17"/>
    </x:row>
    <x:row r="59">
      <x:c r="A59" s="17"/>
      <x:c r="B59" s="17"/>
      <x:c r="C59" s="17"/>
      <x:c r="D59" s="17"/>
      <x:c r="E59" s="17"/>
      <x:c r="F59" s="17"/>
      <x:c r="G59" s="17"/>
      <x:c r="H59" s="18"/>
      <x:c r="I59" s="17"/>
      <x:c r="J59" s="17"/>
      <x:c r="K59" s="19"/>
      <x:c r="L59" s="19"/>
      <x:c r="M59" s="17"/>
      <x:c r="N59" s="18"/>
      <x:c r="O59" s="17"/>
      <x:c r="P59" s="17"/>
      <x:c r="Q59" s="19"/>
      <x:c r="R59" s="17"/>
    </x:row>
    <x:row r="60">
      <x:c r="A60" s="17"/>
      <x:c r="B60" s="17"/>
      <x:c r="C60" s="17"/>
      <x:c r="D60" s="17"/>
      <x:c r="E60" s="17"/>
      <x:c r="F60" s="17"/>
      <x:c r="G60" s="17"/>
      <x:c r="H60" s="18"/>
      <x:c r="I60" s="17"/>
      <x:c r="J60" s="17"/>
      <x:c r="K60" s="19"/>
      <x:c r="L60" s="19"/>
      <x:c r="M60" s="17"/>
      <x:c r="N60" s="18"/>
      <x:c r="O60" s="17"/>
      <x:c r="P60" s="17"/>
      <x:c r="Q60" s="19"/>
      <x:c r="R60" s="17"/>
    </x:row>
    <x:row r="61">
      <x:c r="A61" s="17"/>
      <x:c r="B61" s="17"/>
      <x:c r="C61" s="17"/>
      <x:c r="D61" s="17"/>
      <x:c r="E61" s="17"/>
      <x:c r="F61" s="17"/>
      <x:c r="G61" s="17"/>
      <x:c r="H61" s="18"/>
      <x:c r="I61" s="17"/>
      <x:c r="J61" s="17"/>
      <x:c r="K61" s="19"/>
      <x:c r="L61" s="19"/>
      <x:c r="M61" s="17"/>
      <x:c r="N61" s="18"/>
      <x:c r="O61" s="17"/>
      <x:c r="P61" s="17"/>
      <x:c r="Q61" s="19"/>
      <x:c r="R61" s="17"/>
    </x:row>
    <x:row r="62">
      <x:c r="A62" s="17"/>
      <x:c r="B62" s="17"/>
      <x:c r="C62" s="17"/>
      <x:c r="D62" s="17"/>
      <x:c r="E62" s="17"/>
      <x:c r="F62" s="17"/>
      <x:c r="G62" s="17"/>
      <x:c r="H62" s="18"/>
      <x:c r="I62" s="17"/>
      <x:c r="J62" s="17"/>
      <x:c r="K62" s="19"/>
      <x:c r="L62" s="19"/>
      <x:c r="M62" s="17"/>
      <x:c r="N62" s="18"/>
      <x:c r="O62" s="17"/>
      <x:c r="P62" s="17"/>
      <x:c r="Q62" s="19"/>
      <x:c r="R62" s="17"/>
    </x:row>
    <x:row r="63">
      <x:c r="A63" s="17"/>
      <x:c r="B63" s="17"/>
      <x:c r="C63" s="17"/>
      <x:c r="D63" s="17"/>
      <x:c r="E63" s="17"/>
      <x:c r="F63" s="17"/>
      <x:c r="G63" s="17"/>
      <x:c r="H63" s="18"/>
      <x:c r="I63" s="17"/>
      <x:c r="J63" s="17"/>
      <x:c r="K63" s="19"/>
      <x:c r="L63" s="19"/>
      <x:c r="M63" s="17"/>
      <x:c r="N63" s="18"/>
      <x:c r="O63" s="17"/>
      <x:c r="P63" s="17"/>
      <x:c r="Q63" s="19"/>
      <x:c r="R63" s="17"/>
    </x:row>
    <x:row r="64">
      <x:c r="A64" s="17"/>
      <x:c r="B64" s="17"/>
      <x:c r="C64" s="17"/>
      <x:c r="D64" s="17"/>
      <x:c r="E64" s="17"/>
      <x:c r="F64" s="17"/>
      <x:c r="G64" s="17"/>
      <x:c r="H64" s="18"/>
      <x:c r="I64" s="17"/>
      <x:c r="J64" s="17"/>
      <x:c r="K64" s="19"/>
      <x:c r="L64" s="19"/>
      <x:c r="M64" s="17"/>
      <x:c r="N64" s="18"/>
      <x:c r="O64" s="17"/>
      <x:c r="P64" s="17"/>
      <x:c r="Q64" s="19"/>
      <x:c r="R64" s="17"/>
    </x:row>
    <x:row r="65">
      <x:c r="A65" s="17"/>
      <x:c r="B65" s="17"/>
      <x:c r="C65" s="17"/>
      <x:c r="D65" s="17"/>
      <x:c r="E65" s="17"/>
      <x:c r="F65" s="17"/>
      <x:c r="G65" s="17"/>
      <x:c r="H65" s="18"/>
      <x:c r="I65" s="17"/>
      <x:c r="J65" s="17"/>
      <x:c r="K65" s="19"/>
      <x:c r="L65" s="19"/>
      <x:c r="M65" s="17"/>
      <x:c r="N65" s="18"/>
      <x:c r="O65" s="17"/>
      <x:c r="P65" s="17"/>
      <x:c r="Q65" s="19"/>
      <x:c r="R65" s="17"/>
    </x:row>
    <x:row r="66">
      <x:c r="A66" s="17"/>
      <x:c r="B66" s="17"/>
      <x:c r="C66" s="17"/>
      <x:c r="D66" s="17"/>
      <x:c r="E66" s="17"/>
      <x:c r="F66" s="17"/>
      <x:c r="G66" s="17"/>
      <x:c r="H66" s="18"/>
      <x:c r="I66" s="17"/>
      <x:c r="J66" s="17"/>
      <x:c r="K66" s="19"/>
      <x:c r="L66" s="19"/>
      <x:c r="M66" s="17"/>
      <x:c r="N66" s="18"/>
      <x:c r="O66" s="17"/>
      <x:c r="P66" s="17"/>
      <x:c r="Q66" s="19"/>
      <x:c r="R66" s="17"/>
    </x:row>
    <x:row r="67">
      <x:c r="A67" s="17"/>
      <x:c r="B67" s="17"/>
      <x:c r="C67" s="17"/>
      <x:c r="D67" s="17"/>
      <x:c r="E67" s="17"/>
      <x:c r="F67" s="17"/>
      <x:c r="G67" s="17"/>
      <x:c r="H67" s="18"/>
      <x:c r="I67" s="17"/>
      <x:c r="J67" s="17"/>
      <x:c r="K67" s="19"/>
      <x:c r="L67" s="19"/>
      <x:c r="M67" s="17"/>
      <x:c r="N67" s="18"/>
      <x:c r="O67" s="17"/>
      <x:c r="P67" s="17"/>
      <x:c r="Q67" s="19"/>
      <x:c r="R67" s="17"/>
    </x:row>
    <x:row r="68">
      <x:c r="A68" s="17"/>
      <x:c r="B68" s="17"/>
      <x:c r="C68" s="17"/>
      <x:c r="D68" s="17"/>
      <x:c r="E68" s="17"/>
      <x:c r="F68" s="17"/>
      <x:c r="G68" s="17"/>
      <x:c r="H68" s="18"/>
      <x:c r="I68" s="17"/>
      <x:c r="J68" s="17"/>
      <x:c r="K68" s="19"/>
      <x:c r="L68" s="19"/>
      <x:c r="M68" s="17"/>
      <x:c r="N68" s="18"/>
      <x:c r="O68" s="17"/>
      <x:c r="P68" s="17"/>
      <x:c r="Q68" s="19"/>
      <x:c r="R68" s="17"/>
    </x:row>
    <x:row r="69">
      <x:c r="A69" s="17"/>
      <x:c r="B69" s="17"/>
      <x:c r="C69" s="17"/>
      <x:c r="D69" s="17"/>
      <x:c r="E69" s="17"/>
      <x:c r="F69" s="17"/>
      <x:c r="G69" s="17"/>
      <x:c r="H69" s="18"/>
      <x:c r="I69" s="17"/>
      <x:c r="J69" s="17"/>
      <x:c r="K69" s="19"/>
      <x:c r="L69" s="19"/>
      <x:c r="M69" s="17"/>
      <x:c r="N69" s="18"/>
      <x:c r="O69" s="17"/>
      <x:c r="P69" s="17"/>
      <x:c r="Q69" s="19"/>
      <x:c r="R69" s="17"/>
    </x:row>
    <x:row r="70">
      <x:c r="A70" s="17"/>
      <x:c r="B70" s="17"/>
      <x:c r="C70" s="17"/>
      <x:c r="D70" s="17"/>
      <x:c r="E70" s="17"/>
      <x:c r="F70" s="17"/>
      <x:c r="G70" s="17"/>
      <x:c r="H70" s="18"/>
      <x:c r="I70" s="17"/>
      <x:c r="J70" s="17"/>
      <x:c r="K70" s="19"/>
      <x:c r="L70" s="19"/>
      <x:c r="M70" s="17"/>
      <x:c r="N70" s="18"/>
      <x:c r="O70" s="17"/>
      <x:c r="P70" s="17"/>
      <x:c r="Q70" s="19"/>
      <x:c r="R70" s="17"/>
    </x:row>
    <x:row r="71">
      <x:c r="A71" s="17"/>
      <x:c r="B71" s="17"/>
      <x:c r="C71" s="17"/>
      <x:c r="D71" s="17"/>
      <x:c r="E71" s="17"/>
      <x:c r="F71" s="17"/>
      <x:c r="G71" s="17"/>
      <x:c r="H71" s="18"/>
      <x:c r="I71" s="17"/>
      <x:c r="J71" s="17"/>
      <x:c r="K71" s="19"/>
      <x:c r="L71" s="19"/>
      <x:c r="M71" s="17"/>
      <x:c r="N71" s="18"/>
      <x:c r="O71" s="17"/>
      <x:c r="P71" s="17"/>
      <x:c r="Q71" s="19"/>
      <x:c r="R71" s="17"/>
    </x:row>
    <x:row r="72">
      <x:c r="A72" s="17"/>
      <x:c r="B72" s="17"/>
      <x:c r="C72" s="17"/>
      <x:c r="D72" s="17"/>
      <x:c r="E72" s="17"/>
      <x:c r="F72" s="17"/>
      <x:c r="G72" s="17"/>
      <x:c r="H72" s="18"/>
      <x:c r="I72" s="17"/>
      <x:c r="J72" s="17"/>
      <x:c r="K72" s="19"/>
      <x:c r="L72" s="19"/>
      <x:c r="M72" s="17"/>
      <x:c r="N72" s="18"/>
      <x:c r="O72" s="17"/>
      <x:c r="P72" s="17"/>
      <x:c r="Q72" s="19"/>
      <x:c r="R72" s="17"/>
    </x:row>
    <x:row r="73">
      <x:c r="A73" s="17"/>
      <x:c r="B73" s="17"/>
      <x:c r="C73" s="17"/>
      <x:c r="D73" s="17"/>
      <x:c r="E73" s="17"/>
      <x:c r="F73" s="17"/>
      <x:c r="G73" s="17"/>
      <x:c r="H73" s="18"/>
      <x:c r="I73" s="17"/>
      <x:c r="J73" s="17"/>
      <x:c r="K73" s="19"/>
      <x:c r="L73" s="19"/>
      <x:c r="M73" s="17"/>
      <x:c r="N73" s="18"/>
      <x:c r="O73" s="17"/>
      <x:c r="P73" s="17"/>
      <x:c r="Q73" s="19"/>
      <x:c r="R73" s="17"/>
    </x:row>
    <x:row r="74">
      <x:c r="A74" s="17"/>
      <x:c r="B74" s="17"/>
      <x:c r="C74" s="17"/>
      <x:c r="D74" s="17"/>
      <x:c r="E74" s="17"/>
      <x:c r="F74" s="17"/>
      <x:c r="G74" s="17"/>
      <x:c r="H74" s="18"/>
      <x:c r="I74" s="17"/>
      <x:c r="J74" s="17"/>
      <x:c r="K74" s="19"/>
      <x:c r="L74" s="19"/>
      <x:c r="M74" s="17"/>
      <x:c r="N74" s="18"/>
      <x:c r="O74" s="17"/>
      <x:c r="P74" s="17"/>
      <x:c r="Q74" s="19"/>
      <x:c r="R74" s="17"/>
    </x:row>
    <x:row r="75">
      <x:c r="A75" s="17"/>
      <x:c r="B75" s="17"/>
      <x:c r="C75" s="17"/>
      <x:c r="D75" s="17"/>
      <x:c r="E75" s="17"/>
      <x:c r="F75" s="17"/>
      <x:c r="G75" s="17"/>
      <x:c r="H75" s="18"/>
      <x:c r="I75" s="17"/>
      <x:c r="J75" s="17"/>
      <x:c r="K75" s="19"/>
      <x:c r="L75" s="19"/>
      <x:c r="M75" s="17"/>
      <x:c r="N75" s="18"/>
      <x:c r="O75" s="17"/>
      <x:c r="P75" s="17"/>
      <x:c r="Q75" s="19"/>
      <x:c r="R75" s="17"/>
    </x:row>
    <x:row r="76">
      <x:c r="A76" s="17"/>
      <x:c r="B76" s="17"/>
      <x:c r="C76" s="17"/>
      <x:c r="D76" s="17"/>
      <x:c r="E76" s="17"/>
      <x:c r="F76" s="17"/>
      <x:c r="G76" s="17"/>
      <x:c r="H76" s="18"/>
      <x:c r="I76" s="17"/>
      <x:c r="J76" s="17"/>
      <x:c r="K76" s="19"/>
      <x:c r="L76" s="19"/>
      <x:c r="M76" s="17"/>
      <x:c r="N76" s="18"/>
      <x:c r="O76" s="17"/>
      <x:c r="P76" s="17"/>
      <x:c r="Q76" s="19"/>
      <x:c r="R76" s="17"/>
    </x:row>
    <x:row r="77">
      <x:c r="A77" s="17"/>
      <x:c r="B77" s="17"/>
      <x:c r="C77" s="17"/>
      <x:c r="D77" s="17"/>
      <x:c r="E77" s="17"/>
      <x:c r="F77" s="17"/>
      <x:c r="G77" s="17"/>
      <x:c r="H77" s="18"/>
      <x:c r="I77" s="17"/>
      <x:c r="J77" s="17"/>
      <x:c r="K77" s="19"/>
      <x:c r="L77" s="19"/>
      <x:c r="M77" s="17"/>
      <x:c r="N77" s="18"/>
      <x:c r="O77" s="17"/>
      <x:c r="P77" s="17"/>
      <x:c r="Q77" s="19"/>
      <x:c r="R77" s="17"/>
    </x:row>
    <x:row r="78">
      <x:c r="A78" s="17"/>
      <x:c r="B78" s="17"/>
      <x:c r="C78" s="17"/>
      <x:c r="D78" s="17"/>
      <x:c r="E78" s="17"/>
      <x:c r="F78" s="17"/>
      <x:c r="G78" s="17"/>
      <x:c r="H78" s="18"/>
      <x:c r="I78" s="17"/>
      <x:c r="J78" s="17"/>
      <x:c r="K78" s="19"/>
      <x:c r="L78" s="19"/>
      <x:c r="M78" s="17"/>
      <x:c r="N78" s="18"/>
      <x:c r="O78" s="17"/>
      <x:c r="P78" s="17"/>
      <x:c r="Q78" s="19"/>
      <x:c r="R78" s="17"/>
    </x:row>
    <x:row r="79">
      <x:c r="A79" s="17"/>
      <x:c r="B79" s="17"/>
      <x:c r="C79" s="17"/>
      <x:c r="D79" s="17"/>
      <x:c r="E79" s="17"/>
      <x:c r="F79" s="17"/>
      <x:c r="G79" s="17"/>
      <x:c r="H79" s="18"/>
      <x:c r="I79" s="17"/>
      <x:c r="J79" s="17"/>
      <x:c r="K79" s="19"/>
      <x:c r="L79" s="19"/>
      <x:c r="M79" s="17"/>
      <x:c r="N79" s="18"/>
      <x:c r="O79" s="17"/>
      <x:c r="P79" s="17"/>
      <x:c r="Q79" s="19"/>
      <x:c r="R79" s="17"/>
    </x:row>
    <x:row r="80">
      <x:c r="A80" s="17"/>
      <x:c r="B80" s="17"/>
      <x:c r="C80" s="17"/>
      <x:c r="D80" s="17"/>
      <x:c r="E80" s="17"/>
      <x:c r="F80" s="17"/>
      <x:c r="G80" s="17"/>
      <x:c r="H80" s="18"/>
      <x:c r="I80" s="17"/>
      <x:c r="J80" s="17"/>
      <x:c r="K80" s="19"/>
      <x:c r="L80" s="19"/>
      <x:c r="M80" s="17"/>
      <x:c r="N80" s="18"/>
      <x:c r="O80" s="17"/>
      <x:c r="P80" s="17"/>
      <x:c r="Q80" s="19"/>
      <x:c r="R80" s="17"/>
    </x:row>
    <x:row r="81">
      <x:c r="A81" s="17"/>
      <x:c r="B81" s="17"/>
      <x:c r="C81" s="17"/>
      <x:c r="D81" s="17"/>
      <x:c r="E81" s="17"/>
      <x:c r="F81" s="17"/>
      <x:c r="G81" s="17"/>
      <x:c r="H81" s="18"/>
      <x:c r="I81" s="17"/>
      <x:c r="J81" s="17"/>
      <x:c r="K81" s="19"/>
      <x:c r="L81" s="19"/>
      <x:c r="M81" s="17"/>
      <x:c r="N81" s="18"/>
      <x:c r="O81" s="17"/>
      <x:c r="P81" s="17"/>
      <x:c r="Q81" s="19"/>
      <x:c r="R81" s="17"/>
    </x:row>
    <x:row r="82">
      <x:c r="A82" s="17"/>
      <x:c r="B82" s="17"/>
      <x:c r="C82" s="17"/>
      <x:c r="D82" s="17"/>
      <x:c r="E82" s="17"/>
      <x:c r="F82" s="17"/>
      <x:c r="G82" s="17"/>
      <x:c r="H82" s="18"/>
      <x:c r="I82" s="17"/>
      <x:c r="J82" s="17"/>
      <x:c r="K82" s="19"/>
      <x:c r="L82" s="19"/>
      <x:c r="M82" s="17"/>
      <x:c r="N82" s="18"/>
      <x:c r="O82" s="17"/>
      <x:c r="P82" s="17"/>
      <x:c r="Q82" s="19"/>
      <x:c r="R82" s="17"/>
    </x:row>
    <x:row r="83">
      <x:c r="A83" s="17"/>
      <x:c r="B83" s="17"/>
      <x:c r="C83" s="17"/>
      <x:c r="D83" s="17"/>
      <x:c r="E83" s="17"/>
      <x:c r="F83" s="17"/>
      <x:c r="G83" s="17"/>
      <x:c r="H83" s="18"/>
      <x:c r="I83" s="17"/>
      <x:c r="J83" s="17"/>
      <x:c r="K83" s="19"/>
      <x:c r="L83" s="19"/>
      <x:c r="M83" s="17"/>
      <x:c r="N83" s="18"/>
      <x:c r="O83" s="17"/>
      <x:c r="P83" s="17"/>
      <x:c r="Q83" s="19"/>
      <x:c r="R83" s="17"/>
    </x:row>
    <x:row r="84">
      <x:c r="A84" s="17"/>
      <x:c r="B84" s="17"/>
      <x:c r="C84" s="17"/>
      <x:c r="D84" s="17"/>
      <x:c r="E84" s="17"/>
      <x:c r="F84" s="17"/>
      <x:c r="G84" s="17"/>
      <x:c r="H84" s="18"/>
      <x:c r="I84" s="17"/>
      <x:c r="J84" s="17"/>
      <x:c r="K84" s="19"/>
      <x:c r="L84" s="19"/>
      <x:c r="M84" s="17"/>
      <x:c r="N84" s="18"/>
      <x:c r="O84" s="17"/>
      <x:c r="P84" s="17"/>
      <x:c r="Q84" s="19"/>
      <x:c r="R84" s="17"/>
    </x:row>
    <x:row r="85">
      <x:c r="A85" s="17"/>
      <x:c r="B85" s="17"/>
      <x:c r="C85" s="17"/>
      <x:c r="D85" s="17"/>
      <x:c r="E85" s="17"/>
      <x:c r="F85" s="17"/>
      <x:c r="G85" s="17"/>
      <x:c r="H85" s="18"/>
      <x:c r="I85" s="17"/>
      <x:c r="J85" s="17"/>
      <x:c r="K85" s="19"/>
      <x:c r="L85" s="19"/>
      <x:c r="M85" s="17"/>
      <x:c r="N85" s="18"/>
      <x:c r="O85" s="17"/>
      <x:c r="P85" s="17"/>
      <x:c r="Q85" s="19"/>
      <x:c r="R85" s="17"/>
    </x:row>
    <x:row r="86">
      <x:c r="A86" s="17"/>
      <x:c r="B86" s="17"/>
      <x:c r="C86" s="17"/>
      <x:c r="D86" s="17"/>
      <x:c r="E86" s="17"/>
      <x:c r="F86" s="17"/>
      <x:c r="G86" s="17"/>
      <x:c r="H86" s="18"/>
      <x:c r="I86" s="17"/>
      <x:c r="J86" s="17"/>
      <x:c r="K86" s="19"/>
      <x:c r="L86" s="19"/>
      <x:c r="M86" s="17"/>
      <x:c r="N86" s="18"/>
      <x:c r="O86" s="17"/>
      <x:c r="P86" s="17"/>
      <x:c r="Q86" s="19"/>
      <x:c r="R86" s="17"/>
    </x:row>
    <x:row r="87">
      <x:c r="A87" s="17"/>
      <x:c r="B87" s="17"/>
      <x:c r="C87" s="17"/>
      <x:c r="D87" s="17"/>
      <x:c r="E87" s="17"/>
      <x:c r="F87" s="17"/>
      <x:c r="G87" s="17"/>
      <x:c r="H87" s="18"/>
      <x:c r="I87" s="17"/>
      <x:c r="J87" s="17"/>
      <x:c r="K87" s="19"/>
      <x:c r="L87" s="19"/>
      <x:c r="M87" s="17"/>
      <x:c r="N87" s="18"/>
      <x:c r="O87" s="17"/>
      <x:c r="P87" s="17"/>
      <x:c r="Q87" s="19"/>
      <x:c r="R87" s="17"/>
    </x:row>
    <x:row r="88">
      <x:c r="A88" s="17"/>
      <x:c r="B88" s="17"/>
      <x:c r="C88" s="17"/>
      <x:c r="D88" s="17"/>
      <x:c r="E88" s="17"/>
      <x:c r="F88" s="17"/>
      <x:c r="G88" s="17"/>
      <x:c r="H88" s="18"/>
      <x:c r="I88" s="17"/>
      <x:c r="J88" s="17"/>
      <x:c r="K88" s="19"/>
      <x:c r="L88" s="19"/>
      <x:c r="M88" s="17"/>
      <x:c r="N88" s="18"/>
      <x:c r="O88" s="17"/>
      <x:c r="P88" s="17"/>
      <x:c r="Q88" s="19"/>
      <x:c r="R88" s="17"/>
    </x:row>
    <x:row r="89">
      <x:c r="A89" s="17"/>
      <x:c r="B89" s="17"/>
      <x:c r="C89" s="17"/>
      <x:c r="D89" s="17"/>
      <x:c r="E89" s="17"/>
      <x:c r="F89" s="17"/>
      <x:c r="G89" s="17"/>
      <x:c r="H89" s="18"/>
      <x:c r="I89" s="17"/>
      <x:c r="J89" s="17"/>
      <x:c r="K89" s="19"/>
      <x:c r="L89" s="19"/>
      <x:c r="M89" s="17"/>
      <x:c r="N89" s="18"/>
      <x:c r="O89" s="17"/>
      <x:c r="P89" s="17"/>
      <x:c r="Q89" s="19"/>
      <x:c r="R89" s="17"/>
    </x:row>
    <x:row r="90">
      <x:c r="A90" s="17"/>
      <x:c r="B90" s="17"/>
      <x:c r="C90" s="17"/>
      <x:c r="D90" s="17"/>
      <x:c r="E90" s="17"/>
      <x:c r="F90" s="17"/>
      <x:c r="G90" s="17"/>
      <x:c r="H90" s="18"/>
      <x:c r="I90" s="17"/>
      <x:c r="J90" s="17"/>
      <x:c r="K90" s="19"/>
      <x:c r="L90" s="19"/>
      <x:c r="M90" s="17"/>
      <x:c r="N90" s="18"/>
      <x:c r="O90" s="17"/>
      <x:c r="P90" s="17"/>
      <x:c r="Q90" s="19"/>
      <x:c r="R90" s="17"/>
    </x:row>
    <x:row r="91">
      <x:c r="A91" s="17"/>
      <x:c r="B91" s="17"/>
      <x:c r="C91" s="17"/>
      <x:c r="D91" s="17"/>
      <x:c r="E91" s="17"/>
      <x:c r="F91" s="17"/>
      <x:c r="G91" s="17"/>
      <x:c r="H91" s="18"/>
      <x:c r="I91" s="17"/>
      <x:c r="J91" s="17"/>
      <x:c r="K91" s="19"/>
      <x:c r="L91" s="19"/>
      <x:c r="M91" s="17"/>
      <x:c r="N91" s="18"/>
      <x:c r="O91" s="17"/>
      <x:c r="P91" s="17"/>
      <x:c r="Q91" s="19"/>
      <x:c r="R91" s="17"/>
    </x:row>
    <x:row r="92">
      <x:c r="A92" s="17"/>
      <x:c r="B92" s="17"/>
      <x:c r="C92" s="17"/>
      <x:c r="D92" s="17"/>
      <x:c r="E92" s="17"/>
      <x:c r="F92" s="17"/>
      <x:c r="G92" s="17"/>
      <x:c r="H92" s="18"/>
      <x:c r="I92" s="17"/>
      <x:c r="J92" s="17"/>
      <x:c r="K92" s="19"/>
      <x:c r="L92" s="19"/>
      <x:c r="M92" s="17"/>
      <x:c r="N92" s="18"/>
      <x:c r="O92" s="17"/>
      <x:c r="P92" s="17"/>
      <x:c r="Q92" s="19"/>
      <x:c r="R92" s="17"/>
    </x:row>
    <x:row r="93">
      <x:c r="A93" s="17"/>
      <x:c r="B93" s="17"/>
      <x:c r="C93" s="17"/>
      <x:c r="D93" s="17"/>
      <x:c r="E93" s="17"/>
      <x:c r="F93" s="17"/>
      <x:c r="G93" s="17"/>
      <x:c r="H93" s="18"/>
      <x:c r="I93" s="17"/>
      <x:c r="J93" s="17"/>
      <x:c r="K93" s="19"/>
      <x:c r="L93" s="19"/>
      <x:c r="M93" s="17"/>
      <x:c r="N93" s="18"/>
      <x:c r="O93" s="17"/>
      <x:c r="P93" s="17"/>
      <x:c r="Q93" s="19"/>
      <x:c r="R93" s="17"/>
    </x:row>
    <x:row r="94">
      <x:c r="A94" s="17"/>
      <x:c r="B94" s="17"/>
      <x:c r="C94" s="17"/>
      <x:c r="D94" s="17"/>
      <x:c r="E94" s="17"/>
      <x:c r="F94" s="17"/>
      <x:c r="G94" s="17"/>
      <x:c r="H94" s="18"/>
      <x:c r="I94" s="17"/>
      <x:c r="J94" s="17"/>
      <x:c r="K94" s="19"/>
      <x:c r="L94" s="19"/>
      <x:c r="M94" s="17"/>
      <x:c r="N94" s="18"/>
      <x:c r="O94" s="17"/>
      <x:c r="P94" s="17"/>
      <x:c r="Q94" s="19"/>
      <x:c r="R94" s="17"/>
    </x:row>
    <x:row r="95">
      <x:c r="A95" s="17"/>
      <x:c r="B95" s="17"/>
      <x:c r="C95" s="17"/>
      <x:c r="D95" s="17"/>
      <x:c r="E95" s="17"/>
      <x:c r="F95" s="17"/>
      <x:c r="G95" s="17"/>
      <x:c r="H95" s="18"/>
      <x:c r="I95" s="17"/>
      <x:c r="J95" s="17"/>
      <x:c r="K95" s="19"/>
      <x:c r="L95" s="19"/>
      <x:c r="M95" s="17"/>
      <x:c r="N95" s="18"/>
      <x:c r="O95" s="17"/>
      <x:c r="P95" s="17"/>
      <x:c r="Q95" s="19"/>
      <x:c r="R95" s="17"/>
    </x:row>
    <x:row r="96">
      <x:c r="A96" s="17"/>
      <x:c r="B96" s="17"/>
      <x:c r="C96" s="17"/>
      <x:c r="D96" s="17"/>
      <x:c r="E96" s="17"/>
      <x:c r="F96" s="17"/>
      <x:c r="G96" s="17"/>
      <x:c r="H96" s="18"/>
      <x:c r="I96" s="17"/>
      <x:c r="J96" s="17"/>
      <x:c r="K96" s="19"/>
      <x:c r="L96" s="19"/>
      <x:c r="M96" s="17"/>
      <x:c r="N96" s="18"/>
      <x:c r="O96" s="17"/>
      <x:c r="P96" s="17"/>
      <x:c r="Q96" s="19"/>
      <x:c r="R96" s="17"/>
    </x:row>
    <x:row r="97">
      <x:c r="A97" s="17"/>
      <x:c r="B97" s="17"/>
      <x:c r="C97" s="17"/>
      <x:c r="D97" s="17"/>
      <x:c r="E97" s="17"/>
      <x:c r="F97" s="17"/>
      <x:c r="G97" s="17"/>
      <x:c r="H97" s="18"/>
      <x:c r="I97" s="17"/>
      <x:c r="J97" s="17"/>
      <x:c r="K97" s="19"/>
      <x:c r="L97" s="19"/>
      <x:c r="M97" s="17"/>
      <x:c r="N97" s="18"/>
      <x:c r="O97" s="17"/>
      <x:c r="P97" s="17"/>
      <x:c r="Q97" s="19"/>
      <x:c r="R97" s="17"/>
    </x:row>
    <x:row r="98">
      <x:c r="A98" s="17"/>
      <x:c r="B98" s="17"/>
      <x:c r="C98" s="17"/>
      <x:c r="D98" s="17"/>
      <x:c r="E98" s="17"/>
      <x:c r="F98" s="17"/>
      <x:c r="G98" s="17"/>
      <x:c r="H98" s="18"/>
      <x:c r="I98" s="17"/>
      <x:c r="J98" s="17"/>
      <x:c r="K98" s="19"/>
      <x:c r="L98" s="19"/>
      <x:c r="M98" s="17"/>
      <x:c r="N98" s="18"/>
      <x:c r="O98" s="17"/>
      <x:c r="P98" s="17"/>
      <x:c r="Q98" s="19"/>
      <x:c r="R98" s="17"/>
    </x:row>
    <x:row r="99">
      <x:c r="A99" s="17"/>
      <x:c r="B99" s="17"/>
      <x:c r="C99" s="17"/>
      <x:c r="D99" s="17"/>
      <x:c r="E99" s="17"/>
      <x:c r="F99" s="17"/>
      <x:c r="G99" s="17"/>
      <x:c r="H99" s="18"/>
      <x:c r="I99" s="17"/>
      <x:c r="J99" s="17"/>
      <x:c r="K99" s="19"/>
      <x:c r="L99" s="19"/>
      <x:c r="M99" s="17"/>
      <x:c r="N99" s="18"/>
      <x:c r="O99" s="17"/>
      <x:c r="P99" s="17"/>
      <x:c r="Q99" s="19"/>
      <x:c r="R99" s="17"/>
    </x:row>
    <x:row r="100">
      <x:c r="A100" s="17"/>
      <x:c r="B100" s="17"/>
      <x:c r="C100" s="17"/>
      <x:c r="D100" s="17"/>
      <x:c r="E100" s="17"/>
      <x:c r="F100" s="17"/>
      <x:c r="G100" s="17"/>
      <x:c r="H100" s="18"/>
      <x:c r="I100" s="17"/>
      <x:c r="J100" s="17"/>
      <x:c r="K100" s="19"/>
      <x:c r="L100" s="19"/>
      <x:c r="M100" s="17"/>
      <x:c r="N100" s="18"/>
      <x:c r="O100" s="17"/>
      <x:c r="P100" s="17"/>
      <x:c r="Q100" s="19"/>
      <x:c r="R100" s="17"/>
    </x:row>
    <x:row r="101">
      <x:c r="A101" s="17"/>
      <x:c r="B101" s="17"/>
      <x:c r="C101" s="17"/>
      <x:c r="D101" s="17"/>
      <x:c r="E101" s="17"/>
      <x:c r="F101" s="17"/>
      <x:c r="G101" s="17"/>
      <x:c r="H101" s="18"/>
      <x:c r="I101" s="17"/>
      <x:c r="J101" s="17"/>
      <x:c r="K101" s="19"/>
      <x:c r="L101" s="19"/>
      <x:c r="M101" s="17"/>
      <x:c r="N101" s="18"/>
      <x:c r="O101" s="17"/>
      <x:c r="P101" s="17"/>
      <x:c r="Q101" s="19"/>
      <x:c r="R101" s="17"/>
    </x:row>
    <x:row r="102">
      <x:c r="A102" s="17"/>
      <x:c r="B102" s="17"/>
      <x:c r="C102" s="17"/>
      <x:c r="D102" s="17"/>
      <x:c r="E102" s="17"/>
      <x:c r="F102" s="17"/>
      <x:c r="G102" s="17"/>
      <x:c r="H102" s="18"/>
      <x:c r="I102" s="17"/>
      <x:c r="J102" s="17"/>
      <x:c r="K102" s="19"/>
      <x:c r="L102" s="19"/>
      <x:c r="M102" s="17"/>
      <x:c r="N102" s="18"/>
      <x:c r="O102" s="17"/>
      <x:c r="P102" s="17"/>
      <x:c r="Q102" s="19"/>
      <x:c r="R102" s="17"/>
    </x:row>
    <x:row r="103">
      <x:c r="A103" s="17"/>
      <x:c r="B103" s="17"/>
      <x:c r="C103" s="17"/>
      <x:c r="D103" s="17"/>
      <x:c r="E103" s="17"/>
      <x:c r="F103" s="17"/>
      <x:c r="G103" s="17"/>
      <x:c r="H103" s="18"/>
      <x:c r="I103" s="17"/>
      <x:c r="J103" s="17"/>
      <x:c r="K103" s="19"/>
      <x:c r="L103" s="19"/>
      <x:c r="M103" s="17"/>
      <x:c r="N103" s="18"/>
      <x:c r="O103" s="17"/>
      <x:c r="P103" s="17"/>
      <x:c r="Q103" s="19"/>
      <x:c r="R103" s="17"/>
    </x:row>
    <x:row r="104">
      <x:c r="A104" s="17"/>
      <x:c r="B104" s="17"/>
      <x:c r="C104" s="17"/>
      <x:c r="D104" s="17"/>
      <x:c r="E104" s="17"/>
      <x:c r="F104" s="17"/>
      <x:c r="G104" s="17"/>
      <x:c r="H104" s="18"/>
      <x:c r="I104" s="17"/>
      <x:c r="J104" s="17"/>
      <x:c r="K104" s="19"/>
      <x:c r="L104" s="19"/>
      <x:c r="M104" s="17"/>
      <x:c r="N104" s="18"/>
      <x:c r="O104" s="17"/>
      <x:c r="P104" s="17"/>
      <x:c r="Q104" s="19"/>
      <x:c r="R104" s="17"/>
    </x:row>
    <x:row r="105">
      <x:c r="A105" s="17"/>
      <x:c r="B105" s="17"/>
      <x:c r="C105" s="17"/>
      <x:c r="D105" s="17"/>
      <x:c r="E105" s="17"/>
      <x:c r="F105" s="17"/>
      <x:c r="G105" s="17"/>
      <x:c r="H105" s="18"/>
      <x:c r="I105" s="17"/>
      <x:c r="J105" s="17"/>
      <x:c r="K105" s="19"/>
      <x:c r="L105" s="19"/>
      <x:c r="M105" s="17"/>
      <x:c r="N105" s="18"/>
      <x:c r="O105" s="17"/>
      <x:c r="P105" s="17"/>
      <x:c r="Q105" s="19"/>
      <x:c r="R105" s="17"/>
    </x:row>
    <x:row r="106">
      <x:c r="A106" s="17"/>
      <x:c r="B106" s="17"/>
      <x:c r="C106" s="17"/>
      <x:c r="D106" s="17"/>
      <x:c r="E106" s="17"/>
      <x:c r="F106" s="17"/>
      <x:c r="G106" s="17"/>
      <x:c r="H106" s="18"/>
      <x:c r="I106" s="17"/>
      <x:c r="J106" s="17"/>
      <x:c r="K106" s="19"/>
      <x:c r="L106" s="19"/>
      <x:c r="M106" s="17"/>
      <x:c r="N106" s="18"/>
      <x:c r="O106" s="17"/>
      <x:c r="P106" s="17"/>
      <x:c r="Q106" s="19"/>
      <x:c r="R106" s="17"/>
    </x:row>
    <x:row r="107">
      <x:c r="A107" s="17"/>
      <x:c r="B107" s="17"/>
      <x:c r="C107" s="17"/>
      <x:c r="D107" s="17"/>
      <x:c r="E107" s="17"/>
      <x:c r="F107" s="17"/>
      <x:c r="G107" s="17"/>
      <x:c r="H107" s="18"/>
      <x:c r="I107" s="17"/>
      <x:c r="J107" s="17"/>
      <x:c r="K107" s="19"/>
      <x:c r="L107" s="19"/>
      <x:c r="M107" s="17"/>
      <x:c r="N107" s="18"/>
      <x:c r="O107" s="17"/>
      <x:c r="P107" s="17"/>
      <x:c r="Q107" s="19"/>
      <x:c r="R107" s="17"/>
    </x:row>
  </x:sheetData>
  <x:mergeCells>
    <x:mergeCell ref="A2:R2"/>
    <x:mergeCell ref="A1:R1"/>
  </x:mergeCells>
  <x:conditionalFormatting sqref="A8:R107">
    <x:cfRule type="expression" dxfId="2" priority="1">
      <x:formula>AND($A8&lt;&gt;"",$L8&lt;TODAY(),$L8&lt;&gt;"",$M8&lt;&gt;"Completed")</x:formula>
    </x:cfRule>
  </x:conditionalFormatting>
  <x:conditionalFormatting sqref="J8:J107">
    <x:cfRule type="expression" dxfId="0" priority="2">
      <x:formula>J8="Critical"</x:formula>
    </x:cfRule>
  </x:conditionalFormatting>
  <x:conditionalFormatting sqref="M8:M107">
    <x:cfRule type="expression" dxfId="4" priority="3">
      <x:formula>M8="Waiting for Response"</x:formula>
    </x:cfRule>
    <x:cfRule type="expression" dxfId="5" priority="4">
      <x:formula>M8="Completed"</x:formula>
    </x:cfRule>
  </x:conditionalFormatting>
  <x:dataValidations count="5">
    <x:dataValidation type="list" allowBlank="1" showDropDown="0" showInputMessage="0" showErrorMessage="0" errorTitle="Invalid selection" error="Select a value from the dropdown list." promptTitle="Select value" prompt="Choose from the approved list." sqref="H8:H107">
      <x:formula1>=OwnerGroups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J8:J107">
      <x:formula1>=Priorities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M8:M107">
      <x:formula1>=ActionStatuses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N8:N107">
      <x:formula1>=YesNoUnknown</x:formula1>
    </x:dataValidation>
    <x:dataValidation type="list" allowBlank="1" showDropDown="0" showInputMessage="0" showErrorMessage="0" errorTitle="Invalid selection" error="Select a value from the dropdown list." promptTitle="Select value" prompt="Choose from the approved list." sqref="P8:P107">
      <x:formula1>=YesNoUnknown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685ea66dba40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9" customWidth="1"/>
    <x:col min="3" max="3" width="27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31" customWidth="1"/>
    <x:col min="12" max="12" width="21" customWidth="1"/>
    <x:col min="13" max="13" width="25" customWidth="1"/>
    <x:col min="14" max="14" width="18" customWidth="1"/>
    <x:col min="15" max="15" width="18" customWidth="1"/>
    <x:col min="16" max="16" width="23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18" customWidth="1"/>
    <x:col min="22" max="22" width="18" customWidth="1"/>
    <x:col min="23" max="23" width="18" customWidth="1"/>
    <x:col min="24" max="24" width="27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</x:cols>
  <x:sheetData>
    <x:row r="1">
      <x:c r="A1" s="29" t="inlineStr">
        <x:is>
          <x:t xml:space="preserve">Brands</x:t>
        </x:is>
      </x:c>
      <x:c r="B1" s="29" t="inlineStr">
        <x:is>
          <x:t xml:space="preserve">CampaignSources</x:t>
        </x:is>
      </x:c>
      <x:c r="C1" s="29" t="inlineStr">
        <x:is>
          <x:t xml:space="preserve">CampaignCategories</x:t>
        </x:is>
      </x:c>
      <x:c r="D1" s="29" t="inlineStr">
        <x:is>
          <x:t xml:space="preserve">CampaignStatuses</x:t>
        </x:is>
      </x:c>
      <x:c r="E1" s="29" t="inlineStr">
        <x:is>
          <x:t xml:space="preserve">Frequencies</x:t>
        </x:is>
      </x:c>
      <x:c r="F1" s="29" t="inlineStr">
        <x:is>
          <x:t xml:space="preserve">ObjectiveClarityStatuses</x:t>
        </x:is>
      </x:c>
      <x:c r="G1" s="29" t="inlineStr">
        <x:is>
          <x:t xml:space="preserve">SegmentClarityStatuses</x:t>
        </x:is>
      </x:c>
      <x:c r="H1" s="29" t="inlineStr">
        <x:is>
          <x:t xml:space="preserve">DataAvailabilityStatuses</x:t>
        </x:is>
      </x:c>
      <x:c r="I1" s="29" t="inlineStr">
        <x:is>
          <x:t xml:space="preserve">GapSeverities</x:t>
        </x:is>
      </x:c>
      <x:c r="J1" s="29" t="inlineStr">
        <x:is>
          <x:t xml:space="preserve">ClarificationStatuses</x:t>
        </x:is>
      </x:c>
      <x:c r="K1" s="29" t="inlineStr">
        <x:is>
          <x:t xml:space="preserve">RecommendedActions</x:t>
        </x:is>
      </x:c>
      <x:c r="L1" s="29" t="inlineStr">
        <x:is>
          <x:t xml:space="preserve">DeliveryChannels</x:t>
        </x:is>
      </x:c>
      <x:c r="M1" s="29" t="inlineStr">
        <x:is>
          <x:t xml:space="preserve">QCStatuses</x:t>
        </x:is>
      </x:c>
      <x:c r="N1" s="29" t="inlineStr">
        <x:is>
          <x:t xml:space="preserve">OwnerGroups</x:t>
        </x:is>
      </x:c>
      <x:c r="O1" s="29" t="inlineStr">
        <x:is>
          <x:t xml:space="preserve">Priorities</x:t>
        </x:is>
      </x:c>
      <x:c r="P1" s="29" t="inlineStr">
        <x:is>
          <x:t xml:space="preserve">ActionStatuses</x:t>
        </x:is>
      </x:c>
      <x:c r="Q1" s="29" t="inlineStr">
        <x:is>
          <x:t xml:space="preserve">BonusTypes</x:t>
        </x:is>
      </x:c>
      <x:c r="R1" s="29" t="inlineStr">
        <x:is>
          <x:t xml:space="preserve">Currencies</x:t>
        </x:is>
      </x:c>
      <x:c r="S1" s="29" t="inlineStr">
        <x:is>
          <x:t xml:space="preserve">Products</x:t>
        </x:is>
      </x:c>
      <x:c r="T1" s="29" t="inlineStr">
        <x:is>
          <x:t xml:space="preserve">VIPTiers</x:t>
        </x:is>
      </x:c>
      <x:c r="U1" s="29" t="inlineStr">
        <x:is>
          <x:t xml:space="preserve">PlayerActivityStatuses</x:t>
        </x:is>
      </x:c>
      <x:c r="V1" s="29" t="inlineStr">
        <x:is>
          <x:t xml:space="preserve">YesNoUnknown</x:t>
        </x:is>
      </x:c>
      <x:c r="W1" s="29" t="inlineStr">
        <x:is>
          <x:t xml:space="preserve">RecurringStatuses</x:t>
        </x:is>
      </x:c>
      <x:c r="X1" s="29" t="inlineStr">
        <x:is>
          <x:t xml:space="preserve">ObjectiveSources</x:t>
        </x:is>
      </x:c>
      <x:c r="Y1" s="29" t="inlineStr">
        <x:is>
          <x:t xml:space="preserve">MechanicGapStatuses</x:t>
        </x:is>
      </x:c>
      <x:c r="Z1" s="29" t="inlineStr">
        <x:is>
          <x:t xml:space="preserve">MeasurementStatuses</x:t>
        </x:is>
      </x:c>
      <x:c r="AA1" s="29" t="inlineStr">
        <x:is>
          <x:t xml:space="preserve">DataQualityStatuses</x:t>
        </x:is>
      </x:c>
      <x:c r="AB1" s="29" t="inlineStr">
        <x:is>
          <x:t xml:space="preserve">DataMapStatuses</x:t>
        </x:is>
      </x:c>
      <x:c r="AC1" s="29" t="inlineStr">
        <x:is>
          <x:t xml:space="preserve">AccessStatuses</x:t>
        </x:is>
      </x:c>
      <x:c r="AD1" s="29" t="inlineStr">
        <x:is>
          <x:t xml:space="preserve">OverlapRisks</x:t>
        </x:is>
      </x:c>
      <x:c r="AE1" s="29" t="inlineStr">
        <x:is>
          <x:t xml:space="preserve">FilterAllBrands</x:t>
        </x:is>
      </x:c>
      <x:c r="AF1" s="29" t="n"/>
      <x:c r="AG1" s="29" t="inlineStr">
        <x:is>
          <x:t xml:space="preserve">Readiness Threshold</x:t>
        </x:is>
      </x:c>
      <x:c r="AH1" s="29" t="inlineStr">
        <x:is>
          <x:t xml:space="preserve">Value</x:t>
        </x:is>
      </x:c>
      <x:c r="AI1" s="29" t="inlineStr">
        <x:is>
          <x:t xml:space="preserve">FilterCategories</x:t>
        </x:is>
      </x:c>
      <x:c r="AJ1" s="29" t="inlineStr">
        <x:is>
          <x:t xml:space="preserve">FilterSources</x:t>
        </x:is>
      </x:c>
      <x:c r="AK1" s="29" t="inlineStr">
        <x:is>
          <x:t xml:space="preserve">FilterOwners</x:t>
        </x:is>
      </x:c>
      <x:c r="AL1" s="29" t="inlineStr">
        <x:is>
          <x:t xml:space="preserve">FilterSeverities</x:t>
        </x:is>
      </x:c>
      <x:c r="AM1" s="29" t="inlineStr">
        <x:is>
          <x:t xml:space="preserve">FilterStatuses</x:t>
        </x:is>
      </x:c>
    </x:row>
    <x:row r="2">
      <x:c r="A2" t="inlineStr">
        <x:is>
          <x:t xml:space="preserve">WS1</x:t>
        </x:is>
      </x:c>
      <x:c r="B2" t="inlineStr">
        <x:is>
          <x:t xml:space="preserve">Stakeholder</x:t>
        </x:is>
      </x:c>
      <x:c r="C2" t="inlineStr">
        <x:is>
          <x:t xml:space="preserve">Acquisition</x:t>
        </x:is>
      </x:c>
      <x:c r="D2" t="inlineStr">
        <x:is>
          <x:t xml:space="preserve">Draft</x:t>
        </x:is>
      </x:c>
      <x:c r="E2" t="inlineStr">
        <x:is>
          <x:t xml:space="preserve">One-Time</x:t>
        </x:is>
      </x:c>
      <x:c r="F2" t="inlineStr">
        <x:is>
          <x:t xml:space="preserve">Clear</x:t>
        </x:is>
      </x:c>
      <x:c r="G2" t="inlineStr">
        <x:is>
          <x:t xml:space="preserve">Clear</x:t>
        </x:is>
      </x:c>
      <x:c r="H2" t="inlineStr">
        <x:is>
          <x:t xml:space="preserve">Available</x:t>
        </x:is>
      </x:c>
      <x:c r="I2" t="inlineStr">
        <x:is>
          <x:t xml:space="preserve">Low</x:t>
        </x:is>
      </x:c>
      <x:c r="J2" t="inlineStr">
        <x:is>
          <x:t xml:space="preserve">Not Started</x:t>
        </x:is>
      </x:c>
      <x:c r="K2" t="inlineStr">
        <x:is>
          <x:t xml:space="preserve">Confirm Objective</x:t>
        </x:is>
      </x:c>
      <x:c r="L2" t="inlineStr">
        <x:is>
          <x:t xml:space="preserve">SMS</x:t>
        </x:is>
      </x:c>
      <x:c r="M2" t="inlineStr">
        <x:is>
          <x:t xml:space="preserve">Not Checked</x:t>
        </x:is>
      </x:c>
      <x:c r="N2" t="inlineStr">
        <x:is>
          <x:t xml:space="preserve">Promotion</x:t>
        </x:is>
      </x:c>
      <x:c r="O2" t="inlineStr">
        <x:is>
          <x:t xml:space="preserve">Low</x:t>
        </x:is>
      </x:c>
      <x:c r="P2" t="inlineStr">
        <x:is>
          <x:t xml:space="preserve">Not Started</x:t>
        </x:is>
      </x:c>
      <x:c r="Q2" t="inlineStr">
        <x:is>
          <x:t xml:space="preserve">Deposit Bonus</x:t>
        </x:is>
      </x:c>
      <x:c r="R2" t="inlineStr">
        <x:is>
          <x:t xml:space="preserve">MYR</x:t>
        </x:is>
      </x:c>
      <x:c r="S2" t="inlineStr">
        <x:is>
          <x:t xml:space="preserve">Sports</x:t>
        </x:is>
      </x:c>
      <x:c r="T2" t="inlineStr">
        <x:is>
          <x:t xml:space="preserve">Non-VIP</x:t>
        </x:is>
      </x:c>
      <x:c r="U2" t="inlineStr">
        <x:is>
          <x:t xml:space="preserve">New</x:t>
        </x:is>
      </x:c>
      <x:c r="V2" t="inlineStr">
        <x:is>
          <x:t xml:space="preserve">Yes</x:t>
        </x:is>
      </x:c>
      <x:c r="W2" t="inlineStr">
        <x:is>
          <x:t xml:space="preserve">Recurring</x:t>
        </x:is>
      </x:c>
      <x:c r="X2" t="inlineStr">
        <x:is>
          <x:t xml:space="preserve">Campaign Brief</x:t>
        </x:is>
      </x:c>
      <x:c r="Y2" t="inlineStr">
        <x:is>
          <x:t xml:space="preserve">None</x:t>
        </x:is>
      </x:c>
      <x:c r="Z2" t="inlineStr">
        <x:is>
          <x:t xml:space="preserve">Ready</x:t>
        </x:is>
      </x:c>
      <x:c r="AA2" t="inlineStr">
        <x:is>
          <x:t xml:space="preserve">Good</x:t>
        </x:is>
      </x:c>
      <x:c r="AB2" t="inlineStr">
        <x:is>
          <x:t xml:space="preserve">Available</x:t>
        </x:is>
      </x:c>
      <x:c r="AC2" t="inlineStr">
        <x:is>
          <x:t xml:space="preserve">Yes</x:t>
        </x:is>
      </x:c>
      <x:c r="AD2" t="inlineStr">
        <x:is>
          <x:t xml:space="preserve">None</x:t>
        </x:is>
      </x:c>
      <x:c r="AE2" t="inlineStr">
        <x:is>
          <x:t xml:space="preserve">All</x:t>
        </x:is>
      </x:c>
      <x:c r="AG2" t="inlineStr">
        <x:is>
          <x:t xml:space="preserve">Ready for Analysis</x:t>
        </x:is>
      </x:c>
      <x:c r="AH2" s="30" t="n">
        <x:v>0.8</x:v>
      </x:c>
      <x:c r="AI2" t="inlineStr">
        <x:is>
          <x:t xml:space="preserve">All</x:t>
        </x:is>
      </x:c>
      <x:c r="AJ2" t="inlineStr">
        <x:is>
          <x:t xml:space="preserve">All</x:t>
        </x:is>
      </x:c>
      <x:c r="AK2" t="inlineStr">
        <x:is>
          <x:t xml:space="preserve">All</x:t>
        </x:is>
      </x:c>
      <x:c r="AL2" t="inlineStr">
        <x:is>
          <x:t xml:space="preserve">All</x:t>
        </x:is>
      </x:c>
      <x:c r="AM2" t="inlineStr">
        <x:is>
          <x:t xml:space="preserve">All</x:t>
        </x:is>
      </x:c>
    </x:row>
    <x:row r="3">
      <x:c r="B3" t="inlineStr">
        <x:is>
          <x:t xml:space="preserve">Sales</x:t>
        </x:is>
      </x:c>
      <x:c r="C3" t="inlineStr">
        <x:is>
          <x:t xml:space="preserve">Retention</x:t>
        </x:is>
      </x:c>
      <x:c r="D3" t="inlineStr">
        <x:is>
          <x:t xml:space="preserve">Scheduled</x:t>
        </x:is>
      </x:c>
      <x:c r="E3" t="inlineStr">
        <x:is>
          <x:t xml:space="preserve">Weekly</x:t>
        </x:is>
      </x:c>
      <x:c r="F3" t="inlineStr">
        <x:is>
          <x:t xml:space="preserve">Partly Clear</x:t>
        </x:is>
      </x:c>
      <x:c r="G3" t="inlineStr">
        <x:is>
          <x:t xml:space="preserve">Partly Clear</x:t>
        </x:is>
      </x:c>
      <x:c r="H3" t="inlineStr">
        <x:is>
          <x:t xml:space="preserve">Partial</x:t>
        </x:is>
      </x:c>
      <x:c r="I3" t="inlineStr">
        <x:is>
          <x:t xml:space="preserve">Medium</x:t>
        </x:is>
      </x:c>
      <x:c r="J3" t="inlineStr">
        <x:is>
          <x:t xml:space="preserve">Requested</x:t>
        </x:is>
      </x:c>
      <x:c r="K3" t="inlineStr">
        <x:is>
          <x:t xml:space="preserve">Define Segment Criteria</x:t>
        </x:is>
      </x:c>
      <x:c r="L3" t="inlineStr">
        <x:is>
          <x:t xml:space="preserve">MT</x:t>
        </x:is>
      </x:c>
      <x:c r="M3" t="inlineStr">
        <x:is>
          <x:t xml:space="preserve">Passed</x:t>
        </x:is>
      </x:c>
      <x:c r="N3" t="inlineStr">
        <x:is>
          <x:t xml:space="preserve">Sales</x:t>
        </x:is>
      </x:c>
      <x:c r="O3" t="inlineStr">
        <x:is>
          <x:t xml:space="preserve">Medium</x:t>
        </x:is>
      </x:c>
      <x:c r="P3" t="inlineStr">
        <x:is>
          <x:t xml:space="preserve">In Progress</x:t>
        </x:is>
      </x:c>
      <x:c r="Q3" t="inlineStr">
        <x:is>
          <x:t xml:space="preserve">Free Credit</x:t>
        </x:is>
      </x:c>
      <x:c r="R3" t="inlineStr">
        <x:is>
          <x:t xml:space="preserve">SGD</x:t>
        </x:is>
      </x:c>
      <x:c r="S3" t="inlineStr">
        <x:is>
          <x:t xml:space="preserve">Casino</x:t>
        </x:is>
      </x:c>
      <x:c r="T3" t="inlineStr">
        <x:is>
          <x:t xml:space="preserve">Bronze</x:t>
        </x:is>
      </x:c>
      <x:c r="U3" t="inlineStr">
        <x:is>
          <x:t xml:space="preserve">Active</x:t>
        </x:is>
      </x:c>
      <x:c r="V3" t="inlineStr">
        <x:is>
          <x:t xml:space="preserve">No</x:t>
        </x:is>
      </x:c>
      <x:c r="W3" t="inlineStr">
        <x:is>
          <x:t xml:space="preserve">One-Time</x:t>
        </x:is>
      </x:c>
      <x:c r="X3" t="inlineStr">
        <x:is>
          <x:t xml:space="preserve">Stakeholder Confirmation</x:t>
        </x:is>
      </x:c>
      <x:c r="Y3" t="inlineStr">
        <x:is>
          <x:t xml:space="preserve">Minor</x:t>
        </x:is>
      </x:c>
      <x:c r="Z3" t="inlineStr">
        <x:is>
          <x:t xml:space="preserve">Partial</x:t>
        </x:is>
      </x:c>
      <x:c r="AA3" t="inlineStr">
        <x:is>
          <x:t xml:space="preserve">Acceptable</x:t>
        </x:is>
      </x:c>
      <x:c r="AB3" t="inlineStr">
        <x:is>
          <x:t xml:space="preserve">Partial</x:t>
        </x:is>
      </x:c>
      <x:c r="AC3" t="inlineStr">
        <x:is>
          <x:t xml:space="preserve">Partial</x:t>
        </x:is>
      </x:c>
      <x:c r="AD3" t="inlineStr">
        <x:is>
          <x:t xml:space="preserve">Low</x:t>
        </x:is>
      </x:c>
      <x:c r="AE3" t="inlineStr">
        <x:is>
          <x:t xml:space="preserve">WS1</x:t>
        </x:is>
      </x:c>
      <x:c r="AG3" t="inlineStr">
        <x:is>
          <x:t xml:space="preserve">Partially Ready</x:t>
        </x:is>
      </x:c>
      <x:c r="AH3" s="30" t="n">
        <x:v>0.5</x:v>
      </x:c>
      <x:c r="AI3" t="inlineStr">
        <x:is>
          <x:t xml:space="preserve">Acquisition</x:t>
        </x:is>
      </x:c>
      <x:c r="AJ3" t="inlineStr">
        <x:is>
          <x:t xml:space="preserve">Stakeholder</x:t>
        </x:is>
      </x:c>
      <x:c r="AK3" t="inlineStr">
        <x:is>
          <x:t xml:space="preserve">Promotion</x:t>
        </x:is>
      </x:c>
      <x:c r="AL3" t="inlineStr">
        <x:is>
          <x:t xml:space="preserve">Low</x:t>
        </x:is>
      </x:c>
      <x:c r="AM3" t="inlineStr">
        <x:is>
          <x:t xml:space="preserve">Draft</x:t>
        </x:is>
      </x:c>
    </x:row>
    <x:row r="4">
      <x:c r="B4" t="inlineStr">
        <x:is>
          <x:t xml:space="preserve">VIP VM</x:t>
        </x:is>
      </x:c>
      <x:c r="C4" t="inlineStr">
        <x:is>
          <x:t xml:space="preserve">Reactivation</x:t>
        </x:is>
      </x:c>
      <x:c r="D4" t="inlineStr">
        <x:is>
          <x:t xml:space="preserve">Live</x:t>
        </x:is>
      </x:c>
      <x:c r="E4" t="inlineStr">
        <x:is>
          <x:t xml:space="preserve">Biweekly</x:t>
        </x:is>
      </x:c>
      <x:c r="F4" t="inlineStr">
        <x:is>
          <x:t xml:space="preserve">Unclear</x:t>
        </x:is>
      </x:c>
      <x:c r="G4" t="inlineStr">
        <x:is>
          <x:t xml:space="preserve">Too Broad</x:t>
        </x:is>
      </x:c>
      <x:c r="H4" t="inlineStr">
        <x:is>
          <x:t xml:space="preserve">Pending</x:t>
        </x:is>
      </x:c>
      <x:c r="I4" t="inlineStr">
        <x:is>
          <x:t xml:space="preserve">High</x:t>
        </x:is>
      </x:c>
      <x:c r="J4" t="inlineStr">
        <x:is>
          <x:t xml:space="preserve">In Progress</x:t>
        </x:is>
      </x:c>
      <x:c r="K4" t="inlineStr">
        <x:is>
          <x:t xml:space="preserve">Request Result Data</x:t>
        </x:is>
      </x:c>
      <x:c r="L4" t="inlineStr">
        <x:is>
          <x:t xml:space="preserve">Website Dialog</x:t>
        </x:is>
      </x:c>
      <x:c r="M4" t="inlineStr">
        <x:is>
          <x:t xml:space="preserve">Passed with Conditions</x:t>
        </x:is>
      </x:c>
      <x:c r="N4" t="inlineStr">
        <x:is>
          <x:t xml:space="preserve">VIP</x:t>
        </x:is>
      </x:c>
      <x:c r="O4" t="inlineStr">
        <x:is>
          <x:t xml:space="preserve">High</x:t>
        </x:is>
      </x:c>
      <x:c r="P4" t="inlineStr">
        <x:is>
          <x:t xml:space="preserve">Waiting for Response</x:t>
        </x:is>
      </x:c>
      <x:c r="Q4" t="inlineStr">
        <x:is>
          <x:t xml:space="preserve">Cashback</x:t>
        </x:is>
      </x:c>
      <x:c r="R4" t="inlineStr">
        <x:is>
          <x:t xml:space="preserve">USD</x:t>
        </x:is>
      </x:c>
      <x:c r="S4" t="inlineStr">
        <x:is>
          <x:t xml:space="preserve">Slots</x:t>
        </x:is>
      </x:c>
      <x:c r="T4" t="inlineStr">
        <x:is>
          <x:t xml:space="preserve">Silver</x:t>
        </x:is>
      </x:c>
      <x:c r="U4" t="inlineStr">
        <x:is>
          <x:t xml:space="preserve">At Risk</x:t>
        </x:is>
      </x:c>
      <x:c r="V4" t="inlineStr">
        <x:is>
          <x:t xml:space="preserve">Unknown</x:t>
        </x:is>
      </x:c>
      <x:c r="W4" t="inlineStr">
        <x:is>
          <x:t xml:space="preserve">Unknown</x:t>
        </x:is>
      </x:c>
      <x:c r="X4" t="inlineStr">
        <x:is>
          <x:t xml:space="preserve">Historical Practice</x:t>
        </x:is>
      </x:c>
      <x:c r="Y4" t="inlineStr">
        <x:is>
          <x:t xml:space="preserve">Review Required</x:t>
        </x:is>
      </x:c>
      <x:c r="Z4" t="inlineStr">
        <x:is>
          <x:t xml:space="preserve">Not Ready</x:t>
        </x:is>
      </x:c>
      <x:c r="AA4" t="inlineStr">
        <x:is>
          <x:t xml:space="preserve">Needs Review</x:t>
        </x:is>
      </x:c>
      <x:c r="AB4" t="inlineStr">
        <x:is>
          <x:t xml:space="preserve">Pending</x:t>
        </x:is>
      </x:c>
      <x:c r="AC4" t="inlineStr">
        <x:is>
          <x:t xml:space="preserve">No</x:t>
        </x:is>
      </x:c>
      <x:c r="AD4" t="inlineStr">
        <x:is>
          <x:t xml:space="preserve">Medium</x:t>
        </x:is>
      </x:c>
      <x:c r="AI4" t="inlineStr">
        <x:is>
          <x:t xml:space="preserve">Retention</x:t>
        </x:is>
      </x:c>
      <x:c r="AJ4" t="inlineStr">
        <x:is>
          <x:t xml:space="preserve">Sales</x:t>
        </x:is>
      </x:c>
      <x:c r="AK4" t="inlineStr">
        <x:is>
          <x:t xml:space="preserve">Sales</x:t>
        </x:is>
      </x:c>
      <x:c r="AL4" t="inlineStr">
        <x:is>
          <x:t xml:space="preserve">Medium</x:t>
        </x:is>
      </x:c>
      <x:c r="AM4" t="inlineStr">
        <x:is>
          <x:t xml:space="preserve">Scheduled</x:t>
        </x:is>
      </x:c>
    </x:row>
    <x:row r="5">
      <x:c r="B5" t="inlineStr">
        <x:is>
          <x:t xml:space="preserve">CK Analytics CRM</x:t>
        </x:is>
      </x:c>
      <x:c r="C5" t="inlineStr">
        <x:is>
          <x:t xml:space="preserve">Cross-Product</x:t>
        </x:is>
      </x:c>
      <x:c r="D5" t="inlineStr">
        <x:is>
          <x:t xml:space="preserve">Completed</x:t>
        </x:is>
      </x:c>
      <x:c r="E5" t="inlineStr">
        <x:is>
          <x:t xml:space="preserve">Monthly</x:t>
        </x:is>
      </x:c>
      <x:c r="F5" t="inlineStr">
        <x:is>
          <x:t xml:space="preserve">Not Provided</x:t>
        </x:is>
      </x:c>
      <x:c r="G5" t="inlineStr">
        <x:is>
          <x:t xml:space="preserve">Unclear</x:t>
        </x:is>
      </x:c>
      <x:c r="H5" t="inlineStr">
        <x:is>
          <x:t xml:space="preserve">Not Available</x:t>
        </x:is>
      </x:c>
      <x:c r="I5" t="inlineStr">
        <x:is>
          <x:t xml:space="preserve">Critical</x:t>
        </x:is>
      </x:c>
      <x:c r="J5" t="inlineStr">
        <x:is>
          <x:t xml:space="preserve">Received</x:t>
        </x:is>
      </x:c>
      <x:c r="K5" t="inlineStr">
        <x:is>
          <x:t xml:space="preserve">Confirm Campaign Owner</x:t>
        </x:is>
      </x:c>
      <x:c r="L5" t="inlineStr">
        <x:is>
          <x:t xml:space="preserve">Telegram</x:t>
        </x:is>
      </x:c>
      <x:c r="M5" t="inlineStr">
        <x:is>
          <x:t xml:space="preserve">Failed</x:t>
        </x:is>
      </x:c>
      <x:c r="N5" t="inlineStr">
        <x:is>
          <x:t xml:space="preserve">Stakeholder</x:t>
        </x:is>
      </x:c>
      <x:c r="O5" t="inlineStr">
        <x:is>
          <x:t xml:space="preserve">Critical</x:t>
        </x:is>
      </x:c>
      <x:c r="P5" t="inlineStr">
        <x:is>
          <x:t xml:space="preserve">Blocked</x:t>
        </x:is>
      </x:c>
      <x:c r="Q5" t="inlineStr">
        <x:is>
          <x:t xml:space="preserve">Free Spin</x:t>
        </x:is>
      </x:c>
      <x:c r="R5" t="inlineStr">
        <x:is>
          <x:t xml:space="preserve">THB</x:t>
        </x:is>
      </x:c>
      <x:c r="S5" t="inlineStr">
        <x:is>
          <x:t xml:space="preserve">Live Casino</x:t>
        </x:is>
      </x:c>
      <x:c r="T5" t="inlineStr">
        <x:is>
          <x:t xml:space="preserve">Gold</x:t>
        </x:is>
      </x:c>
      <x:c r="U5" t="inlineStr">
        <x:is>
          <x:t xml:space="preserve">Inactive</x:t>
        </x:is>
      </x:c>
      <x:c r="X5" t="inlineStr">
        <x:is>
          <x:t xml:space="preserve">Inferred</x:t>
        </x:is>
      </x:c>
      <x:c r="Y5" t="inlineStr">
        <x:is>
          <x:t xml:space="preserve">Major</x:t>
        </x:is>
      </x:c>
      <x:c r="Z5" t="inlineStr">
        <x:is>
          <x:t xml:space="preserve">Blocked</x:t>
        </x:is>
      </x:c>
      <x:c r="AA5" t="inlineStr">
        <x:is>
          <x:t xml:space="preserve">Poor</x:t>
        </x:is>
      </x:c>
      <x:c r="AB5" t="inlineStr">
        <x:is>
          <x:t xml:space="preserve">Not Available</x:t>
        </x:is>
      </x:c>
      <x:c r="AC5" t="inlineStr">
        <x:is>
          <x:t xml:space="preserve">Unknown</x:t>
        </x:is>
      </x:c>
      <x:c r="AD5" t="inlineStr">
        <x:is>
          <x:t xml:space="preserve">High</x:t>
        </x:is>
      </x:c>
      <x:c r="AI5" t="inlineStr">
        <x:is>
          <x:t xml:space="preserve">Reactivation</x:t>
        </x:is>
      </x:c>
      <x:c r="AJ5" t="inlineStr">
        <x:is>
          <x:t xml:space="preserve">VIP VM</x:t>
        </x:is>
      </x:c>
      <x:c r="AK5" t="inlineStr">
        <x:is>
          <x:t xml:space="preserve">VIP</x:t>
        </x:is>
      </x:c>
      <x:c r="AL5" t="inlineStr">
        <x:is>
          <x:t xml:space="preserve">High</x:t>
        </x:is>
      </x:c>
      <x:c r="AM5" t="inlineStr">
        <x:is>
          <x:t xml:space="preserve">Live</x:t>
        </x:is>
      </x:c>
    </x:row>
    <x:row r="6">
      <x:c r="B6" t="inlineStr">
        <x:is>
          <x:t xml:space="preserve">Promotion</x:t>
        </x:is>
      </x:c>
      <x:c r="C6" t="inlineStr">
        <x:is>
          <x:t xml:space="preserve">VIP Progression</x:t>
        </x:is>
      </x:c>
      <x:c r="D6" t="inlineStr">
        <x:is>
          <x:t xml:space="preserve">Paused</x:t>
        </x:is>
      </x:c>
      <x:c r="E6" t="inlineStr">
        <x:is>
          <x:t xml:space="preserve">Payday</x:t>
        </x:is>
      </x:c>
      <x:c r="G6" t="inlineStr">
        <x:is>
          <x:t xml:space="preserve">Not Provided</x:t>
        </x:is>
      </x:c>
      <x:c r="H6" t="inlineStr">
        <x:is>
          <x:t xml:space="preserve">Unknown</x:t>
        </x:is>
      </x:c>
      <x:c r="I6" t="inlineStr">
        <x:is>
          <x:t xml:space="preserve">Pending Review</x:t>
        </x:is>
      </x:c>
      <x:c r="J6" t="inlineStr">
        <x:is>
          <x:t xml:space="preserve">Blocked</x:t>
        </x:is>
      </x:c>
      <x:c r="K6" t="inlineStr">
        <x:is>
          <x:t xml:space="preserve">Review Mechanic</x:t>
        </x:is>
      </x:c>
      <x:c r="L6" t="inlineStr">
        <x:is>
          <x:t xml:space="preserve">WhatsApp</x:t>
        </x:is>
      </x:c>
      <x:c r="M6" t="inlineStr">
        <x:is>
          <x:t xml:space="preserve">Recheck Required</x:t>
        </x:is>
      </x:c>
      <x:c r="N6" t="inlineStr">
        <x:is>
          <x:t xml:space="preserve">CK Analytics</x:t>
        </x:is>
      </x:c>
      <x:c r="P6" t="inlineStr">
        <x:is>
          <x:t xml:space="preserve">Completed</x:t>
        </x:is>
      </x:c>
      <x:c r="Q6" t="inlineStr">
        <x:is>
          <x:t xml:space="preserve">Reload Bonus</x:t>
        </x:is>
      </x:c>
      <x:c r="R6" t="inlineStr">
        <x:is>
          <x:t xml:space="preserve">Rp</x:t>
        </x:is>
      </x:c>
      <x:c r="S6" t="inlineStr">
        <x:is>
          <x:t xml:space="preserve">Lottery</x:t>
        </x:is>
      </x:c>
      <x:c r="T6" t="inlineStr">
        <x:is>
          <x:t xml:space="preserve">Platinum</x:t>
        </x:is>
      </x:c>
      <x:c r="U6" t="inlineStr">
        <x:is>
          <x:t xml:space="preserve">Lapsed</x:t>
        </x:is>
      </x:c>
      <x:c r="X6" t="inlineStr">
        <x:is>
          <x:t xml:space="preserve">Not Documented</x:t>
        </x:is>
      </x:c>
      <x:c r="Y6" t="inlineStr">
        <x:is>
          <x:t xml:space="preserve">Unknown</x:t>
        </x:is>
      </x:c>
      <x:c r="AA6" t="inlineStr">
        <x:is>
          <x:t xml:space="preserve">Unknown</x:t>
        </x:is>
      </x:c>
      <x:c r="AB6" t="inlineStr">
        <x:is>
          <x:t xml:space="preserve">Blocked</x:t>
        </x:is>
      </x:c>
      <x:c r="AD6" t="inlineStr">
        <x:is>
          <x:t xml:space="preserve">Unknown</x:t>
        </x:is>
      </x:c>
      <x:c r="AI6" t="inlineStr">
        <x:is>
          <x:t xml:space="preserve">Cross-Product</x:t>
        </x:is>
      </x:c>
      <x:c r="AJ6" t="inlineStr">
        <x:is>
          <x:t xml:space="preserve">CK Analytics CRM</x:t>
        </x:is>
      </x:c>
      <x:c r="AK6" t="inlineStr">
        <x:is>
          <x:t xml:space="preserve">Stakeholder</x:t>
        </x:is>
      </x:c>
      <x:c r="AL6" t="inlineStr">
        <x:is>
          <x:t xml:space="preserve">Critical</x:t>
        </x:is>
      </x:c>
      <x:c r="AM6" t="inlineStr">
        <x:is>
          <x:t xml:space="preserve">Completed</x:t>
        </x:is>
      </x:c>
    </x:row>
    <x:row r="7">
      <x:c r="B7" t="inlineStr">
        <x:is>
          <x:t xml:space="preserve">Management</x:t>
        </x:is>
      </x:c>
      <x:c r="C7" t="inlineStr">
        <x:is>
          <x:t xml:space="preserve">Seasonal</x:t>
        </x:is>
      </x:c>
      <x:c r="D7" t="inlineStr">
        <x:is>
          <x:t xml:space="preserve">Cancelled</x:t>
        </x:is>
      </x:c>
      <x:c r="E7" t="inlineStr">
        <x:is>
          <x:t xml:space="preserve">Seasonal</x:t>
        </x:is>
      </x:c>
      <x:c r="J7" t="inlineStr">
        <x:is>
          <x:t xml:space="preserve">Closed</x:t>
        </x:is>
      </x:c>
      <x:c r="K7" t="inlineStr">
        <x:is>
          <x:t xml:space="preserve">Review Bonus Cap</x:t>
        </x:is>
      </x:c>
      <x:c r="L7" t="inlineStr">
        <x:is>
          <x:t xml:space="preserve">Email</x:t>
        </x:is>
      </x:c>
      <x:c r="M7" t="inlineStr">
        <x:is>
          <x:t xml:space="preserve">Unknown</x:t>
        </x:is>
      </x:c>
      <x:c r="N7" t="inlineStr">
        <x:is>
          <x:t xml:space="preserve">Management</x:t>
        </x:is>
      </x:c>
      <x:c r="P7" t="inlineStr">
        <x:is>
          <x:t xml:space="preserve">Cancelled</x:t>
        </x:is>
      </x:c>
      <x:c r="Q7" t="inlineStr">
        <x:is>
          <x:t xml:space="preserve">Voucher</x:t>
        </x:is>
      </x:c>
      <x:c r="S7" t="inlineStr">
        <x:is>
          <x:t xml:space="preserve">Poker</x:t>
        </x:is>
      </x:c>
      <x:c r="T7" t="inlineStr">
        <x:is>
          <x:t xml:space="preserve">Diamond</x:t>
        </x:is>
      </x:c>
      <x:c r="U7" t="inlineStr">
        <x:is>
          <x:t xml:space="preserve">Reactivated</x:t>
        </x:is>
      </x:c>
      <x:c r="AB7" t="inlineStr">
        <x:is>
          <x:t xml:space="preserve">Unknown</x:t>
        </x:is>
      </x:c>
      <x:c r="AI7" t="inlineStr">
        <x:is>
          <x:t xml:space="preserve">VIP Progression</x:t>
        </x:is>
      </x:c>
      <x:c r="AJ7" t="inlineStr">
        <x:is>
          <x:t xml:space="preserve">Promotion</x:t>
        </x:is>
      </x:c>
      <x:c r="AK7" t="inlineStr">
        <x:is>
          <x:t xml:space="preserve">CK Analytics</x:t>
        </x:is>
      </x:c>
      <x:c r="AL7" t="inlineStr">
        <x:is>
          <x:t xml:space="preserve">Pending Review</x:t>
        </x:is>
      </x:c>
      <x:c r="AM7" t="inlineStr">
        <x:is>
          <x:t xml:space="preserve">Paused</x:t>
        </x:is>
      </x:c>
    </x:row>
    <x:row r="8">
      <x:c r="B8" t="inlineStr">
        <x:is>
          <x:t xml:space="preserve">Other</x:t>
        </x:is>
      </x:c>
      <x:c r="C8" t="inlineStr">
        <x:is>
          <x:t xml:space="preserve">Payday</x:t>
        </x:is>
      </x:c>
      <x:c r="D8" t="inlineStr">
        <x:is>
          <x:t xml:space="preserve">Sunset</x:t>
        </x:is>
      </x:c>
      <x:c r="E8" t="inlineStr">
        <x:is>
          <x:t xml:space="preserve">Always-On</x:t>
        </x:is>
      </x:c>
      <x:c r="K8" t="inlineStr">
        <x:is>
          <x:t xml:space="preserve">Review Turnover</x:t>
        </x:is>
      </x:c>
      <x:c r="L8" t="inlineStr">
        <x:is>
          <x:t xml:space="preserve">Banner</x:t>
        </x:is>
      </x:c>
      <x:c r="N8" t="inlineStr">
        <x:is>
          <x:t xml:space="preserve">Finance</x:t>
        </x:is>
      </x:c>
      <x:c r="Q8" t="inlineStr">
        <x:is>
          <x:t xml:space="preserve">Mystery Reward</x:t>
        </x:is>
      </x:c>
      <x:c r="S8" t="inlineStr">
        <x:is>
          <x:t xml:space="preserve">Multi-Product</x:t>
        </x:is>
      </x:c>
      <x:c r="T8" t="inlineStr">
        <x:is>
          <x:t xml:space="preserve">Multiple</x:t>
        </x:is>
      </x:c>
      <x:c r="U8" t="inlineStr">
        <x:is>
          <x:t xml:space="preserve">Unknown</x:t>
        </x:is>
      </x:c>
      <x:c r="AI8" t="inlineStr">
        <x:is>
          <x:t xml:space="preserve">Seasonal</x:t>
        </x:is>
      </x:c>
      <x:c r="AJ8" t="inlineStr">
        <x:is>
          <x:t xml:space="preserve">Management</x:t>
        </x:is>
      </x:c>
      <x:c r="AK8" t="inlineStr">
        <x:is>
          <x:t xml:space="preserve">Management</x:t>
        </x:is>
      </x:c>
      <x:c r="AM8" t="inlineStr">
        <x:is>
          <x:t xml:space="preserve">Cancelled</x:t>
        </x:is>
      </x:c>
    </x:row>
    <x:row r="9">
      <x:c r="C9" t="inlineStr">
        <x:is>
          <x:t xml:space="preserve">Product Launch</x:t>
        </x:is>
      </x:c>
      <x:c r="D9" t="inlineStr">
        <x:is>
          <x:t xml:space="preserve">Unknown</x:t>
        </x:is>
      </x:c>
      <x:c r="E9" t="inlineStr">
        <x:is>
          <x:t xml:space="preserve">Ad Hoc</x:t>
        </x:is>
      </x:c>
      <x:c r="K9" t="inlineStr">
        <x:is>
          <x:t xml:space="preserve">Merge Similar Campaigns</x:t>
        </x:is>
      </x:c>
      <x:c r="L9" t="inlineStr">
        <x:is>
          <x:t xml:space="preserve">Popup</x:t>
        </x:is>
      </x:c>
      <x:c r="N9" t="inlineStr">
        <x:is>
          <x:t xml:space="preserve">Unknown</x:t>
        </x:is>
      </x:c>
      <x:c r="Q9" t="inlineStr">
        <x:is>
          <x:t xml:space="preserve">No Bonus</x:t>
        </x:is>
      </x:c>
      <x:c r="S9" t="inlineStr">
        <x:is>
          <x:t xml:space="preserve">Unknown</x:t>
        </x:is>
      </x:c>
      <x:c r="T9" t="inlineStr">
        <x:is>
          <x:t xml:space="preserve">Unknown</x:t>
        </x:is>
      </x:c>
      <x:c r="AI9" t="inlineStr">
        <x:is>
          <x:t xml:space="preserve">Payday</x:t>
        </x:is>
      </x:c>
      <x:c r="AJ9" t="inlineStr">
        <x:is>
          <x:t xml:space="preserve">Other</x:t>
        </x:is>
      </x:c>
      <x:c r="AK9" t="inlineStr">
        <x:is>
          <x:t xml:space="preserve">Finance</x:t>
        </x:is>
      </x:c>
      <x:c r="AM9" t="inlineStr">
        <x:is>
          <x:t xml:space="preserve">Sunset</x:t>
        </x:is>
      </x:c>
    </x:row>
    <x:row r="10">
      <x:c r="C10" t="inlineStr">
        <x:is>
          <x:t xml:space="preserve">Standard Recurring Bonus</x:t>
        </x:is>
      </x:c>
      <x:c r="E10" t="inlineStr">
        <x:is>
          <x:t xml:space="preserve">Unknown</x:t>
        </x:is>
      </x:c>
      <x:c r="K10" t="inlineStr">
        <x:is>
          <x:t xml:space="preserve">Run Controlled Test</x:t>
        </x:is>
      </x:c>
      <x:c r="L10" t="inlineStr">
        <x:is>
          <x:t xml:space="preserve">VIP Direct Contact</x:t>
        </x:is>
      </x:c>
      <x:c r="Q10" t="inlineStr">
        <x:is>
          <x:t xml:space="preserve">Other</x:t>
        </x:is>
      </x:c>
      <x:c r="AI10" t="inlineStr">
        <x:is>
          <x:t xml:space="preserve">Product Launch</x:t>
        </x:is>
      </x:c>
      <x:c r="AK10" t="inlineStr">
        <x:is>
          <x:t xml:space="preserve">Unknown</x:t>
        </x:is>
      </x:c>
      <x:c r="AM10" t="inlineStr">
        <x:is>
          <x:t xml:space="preserve">Unknown</x:t>
        </x:is>
      </x:c>
    </x:row>
    <x:row r="11">
      <x:c r="C11" t="inlineStr">
        <x:is>
          <x:t xml:space="preserve">General Promotion</x:t>
        </x:is>
      </x:c>
      <x:c r="K11" t="inlineStr">
        <x:is>
          <x:t xml:space="preserve">Prepare Performance Analysis</x:t>
        </x:is>
      </x:c>
      <x:c r="L11" t="inlineStr">
        <x:is>
          <x:t xml:space="preserve">Multi-Channel</x:t>
        </x:is>
      </x:c>
      <x:c r="AI11" t="inlineStr">
        <x:is>
          <x:t xml:space="preserve">Standard Recurring Bonus</x:t>
        </x:is>
      </x:c>
    </x:row>
    <x:row r="12">
      <x:c r="C12" t="inlineStr">
        <x:is>
          <x:t xml:space="preserve">Other</x:t>
        </x:is>
      </x:c>
      <x:c r="K12" t="inlineStr">
        <x:is>
          <x:t xml:space="preserve">Continue Monitoring</x:t>
        </x:is>
      </x:c>
      <x:c r="L12" t="inlineStr">
        <x:is>
          <x:t xml:space="preserve">Other</x:t>
        </x:is>
      </x:c>
      <x:c r="AI12" t="inlineStr">
        <x:is>
          <x:t xml:space="preserve">General Promotion</x:t>
        </x:is>
      </x:c>
    </x:row>
    <x:row r="13">
      <x:c r="K13" t="inlineStr">
        <x:is>
          <x:t xml:space="preserve">Consider Sunset</x:t>
        </x:is>
      </x:c>
      <x:c r="AI13" t="inlineStr">
        <x:is>
          <x:t xml:space="preserve">Other</x:t>
        </x:is>
      </x:c>
    </x:row>
    <x:row r="14">
      <x:c r="K14" t="inlineStr">
        <x:is>
          <x:t xml:space="preserve">No Immediate Action</x:t>
        </x:is>
      </x:c>
    </x:row>
  </x:sheetData>
  <x:pageMargins left="0.7" right="0.7" top="0.75" bottom="0.75" header="0.3" footer="0.3"/>
</x:worksheet>
</file>