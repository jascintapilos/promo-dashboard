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da948eff0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88272b71f814735"/>
    <x:sheet xmlns:r="http://schemas.openxmlformats.org/officeDocument/2006/relationships" name="30-Day Plan" sheetId="2" r:id="Reac45b9cd236476f"/>
    <x:sheet xmlns:r="http://schemas.openxmlformats.org/officeDocument/2006/relationships" name="Campaign Requests" sheetId="3" r:id="Re77efcac43f24295"/>
    <x:sheet xmlns:r="http://schemas.openxmlformats.org/officeDocument/2006/relationships" name="Promo Audit" sheetId="4" r:id="Rae5aab3ab3974bac"/>
    <x:sheet xmlns:r="http://schemas.openxmlformats.org/officeDocument/2006/relationships" name="Exception Log" sheetId="5" r:id="Ra84b4ec4ca434545"/>
    <x:sheet xmlns:r="http://schemas.openxmlformats.org/officeDocument/2006/relationships" name="Campaign Results" sheetId="6" r:id="R7911281520634bda"/>
    <x:sheet xmlns:r="http://schemas.openxmlformats.org/officeDocument/2006/relationships" name="Read Me" sheetId="7" r:id="R0583b9f95950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%"/>
    <x:numFmt numFmtId="202" formatCode="&quot;RM&quot; #,##0"/>
    <x:numFmt numFmtId="203" formatCode="#,##0"/>
    <x:numFmt numFmtId="204" formatCode="0.0x"/>
    <x:numFmt numFmtId="205" formatCode="0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0"/>
      <x:color rgb="FF24242D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24242D"/>
      <x:name val="Carlito"/>
    </x:font>
    <x:font>
      <x:b/>
      <x:sz val="10"/>
      <x:color rgb="FF24242D"/>
      <x:name val="Carlito"/>
    </x:font>
    <x:font>
      <x:b/>
      <x:sz val="18"/>
      <x:color rgb="FF17171F"/>
      <x:name val="Carlito"/>
    </x:font>
    <x:font>
      <x:b/>
      <x:sz val="11"/>
      <x:color rgb="FF24242D"/>
      <x:name val="Carlito"/>
    </x:font>
    <x:font>
      <x:sz val="11"/>
      <x:color rgb="FF24242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171F"/>
      </x:patternFill>
    </x:fill>
    <x:fill>
      <x:patternFill patternType="solid">
        <x:fgColor rgb="FFF7F0DC"/>
      </x:patternFill>
    </x:fill>
    <x:fill>
      <x:patternFill patternType="solid">
        <x:fgColor rgb="FFBF9440"/>
      </x:patternFill>
    </x:fill>
    <x:fill>
      <x:patternFill patternType="solid">
        <x:fgColor rgb="FFFFFBEF"/>
      </x:patternFill>
    </x:fill>
    <x:fill>
      <x:patternFill patternType="solid">
        <x:fgColor rgb="FFEDECEA"/>
      </x:patternFill>
    </x:fill>
    <x:fill>
      <x:patternFill patternType="solid">
        <x:fgColor rgb="FFFAFAF8"/>
      </x:patternFill>
    </x:fill>
  </x:fills>
  <x:borders count="17">
    <x:border/>
    <x:border>
      <x:right style="thin">
        <x:color rgb="FF42424D"/>
      </x:right>
    </x:border>
    <x:border>
      <x:left style="thin">
        <x:color rgb="FF42424D"/>
      </x:left>
      <x:right style="thin">
        <x:color rgb="FF42424D"/>
      </x:right>
    </x:border>
    <x:border>
      <x:left style="thin">
        <x:color rgb="FF42424D"/>
      </x:left>
    </x:border>
    <x:border>
      <x:bottom style="thin">
        <x:color rgb="FFE4E1D9"/>
      </x:bottom>
    </x:border>
    <x:border>
      <x:top style="thin">
        <x:color rgb="FFE4E1D9"/>
      </x:top>
      <x:bottom style="thin">
        <x:color rgb="FFE4E1D9"/>
      </x:bottom>
    </x:border>
    <x:border>
      <x:top style="thin">
        <x:color rgb="FFE4E1D9"/>
      </x:top>
    </x:border>
    <x:border>
      <x:left style="thin">
        <x:color rgb="FFD8D6D0"/>
      </x:left>
      <x:right style="thin">
        <x:color rgb="FFD8D6D0"/>
      </x:right>
      <x:top style="thin">
        <x:color rgb="FFD8D6D0"/>
      </x:top>
      <x:bottom style="thin">
        <x:color rgb="FFD8D6D0"/>
      </x:bottom>
    </x:border>
    <x:border>
      <x:right style="thin">
        <x:color rgb="FFDDDAD2"/>
      </x:right>
      <x:bottom style="thin">
        <x:color rgb="FFDDDAD2"/>
      </x:bottom>
    </x:border>
    <x:border>
      <x:left style="thin">
        <x:color rgb="FFDDDAD2"/>
      </x:left>
      <x:right style="thin">
        <x:color rgb="FFDDDAD2"/>
      </x:right>
      <x:bottom style="thin">
        <x:color rgb="FFDDDAD2"/>
      </x:bottom>
    </x:border>
    <x:border>
      <x:left style="thin">
        <x:color rgb="FFDDDAD2"/>
      </x:left>
      <x:right style="thin">
        <x:color rgb="FF42424D"/>
      </x:right>
      <x:bottom style="thin">
        <x:color rgb="FFDDDAD2"/>
      </x:bottom>
    </x:border>
    <x:border>
      <x:right style="thin">
        <x:color rgb="FFDDDAD2"/>
      </x:right>
      <x:top style="thin">
        <x:color rgb="FFDDDAD2"/>
      </x:top>
      <x:bottom style="thin">
        <x:color rgb="FFDDDAD2"/>
      </x:bottom>
    </x:border>
    <x:border>
      <x:left style="thin">
        <x:color rgb="FFDDDAD2"/>
      </x:left>
      <x:right style="thin">
        <x:color rgb="FFDDDAD2"/>
      </x:right>
      <x:top style="thin">
        <x:color rgb="FFDDDAD2"/>
      </x:top>
      <x:bottom style="thin">
        <x:color rgb="FFDDDAD2"/>
      </x:bottom>
    </x:border>
    <x:border>
      <x:left style="thin">
        <x:color rgb="FFDDDAD2"/>
      </x:left>
      <x:right style="thin">
        <x:color rgb="FF42424D"/>
      </x:right>
      <x:top style="thin">
        <x:color rgb="FFDDDAD2"/>
      </x:top>
      <x:bottom style="thin">
        <x:color rgb="FFDDDAD2"/>
      </x:bottom>
    </x:border>
    <x:border>
      <x:right style="thin">
        <x:color rgb="FFDDDAD2"/>
      </x:right>
      <x:top style="thin">
        <x:color rgb="FFDDDAD2"/>
      </x:top>
    </x:border>
    <x:border>
      <x:left style="thin">
        <x:color rgb="FFDDDAD2"/>
      </x:left>
      <x:right style="thin">
        <x:color rgb="FFDDDAD2"/>
      </x:right>
      <x:top style="thin">
        <x:color rgb="FFDDDAD2"/>
      </x:top>
    </x:border>
    <x:border>
      <x:left style="thin">
        <x:color rgb="FFDDDAD2"/>
      </x:left>
      <x:right style="thin">
        <x:color rgb="FF42424D"/>
      </x:right>
      <x:top style="thin">
        <x:color rgb="FFDDDAD2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200" fontId="5" fillId="5" borderId="4" xfId="0" applyNumberFormat="1" applyFont="1" applyFill="1" applyBorder="1" applyAlignment="1">
      <x:alignment vertical="top" wrapText="1"/>
    </x:xf>
    <x:xf numFmtId="200" fontId="5" fillId="5" borderId="5" xfId="0" applyNumberFormat="1" applyFont="1" applyFill="1" applyBorder="1" applyAlignment="1">
      <x:alignment vertical="top" wrapText="1"/>
    </x:xf>
    <x:xf numFmtId="200" fontId="5" fillId="5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7" xfId="0" applyNumberFormat="1" applyFont="1" applyFill="1" applyBorder="1"/>
    <x:xf numFmtId="0" fontId="7" fillId="7" borderId="7" xfId="0" applyNumberFormat="1" applyFont="1" applyFill="1" applyBorder="1" applyAlignment="1">
      <x:alignment horizontal="center"/>
    </x:xf>
    <x:xf numFmtId="0" fontId="7" fillId="7" borderId="7" xfId="0" applyNumberFormat="1" applyFont="1" applyFill="1" applyBorder="1" applyAlignment="1">
      <x:alignment horizontal="center" vertical="center"/>
    </x:xf>
    <x:xf numFmtId="201" fontId="7" fillId="7" borderId="7" xfId="0" applyNumberFormat="1" applyFont="1" applyFill="1" applyBorder="1" applyAlignment="1">
      <x:alignment horizontal="center" vertical="center"/>
    </x:xf>
    <x:xf numFmtId="202" fontId="7" fillId="7" borderId="7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202" fontId="5" fillId="5" borderId="4" xfId="0" applyNumberFormat="1" applyFont="1" applyFill="1" applyBorder="1" applyAlignment="1">
      <x:alignment vertical="top" wrapText="1"/>
    </x:xf>
    <x:xf numFmtId="202" fontId="5" fillId="5" borderId="5" xfId="0" applyNumberFormat="1" applyFont="1" applyFill="1" applyBorder="1" applyAlignment="1">
      <x:alignment vertical="top" wrapText="1"/>
    </x:xf>
    <x:xf numFmtId="202" fontId="5" fillId="5" borderId="6" xfId="0" applyNumberFormat="1" applyFont="1" applyFill="1" applyBorder="1" applyAlignment="1">
      <x:alignment vertical="top" wrapText="1"/>
    </x:xf>
    <x:xf numFmtId="203" fontId="5" fillId="5" borderId="4" xfId="0" applyNumberFormat="1" applyFont="1" applyFill="1" applyBorder="1" applyAlignment="1">
      <x:alignment vertical="top" wrapText="1"/>
    </x:xf>
    <x:xf numFmtId="203" fontId="5" fillId="5" borderId="5" xfId="0" applyNumberFormat="1" applyFont="1" applyFill="1" applyBorder="1" applyAlignment="1">
      <x:alignment vertical="top" wrapText="1"/>
    </x:xf>
    <x:xf numFmtId="203" fontId="5" fillId="5" borderId="6" xfId="0" applyNumberFormat="1" applyFont="1" applyFill="1" applyBorder="1" applyAlignment="1">
      <x:alignment vertical="top" wrapText="1"/>
    </x:xf>
    <x:xf numFmtId="204" fontId="5" fillId="6" borderId="4" xfId="0" applyNumberFormat="1" applyFont="1" applyFill="1" applyBorder="1" applyAlignment="1">
      <x:alignment vertical="top" wrapText="1"/>
    </x:xf>
    <x:xf numFmtId="204" fontId="5" fillId="6" borderId="5" xfId="0" applyNumberFormat="1" applyFont="1" applyFill="1" applyBorder="1" applyAlignment="1">
      <x:alignment vertical="top" wrapText="1"/>
    </x:xf>
    <x:xf numFmtId="204" fontId="5" fillId="6" borderId="6" xfId="0" applyNumberFormat="1" applyFont="1" applyFill="1" applyBorder="1" applyAlignment="1">
      <x:alignment vertical="top" wrapText="1"/>
    </x:xf>
    <x:xf numFmtId="205" fontId="5" fillId="6" borderId="4" xfId="0" applyNumberFormat="1" applyFont="1" applyFill="1" applyBorder="1" applyAlignment="1">
      <x:alignment vertical="top" wrapText="1"/>
    </x:xf>
    <x:xf numFmtId="205" fontId="5" fillId="6" borderId="5" xfId="0" applyNumberFormat="1" applyFont="1" applyFill="1" applyBorder="1" applyAlignment="1">
      <x:alignment vertical="top" wrapText="1"/>
    </x:xf>
    <x:xf numFmtId="205" fontId="5" fillId="6" borderId="6" xfId="0" applyNumberFormat="1" applyFont="1" applyFill="1" applyBorder="1" applyAlignment="1">
      <x:alignment vertical="top" wrapText="1"/>
    </x:xf>
    <x:xf numFmtId="201" fontId="5" fillId="6" borderId="4" xfId="0" applyNumberFormat="1" applyFont="1" applyFill="1" applyBorder="1" applyAlignment="1">
      <x:alignment vertical="top" wrapText="1"/>
    </x:xf>
    <x:xf numFmtId="201" fontId="5" fillId="6" borderId="5" xfId="0" applyNumberFormat="1" applyFont="1" applyFill="1" applyBorder="1" applyAlignment="1">
      <x:alignment vertical="top" wrapText="1"/>
    </x:xf>
    <x:xf numFmtId="201" fontId="5" fillId="6" borderId="6" xfId="0" applyNumberFormat="1" applyFont="1" applyFill="1" applyBorder="1" applyAlignment="1">
      <x:alignment vertical="top" wrapText="1"/>
    </x:xf>
    <x:xf numFmtId="202" fontId="5" fillId="6" borderId="4" xfId="0" applyNumberFormat="1" applyFont="1" applyFill="1" applyBorder="1" applyAlignment="1">
      <x:alignment vertical="top" wrapText="1"/>
    </x:xf>
    <x:xf numFmtId="202" fontId="5" fillId="6" borderId="5" xfId="0" applyNumberFormat="1" applyFont="1" applyFill="1" applyBorder="1" applyAlignment="1">
      <x:alignment vertical="top" wrapText="1"/>
    </x:xf>
    <x:xf numFmtId="202" fontId="5" fillId="6" borderId="6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top" wrapText="1"/>
    </x:xf>
    <x:xf numFmtId="0" fontId="4" fillId="2" borderId="8" xfId="0" applyNumberFormat="1" applyFont="1" applyFill="1" applyBorder="1" applyAlignment="1">
      <x:alignment vertical="center" wrapText="1"/>
    </x:xf>
    <x:xf numFmtId="0" fontId="4" fillId="2" borderId="9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8" fillId="3" borderId="11" xfId="0" applyNumberFormat="1" applyFont="1" applyFill="1" applyBorder="1" applyAlignment="1">
      <x:alignment wrapText="1"/>
    </x:xf>
    <x:xf numFmtId="0" fontId="9" fillId="7" borderId="12" xfId="0" applyNumberFormat="1" applyFont="1" applyFill="1" applyBorder="1" applyAlignment="1">
      <x:alignment vertical="top" wrapText="1"/>
    </x:xf>
    <x:xf numFmtId="0" fontId="9" fillId="7" borderId="13" xfId="0" applyNumberFormat="1" applyFont="1" applyFill="1" applyBorder="1" applyAlignment="1">
      <x:alignment vertical="top" wrapText="1"/>
    </x:xf>
    <x:xf numFmtId="0" fontId="8" fillId="3" borderId="14" xfId="0" applyNumberFormat="1" applyFont="1" applyFill="1" applyBorder="1" applyAlignment="1">
      <x:alignment wrapText="1"/>
    </x:xf>
    <x:xf numFmtId="0" fontId="9" fillId="7" borderId="15" xfId="0" applyNumberFormat="1" applyFont="1" applyFill="1" applyBorder="1" applyAlignment="1">
      <x:alignment vertical="top" wrapText="1"/>
    </x:xf>
    <x:xf numFmtId="0" fontId="9" fillId="7" borderId="16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b/>
        <x:color rgb="FF2E7D4F"/>
      </x:font>
      <x:fill>
        <x:patternFill patternType="solid">
          <x:bgColor rgb="FFE7F3EB"/>
        </x:patternFill>
      </x:fill>
    </x:dxf>
    <x:dxf>
      <x:font>
        <x:b/>
        <x:color rgb="FFB13A2E"/>
      </x:font>
      <x:fill>
        <x:patternFill patternType="solid">
          <x:bgColor rgb="FFF8E7E4"/>
        </x:patternFill>
      </x:fill>
    </x:dxf>
    <x:dxf>
      <x:font>
        <x:b/>
        <x:color rgb="FF2E7D4F"/>
      </x:font>
      <x:fill>
        <x:patternFill patternType="solid">
          <x:bgColor rgb="FFE7F3EB"/>
        </x:patternFill>
      </x:fill>
    </x:dxf>
    <x:dxf>
      <x:font>
        <x:b/>
        <x:color rgb="FFB13A2E"/>
      </x:font>
      <x:fill>
        <x:patternFill patternType="solid">
          <x:bgColor rgb="FFF8E7E4"/>
        </x:patternFill>
      </x:fill>
    </x:dxf>
    <x:dxf>
      <x:font>
        <x:b/>
        <x:color rgb="FF9A6A16"/>
      </x:font>
      <x:fill>
        <x:patternFill patternType="solid">
          <x:bgColor rgb="FFFFF3D6"/>
        </x:patternFill>
      </x:fill>
    </x:dxf>
    <x:dxf>
      <x:font>
        <x:b/>
        <x:color rgb="FF2E7D4F"/>
      </x:font>
      <x:fill>
        <x:patternFill patternType="solid">
          <x:bgColor rgb="FFE7F3EB"/>
        </x:patternFill>
      </x:fill>
    </x:dxf>
    <x:dxf>
      <x:font>
        <x:b/>
        <x:color rgb="FFB13A2E"/>
      </x:font>
      <x:fill>
        <x:patternFill patternType="solid">
          <x:bgColor rgb="FFF8E7E4"/>
        </x:patternFill>
      </x:fill>
    </x:dxf>
    <x:dxf>
      <x:font>
        <x:b/>
        <x:color rgb="FF2E7D4F"/>
      </x:font>
      <x:fill>
        <x:patternFill patternType="solid">
          <x:bgColor rgb="FFE7F3EB"/>
        </x:patternFill>
      </x:fill>
    </x:dxf>
    <x:dxf>
      <x:font>
        <x:b/>
        <x:color rgb="FFB13A2E"/>
      </x:font>
      <x:fill>
        <x:patternFill patternType="solid">
          <x:bgColor rgb="FFF8E7E4"/>
        </x:patternFill>
      </x:fill>
    </x:dxf>
    <x:dxf>
      <x:font>
        <x:b/>
        <x:color rgb="FF9A6A16"/>
      </x:font>
      <x:fill>
        <x:patternFill patternType="solid">
          <x:bgColor rgb="FFFFF3D6"/>
        </x:patternFill>
      </x:fill>
    </x:dxf>
    <x:dxf>
      <x:font>
        <x:b/>
        <x:color rgb="FF2E7D4F"/>
      </x:font>
      <x:fill>
        <x:patternFill patternType="solid">
          <x:bgColor rgb="FFE7F3EB"/>
        </x:patternFill>
      </x:fill>
    </x:dxf>
    <x:dxf>
      <x:font>
        <x:b/>
        <x:color rgb="FFB13A2E"/>
      </x:font>
      <x:fill>
        <x:patternFill patternType="solid">
          <x:bgColor rgb="FFF8E7E4"/>
        </x:patternFill>
      </x:fill>
    </x:dxf>
    <x:dxf>
      <x:font>
        <x:b/>
        <x:color rgb="FF2E7D4F"/>
      </x:font>
      <x:fill>
        <x:patternFill patternType="solid">
          <x:bgColor rgb="FFE7F3EB"/>
        </x:patternFill>
      </x:fill>
    </x:dxf>
    <x:dxf>
      <x:font>
        <x:b/>
        <x:color rgb="FFB13A2E"/>
      </x:font>
      <x:fill>
        <x:patternFill patternType="solid">
          <x:bgColor rgb="FFF8E7E4"/>
        </x:patternFill>
      </x:fill>
    </x:dxf>
    <x:dxf>
      <x:font>
        <x:b/>
        <x:color rgb="FF9A6A16"/>
      </x:font>
      <x:fill>
        <x:patternFill patternType="solid">
          <x:bgColor rgb="FFFFF3D6"/>
        </x:patternFill>
      </x:fill>
    </x:dxf>
    <x:dxf>
      <x:font>
        <x:b/>
        <x:color rgb="FF2E7D4F"/>
      </x:font>
      <x:fill>
        <x:patternFill patternType="solid">
          <x:bgColor rgb="FFE7F3EB"/>
        </x:patternFill>
      </x:fill>
    </x:dxf>
    <x:dxf>
      <x:font>
        <x:b/>
        <x:color rgb="FFB13A2E"/>
      </x:font>
      <x:fill>
        <x:patternFill patternType="solid">
          <x:bgColor rgb="FFF8E7E4"/>
        </x:patternFill>
      </x:fill>
    </x:dxf>
    <x:dxf>
      <x:font>
        <x:b/>
        <x:color rgb="FF2E7D4F"/>
      </x:font>
      <x:fill>
        <x:patternFill patternType="solid">
          <x:bgColor rgb="FFE7F3EB"/>
        </x:patternFill>
      </x:fill>
    </x:dxf>
    <x:dxf>
      <x:font>
        <x:b/>
        <x:color rgb="FFB13A2E"/>
      </x:font>
      <x:fill>
        <x:patternFill patternType="solid">
          <x:bgColor rgb="FFF8E7E4"/>
        </x:patternFill>
      </x:fill>
    </x:dxf>
    <x:dxf>
      <x:font>
        <x:b/>
        <x:color rgb="FF9A6A16"/>
      </x:font>
      <x:fill>
        <x:patternFill patternType="solid">
          <x:bgColor rgb="FFFFF3D6"/>
        </x:patternFill>
      </x:fill>
    </x:dxf>
    <x:dxf>
      <x:font>
        <x:b/>
        <x:color rgb="FF2E7D4F"/>
      </x:font>
      <x:fill>
        <x:patternFill patternType="solid">
          <x:bgColor rgb="FFE7F3EB"/>
        </x:patternFill>
      </x:fill>
    </x:dxf>
    <x:dxf>
      <x:font>
        <x:b/>
        <x:color rgb="FFB13A2E"/>
      </x:font>
      <x:fill>
        <x:patternFill patternType="solid">
          <x:bgColor rgb="FFF8E7E4"/>
        </x:patternFill>
      </x:fill>
    </x:dxf>
    <x:dxf>
      <x:font>
        <x:b/>
        <x:color rgb="FF9A6A16"/>
      </x:font>
      <x:fill>
        <x:patternFill patternType="solid">
          <x:bgColor rgb="FFFFF3D6"/>
        </x:patternFill>
      </x:fill>
    </x:dxf>
    <x:dxf>
      <x:font>
        <x:b/>
        <x:color rgb="FF9A6A16"/>
      </x:font>
      <x:fill>
        <x:patternFill patternType="solid">
          <x:bgColor rgb="FFFFF3D6"/>
        </x:patternFill>
      </x:fill>
    </x:dxf>
    <x:dxf>
      <x:font>
        <x:b/>
        <x:color rgb="FFB13A2E"/>
      </x:font>
      <x:fill>
        <x:patternFill patternType="solid">
          <x:bgColor rgb="FFF8E7E4"/>
        </x:patternFill>
      </x:fill>
    </x:dxf>
    <x:dxf>
      <x:font>
        <x:b/>
        <x:color rgb="FF2E7D4F"/>
      </x:font>
      <x:fill>
        <x:patternFill patternType="solid">
          <x:bgColor rgb="FFE7F3EB"/>
        </x:patternFill>
      </x:fill>
    </x:dxf>
    <x:dxf>
      <x:font>
        <x:b/>
        <x:color rgb="FFB13A2E"/>
      </x:font>
      <x:fill>
        <x:patternFill patternType="solid">
          <x:bgColor rgb="FFF8E7E4"/>
        </x:patternFill>
      </x:fill>
    </x:dxf>
    <x:dxf>
      <x:font>
        <x:b/>
        <x:color rgb="FF2E7D4F"/>
      </x:font>
      <x:fill>
        <x:patternFill patternType="solid">
          <x:bgColor rgb="FFE7F3EB"/>
        </x:patternFill>
      </x:fill>
    </x:dxf>
    <x:dxf>
      <x:font>
        <x:b/>
        <x:color rgb="FFB13A2E"/>
      </x:font>
      <x:fill>
        <x:patternFill patternType="solid">
          <x:bgColor rgb="FFF8E7E4"/>
        </x:patternFill>
      </x:fill>
    </x:dxf>
    <x:dxf>
      <x:font>
        <x:b/>
        <x:color rgb="FF9A6A16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9ea19ab8f45b5" /><Relationship Type="http://schemas.openxmlformats.org/officeDocument/2006/relationships/theme" Target="/xl/theme/theme1.xml" Id="R2a98b3575a6d44f5" /><Relationship Type="http://schemas.openxmlformats.org/officeDocument/2006/relationships/sharedStrings" Target="/xl/sharedStrings.xml" Id="Rcc64ed456aef4625" /><Relationship Type="http://schemas.openxmlformats.org/officeDocument/2006/relationships/worksheet" Target="/xl/worksheets/sheet1.xml" Id="R688272b71f814735" /><Relationship Type="http://schemas.openxmlformats.org/officeDocument/2006/relationships/worksheet" Target="/xl/worksheets/sheet2.xml" Id="Reac45b9cd236476f" /><Relationship Type="http://schemas.openxmlformats.org/officeDocument/2006/relationships/worksheet" Target="/xl/worksheets/sheet3.xml" Id="Re77efcac43f24295" /><Relationship Type="http://schemas.openxmlformats.org/officeDocument/2006/relationships/worksheet" Target="/xl/worksheets/sheet4.xml" Id="Rae5aab3ab3974bac" /><Relationship Type="http://schemas.openxmlformats.org/officeDocument/2006/relationships/worksheet" Target="/xl/worksheets/sheet5.xml" Id="Ra84b4ec4ca434545" /><Relationship Type="http://schemas.openxmlformats.org/officeDocument/2006/relationships/worksheet" Target="/xl/worksheets/sheet6.xml" Id="R7911281520634bda" /><Relationship Type="http://schemas.openxmlformats.org/officeDocument/2006/relationships/worksheet" Target="/xl/worksheets/sheet7.xml" Id="R0583b9f9595047be" /></Relationships>
</file>

<file path=xl/tables/table1.xml><?xml version="1.0" encoding="utf-8"?>
<x:table xmlns:x="http://schemas.openxmlformats.org/spreadsheetml/2006/main" id="1" name="ImplementationPlanTable" displayName="ImplementationPlanTable" ref="A5:H25" headerRowCount="1" totalsRowCount="0" totalsRowShown="0">
  <x:tableColumns count="8">
    <x:tableColumn id="1" name="Week"/>
    <x:tableColumn id="2" name="Workstream"/>
    <x:tableColumn id="3" name="Activity"/>
    <x:tableColumn id="4" name="Owner"/>
    <x:tableColumn id="5" name="Due Date"/>
    <x:tableColumn id="6" name="Status"/>
    <x:tableColumn id="7" name="Evidence / Link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mpaignRequestsTable" displayName="CampaignRequestsTable" ref="A5:T105" headerRowCount="1" totalsRowCount="0" totalsRowShown="0">
  <x:tableColumns count="20">
    <x:tableColumn id="1" name="Campaign ID"/>
    <x:tableColumn id="2" name="Request Date"/>
    <x:tableColumn id="3" name="Requester"/>
    <x:tableColumn id="4" name="Brand / Platform"/>
    <x:tableColumn id="5" name="Objective"/>
    <x:tableColumn id="6" name="Target Segment"/>
    <x:tableColumn id="7" name="Player List / Criteria"/>
    <x:tableColumn id="8" name="Expected Player Action"/>
    <x:tableColumn id="9" name="Start Date"/>
    <x:tableColumn id="10" name="End Date"/>
    <x:tableColumn id="11" name="Budget (MYR)"/>
    <x:tableColumn id="12" name="Max Bonus (MYR)"/>
    <x:tableColumn id="13" name="Reward Logic"/>
    <x:tableColumn id="14" name="Turnover / T&amp;C"/>
    <x:tableColumn id="15" name="Priority"/>
    <x:tableColumn id="16" name="Success Metric"/>
    <x:tableColumn id="17" name="Results Data Owner"/>
    <x:tableColumn id="18" name="Gate Status"/>
    <x:tableColumn id="19" name="Missing Required Fields"/>
    <x:tableColumn id="20" name="Management Approv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moAuditTable" displayName="PromoAuditTable" ref="A5:R105" headerRowCount="1" totalsRowCount="0" totalsRowShown="0">
  <x:tableColumns count="18">
    <x:tableColumn id="1" name="Promo Code"/>
    <x:tableColumn id="2" name="Promo Name"/>
    <x:tableColumn id="3" name="Brand / Platform"/>
    <x:tableColumn id="4" name="Current Status"/>
    <x:tableColumn id="5" name="Launch Date"/>
    <x:tableColumn id="6" name="Last Claim Date"/>
    <x:tableColumn id="7" name="Claims (90d)"/>
    <x:tableColumn id="8" name="Unique Claimants"/>
    <x:tableColumn id="9" name="Avg Claimant Deposit (MYR)"/>
    <x:tableColumn id="10" name="Max Bonus Cap (MYR)"/>
    <x:tableColumn id="11" name="Cap / Deposit Ratio"/>
    <x:tableColumn id="12" name="Bonus Cost (90d MYR)"/>
    <x:tableColumn id="13" name="Duplicate?"/>
    <x:tableColumn id="14" name="Abuse Risk?"/>
    <x:tableColumn id="15" name="T&amp;C Current?"/>
    <x:tableColumn id="16" name="Owner"/>
    <x:tableColumn id="17" name="Recommendation"/>
    <x:tableColumn id="18" name="Management 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eptionLogTable" displayName="ExceptionLogTable" ref="A5:P105" headerRowCount="1" totalsRowCount="0" totalsRowShown="0">
  <x:tableColumns count="16">
    <x:tableColumn id="1" name="Exception ID"/>
    <x:tableColumn id="2" name="Date Logged"/>
    <x:tableColumn id="3" name="Brand / Platform"/>
    <x:tableColumn id="4" name="Campaign ID"/>
    <x:tableColumn id="5" name="Source"/>
    <x:tableColumn id="6" name="Exception Type"/>
    <x:tableColumn id="7" name="Description"/>
    <x:tableColumn id="8" name="Player / Business Impact"/>
    <x:tableColumn id="9" name="Root Cause"/>
    <x:tableColumn id="10" name="Immediate Fix"/>
    <x:tableColumn id="11" name="Rule / SOP Update"/>
    <x:tableColumn id="12" name="Owner"/>
    <x:tableColumn id="13" name="Due Date"/>
    <x:tableColumn id="14" name="Status"/>
    <x:tableColumn id="15" name="Days Overdue"/>
    <x:tableColumn id="16" name="Repeat Issue?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mpaignResultsTable" displayName="CampaignResultsTable" ref="A5:V105" headerRowCount="1" totalsRowCount="0" totalsRowShown="0">
  <x:tableColumns count="22">
    <x:tableColumn id="1" name="Campaign ID"/>
    <x:tableColumn id="2" name="Campaign Name"/>
    <x:tableColumn id="3" name="Objective"/>
    <x:tableColumn id="4" name="Segment"/>
    <x:tableColumn id="5" name="Brand / Platform"/>
    <x:tableColumn id="6" name="Channel"/>
    <x:tableColumn id="7" name="Start Date"/>
    <x:tableColumn id="8" name="End Date"/>
    <x:tableColumn id="9" name="Target Players"/>
    <x:tableColumn id="10" name="Claims"/>
    <x:tableColumn id="11" name="Claim Rate"/>
    <x:tableColumn id="12" name="Depositors (72h)"/>
    <x:tableColumn id="13" name="Claim → Deposit Rate"/>
    <x:tableColumn id="14" name="Deposit Amount (MYR)"/>
    <x:tableColumn id="15" name="Bonus Cost (MYR)"/>
    <x:tableColumn id="16" name="Cost / Claim"/>
    <x:tableColumn id="17" name="Cost / Reactivated Player"/>
    <x:tableColumn id="18" name="Avg Deposit Pre"/>
    <x:tableColumn id="19" name="Avg Deposit Post"/>
    <x:tableColumn id="20" name="Deposit Uplift"/>
    <x:tableColumn id="21" name="Post-Mortem Complete?"/>
    <x:tableColumn id="22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cf3fa5db1349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8cb82fc5c049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80eba9e38a4a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751115b60946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1c86e73fde4d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3" t="str">
        <x:v>Promo Operations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Management view of request quality, promo cost reviews, campaign outcomes, and execution control.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9" t="str">
        <x:v>QUALITY GATE</x:v>
      </x:c>
      <x:c r="B4" s="9"/>
      <x:c r="C4" s="9"/>
      <x:c r="D4" s="9"/>
      <x:c r="E4" s="9"/>
      <x:c r="F4" s="9"/>
      <x:c r="G4" s="9"/>
      <x:c r="H4" s="9"/>
      <x:c r="I4" s="9"/>
      <x:c r="J4" s="9"/>
    </x:row>
    <x:row r="5">
      <x:c r="A5" s="38" t="str">
        <x:v>Total Requests</x:v>
      </x:c>
      <x:c r="B5" s="38"/>
      <x:c r="C5" s="38" t="str">
        <x:v>Ready</x:v>
      </x:c>
      <x:c r="D5" s="38"/>
      <x:c r="E5" s="38" t="str">
        <x:v>Incomplete</x:v>
      </x:c>
      <x:c r="F5" s="38"/>
      <x:c r="G5" s="38" t="str">
        <x:v>Ready Rate</x:v>
      </x:c>
      <x:c r="H5" s="38"/>
      <x:c r="I5" s="38" t="str">
        <x:v>Approved</x:v>
      </x:c>
      <x:c r="J5" s="38"/>
    </x:row>
    <x:row r="6">
      <x:c r="A6" s="43" t="n">
        <x:f>COUNTIF('Campaign Requests'!A6:A105,"&lt;&gt;")</x:f>
        <x:v>0</x:v>
      </x:c>
      <x:c r="B6" s="43"/>
      <x:c r="C6" s="43" t="n">
        <x:f>COUNTIF('Campaign Requests'!R6:R105,"READY")</x:f>
        <x:v>0</x:v>
      </x:c>
      <x:c r="D6" s="43"/>
      <x:c r="E6" s="43" t="n">
        <x:f>COUNTIF('Campaign Requests'!R6:R105,"INCOMPLETE")</x:f>
        <x:v>0</x:v>
      </x:c>
      <x:c r="F6" s="43"/>
      <x:c r="G6" s="44" t="n">
        <x:f>IFERROR(C6/A6,0)</x:f>
        <x:v>0</x:v>
      </x:c>
      <x:c r="H6" s="44"/>
      <x:c r="I6" s="43" t="n">
        <x:f>COUNTIF('Campaign Requests'!T6:T105,"Approved")</x:f>
        <x:v>0</x:v>
      </x:c>
      <x:c r="J6" s="43"/>
    </x:row>
    <x:row r="7">
      <x:c r="A7" s="43"/>
      <x:c r="B7" s="43"/>
      <x:c r="C7" s="43"/>
      <x:c r="D7" s="43"/>
      <x:c r="E7" s="43"/>
      <x:c r="F7" s="43"/>
      <x:c r="G7" s="44"/>
      <x:c r="H7" s="44"/>
      <x:c r="I7" s="43"/>
      <x:c r="J7" s="43"/>
    </x:row>
    <x:row r="9">
      <x:c r="A9" s="9" t="str">
        <x:v>PROMO AUDIT</x:v>
      </x:c>
      <x:c r="B9" s="9"/>
      <x:c r="C9" s="9"/>
      <x:c r="D9" s="9"/>
      <x:c r="E9" s="9"/>
      <x:c r="F9" s="9"/>
      <x:c r="G9" s="9"/>
      <x:c r="H9" s="9"/>
      <x:c r="I9" s="9"/>
      <x:c r="J9" s="9"/>
    </x:row>
    <x:row r="10">
      <x:c r="A10" s="38" t="str">
        <x:v>Promos Reviewed</x:v>
      </x:c>
      <x:c r="B10" s="38"/>
      <x:c r="C10" s="38" t="str">
        <x:v>Review / Adjust</x:v>
      </x:c>
      <x:c r="D10" s="38"/>
      <x:c r="E10" s="38" t="str">
        <x:v>Sunset Candidates</x:v>
      </x:c>
      <x:c r="F10" s="38"/>
      <x:c r="G10" s="38" t="str">
        <x:v>Bonus Cost 90d</x:v>
      </x:c>
      <x:c r="H10" s="38"/>
      <x:c r="I10" s="38" t="str">
        <x:v>Decisions Made</x:v>
      </x:c>
      <x:c r="J10" s="38"/>
    </x:row>
    <x:row r="11">
      <x:c r="A11" s="43" t="n">
        <x:f>COUNTIF('Promo Audit'!A6:A105,"&lt;&gt;")</x:f>
        <x:v>0</x:v>
      </x:c>
      <x:c r="B11" s="43"/>
      <x:c r="C11" s="43" t="n">
        <x:f>COUNTIF('Promo Audit'!Q6:Q105,"REVIEW")+COUNTIF('Promo Audit'!Q6:Q105,"REDUCE CAP")</x:f>
        <x:v>0</x:v>
      </x:c>
      <x:c r="D11" s="43"/>
      <x:c r="E11" s="43" t="n">
        <x:f>COUNTIF('Promo Audit'!Q6:Q105,"SUNSET")</x:f>
        <x:v>0</x:v>
      </x:c>
      <x:c r="F11" s="43"/>
      <x:c r="G11" s="45" t="n">
        <x:f>SUM('Promo Audit'!L6:L105)</x:f>
        <x:v>0</x:v>
      </x:c>
      <x:c r="H11" s="45"/>
      <x:c r="I11" s="43" t="n">
        <x:f>COUNTIFS('Promo Audit'!A6:A105,"&lt;&gt;",'Promo Audit'!R6:R105,"&lt;&gt;Pending",'Promo Audit'!R6:R105,"&lt;&gt;")</x:f>
        <x:v>0</x:v>
      </x:c>
      <x:c r="J11" s="43"/>
    </x:row>
    <x:row r="12">
      <x:c r="A12" s="43"/>
      <x:c r="B12" s="43"/>
      <x:c r="C12" s="43"/>
      <x:c r="D12" s="43"/>
      <x:c r="E12" s="43"/>
      <x:c r="F12" s="43"/>
      <x:c r="G12" s="45"/>
      <x:c r="H12" s="45"/>
      <x:c r="I12" s="43"/>
      <x:c r="J12" s="43"/>
    </x:row>
    <x:row r="14">
      <x:c r="A14" s="9" t="str">
        <x:v>CAMPAIGN RESULTS</x:v>
      </x:c>
      <x:c r="B14" s="9"/>
      <x:c r="C14" s="9"/>
      <x:c r="D14" s="9"/>
      <x:c r="E14" s="9"/>
      <x:c r="F14" s="9"/>
      <x:c r="G14" s="9"/>
      <x:c r="H14" s="9"/>
      <x:c r="I14" s="9"/>
      <x:c r="J14" s="9"/>
    </x:row>
    <x:row r="15">
      <x:c r="A15" s="38" t="str">
        <x:v>Campaigns Reported</x:v>
      </x:c>
      <x:c r="B15" s="38"/>
      <x:c r="C15" s="38" t="str">
        <x:v>Claims</x:v>
      </x:c>
      <x:c r="D15" s="38"/>
      <x:c r="E15" s="38" t="str">
        <x:v>Depositors 72h</x:v>
      </x:c>
      <x:c r="F15" s="38"/>
      <x:c r="G15" s="38" t="str">
        <x:v>Claim → Deposit</x:v>
      </x:c>
      <x:c r="H15" s="38"/>
      <x:c r="I15" s="38" t="str">
        <x:v>Post-Mortems Done</x:v>
      </x:c>
      <x:c r="J15" s="38"/>
    </x:row>
    <x:row r="16">
      <x:c r="A16" s="43" t="n">
        <x:f>COUNTIF('Campaign Results'!A6:A105,"&lt;&gt;")</x:f>
        <x:v>0</x:v>
      </x:c>
      <x:c r="B16" s="43"/>
      <x:c r="C16" s="43" t="n">
        <x:f>SUM('Campaign Results'!J6:J105)</x:f>
        <x:v>0</x:v>
      </x:c>
      <x:c r="D16" s="43"/>
      <x:c r="E16" s="43" t="n">
        <x:f>SUM('Campaign Results'!L6:L105)</x:f>
        <x:v>0</x:v>
      </x:c>
      <x:c r="F16" s="43"/>
      <x:c r="G16" s="44" t="n">
        <x:f>IFERROR(E16/C16,0)</x:f>
        <x:v>0</x:v>
      </x:c>
      <x:c r="H16" s="44"/>
      <x:c r="I16" s="43" t="n">
        <x:f>COUNTIF('Campaign Results'!U6:U105,"Yes")</x:f>
        <x:v>0</x:v>
      </x:c>
      <x:c r="J16" s="43"/>
    </x:row>
    <x:row r="17">
      <x:c r="A17" s="43"/>
      <x:c r="B17" s="43"/>
      <x:c r="C17" s="43"/>
      <x:c r="D17" s="43"/>
      <x:c r="E17" s="43"/>
      <x:c r="F17" s="43"/>
      <x:c r="G17" s="44"/>
      <x:c r="H17" s="44"/>
      <x:c r="I17" s="43"/>
      <x:c r="J17" s="43"/>
    </x:row>
    <x:row r="19">
      <x:c r="A19" s="9" t="str">
        <x:v>CONTROL &amp; EXCEPTIONS</x:v>
      </x:c>
      <x:c r="B19" s="9"/>
      <x:c r="C19" s="9"/>
      <x:c r="D19" s="9"/>
      <x:c r="E19" s="9"/>
      <x:c r="F19" s="9"/>
      <x:c r="G19" s="9"/>
      <x:c r="H19" s="9"/>
      <x:c r="I19" s="9"/>
      <x:c r="J19" s="9"/>
    </x:row>
    <x:row r="20">
      <x:c r="A20" s="38" t="str">
        <x:v>Open Exceptions</x:v>
      </x:c>
      <x:c r="B20" s="38"/>
      <x:c r="C20" s="38" t="str">
        <x:v>Overdue</x:v>
      </x:c>
      <x:c r="D20" s="38"/>
      <x:c r="E20" s="38" t="str">
        <x:v>Repeat Issues</x:v>
      </x:c>
      <x:c r="F20" s="38"/>
      <x:c r="G20" s="38" t="str">
        <x:v>30-Day Tasks Done</x:v>
      </x:c>
      <x:c r="H20" s="38"/>
      <x:c r="I20" s="38" t="str">
        <x:v>Tasks Remaining</x:v>
      </x:c>
      <x:c r="J20" s="38"/>
    </x:row>
    <x:row r="21">
      <x:c r="A21" s="43" t="n">
        <x:f>COUNTIFS('Exception Log'!A6:A105,"&lt;&gt;",'Exception Log'!N6:N105,"&lt;&gt;Closed")</x:f>
        <x:v>0</x:v>
      </x:c>
      <x:c r="B21" s="43"/>
      <x:c r="C21" s="43" t="n">
        <x:f>COUNTIFS('Exception Log'!A6:A105,"&lt;&gt;",'Exception Log'!N6:N105,"&lt;&gt;Closed",'Exception Log'!O6:O105,"&gt;0")</x:f>
        <x:v>0</x:v>
      </x:c>
      <x:c r="D21" s="43"/>
      <x:c r="E21" s="43" t="n">
        <x:f>COUNTIFS('Exception Log'!A6:A105,"&lt;&gt;",'Exception Log'!P6:P105,"Yes")</x:f>
        <x:v>0</x:v>
      </x:c>
      <x:c r="F21" s="43"/>
      <x:c r="G21" s="43" t="n">
        <x:f>COUNTIF('30-Day Plan'!F6:F25,"Completed")</x:f>
        <x:v>0</x:v>
      </x:c>
      <x:c r="H21" s="43"/>
      <x:c r="I21" s="43" t="n">
        <x:f>COUNTIF('30-Day Plan'!A6:A25,"&lt;&gt;")-G21</x:f>
        <x:v>20</x:v>
      </x:c>
      <x:c r="J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</x:row>
    <x:row r="24">
      <x:c r="A24" s="46" t="str">
        <x:v>MANAGEMENT DECISIONS</x:v>
      </x:c>
      <x:c r="B24" s="46"/>
      <x:c r="C24" s="46"/>
      <x:c r="D24" s="46"/>
      <x:c r="E24" s="46"/>
      <x:c r="F24" s="46"/>
    </x:row>
    <x:row r="25" ht="34" customHeight="1">
      <x:c r="A25" s="18" t="str">
        <x:v>Decision</x:v>
      </x:c>
      <x:c r="B25" s="19" t="str">
        <x:v>Owner</x:v>
      </x:c>
      <x:c r="C25" s="19" t="str">
        <x:v>Status</x:v>
      </x:c>
      <x:c r="D25" s="19" t="str">
        <x:v>Target Date</x:v>
      </x:c>
      <x:c r="E25" s="20" t="str">
        <x:v>Notes</x:v>
      </x:c>
      <x:c r="F25" s="47"/>
    </x:row>
    <x:row r="26">
      <x:c r="A26" s="29" t="str">
        <x:v>Approve request template + quality gate</x:v>
      </x:c>
      <x:c r="B26" s="29" t="str">
        <x:v>Management</x:v>
      </x:c>
      <x:c r="C26" s="29" t="str">
        <x:v>Pending</x:v>
      </x:c>
      <x:c r="D26" s="32"/>
      <x:c r="E26" s="29"/>
      <x:c r="F26" s="47"/>
    </x:row>
    <x:row r="27">
      <x:c r="A27" s="30" t="str">
        <x:v>Approve cap audit + sunset review</x:v>
      </x:c>
      <x:c r="B27" s="30" t="str">
        <x:v>Management</x:v>
      </x:c>
      <x:c r="C27" s="30" t="str">
        <x:v>Pending</x:v>
      </x:c>
      <x:c r="D27" s="33"/>
      <x:c r="E27" s="30"/>
      <x:c r="F27" s="47"/>
    </x:row>
    <x:row r="28">
      <x:c r="A28" s="30" t="str">
        <x:v>Support two controlled pilots</x:v>
      </x:c>
      <x:c r="B28" s="30" t="str">
        <x:v>Sales + Promo</x:v>
      </x:c>
      <x:c r="C28" s="30" t="str">
        <x:v>Pending</x:v>
      </x:c>
      <x:c r="D28" s="33"/>
      <x:c r="E28" s="30"/>
      <x:c r="F28" s="47"/>
    </x:row>
    <x:row r="29">
      <x:c r="A29" s="31" t="str">
        <x:v>Commit to post-campaign data sharing</x:v>
      </x:c>
      <x:c r="B29" s="31" t="str">
        <x:v>Sales</x:v>
      </x:c>
      <x:c r="C29" s="31" t="str">
        <x:v>Pending</x:v>
      </x:c>
      <x:c r="D29" s="34"/>
      <x:c r="E29" s="31"/>
      <x:c r="F29" s="47"/>
    </x:row>
  </x:sheetData>
  <x:mergeCells>
    <x:mergeCell ref="A1:J1"/>
    <x:mergeCell ref="A2:J2"/>
    <x:mergeCell ref="A4:J4"/>
    <x:mergeCell ref="A5:B5"/>
    <x:mergeCell ref="C5:D5"/>
    <x:mergeCell ref="E5:F5"/>
    <x:mergeCell ref="G5:H5"/>
    <x:mergeCell ref="I5:J5"/>
    <x:mergeCell ref="A6:B7"/>
    <x:mergeCell ref="C6:D7"/>
    <x:mergeCell ref="E6:F7"/>
    <x:mergeCell ref="G6:H7"/>
    <x:mergeCell ref="I6:J7"/>
    <x:mergeCell ref="A9:J9"/>
    <x:mergeCell ref="A10:B10"/>
    <x:mergeCell ref="C10:D10"/>
    <x:mergeCell ref="E10:F10"/>
    <x:mergeCell ref="G10:H10"/>
    <x:mergeCell ref="I10:J10"/>
    <x:mergeCell ref="A11:B12"/>
    <x:mergeCell ref="C11:D12"/>
    <x:mergeCell ref="E11:F12"/>
    <x:mergeCell ref="G11:H12"/>
    <x:mergeCell ref="I11:J12"/>
    <x:mergeCell ref="A14:J14"/>
    <x:mergeCell ref="A15:B15"/>
    <x:mergeCell ref="C15:D15"/>
    <x:mergeCell ref="E15:F15"/>
    <x:mergeCell ref="G15:H15"/>
    <x:mergeCell ref="I15:J15"/>
    <x:mergeCell ref="A16:B17"/>
    <x:mergeCell ref="C16:D17"/>
    <x:mergeCell ref="E16:F17"/>
    <x:mergeCell ref="G16:H17"/>
    <x:mergeCell ref="I16:J17"/>
    <x:mergeCell ref="A19:J19"/>
    <x:mergeCell ref="A20:B20"/>
    <x:mergeCell ref="C20:D20"/>
    <x:mergeCell ref="E20:F20"/>
    <x:mergeCell ref="G20:H20"/>
    <x:mergeCell ref="I20:J20"/>
    <x:mergeCell ref="A21:B22"/>
    <x:mergeCell ref="C21:D22"/>
    <x:mergeCell ref="E21:F22"/>
    <x:mergeCell ref="G21:H22"/>
    <x:mergeCell ref="I21:J22"/>
    <x:mergeCell ref="A24:F24"/>
  </x:mergeCells>
  <x:conditionalFormatting sqref="C26:C29">
    <x:cfRule type="containsText" dxfId="0" priority="1" operator="containsText" text="READY"/>
    <x:cfRule type="containsText" dxfId="1" priority="2" operator="containsText" text="INCOMPLETE"/>
    <x:cfRule type="containsText" dxfId="2" priority="3" operator="containsText" text="Closed"/>
    <x:cfRule type="containsText" dxfId="3" priority="4" operator="containsText" text="Overdue"/>
    <x:cfRule type="containsText" dxfId="4" priority="5" operator="containsText" text="In Progress"/>
  </x:conditionalFormatting>
  <x:dataValidations count="1">
    <x:dataValidation type="list" sqref="C26:C29">
      <x:formula1>"Pending,Approved,Declined,In Progress,Completed"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42" hidden="0" customWidth="1"/>
    <x:col min="4" max="4" width="18" hidden="0" customWidth="1"/>
    <x:col min="5" max="5" width="14" hidden="0" customWidth="1"/>
    <x:col min="6" max="6" width="14" hidden="0" customWidth="1"/>
    <x:col min="7" max="7" width="25" hidden="0" customWidth="1"/>
    <x:col min="8" max="8" width="25" hidden="0" customWidth="1"/>
  </x:cols>
  <x:sheetData>
    <x:row r="1" ht="34" customHeight="1">
      <x:c r="A1" s="3" t="str">
        <x:v>30-Day Implementation Plan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Use this sheet to assign owners, due dates, evidence, and status for the four-week rollout.</x:v>
      </x:c>
      <x:c r="B2" s="7"/>
      <x:c r="C2" s="7"/>
      <x:c r="D2" s="7"/>
      <x:c r="E2" s="7"/>
      <x:c r="F2" s="7"/>
      <x:c r="G2" s="7"/>
      <x:c r="H2" s="7"/>
    </x:row>
    <x:row r="5" ht="34" customHeight="1">
      <x:c r="A5" s="18" t="str">
        <x:v>Week</x:v>
      </x:c>
      <x:c r="B5" s="19" t="str">
        <x:v>Workstream</x:v>
      </x:c>
      <x:c r="C5" s="19" t="str">
        <x:v>Activity</x:v>
      </x:c>
      <x:c r="D5" s="19" t="str">
        <x:v>Owner</x:v>
      </x:c>
      <x:c r="E5" s="19" t="str">
        <x:v>Due Date</x:v>
      </x:c>
      <x:c r="F5" s="19" t="str">
        <x:v>Status</x:v>
      </x:c>
      <x:c r="G5" s="19" t="str">
        <x:v>Evidence / Link</x:v>
      </x:c>
      <x:c r="H5" s="20" t="str">
        <x:v>Notes</x:v>
      </x:c>
    </x:row>
    <x:row r="6">
      <x:c r="A6" s="29" t="str">
        <x:v>Week 1</x:v>
      </x:c>
      <x:c r="B6" s="29" t="str">
        <x:v>Align and Identify</x:v>
      </x:c>
      <x:c r="C6" s="29" t="str">
        <x:v>Agree request template and campaign objectives with Sales</x:v>
      </x:c>
      <x:c r="D6" s="29"/>
      <x:c r="E6" s="32"/>
      <x:c r="F6" s="29" t="str">
        <x:v>Not Started</x:v>
      </x:c>
      <x:c r="G6" s="29"/>
      <x:c r="H6" s="29"/>
    </x:row>
    <x:row r="7">
      <x:c r="A7" s="30" t="str">
        <x:v>Week 1</x:v>
      </x:c>
      <x:c r="B7" s="30" t="str">
        <x:v>Align and Identify</x:v>
      </x:c>
      <x:c r="C7" s="30" t="str">
        <x:v>Map Promo and Sales data sources</x:v>
      </x:c>
      <x:c r="D7" s="30"/>
      <x:c r="E7" s="33"/>
      <x:c r="F7" s="30" t="str">
        <x:v>Not Started</x:v>
      </x:c>
      <x:c r="G7" s="30"/>
      <x:c r="H7" s="30"/>
    </x:row>
    <x:row r="8">
      <x:c r="A8" s="30" t="str">
        <x:v>Week 1</x:v>
      </x:c>
      <x:c r="B8" s="30" t="str">
        <x:v>Align and Identify</x:v>
      </x:c>
      <x:c r="C8" s="30" t="str">
        <x:v>Start automation QC exception log</x:v>
      </x:c>
      <x:c r="D8" s="30"/>
      <x:c r="E8" s="33"/>
      <x:c r="F8" s="30" t="str">
        <x:v>Not Started</x:v>
      </x:c>
      <x:c r="G8" s="30"/>
      <x:c r="H8" s="30"/>
    </x:row>
    <x:row r="9">
      <x:c r="A9" s="30" t="str">
        <x:v>Week 1</x:v>
      </x:c>
      <x:c r="B9" s="30" t="str">
        <x:v>Align and Identify</x:v>
      </x:c>
      <x:c r="C9" s="30" t="str">
        <x:v>List legacy and duplicate promo issues</x:v>
      </x:c>
      <x:c r="D9" s="30"/>
      <x:c r="E9" s="33"/>
      <x:c r="F9" s="30" t="str">
        <x:v>Not Started</x:v>
      </x:c>
      <x:c r="G9" s="30"/>
      <x:c r="H9" s="30"/>
    </x:row>
    <x:row r="10">
      <x:c r="A10" s="30" t="str">
        <x:v>Week 1</x:v>
      </x:c>
      <x:c r="B10" s="30" t="str">
        <x:v>Align and Identify</x:v>
      </x:c>
      <x:c r="C10" s="30" t="str">
        <x:v>Confirm lapsed-player list owner in Sales</x:v>
      </x:c>
      <x:c r="D10" s="30"/>
      <x:c r="E10" s="33"/>
      <x:c r="F10" s="30" t="str">
        <x:v>Not Started</x:v>
      </x:c>
      <x:c r="G10" s="30"/>
      <x:c r="H10" s="30"/>
    </x:row>
    <x:row r="11">
      <x:c r="A11" s="30" t="str">
        <x:v>Week 2</x:v>
      </x:c>
      <x:c r="B11" s="30" t="str">
        <x:v>Audit and Build</x:v>
      </x:c>
      <x:c r="C11" s="30" t="str">
        <x:v>Run 90-day promo cap audit sample</x:v>
      </x:c>
      <x:c r="D11" s="30"/>
      <x:c r="E11" s="33"/>
      <x:c r="F11" s="30" t="str">
        <x:v>Not Started</x:v>
      </x:c>
      <x:c r="G11" s="30"/>
      <x:c r="H11" s="30"/>
    </x:row>
    <x:row r="12">
      <x:c r="A12" s="30" t="str">
        <x:v>Week 2</x:v>
      </x:c>
      <x:c r="B12" s="30" t="str">
        <x:v>Audit and Build</x:v>
      </x:c>
      <x:c r="C12" s="30" t="str">
        <x:v>Draft promo sunset list</x:v>
      </x:c>
      <x:c r="D12" s="30"/>
      <x:c r="E12" s="33"/>
      <x:c r="F12" s="30" t="str">
        <x:v>Not Started</x:v>
      </x:c>
      <x:c r="G12" s="30"/>
      <x:c r="H12" s="30"/>
    </x:row>
    <x:row r="13">
      <x:c r="A13" s="30" t="str">
        <x:v>Week 2</x:v>
      </x:c>
      <x:c r="B13" s="30" t="str">
        <x:v>Audit and Build</x:v>
      </x:c>
      <x:c r="C13" s="30" t="str">
        <x:v>Set up basic dashboard: volume, QC, SLA</x:v>
      </x:c>
      <x:c r="D13" s="30"/>
      <x:c r="E13" s="33"/>
      <x:c r="F13" s="30" t="str">
        <x:v>Not Started</x:v>
      </x:c>
      <x:c r="G13" s="30"/>
      <x:c r="H13" s="30"/>
    </x:row>
    <x:row r="14">
      <x:c r="A14" s="30" t="str">
        <x:v>Week 2</x:v>
      </x:c>
      <x:c r="B14" s="30" t="str">
        <x:v>Audit and Build</x:v>
      </x:c>
      <x:c r="C14" s="30" t="str">
        <x:v>Agree campaign post-mortem template</x:v>
      </x:c>
      <x:c r="D14" s="30"/>
      <x:c r="E14" s="33"/>
      <x:c r="F14" s="30" t="str">
        <x:v>Not Started</x:v>
      </x:c>
      <x:c r="G14" s="30"/>
      <x:c r="H14" s="30"/>
    </x:row>
    <x:row r="15">
      <x:c r="A15" s="30" t="str">
        <x:v>Week 2</x:v>
      </x:c>
      <x:c r="B15" s="30" t="str">
        <x:v>Audit and Build</x:v>
      </x:c>
      <x:c r="C15" s="30" t="str">
        <x:v>Submit audit recommendations for approval</x:v>
      </x:c>
      <x:c r="D15" s="30"/>
      <x:c r="E15" s="33"/>
      <x:c r="F15" s="30" t="str">
        <x:v>Not Started</x:v>
      </x:c>
      <x:c r="G15" s="30"/>
      <x:c r="H15" s="30"/>
    </x:row>
    <x:row r="16">
      <x:c r="A16" s="30" t="str">
        <x:v>Week 3</x:v>
      </x:c>
      <x:c r="B16" s="30" t="str">
        <x:v>Pilot and Strengthen</x:v>
      </x:c>
      <x:c r="C16" s="30" t="str">
        <x:v>Pilot first reactivation campaign</x:v>
      </x:c>
      <x:c r="D16" s="30"/>
      <x:c r="E16" s="33"/>
      <x:c r="F16" s="30" t="str">
        <x:v>Not Started</x:v>
      </x:c>
      <x:c r="G16" s="30"/>
      <x:c r="H16" s="30"/>
    </x:row>
    <x:row r="17">
      <x:c r="A17" s="30" t="str">
        <x:v>Week 3</x:v>
      </x:c>
      <x:c r="B17" s="30" t="str">
        <x:v>Pilot and Strengthen</x:v>
      </x:c>
      <x:c r="C17" s="30" t="str">
        <x:v>Pilot first segment-targeted campaign</x:v>
      </x:c>
      <x:c r="D17" s="30"/>
      <x:c r="E17" s="33"/>
      <x:c r="F17" s="30" t="str">
        <x:v>Not Started</x:v>
      </x:c>
      <x:c r="G17" s="30"/>
      <x:c r="H17" s="30"/>
    </x:row>
    <x:row r="18">
      <x:c r="A18" s="30" t="str">
        <x:v>Week 3</x:v>
      </x:c>
      <x:c r="B18" s="30" t="str">
        <x:v>Pilot and Strengthen</x:v>
      </x:c>
      <x:c r="C18" s="30" t="str">
        <x:v>Run Sales promo knowledge-sharing session</x:v>
      </x:c>
      <x:c r="D18" s="30"/>
      <x:c r="E18" s="33"/>
      <x:c r="F18" s="30" t="str">
        <x:v>Not Started</x:v>
      </x:c>
      <x:c r="G18" s="30"/>
      <x:c r="H18" s="30"/>
    </x:row>
    <x:row r="19">
      <x:c r="A19" s="30" t="str">
        <x:v>Week 3</x:v>
      </x:c>
      <x:c r="B19" s="30" t="str">
        <x:v>Pilot and Strengthen</x:v>
      </x:c>
      <x:c r="C19" s="30" t="str">
        <x:v>Update automation rules from exception log</x:v>
      </x:c>
      <x:c r="D19" s="30"/>
      <x:c r="E19" s="33"/>
      <x:c r="F19" s="30" t="str">
        <x:v>Not Started</x:v>
      </x:c>
      <x:c r="G19" s="30"/>
      <x:c r="H19" s="30"/>
    </x:row>
    <x:row r="20">
      <x:c r="A20" s="30" t="str">
        <x:v>Week 3</x:v>
      </x:c>
      <x:c r="B20" s="30" t="str">
        <x:v>Pilot and Strengthen</x:v>
      </x:c>
      <x:c r="C20" s="30" t="str">
        <x:v>Apply approved cap or sunset changes</x:v>
      </x:c>
      <x:c r="D20" s="30"/>
      <x:c r="E20" s="33"/>
      <x:c r="F20" s="30" t="str">
        <x:v>Not Started</x:v>
      </x:c>
      <x:c r="G20" s="30"/>
      <x:c r="H20" s="30"/>
    </x:row>
    <x:row r="21">
      <x:c r="A21" s="30" t="str">
        <x:v>Week 4</x:v>
      </x:c>
      <x:c r="B21" s="30" t="str">
        <x:v>Review and Confirm</x:v>
      </x:c>
      <x:c r="C21" s="30" t="str">
        <x:v>Review pilot results</x:v>
      </x:c>
      <x:c r="D21" s="30"/>
      <x:c r="E21" s="33"/>
      <x:c r="F21" s="30" t="str">
        <x:v>Not Started</x:v>
      </x:c>
      <x:c r="G21" s="30"/>
      <x:c r="H21" s="30"/>
    </x:row>
    <x:row r="22">
      <x:c r="A22" s="30" t="str">
        <x:v>Week 4</x:v>
      </x:c>
      <x:c r="B22" s="30" t="str">
        <x:v>Review and Confirm</x:v>
      </x:c>
      <x:c r="C22" s="30" t="str">
        <x:v>Prepare first management snapshot</x:v>
      </x:c>
      <x:c r="D22" s="30"/>
      <x:c r="E22" s="33"/>
      <x:c r="F22" s="30" t="str">
        <x:v>Not Started</x:v>
      </x:c>
      <x:c r="G22" s="30"/>
      <x:c r="H22" s="30"/>
    </x:row>
    <x:row r="23">
      <x:c r="A23" s="30" t="str">
        <x:v>Week 4</x:v>
      </x:c>
      <x:c r="B23" s="30" t="str">
        <x:v>Review and Confirm</x:v>
      </x:c>
      <x:c r="C23" s="30" t="str">
        <x:v>Confirm next month's promo calendar</x:v>
      </x:c>
      <x:c r="D23" s="30"/>
      <x:c r="E23" s="33"/>
      <x:c r="F23" s="30" t="str">
        <x:v>Not Started</x:v>
      </x:c>
      <x:c r="G23" s="30"/>
      <x:c r="H23" s="30"/>
    </x:row>
    <x:row r="24">
      <x:c r="A24" s="30" t="str">
        <x:v>Week 4</x:v>
      </x:c>
      <x:c r="B24" s="30" t="str">
        <x:v>Review and Confirm</x:v>
      </x:c>
      <x:c r="C24" s="30" t="str">
        <x:v>Lock the monthly operating rhythm</x:v>
      </x:c>
      <x:c r="D24" s="30"/>
      <x:c r="E24" s="33"/>
      <x:c r="F24" s="30" t="str">
        <x:v>Not Started</x:v>
      </x:c>
      <x:c r="G24" s="30"/>
      <x:c r="H24" s="30"/>
    </x:row>
    <x:row r="25">
      <x:c r="A25" s="31" t="str">
        <x:v>Week 4</x:v>
      </x:c>
      <x:c r="B25" s="31" t="str">
        <x:v>Review and Confirm</x:v>
      </x:c>
      <x:c r="C25" s="31" t="str">
        <x:v>Document SOP updates</x:v>
      </x:c>
      <x:c r="D25" s="31"/>
      <x:c r="E25" s="34"/>
      <x:c r="F25" s="31" t="str">
        <x:v>Not Started</x:v>
      </x:c>
      <x:c r="G25" s="31"/>
      <x:c r="H25" s="31"/>
    </x:row>
  </x:sheetData>
  <x:mergeCells>
    <x:mergeCell ref="A1:H1"/>
    <x:mergeCell ref="A2:H2"/>
  </x:mergeCells>
  <x:conditionalFormatting sqref="F6:F25">
    <x:cfRule type="containsText" dxfId="5" priority="1" operator="containsText" text="READY"/>
    <x:cfRule type="containsText" dxfId="6" priority="2" operator="containsText" text="INCOMPLETE"/>
    <x:cfRule type="containsText" dxfId="7" priority="3" operator="containsText" text="Closed"/>
    <x:cfRule type="containsText" dxfId="8" priority="4" operator="containsText" text="Overdue"/>
    <x:cfRule type="containsText" dxfId="9" priority="5" operator="containsText" text="In Progress"/>
  </x:conditionalFormatting>
  <x:dataValidations count="1">
    <x:dataValidation type="list" sqref="F6:F25">
      <x:formula1>"Not Started,In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cf3fa5db1349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  <x:col min="13" max="13" width="24" hidden="0" customWidth="1"/>
    <x:col min="14" max="14" width="2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34" customHeight="1">
      <x:c r="A1" s="3" t="str">
        <x:v>Campaign Request &amp; Quality Gate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7" t="str">
        <x:v>Yellow cells are inputs. Gate Status and Missing Required Fields calculate automatically after a Campaign ID is entered.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5" ht="34" customHeight="1">
      <x:c r="A5" s="18" t="str">
        <x:v>Campaign ID</x:v>
      </x:c>
      <x:c r="B5" s="19" t="str">
        <x:v>Request Date</x:v>
      </x:c>
      <x:c r="C5" s="19" t="str">
        <x:v>Requester</x:v>
      </x:c>
      <x:c r="D5" s="19" t="str">
        <x:v>Brand / Platform</x:v>
      </x:c>
      <x:c r="E5" s="19" t="str">
        <x:v>Objective</x:v>
      </x:c>
      <x:c r="F5" s="19" t="str">
        <x:v>Target Segment</x:v>
      </x:c>
      <x:c r="G5" s="19" t="str">
        <x:v>Player List / Criteria</x:v>
      </x:c>
      <x:c r="H5" s="19" t="str">
        <x:v>Expected Player Action</x:v>
      </x:c>
      <x:c r="I5" s="19" t="str">
        <x:v>Start Date</x:v>
      </x:c>
      <x:c r="J5" s="19" t="str">
        <x:v>End Date</x:v>
      </x:c>
      <x:c r="K5" s="19" t="str">
        <x:v>Budget (MYR)</x:v>
      </x:c>
      <x:c r="L5" s="19" t="str">
        <x:v>Max Bonus (MYR)</x:v>
      </x:c>
      <x:c r="M5" s="19" t="str">
        <x:v>Reward Logic</x:v>
      </x:c>
      <x:c r="N5" s="19" t="str">
        <x:v>Turnover / T&amp;C</x:v>
      </x:c>
      <x:c r="O5" s="19" t="str">
        <x:v>Priority</x:v>
      </x:c>
      <x:c r="P5" s="19" t="str">
        <x:v>Success Metric</x:v>
      </x:c>
      <x:c r="Q5" s="19" t="str">
        <x:v>Results Data Owner</x:v>
      </x:c>
      <x:c r="R5" s="19" t="str">
        <x:v>Gate Status</x:v>
      </x:c>
      <x:c r="S5" s="19" t="str">
        <x:v>Missing Required Fields</x:v>
      </x:c>
      <x:c r="T5" s="20" t="str">
        <x:v>Management Approval</x:v>
      </x:c>
    </x:row>
    <x:row r="6">
      <x:c r="A6" s="29"/>
      <x:c r="B6" s="32"/>
      <x:c r="C6" s="29"/>
      <x:c r="D6" s="29"/>
      <x:c r="E6" s="29"/>
      <x:c r="F6" s="29"/>
      <x:c r="G6" s="29"/>
      <x:c r="H6" s="29"/>
      <x:c r="I6" s="32"/>
      <x:c r="J6" s="32"/>
      <x:c r="K6" s="51"/>
      <x:c r="L6" s="51"/>
      <x:c r="M6" s="29"/>
      <x:c r="N6" s="29"/>
      <x:c r="O6" s="29"/>
      <x:c r="P6" s="29"/>
      <x:c r="Q6" s="29"/>
      <x:c r="R6" s="48" t="str">
        <x:f>IF(A6="","",IF(COUNTBLANK(E6:Q6)=0,"READY","INCOMPLETE"))</x:f>
      </x:c>
      <x:c r="S6" s="48" t="str">
        <x:f>IF(A6="","",COUNTBLANK(E6:Q6))</x:f>
      </x:c>
      <x:c r="T6" s="29"/>
    </x:row>
    <x:row r="7">
      <x:c r="A7" s="30"/>
      <x:c r="B7" s="33"/>
      <x:c r="C7" s="30"/>
      <x:c r="D7" s="30"/>
      <x:c r="E7" s="30"/>
      <x:c r="F7" s="30"/>
      <x:c r="G7" s="30"/>
      <x:c r="H7" s="30"/>
      <x:c r="I7" s="33"/>
      <x:c r="J7" s="33"/>
      <x:c r="K7" s="52"/>
      <x:c r="L7" s="52"/>
      <x:c r="M7" s="30"/>
      <x:c r="N7" s="30"/>
      <x:c r="O7" s="30"/>
      <x:c r="P7" s="30"/>
      <x:c r="Q7" s="30"/>
      <x:c r="R7" s="49" t="str">
        <x:f>IF(A7="","",IF(COUNTBLANK(E7:Q7)=0,"READY","INCOMPLETE"))</x:f>
      </x:c>
      <x:c r="S7" s="49" t="str">
        <x:f>IF(A7="","",COUNTBLANK(E7:Q7))</x:f>
      </x:c>
      <x:c r="T7" s="30"/>
    </x:row>
    <x:row r="8">
      <x:c r="A8" s="30"/>
      <x:c r="B8" s="33"/>
      <x:c r="C8" s="30"/>
      <x:c r="D8" s="30"/>
      <x:c r="E8" s="30"/>
      <x:c r="F8" s="30"/>
      <x:c r="G8" s="30"/>
      <x:c r="H8" s="30"/>
      <x:c r="I8" s="33"/>
      <x:c r="J8" s="33"/>
      <x:c r="K8" s="52"/>
      <x:c r="L8" s="52"/>
      <x:c r="M8" s="30"/>
      <x:c r="N8" s="30"/>
      <x:c r="O8" s="30"/>
      <x:c r="P8" s="30"/>
      <x:c r="Q8" s="30"/>
      <x:c r="R8" s="49" t="str">
        <x:f>IF(A8="","",IF(COUNTBLANK(E8:Q8)=0,"READY","INCOMPLETE"))</x:f>
      </x:c>
      <x:c r="S8" s="49" t="str">
        <x:f>IF(A8="","",COUNTBLANK(E8:Q8))</x:f>
      </x:c>
      <x:c r="T8" s="30"/>
    </x:row>
    <x:row r="9">
      <x:c r="A9" s="30"/>
      <x:c r="B9" s="33"/>
      <x:c r="C9" s="30"/>
      <x:c r="D9" s="30"/>
      <x:c r="E9" s="30"/>
      <x:c r="F9" s="30"/>
      <x:c r="G9" s="30"/>
      <x:c r="H9" s="30"/>
      <x:c r="I9" s="33"/>
      <x:c r="J9" s="33"/>
      <x:c r="K9" s="52"/>
      <x:c r="L9" s="52"/>
      <x:c r="M9" s="30"/>
      <x:c r="N9" s="30"/>
      <x:c r="O9" s="30"/>
      <x:c r="P9" s="30"/>
      <x:c r="Q9" s="30"/>
      <x:c r="R9" s="49" t="str">
        <x:f>IF(A9="","",IF(COUNTBLANK(E9:Q9)=0,"READY","INCOMPLETE"))</x:f>
      </x:c>
      <x:c r="S9" s="49" t="str">
        <x:f>IF(A9="","",COUNTBLANK(E9:Q9))</x:f>
      </x:c>
      <x:c r="T9" s="30"/>
    </x:row>
    <x:row r="10">
      <x:c r="A10" s="30"/>
      <x:c r="B10" s="33"/>
      <x:c r="C10" s="30"/>
      <x:c r="D10" s="30"/>
      <x:c r="E10" s="30"/>
      <x:c r="F10" s="30"/>
      <x:c r="G10" s="30"/>
      <x:c r="H10" s="30"/>
      <x:c r="I10" s="33"/>
      <x:c r="J10" s="33"/>
      <x:c r="K10" s="52"/>
      <x:c r="L10" s="52"/>
      <x:c r="M10" s="30"/>
      <x:c r="N10" s="30"/>
      <x:c r="O10" s="30"/>
      <x:c r="P10" s="30"/>
      <x:c r="Q10" s="30"/>
      <x:c r="R10" s="49" t="str">
        <x:f>IF(A10="","",IF(COUNTBLANK(E10:Q10)=0,"READY","INCOMPLETE"))</x:f>
      </x:c>
      <x:c r="S10" s="49" t="str">
        <x:f>IF(A10="","",COUNTBLANK(E10:Q10))</x:f>
      </x:c>
      <x:c r="T10" s="30"/>
    </x:row>
    <x:row r="11">
      <x:c r="A11" s="30"/>
      <x:c r="B11" s="33"/>
      <x:c r="C11" s="30"/>
      <x:c r="D11" s="30"/>
      <x:c r="E11" s="30"/>
      <x:c r="F11" s="30"/>
      <x:c r="G11" s="30"/>
      <x:c r="H11" s="30"/>
      <x:c r="I11" s="33"/>
      <x:c r="J11" s="33"/>
      <x:c r="K11" s="52"/>
      <x:c r="L11" s="52"/>
      <x:c r="M11" s="30"/>
      <x:c r="N11" s="30"/>
      <x:c r="O11" s="30"/>
      <x:c r="P11" s="30"/>
      <x:c r="Q11" s="30"/>
      <x:c r="R11" s="49" t="str">
        <x:f>IF(A11="","",IF(COUNTBLANK(E11:Q11)=0,"READY","INCOMPLETE"))</x:f>
      </x:c>
      <x:c r="S11" s="49" t="str">
        <x:f>IF(A11="","",COUNTBLANK(E11:Q11))</x:f>
      </x:c>
      <x:c r="T11" s="30"/>
    </x:row>
    <x:row r="12">
      <x:c r="A12" s="30"/>
      <x:c r="B12" s="33"/>
      <x:c r="C12" s="30"/>
      <x:c r="D12" s="30"/>
      <x:c r="E12" s="30"/>
      <x:c r="F12" s="30"/>
      <x:c r="G12" s="30"/>
      <x:c r="H12" s="30"/>
      <x:c r="I12" s="33"/>
      <x:c r="J12" s="33"/>
      <x:c r="K12" s="52"/>
      <x:c r="L12" s="52"/>
      <x:c r="M12" s="30"/>
      <x:c r="N12" s="30"/>
      <x:c r="O12" s="30"/>
      <x:c r="P12" s="30"/>
      <x:c r="Q12" s="30"/>
      <x:c r="R12" s="49" t="str">
        <x:f>IF(A12="","",IF(COUNTBLANK(E12:Q12)=0,"READY","INCOMPLETE"))</x:f>
      </x:c>
      <x:c r="S12" s="49" t="str">
        <x:f>IF(A12="","",COUNTBLANK(E12:Q12))</x:f>
      </x:c>
      <x:c r="T12" s="30"/>
    </x:row>
    <x:row r="13">
      <x:c r="A13" s="30"/>
      <x:c r="B13" s="33"/>
      <x:c r="C13" s="30"/>
      <x:c r="D13" s="30"/>
      <x:c r="E13" s="30"/>
      <x:c r="F13" s="30"/>
      <x:c r="G13" s="30"/>
      <x:c r="H13" s="30"/>
      <x:c r="I13" s="33"/>
      <x:c r="J13" s="33"/>
      <x:c r="K13" s="52"/>
      <x:c r="L13" s="52"/>
      <x:c r="M13" s="30"/>
      <x:c r="N13" s="30"/>
      <x:c r="O13" s="30"/>
      <x:c r="P13" s="30"/>
      <x:c r="Q13" s="30"/>
      <x:c r="R13" s="49" t="str">
        <x:f>IF(A13="","",IF(COUNTBLANK(E13:Q13)=0,"READY","INCOMPLETE"))</x:f>
      </x:c>
      <x:c r="S13" s="49" t="str">
        <x:f>IF(A13="","",COUNTBLANK(E13:Q13))</x:f>
      </x:c>
      <x:c r="T13" s="30"/>
    </x:row>
    <x:row r="14">
      <x:c r="A14" s="30"/>
      <x:c r="B14" s="33"/>
      <x:c r="C14" s="30"/>
      <x:c r="D14" s="30"/>
      <x:c r="E14" s="30"/>
      <x:c r="F14" s="30"/>
      <x:c r="G14" s="30"/>
      <x:c r="H14" s="30"/>
      <x:c r="I14" s="33"/>
      <x:c r="J14" s="33"/>
      <x:c r="K14" s="52"/>
      <x:c r="L14" s="52"/>
      <x:c r="M14" s="30"/>
      <x:c r="N14" s="30"/>
      <x:c r="O14" s="30"/>
      <x:c r="P14" s="30"/>
      <x:c r="Q14" s="30"/>
      <x:c r="R14" s="49" t="str">
        <x:f>IF(A14="","",IF(COUNTBLANK(E14:Q14)=0,"READY","INCOMPLETE"))</x:f>
      </x:c>
      <x:c r="S14" s="49" t="str">
        <x:f>IF(A14="","",COUNTBLANK(E14:Q14))</x:f>
      </x:c>
      <x:c r="T14" s="30"/>
    </x:row>
    <x:row r="15">
      <x:c r="A15" s="30"/>
      <x:c r="B15" s="33"/>
      <x:c r="C15" s="30"/>
      <x:c r="D15" s="30"/>
      <x:c r="E15" s="30"/>
      <x:c r="F15" s="30"/>
      <x:c r="G15" s="30"/>
      <x:c r="H15" s="30"/>
      <x:c r="I15" s="33"/>
      <x:c r="J15" s="33"/>
      <x:c r="K15" s="52"/>
      <x:c r="L15" s="52"/>
      <x:c r="M15" s="30"/>
      <x:c r="N15" s="30"/>
      <x:c r="O15" s="30"/>
      <x:c r="P15" s="30"/>
      <x:c r="Q15" s="30"/>
      <x:c r="R15" s="49" t="str">
        <x:f>IF(A15="","",IF(COUNTBLANK(E15:Q15)=0,"READY","INCOMPLETE"))</x:f>
      </x:c>
      <x:c r="S15" s="49" t="str">
        <x:f>IF(A15="","",COUNTBLANK(E15:Q15))</x:f>
      </x:c>
      <x:c r="T15" s="30"/>
    </x:row>
    <x:row r="16">
      <x:c r="A16" s="30"/>
      <x:c r="B16" s="33"/>
      <x:c r="C16" s="30"/>
      <x:c r="D16" s="30"/>
      <x:c r="E16" s="30"/>
      <x:c r="F16" s="30"/>
      <x:c r="G16" s="30"/>
      <x:c r="H16" s="30"/>
      <x:c r="I16" s="33"/>
      <x:c r="J16" s="33"/>
      <x:c r="K16" s="52"/>
      <x:c r="L16" s="52"/>
      <x:c r="M16" s="30"/>
      <x:c r="N16" s="30"/>
      <x:c r="O16" s="30"/>
      <x:c r="P16" s="30"/>
      <x:c r="Q16" s="30"/>
      <x:c r="R16" s="49" t="str">
        <x:f>IF(A16="","",IF(COUNTBLANK(E16:Q16)=0,"READY","INCOMPLETE"))</x:f>
      </x:c>
      <x:c r="S16" s="49" t="str">
        <x:f>IF(A16="","",COUNTBLANK(E16:Q16))</x:f>
      </x:c>
      <x:c r="T16" s="30"/>
    </x:row>
    <x:row r="17">
      <x:c r="A17" s="30"/>
      <x:c r="B17" s="33"/>
      <x:c r="C17" s="30"/>
      <x:c r="D17" s="30"/>
      <x:c r="E17" s="30"/>
      <x:c r="F17" s="30"/>
      <x:c r="G17" s="30"/>
      <x:c r="H17" s="30"/>
      <x:c r="I17" s="33"/>
      <x:c r="J17" s="33"/>
      <x:c r="K17" s="52"/>
      <x:c r="L17" s="52"/>
      <x:c r="M17" s="30"/>
      <x:c r="N17" s="30"/>
      <x:c r="O17" s="30"/>
      <x:c r="P17" s="30"/>
      <x:c r="Q17" s="30"/>
      <x:c r="R17" s="49" t="str">
        <x:f>IF(A17="","",IF(COUNTBLANK(E17:Q17)=0,"READY","INCOMPLETE"))</x:f>
      </x:c>
      <x:c r="S17" s="49" t="str">
        <x:f>IF(A17="","",COUNTBLANK(E17:Q17))</x:f>
      </x:c>
      <x:c r="T17" s="30"/>
    </x:row>
    <x:row r="18">
      <x:c r="A18" s="30"/>
      <x:c r="B18" s="33"/>
      <x:c r="C18" s="30"/>
      <x:c r="D18" s="30"/>
      <x:c r="E18" s="30"/>
      <x:c r="F18" s="30"/>
      <x:c r="G18" s="30"/>
      <x:c r="H18" s="30"/>
      <x:c r="I18" s="33"/>
      <x:c r="J18" s="33"/>
      <x:c r="K18" s="52"/>
      <x:c r="L18" s="52"/>
      <x:c r="M18" s="30"/>
      <x:c r="N18" s="30"/>
      <x:c r="O18" s="30"/>
      <x:c r="P18" s="30"/>
      <x:c r="Q18" s="30"/>
      <x:c r="R18" s="49" t="str">
        <x:f>IF(A18="","",IF(COUNTBLANK(E18:Q18)=0,"READY","INCOMPLETE"))</x:f>
      </x:c>
      <x:c r="S18" s="49" t="str">
        <x:f>IF(A18="","",COUNTBLANK(E18:Q18))</x:f>
      </x:c>
      <x:c r="T18" s="30"/>
    </x:row>
    <x:row r="19">
      <x:c r="A19" s="30"/>
      <x:c r="B19" s="33"/>
      <x:c r="C19" s="30"/>
      <x:c r="D19" s="30"/>
      <x:c r="E19" s="30"/>
      <x:c r="F19" s="30"/>
      <x:c r="G19" s="30"/>
      <x:c r="H19" s="30"/>
      <x:c r="I19" s="33"/>
      <x:c r="J19" s="33"/>
      <x:c r="K19" s="52"/>
      <x:c r="L19" s="52"/>
      <x:c r="M19" s="30"/>
      <x:c r="N19" s="30"/>
      <x:c r="O19" s="30"/>
      <x:c r="P19" s="30"/>
      <x:c r="Q19" s="30"/>
      <x:c r="R19" s="49" t="str">
        <x:f>IF(A19="","",IF(COUNTBLANK(E19:Q19)=0,"READY","INCOMPLETE"))</x:f>
      </x:c>
      <x:c r="S19" s="49" t="str">
        <x:f>IF(A19="","",COUNTBLANK(E19:Q19))</x:f>
      </x:c>
      <x:c r="T19" s="30"/>
    </x:row>
    <x:row r="20">
      <x:c r="A20" s="30"/>
      <x:c r="B20" s="33"/>
      <x:c r="C20" s="30"/>
      <x:c r="D20" s="30"/>
      <x:c r="E20" s="30"/>
      <x:c r="F20" s="30"/>
      <x:c r="G20" s="30"/>
      <x:c r="H20" s="30"/>
      <x:c r="I20" s="33"/>
      <x:c r="J20" s="33"/>
      <x:c r="K20" s="52"/>
      <x:c r="L20" s="52"/>
      <x:c r="M20" s="30"/>
      <x:c r="N20" s="30"/>
      <x:c r="O20" s="30"/>
      <x:c r="P20" s="30"/>
      <x:c r="Q20" s="30"/>
      <x:c r="R20" s="49" t="str">
        <x:f>IF(A20="","",IF(COUNTBLANK(E20:Q20)=0,"READY","INCOMPLETE"))</x:f>
      </x:c>
      <x:c r="S20" s="49" t="str">
        <x:f>IF(A20="","",COUNTBLANK(E20:Q20))</x:f>
      </x:c>
      <x:c r="T20" s="30"/>
    </x:row>
    <x:row r="21">
      <x:c r="A21" s="30"/>
      <x:c r="B21" s="33"/>
      <x:c r="C21" s="30"/>
      <x:c r="D21" s="30"/>
      <x:c r="E21" s="30"/>
      <x:c r="F21" s="30"/>
      <x:c r="G21" s="30"/>
      <x:c r="H21" s="30"/>
      <x:c r="I21" s="33"/>
      <x:c r="J21" s="33"/>
      <x:c r="K21" s="52"/>
      <x:c r="L21" s="52"/>
      <x:c r="M21" s="30"/>
      <x:c r="N21" s="30"/>
      <x:c r="O21" s="30"/>
      <x:c r="P21" s="30"/>
      <x:c r="Q21" s="30"/>
      <x:c r="R21" s="49" t="str">
        <x:f>IF(A21="","",IF(COUNTBLANK(E21:Q21)=0,"READY","INCOMPLETE"))</x:f>
      </x:c>
      <x:c r="S21" s="49" t="str">
        <x:f>IF(A21="","",COUNTBLANK(E21:Q21))</x:f>
      </x:c>
      <x:c r="T21" s="30"/>
    </x:row>
    <x:row r="22">
      <x:c r="A22" s="30"/>
      <x:c r="B22" s="33"/>
      <x:c r="C22" s="30"/>
      <x:c r="D22" s="30"/>
      <x:c r="E22" s="30"/>
      <x:c r="F22" s="30"/>
      <x:c r="G22" s="30"/>
      <x:c r="H22" s="30"/>
      <x:c r="I22" s="33"/>
      <x:c r="J22" s="33"/>
      <x:c r="K22" s="52"/>
      <x:c r="L22" s="52"/>
      <x:c r="M22" s="30"/>
      <x:c r="N22" s="30"/>
      <x:c r="O22" s="30"/>
      <x:c r="P22" s="30"/>
      <x:c r="Q22" s="30"/>
      <x:c r="R22" s="49" t="str">
        <x:f>IF(A22="","",IF(COUNTBLANK(E22:Q22)=0,"READY","INCOMPLETE"))</x:f>
      </x:c>
      <x:c r="S22" s="49" t="str">
        <x:f>IF(A22="","",COUNTBLANK(E22:Q22))</x:f>
      </x:c>
      <x:c r="T22" s="30"/>
    </x:row>
    <x:row r="23">
      <x:c r="A23" s="30"/>
      <x:c r="B23" s="33"/>
      <x:c r="C23" s="30"/>
      <x:c r="D23" s="30"/>
      <x:c r="E23" s="30"/>
      <x:c r="F23" s="30"/>
      <x:c r="G23" s="30"/>
      <x:c r="H23" s="30"/>
      <x:c r="I23" s="33"/>
      <x:c r="J23" s="33"/>
      <x:c r="K23" s="52"/>
      <x:c r="L23" s="52"/>
      <x:c r="M23" s="30"/>
      <x:c r="N23" s="30"/>
      <x:c r="O23" s="30"/>
      <x:c r="P23" s="30"/>
      <x:c r="Q23" s="30"/>
      <x:c r="R23" s="49" t="str">
        <x:f>IF(A23="","",IF(COUNTBLANK(E23:Q23)=0,"READY","INCOMPLETE"))</x:f>
      </x:c>
      <x:c r="S23" s="49" t="str">
        <x:f>IF(A23="","",COUNTBLANK(E23:Q23))</x:f>
      </x:c>
      <x:c r="T23" s="30"/>
    </x:row>
    <x:row r="24">
      <x:c r="A24" s="30"/>
      <x:c r="B24" s="33"/>
      <x:c r="C24" s="30"/>
      <x:c r="D24" s="30"/>
      <x:c r="E24" s="30"/>
      <x:c r="F24" s="30"/>
      <x:c r="G24" s="30"/>
      <x:c r="H24" s="30"/>
      <x:c r="I24" s="33"/>
      <x:c r="J24" s="33"/>
      <x:c r="K24" s="52"/>
      <x:c r="L24" s="52"/>
      <x:c r="M24" s="30"/>
      <x:c r="N24" s="30"/>
      <x:c r="O24" s="30"/>
      <x:c r="P24" s="30"/>
      <x:c r="Q24" s="30"/>
      <x:c r="R24" s="49" t="str">
        <x:f>IF(A24="","",IF(COUNTBLANK(E24:Q24)=0,"READY","INCOMPLETE"))</x:f>
      </x:c>
      <x:c r="S24" s="49" t="str">
        <x:f>IF(A24="","",COUNTBLANK(E24:Q24))</x:f>
      </x:c>
      <x:c r="T24" s="30"/>
    </x:row>
    <x:row r="25">
      <x:c r="A25" s="30"/>
      <x:c r="B25" s="33"/>
      <x:c r="C25" s="30"/>
      <x:c r="D25" s="30"/>
      <x:c r="E25" s="30"/>
      <x:c r="F25" s="30"/>
      <x:c r="G25" s="30"/>
      <x:c r="H25" s="30"/>
      <x:c r="I25" s="33"/>
      <x:c r="J25" s="33"/>
      <x:c r="K25" s="52"/>
      <x:c r="L25" s="52"/>
      <x:c r="M25" s="30"/>
      <x:c r="N25" s="30"/>
      <x:c r="O25" s="30"/>
      <x:c r="P25" s="30"/>
      <x:c r="Q25" s="30"/>
      <x:c r="R25" s="49" t="str">
        <x:f>IF(A25="","",IF(COUNTBLANK(E25:Q25)=0,"READY","INCOMPLETE"))</x:f>
      </x:c>
      <x:c r="S25" s="49" t="str">
        <x:f>IF(A25="","",COUNTBLANK(E25:Q25))</x:f>
      </x:c>
      <x:c r="T25" s="30"/>
    </x:row>
    <x:row r="26">
      <x:c r="A26" s="30"/>
      <x:c r="B26" s="33"/>
      <x:c r="C26" s="30"/>
      <x:c r="D26" s="30"/>
      <x:c r="E26" s="30"/>
      <x:c r="F26" s="30"/>
      <x:c r="G26" s="30"/>
      <x:c r="H26" s="30"/>
      <x:c r="I26" s="33"/>
      <x:c r="J26" s="33"/>
      <x:c r="K26" s="52"/>
      <x:c r="L26" s="52"/>
      <x:c r="M26" s="30"/>
      <x:c r="N26" s="30"/>
      <x:c r="O26" s="30"/>
      <x:c r="P26" s="30"/>
      <x:c r="Q26" s="30"/>
      <x:c r="R26" s="49" t="str">
        <x:f>IF(A26="","",IF(COUNTBLANK(E26:Q26)=0,"READY","INCOMPLETE"))</x:f>
      </x:c>
      <x:c r="S26" s="49" t="str">
        <x:f>IF(A26="","",COUNTBLANK(E26:Q26))</x:f>
      </x:c>
      <x:c r="T26" s="30"/>
    </x:row>
    <x:row r="27">
      <x:c r="A27" s="30"/>
      <x:c r="B27" s="33"/>
      <x:c r="C27" s="30"/>
      <x:c r="D27" s="30"/>
      <x:c r="E27" s="30"/>
      <x:c r="F27" s="30"/>
      <x:c r="G27" s="30"/>
      <x:c r="H27" s="30"/>
      <x:c r="I27" s="33"/>
      <x:c r="J27" s="33"/>
      <x:c r="K27" s="52"/>
      <x:c r="L27" s="52"/>
      <x:c r="M27" s="30"/>
      <x:c r="N27" s="30"/>
      <x:c r="O27" s="30"/>
      <x:c r="P27" s="30"/>
      <x:c r="Q27" s="30"/>
      <x:c r="R27" s="49" t="str">
        <x:f>IF(A27="","",IF(COUNTBLANK(E27:Q27)=0,"READY","INCOMPLETE"))</x:f>
      </x:c>
      <x:c r="S27" s="49" t="str">
        <x:f>IF(A27="","",COUNTBLANK(E27:Q27))</x:f>
      </x:c>
      <x:c r="T27" s="30"/>
    </x:row>
    <x:row r="28">
      <x:c r="A28" s="30"/>
      <x:c r="B28" s="33"/>
      <x:c r="C28" s="30"/>
      <x:c r="D28" s="30"/>
      <x:c r="E28" s="30"/>
      <x:c r="F28" s="30"/>
      <x:c r="G28" s="30"/>
      <x:c r="H28" s="30"/>
      <x:c r="I28" s="33"/>
      <x:c r="J28" s="33"/>
      <x:c r="K28" s="52"/>
      <x:c r="L28" s="52"/>
      <x:c r="M28" s="30"/>
      <x:c r="N28" s="30"/>
      <x:c r="O28" s="30"/>
      <x:c r="P28" s="30"/>
      <x:c r="Q28" s="30"/>
      <x:c r="R28" s="49" t="str">
        <x:f>IF(A28="","",IF(COUNTBLANK(E28:Q28)=0,"READY","INCOMPLETE"))</x:f>
      </x:c>
      <x:c r="S28" s="49" t="str">
        <x:f>IF(A28="","",COUNTBLANK(E28:Q28))</x:f>
      </x:c>
      <x:c r="T28" s="30"/>
    </x:row>
    <x:row r="29">
      <x:c r="A29" s="30"/>
      <x:c r="B29" s="33"/>
      <x:c r="C29" s="30"/>
      <x:c r="D29" s="30"/>
      <x:c r="E29" s="30"/>
      <x:c r="F29" s="30"/>
      <x:c r="G29" s="30"/>
      <x:c r="H29" s="30"/>
      <x:c r="I29" s="33"/>
      <x:c r="J29" s="33"/>
      <x:c r="K29" s="52"/>
      <x:c r="L29" s="52"/>
      <x:c r="M29" s="30"/>
      <x:c r="N29" s="30"/>
      <x:c r="O29" s="30"/>
      <x:c r="P29" s="30"/>
      <x:c r="Q29" s="30"/>
      <x:c r="R29" s="49" t="str">
        <x:f>IF(A29="","",IF(COUNTBLANK(E29:Q29)=0,"READY","INCOMPLETE"))</x:f>
      </x:c>
      <x:c r="S29" s="49" t="str">
        <x:f>IF(A29="","",COUNTBLANK(E29:Q29))</x:f>
      </x:c>
      <x:c r="T29" s="30"/>
    </x:row>
    <x:row r="30">
      <x:c r="A30" s="30"/>
      <x:c r="B30" s="33"/>
      <x:c r="C30" s="30"/>
      <x:c r="D30" s="30"/>
      <x:c r="E30" s="30"/>
      <x:c r="F30" s="30"/>
      <x:c r="G30" s="30"/>
      <x:c r="H30" s="30"/>
      <x:c r="I30" s="33"/>
      <x:c r="J30" s="33"/>
      <x:c r="K30" s="52"/>
      <x:c r="L30" s="52"/>
      <x:c r="M30" s="30"/>
      <x:c r="N30" s="30"/>
      <x:c r="O30" s="30"/>
      <x:c r="P30" s="30"/>
      <x:c r="Q30" s="30"/>
      <x:c r="R30" s="49" t="str">
        <x:f>IF(A30="","",IF(COUNTBLANK(E30:Q30)=0,"READY","INCOMPLETE"))</x:f>
      </x:c>
      <x:c r="S30" s="49" t="str">
        <x:f>IF(A30="","",COUNTBLANK(E30:Q30))</x:f>
      </x:c>
      <x:c r="T30" s="30"/>
    </x:row>
    <x:row r="31">
      <x:c r="A31" s="30"/>
      <x:c r="B31" s="33"/>
      <x:c r="C31" s="30"/>
      <x:c r="D31" s="30"/>
      <x:c r="E31" s="30"/>
      <x:c r="F31" s="30"/>
      <x:c r="G31" s="30"/>
      <x:c r="H31" s="30"/>
      <x:c r="I31" s="33"/>
      <x:c r="J31" s="33"/>
      <x:c r="K31" s="52"/>
      <x:c r="L31" s="52"/>
      <x:c r="M31" s="30"/>
      <x:c r="N31" s="30"/>
      <x:c r="O31" s="30"/>
      <x:c r="P31" s="30"/>
      <x:c r="Q31" s="30"/>
      <x:c r="R31" s="49" t="str">
        <x:f>IF(A31="","",IF(COUNTBLANK(E31:Q31)=0,"READY","INCOMPLETE"))</x:f>
      </x:c>
      <x:c r="S31" s="49" t="str">
        <x:f>IF(A31="","",COUNTBLANK(E31:Q31))</x:f>
      </x:c>
      <x:c r="T31" s="30"/>
    </x:row>
    <x:row r="32">
      <x:c r="A32" s="30"/>
      <x:c r="B32" s="33"/>
      <x:c r="C32" s="30"/>
      <x:c r="D32" s="30"/>
      <x:c r="E32" s="30"/>
      <x:c r="F32" s="30"/>
      <x:c r="G32" s="30"/>
      <x:c r="H32" s="30"/>
      <x:c r="I32" s="33"/>
      <x:c r="J32" s="33"/>
      <x:c r="K32" s="52"/>
      <x:c r="L32" s="52"/>
      <x:c r="M32" s="30"/>
      <x:c r="N32" s="30"/>
      <x:c r="O32" s="30"/>
      <x:c r="P32" s="30"/>
      <x:c r="Q32" s="30"/>
      <x:c r="R32" s="49" t="str">
        <x:f>IF(A32="","",IF(COUNTBLANK(E32:Q32)=0,"READY","INCOMPLETE"))</x:f>
      </x:c>
      <x:c r="S32" s="49" t="str">
        <x:f>IF(A32="","",COUNTBLANK(E32:Q32))</x:f>
      </x:c>
      <x:c r="T32" s="30"/>
    </x:row>
    <x:row r="33">
      <x:c r="A33" s="30"/>
      <x:c r="B33" s="33"/>
      <x:c r="C33" s="30"/>
      <x:c r="D33" s="30"/>
      <x:c r="E33" s="30"/>
      <x:c r="F33" s="30"/>
      <x:c r="G33" s="30"/>
      <x:c r="H33" s="30"/>
      <x:c r="I33" s="33"/>
      <x:c r="J33" s="33"/>
      <x:c r="K33" s="52"/>
      <x:c r="L33" s="52"/>
      <x:c r="M33" s="30"/>
      <x:c r="N33" s="30"/>
      <x:c r="O33" s="30"/>
      <x:c r="P33" s="30"/>
      <x:c r="Q33" s="30"/>
      <x:c r="R33" s="49" t="str">
        <x:f>IF(A33="","",IF(COUNTBLANK(E33:Q33)=0,"READY","INCOMPLETE"))</x:f>
      </x:c>
      <x:c r="S33" s="49" t="str">
        <x:f>IF(A33="","",COUNTBLANK(E33:Q33))</x:f>
      </x:c>
      <x:c r="T33" s="30"/>
    </x:row>
    <x:row r="34">
      <x:c r="A34" s="30"/>
      <x:c r="B34" s="33"/>
      <x:c r="C34" s="30"/>
      <x:c r="D34" s="30"/>
      <x:c r="E34" s="30"/>
      <x:c r="F34" s="30"/>
      <x:c r="G34" s="30"/>
      <x:c r="H34" s="30"/>
      <x:c r="I34" s="33"/>
      <x:c r="J34" s="33"/>
      <x:c r="K34" s="52"/>
      <x:c r="L34" s="52"/>
      <x:c r="M34" s="30"/>
      <x:c r="N34" s="30"/>
      <x:c r="O34" s="30"/>
      <x:c r="P34" s="30"/>
      <x:c r="Q34" s="30"/>
      <x:c r="R34" s="49" t="str">
        <x:f>IF(A34="","",IF(COUNTBLANK(E34:Q34)=0,"READY","INCOMPLETE"))</x:f>
      </x:c>
      <x:c r="S34" s="49" t="str">
        <x:f>IF(A34="","",COUNTBLANK(E34:Q34))</x:f>
      </x:c>
      <x:c r="T34" s="30"/>
    </x:row>
    <x:row r="35">
      <x:c r="A35" s="30"/>
      <x:c r="B35" s="33"/>
      <x:c r="C35" s="30"/>
      <x:c r="D35" s="30"/>
      <x:c r="E35" s="30"/>
      <x:c r="F35" s="30"/>
      <x:c r="G35" s="30"/>
      <x:c r="H35" s="30"/>
      <x:c r="I35" s="33"/>
      <x:c r="J35" s="33"/>
      <x:c r="K35" s="52"/>
      <x:c r="L35" s="52"/>
      <x:c r="M35" s="30"/>
      <x:c r="N35" s="30"/>
      <x:c r="O35" s="30"/>
      <x:c r="P35" s="30"/>
      <x:c r="Q35" s="30"/>
      <x:c r="R35" s="49" t="str">
        <x:f>IF(A35="","",IF(COUNTBLANK(E35:Q35)=0,"READY","INCOMPLETE"))</x:f>
      </x:c>
      <x:c r="S35" s="49" t="str">
        <x:f>IF(A35="","",COUNTBLANK(E35:Q35))</x:f>
      </x:c>
      <x:c r="T35" s="30"/>
    </x:row>
    <x:row r="36">
      <x:c r="A36" s="30"/>
      <x:c r="B36" s="33"/>
      <x:c r="C36" s="30"/>
      <x:c r="D36" s="30"/>
      <x:c r="E36" s="30"/>
      <x:c r="F36" s="30"/>
      <x:c r="G36" s="30"/>
      <x:c r="H36" s="30"/>
      <x:c r="I36" s="33"/>
      <x:c r="J36" s="33"/>
      <x:c r="K36" s="52"/>
      <x:c r="L36" s="52"/>
      <x:c r="M36" s="30"/>
      <x:c r="N36" s="30"/>
      <x:c r="O36" s="30"/>
      <x:c r="P36" s="30"/>
      <x:c r="Q36" s="30"/>
      <x:c r="R36" s="49" t="str">
        <x:f>IF(A36="","",IF(COUNTBLANK(E36:Q36)=0,"READY","INCOMPLETE"))</x:f>
      </x:c>
      <x:c r="S36" s="49" t="str">
        <x:f>IF(A36="","",COUNTBLANK(E36:Q36))</x:f>
      </x:c>
      <x:c r="T36" s="30"/>
    </x:row>
    <x:row r="37">
      <x:c r="A37" s="30"/>
      <x:c r="B37" s="33"/>
      <x:c r="C37" s="30"/>
      <x:c r="D37" s="30"/>
      <x:c r="E37" s="30"/>
      <x:c r="F37" s="30"/>
      <x:c r="G37" s="30"/>
      <x:c r="H37" s="30"/>
      <x:c r="I37" s="33"/>
      <x:c r="J37" s="33"/>
      <x:c r="K37" s="52"/>
      <x:c r="L37" s="52"/>
      <x:c r="M37" s="30"/>
      <x:c r="N37" s="30"/>
      <x:c r="O37" s="30"/>
      <x:c r="P37" s="30"/>
      <x:c r="Q37" s="30"/>
      <x:c r="R37" s="49" t="str">
        <x:f>IF(A37="","",IF(COUNTBLANK(E37:Q37)=0,"READY","INCOMPLETE"))</x:f>
      </x:c>
      <x:c r="S37" s="49" t="str">
        <x:f>IF(A37="","",COUNTBLANK(E37:Q37))</x:f>
      </x:c>
      <x:c r="T37" s="30"/>
    </x:row>
    <x:row r="38">
      <x:c r="A38" s="30"/>
      <x:c r="B38" s="33"/>
      <x:c r="C38" s="30"/>
      <x:c r="D38" s="30"/>
      <x:c r="E38" s="30"/>
      <x:c r="F38" s="30"/>
      <x:c r="G38" s="30"/>
      <x:c r="H38" s="30"/>
      <x:c r="I38" s="33"/>
      <x:c r="J38" s="33"/>
      <x:c r="K38" s="52"/>
      <x:c r="L38" s="52"/>
      <x:c r="M38" s="30"/>
      <x:c r="N38" s="30"/>
      <x:c r="O38" s="30"/>
      <x:c r="P38" s="30"/>
      <x:c r="Q38" s="30"/>
      <x:c r="R38" s="49" t="str">
        <x:f>IF(A38="","",IF(COUNTBLANK(E38:Q38)=0,"READY","INCOMPLETE"))</x:f>
      </x:c>
      <x:c r="S38" s="49" t="str">
        <x:f>IF(A38="","",COUNTBLANK(E38:Q38))</x:f>
      </x:c>
      <x:c r="T38" s="30"/>
    </x:row>
    <x:row r="39">
      <x:c r="A39" s="30"/>
      <x:c r="B39" s="33"/>
      <x:c r="C39" s="30"/>
      <x:c r="D39" s="30"/>
      <x:c r="E39" s="30"/>
      <x:c r="F39" s="30"/>
      <x:c r="G39" s="30"/>
      <x:c r="H39" s="30"/>
      <x:c r="I39" s="33"/>
      <x:c r="J39" s="33"/>
      <x:c r="K39" s="52"/>
      <x:c r="L39" s="52"/>
      <x:c r="M39" s="30"/>
      <x:c r="N39" s="30"/>
      <x:c r="O39" s="30"/>
      <x:c r="P39" s="30"/>
      <x:c r="Q39" s="30"/>
      <x:c r="R39" s="49" t="str">
        <x:f>IF(A39="","",IF(COUNTBLANK(E39:Q39)=0,"READY","INCOMPLETE"))</x:f>
      </x:c>
      <x:c r="S39" s="49" t="str">
        <x:f>IF(A39="","",COUNTBLANK(E39:Q39))</x:f>
      </x:c>
      <x:c r="T39" s="30"/>
    </x:row>
    <x:row r="40">
      <x:c r="A40" s="30"/>
      <x:c r="B40" s="33"/>
      <x:c r="C40" s="30"/>
      <x:c r="D40" s="30"/>
      <x:c r="E40" s="30"/>
      <x:c r="F40" s="30"/>
      <x:c r="G40" s="30"/>
      <x:c r="H40" s="30"/>
      <x:c r="I40" s="33"/>
      <x:c r="J40" s="33"/>
      <x:c r="K40" s="52"/>
      <x:c r="L40" s="52"/>
      <x:c r="M40" s="30"/>
      <x:c r="N40" s="30"/>
      <x:c r="O40" s="30"/>
      <x:c r="P40" s="30"/>
      <x:c r="Q40" s="30"/>
      <x:c r="R40" s="49" t="str">
        <x:f>IF(A40="","",IF(COUNTBLANK(E40:Q40)=0,"READY","INCOMPLETE"))</x:f>
      </x:c>
      <x:c r="S40" s="49" t="str">
        <x:f>IF(A40="","",COUNTBLANK(E40:Q40))</x:f>
      </x:c>
      <x:c r="T40" s="30"/>
    </x:row>
    <x:row r="41">
      <x:c r="A41" s="30"/>
      <x:c r="B41" s="33"/>
      <x:c r="C41" s="30"/>
      <x:c r="D41" s="30"/>
      <x:c r="E41" s="30"/>
      <x:c r="F41" s="30"/>
      <x:c r="G41" s="30"/>
      <x:c r="H41" s="30"/>
      <x:c r="I41" s="33"/>
      <x:c r="J41" s="33"/>
      <x:c r="K41" s="52"/>
      <x:c r="L41" s="52"/>
      <x:c r="M41" s="30"/>
      <x:c r="N41" s="30"/>
      <x:c r="O41" s="30"/>
      <x:c r="P41" s="30"/>
      <x:c r="Q41" s="30"/>
      <x:c r="R41" s="49" t="str">
        <x:f>IF(A41="","",IF(COUNTBLANK(E41:Q41)=0,"READY","INCOMPLETE"))</x:f>
      </x:c>
      <x:c r="S41" s="49" t="str">
        <x:f>IF(A41="","",COUNTBLANK(E41:Q41))</x:f>
      </x:c>
      <x:c r="T41" s="30"/>
    </x:row>
    <x:row r="42">
      <x:c r="A42" s="30"/>
      <x:c r="B42" s="33"/>
      <x:c r="C42" s="30"/>
      <x:c r="D42" s="30"/>
      <x:c r="E42" s="30"/>
      <x:c r="F42" s="30"/>
      <x:c r="G42" s="30"/>
      <x:c r="H42" s="30"/>
      <x:c r="I42" s="33"/>
      <x:c r="J42" s="33"/>
      <x:c r="K42" s="52"/>
      <x:c r="L42" s="52"/>
      <x:c r="M42" s="30"/>
      <x:c r="N42" s="30"/>
      <x:c r="O42" s="30"/>
      <x:c r="P42" s="30"/>
      <x:c r="Q42" s="30"/>
      <x:c r="R42" s="49" t="str">
        <x:f>IF(A42="","",IF(COUNTBLANK(E42:Q42)=0,"READY","INCOMPLETE"))</x:f>
      </x:c>
      <x:c r="S42" s="49" t="str">
        <x:f>IF(A42="","",COUNTBLANK(E42:Q42))</x:f>
      </x:c>
      <x:c r="T42" s="30"/>
    </x:row>
    <x:row r="43">
      <x:c r="A43" s="30"/>
      <x:c r="B43" s="33"/>
      <x:c r="C43" s="30"/>
      <x:c r="D43" s="30"/>
      <x:c r="E43" s="30"/>
      <x:c r="F43" s="30"/>
      <x:c r="G43" s="30"/>
      <x:c r="H43" s="30"/>
      <x:c r="I43" s="33"/>
      <x:c r="J43" s="33"/>
      <x:c r="K43" s="52"/>
      <x:c r="L43" s="52"/>
      <x:c r="M43" s="30"/>
      <x:c r="N43" s="30"/>
      <x:c r="O43" s="30"/>
      <x:c r="P43" s="30"/>
      <x:c r="Q43" s="30"/>
      <x:c r="R43" s="49" t="str">
        <x:f>IF(A43="","",IF(COUNTBLANK(E43:Q43)=0,"READY","INCOMPLETE"))</x:f>
      </x:c>
      <x:c r="S43" s="49" t="str">
        <x:f>IF(A43="","",COUNTBLANK(E43:Q43))</x:f>
      </x:c>
      <x:c r="T43" s="30"/>
    </x:row>
    <x:row r="44">
      <x:c r="A44" s="30"/>
      <x:c r="B44" s="33"/>
      <x:c r="C44" s="30"/>
      <x:c r="D44" s="30"/>
      <x:c r="E44" s="30"/>
      <x:c r="F44" s="30"/>
      <x:c r="G44" s="30"/>
      <x:c r="H44" s="30"/>
      <x:c r="I44" s="33"/>
      <x:c r="J44" s="33"/>
      <x:c r="K44" s="52"/>
      <x:c r="L44" s="52"/>
      <x:c r="M44" s="30"/>
      <x:c r="N44" s="30"/>
      <x:c r="O44" s="30"/>
      <x:c r="P44" s="30"/>
      <x:c r="Q44" s="30"/>
      <x:c r="R44" s="49" t="str">
        <x:f>IF(A44="","",IF(COUNTBLANK(E44:Q44)=0,"READY","INCOMPLETE"))</x:f>
      </x:c>
      <x:c r="S44" s="49" t="str">
        <x:f>IF(A44="","",COUNTBLANK(E44:Q44))</x:f>
      </x:c>
      <x:c r="T44" s="30"/>
    </x:row>
    <x:row r="45">
      <x:c r="A45" s="30"/>
      <x:c r="B45" s="33"/>
      <x:c r="C45" s="30"/>
      <x:c r="D45" s="30"/>
      <x:c r="E45" s="30"/>
      <x:c r="F45" s="30"/>
      <x:c r="G45" s="30"/>
      <x:c r="H45" s="30"/>
      <x:c r="I45" s="33"/>
      <x:c r="J45" s="33"/>
      <x:c r="K45" s="52"/>
      <x:c r="L45" s="52"/>
      <x:c r="M45" s="30"/>
      <x:c r="N45" s="30"/>
      <x:c r="O45" s="30"/>
      <x:c r="P45" s="30"/>
      <x:c r="Q45" s="30"/>
      <x:c r="R45" s="49" t="str">
        <x:f>IF(A45="","",IF(COUNTBLANK(E45:Q45)=0,"READY","INCOMPLETE"))</x:f>
      </x:c>
      <x:c r="S45" s="49" t="str">
        <x:f>IF(A45="","",COUNTBLANK(E45:Q45))</x:f>
      </x:c>
      <x:c r="T45" s="30"/>
    </x:row>
    <x:row r="46">
      <x:c r="A46" s="30"/>
      <x:c r="B46" s="33"/>
      <x:c r="C46" s="30"/>
      <x:c r="D46" s="30"/>
      <x:c r="E46" s="30"/>
      <x:c r="F46" s="30"/>
      <x:c r="G46" s="30"/>
      <x:c r="H46" s="30"/>
      <x:c r="I46" s="33"/>
      <x:c r="J46" s="33"/>
      <x:c r="K46" s="52"/>
      <x:c r="L46" s="52"/>
      <x:c r="M46" s="30"/>
      <x:c r="N46" s="30"/>
      <x:c r="O46" s="30"/>
      <x:c r="P46" s="30"/>
      <x:c r="Q46" s="30"/>
      <x:c r="R46" s="49" t="str">
        <x:f>IF(A46="","",IF(COUNTBLANK(E46:Q46)=0,"READY","INCOMPLETE"))</x:f>
      </x:c>
      <x:c r="S46" s="49" t="str">
        <x:f>IF(A46="","",COUNTBLANK(E46:Q46))</x:f>
      </x:c>
      <x:c r="T46" s="30"/>
    </x:row>
    <x:row r="47">
      <x:c r="A47" s="30"/>
      <x:c r="B47" s="33"/>
      <x:c r="C47" s="30"/>
      <x:c r="D47" s="30"/>
      <x:c r="E47" s="30"/>
      <x:c r="F47" s="30"/>
      <x:c r="G47" s="30"/>
      <x:c r="H47" s="30"/>
      <x:c r="I47" s="33"/>
      <x:c r="J47" s="33"/>
      <x:c r="K47" s="52"/>
      <x:c r="L47" s="52"/>
      <x:c r="M47" s="30"/>
      <x:c r="N47" s="30"/>
      <x:c r="O47" s="30"/>
      <x:c r="P47" s="30"/>
      <x:c r="Q47" s="30"/>
      <x:c r="R47" s="49" t="str">
        <x:f>IF(A47="","",IF(COUNTBLANK(E47:Q47)=0,"READY","INCOMPLETE"))</x:f>
      </x:c>
      <x:c r="S47" s="49" t="str">
        <x:f>IF(A47="","",COUNTBLANK(E47:Q47))</x:f>
      </x:c>
      <x:c r="T47" s="30"/>
    </x:row>
    <x:row r="48">
      <x:c r="A48" s="30"/>
      <x:c r="B48" s="33"/>
      <x:c r="C48" s="30"/>
      <x:c r="D48" s="30"/>
      <x:c r="E48" s="30"/>
      <x:c r="F48" s="30"/>
      <x:c r="G48" s="30"/>
      <x:c r="H48" s="30"/>
      <x:c r="I48" s="33"/>
      <x:c r="J48" s="33"/>
      <x:c r="K48" s="52"/>
      <x:c r="L48" s="52"/>
      <x:c r="M48" s="30"/>
      <x:c r="N48" s="30"/>
      <x:c r="O48" s="30"/>
      <x:c r="P48" s="30"/>
      <x:c r="Q48" s="30"/>
      <x:c r="R48" s="49" t="str">
        <x:f>IF(A48="","",IF(COUNTBLANK(E48:Q48)=0,"READY","INCOMPLETE"))</x:f>
      </x:c>
      <x:c r="S48" s="49" t="str">
        <x:f>IF(A48="","",COUNTBLANK(E48:Q48))</x:f>
      </x:c>
      <x:c r="T48" s="30"/>
    </x:row>
    <x:row r="49">
      <x:c r="A49" s="30"/>
      <x:c r="B49" s="33"/>
      <x:c r="C49" s="30"/>
      <x:c r="D49" s="30"/>
      <x:c r="E49" s="30"/>
      <x:c r="F49" s="30"/>
      <x:c r="G49" s="30"/>
      <x:c r="H49" s="30"/>
      <x:c r="I49" s="33"/>
      <x:c r="J49" s="33"/>
      <x:c r="K49" s="52"/>
      <x:c r="L49" s="52"/>
      <x:c r="M49" s="30"/>
      <x:c r="N49" s="30"/>
      <x:c r="O49" s="30"/>
      <x:c r="P49" s="30"/>
      <x:c r="Q49" s="30"/>
      <x:c r="R49" s="49" t="str">
        <x:f>IF(A49="","",IF(COUNTBLANK(E49:Q49)=0,"READY","INCOMPLETE"))</x:f>
      </x:c>
      <x:c r="S49" s="49" t="str">
        <x:f>IF(A49="","",COUNTBLANK(E49:Q49))</x:f>
      </x:c>
      <x:c r="T49" s="30"/>
    </x:row>
    <x:row r="50">
      <x:c r="A50" s="30"/>
      <x:c r="B50" s="33"/>
      <x:c r="C50" s="30"/>
      <x:c r="D50" s="30"/>
      <x:c r="E50" s="30"/>
      <x:c r="F50" s="30"/>
      <x:c r="G50" s="30"/>
      <x:c r="H50" s="30"/>
      <x:c r="I50" s="33"/>
      <x:c r="J50" s="33"/>
      <x:c r="K50" s="52"/>
      <x:c r="L50" s="52"/>
      <x:c r="M50" s="30"/>
      <x:c r="N50" s="30"/>
      <x:c r="O50" s="30"/>
      <x:c r="P50" s="30"/>
      <x:c r="Q50" s="30"/>
      <x:c r="R50" s="49" t="str">
        <x:f>IF(A50="","",IF(COUNTBLANK(E50:Q50)=0,"READY","INCOMPLETE"))</x:f>
      </x:c>
      <x:c r="S50" s="49" t="str">
        <x:f>IF(A50="","",COUNTBLANK(E50:Q50))</x:f>
      </x:c>
      <x:c r="T50" s="30"/>
    </x:row>
    <x:row r="51">
      <x:c r="A51" s="30"/>
      <x:c r="B51" s="33"/>
      <x:c r="C51" s="30"/>
      <x:c r="D51" s="30"/>
      <x:c r="E51" s="30"/>
      <x:c r="F51" s="30"/>
      <x:c r="G51" s="30"/>
      <x:c r="H51" s="30"/>
      <x:c r="I51" s="33"/>
      <x:c r="J51" s="33"/>
      <x:c r="K51" s="52"/>
      <x:c r="L51" s="52"/>
      <x:c r="M51" s="30"/>
      <x:c r="N51" s="30"/>
      <x:c r="O51" s="30"/>
      <x:c r="P51" s="30"/>
      <x:c r="Q51" s="30"/>
      <x:c r="R51" s="49" t="str">
        <x:f>IF(A51="","",IF(COUNTBLANK(E51:Q51)=0,"READY","INCOMPLETE"))</x:f>
      </x:c>
      <x:c r="S51" s="49" t="str">
        <x:f>IF(A51="","",COUNTBLANK(E51:Q51))</x:f>
      </x:c>
      <x:c r="T51" s="30"/>
    </x:row>
    <x:row r="52">
      <x:c r="A52" s="30"/>
      <x:c r="B52" s="33"/>
      <x:c r="C52" s="30"/>
      <x:c r="D52" s="30"/>
      <x:c r="E52" s="30"/>
      <x:c r="F52" s="30"/>
      <x:c r="G52" s="30"/>
      <x:c r="H52" s="30"/>
      <x:c r="I52" s="33"/>
      <x:c r="J52" s="33"/>
      <x:c r="K52" s="52"/>
      <x:c r="L52" s="52"/>
      <x:c r="M52" s="30"/>
      <x:c r="N52" s="30"/>
      <x:c r="O52" s="30"/>
      <x:c r="P52" s="30"/>
      <x:c r="Q52" s="30"/>
      <x:c r="R52" s="49" t="str">
        <x:f>IF(A52="","",IF(COUNTBLANK(E52:Q52)=0,"READY","INCOMPLETE"))</x:f>
      </x:c>
      <x:c r="S52" s="49" t="str">
        <x:f>IF(A52="","",COUNTBLANK(E52:Q52))</x:f>
      </x:c>
      <x:c r="T52" s="30"/>
    </x:row>
    <x:row r="53">
      <x:c r="A53" s="30"/>
      <x:c r="B53" s="33"/>
      <x:c r="C53" s="30"/>
      <x:c r="D53" s="30"/>
      <x:c r="E53" s="30"/>
      <x:c r="F53" s="30"/>
      <x:c r="G53" s="30"/>
      <x:c r="H53" s="30"/>
      <x:c r="I53" s="33"/>
      <x:c r="J53" s="33"/>
      <x:c r="K53" s="52"/>
      <x:c r="L53" s="52"/>
      <x:c r="M53" s="30"/>
      <x:c r="N53" s="30"/>
      <x:c r="O53" s="30"/>
      <x:c r="P53" s="30"/>
      <x:c r="Q53" s="30"/>
      <x:c r="R53" s="49" t="str">
        <x:f>IF(A53="","",IF(COUNTBLANK(E53:Q53)=0,"READY","INCOMPLETE"))</x:f>
      </x:c>
      <x:c r="S53" s="49" t="str">
        <x:f>IF(A53="","",COUNTBLANK(E53:Q53))</x:f>
      </x:c>
      <x:c r="T53" s="30"/>
    </x:row>
    <x:row r="54">
      <x:c r="A54" s="30"/>
      <x:c r="B54" s="33"/>
      <x:c r="C54" s="30"/>
      <x:c r="D54" s="30"/>
      <x:c r="E54" s="30"/>
      <x:c r="F54" s="30"/>
      <x:c r="G54" s="30"/>
      <x:c r="H54" s="30"/>
      <x:c r="I54" s="33"/>
      <x:c r="J54" s="33"/>
      <x:c r="K54" s="52"/>
      <x:c r="L54" s="52"/>
      <x:c r="M54" s="30"/>
      <x:c r="N54" s="30"/>
      <x:c r="O54" s="30"/>
      <x:c r="P54" s="30"/>
      <x:c r="Q54" s="30"/>
      <x:c r="R54" s="49" t="str">
        <x:f>IF(A54="","",IF(COUNTBLANK(E54:Q54)=0,"READY","INCOMPLETE"))</x:f>
      </x:c>
      <x:c r="S54" s="49" t="str">
        <x:f>IF(A54="","",COUNTBLANK(E54:Q54))</x:f>
      </x:c>
      <x:c r="T54" s="30"/>
    </x:row>
    <x:row r="55">
      <x:c r="A55" s="30"/>
      <x:c r="B55" s="33"/>
      <x:c r="C55" s="30"/>
      <x:c r="D55" s="30"/>
      <x:c r="E55" s="30"/>
      <x:c r="F55" s="30"/>
      <x:c r="G55" s="30"/>
      <x:c r="H55" s="30"/>
      <x:c r="I55" s="33"/>
      <x:c r="J55" s="33"/>
      <x:c r="K55" s="52"/>
      <x:c r="L55" s="52"/>
      <x:c r="M55" s="30"/>
      <x:c r="N55" s="30"/>
      <x:c r="O55" s="30"/>
      <x:c r="P55" s="30"/>
      <x:c r="Q55" s="30"/>
      <x:c r="R55" s="49" t="str">
        <x:f>IF(A55="","",IF(COUNTBLANK(E55:Q55)=0,"READY","INCOMPLETE"))</x:f>
      </x:c>
      <x:c r="S55" s="49" t="str">
        <x:f>IF(A55="","",COUNTBLANK(E55:Q55))</x:f>
      </x:c>
      <x:c r="T55" s="30"/>
    </x:row>
    <x:row r="56">
      <x:c r="A56" s="30"/>
      <x:c r="B56" s="33"/>
      <x:c r="C56" s="30"/>
      <x:c r="D56" s="30"/>
      <x:c r="E56" s="30"/>
      <x:c r="F56" s="30"/>
      <x:c r="G56" s="30"/>
      <x:c r="H56" s="30"/>
      <x:c r="I56" s="33"/>
      <x:c r="J56" s="33"/>
      <x:c r="K56" s="52"/>
      <x:c r="L56" s="52"/>
      <x:c r="M56" s="30"/>
      <x:c r="N56" s="30"/>
      <x:c r="O56" s="30"/>
      <x:c r="P56" s="30"/>
      <x:c r="Q56" s="30"/>
      <x:c r="R56" s="49" t="str">
        <x:f>IF(A56="","",IF(COUNTBLANK(E56:Q56)=0,"READY","INCOMPLETE"))</x:f>
      </x:c>
      <x:c r="S56" s="49" t="str">
        <x:f>IF(A56="","",COUNTBLANK(E56:Q56))</x:f>
      </x:c>
      <x:c r="T56" s="30"/>
    </x:row>
    <x:row r="57">
      <x:c r="A57" s="30"/>
      <x:c r="B57" s="33"/>
      <x:c r="C57" s="30"/>
      <x:c r="D57" s="30"/>
      <x:c r="E57" s="30"/>
      <x:c r="F57" s="30"/>
      <x:c r="G57" s="30"/>
      <x:c r="H57" s="30"/>
      <x:c r="I57" s="33"/>
      <x:c r="J57" s="33"/>
      <x:c r="K57" s="52"/>
      <x:c r="L57" s="52"/>
      <x:c r="M57" s="30"/>
      <x:c r="N57" s="30"/>
      <x:c r="O57" s="30"/>
      <x:c r="P57" s="30"/>
      <x:c r="Q57" s="30"/>
      <x:c r="R57" s="49" t="str">
        <x:f>IF(A57="","",IF(COUNTBLANK(E57:Q57)=0,"READY","INCOMPLETE"))</x:f>
      </x:c>
      <x:c r="S57" s="49" t="str">
        <x:f>IF(A57="","",COUNTBLANK(E57:Q57))</x:f>
      </x:c>
      <x:c r="T57" s="30"/>
    </x:row>
    <x:row r="58">
      <x:c r="A58" s="30"/>
      <x:c r="B58" s="33"/>
      <x:c r="C58" s="30"/>
      <x:c r="D58" s="30"/>
      <x:c r="E58" s="30"/>
      <x:c r="F58" s="30"/>
      <x:c r="G58" s="30"/>
      <x:c r="H58" s="30"/>
      <x:c r="I58" s="33"/>
      <x:c r="J58" s="33"/>
      <x:c r="K58" s="52"/>
      <x:c r="L58" s="52"/>
      <x:c r="M58" s="30"/>
      <x:c r="N58" s="30"/>
      <x:c r="O58" s="30"/>
      <x:c r="P58" s="30"/>
      <x:c r="Q58" s="30"/>
      <x:c r="R58" s="49" t="str">
        <x:f>IF(A58="","",IF(COUNTBLANK(E58:Q58)=0,"READY","INCOMPLETE"))</x:f>
      </x:c>
      <x:c r="S58" s="49" t="str">
        <x:f>IF(A58="","",COUNTBLANK(E58:Q58))</x:f>
      </x:c>
      <x:c r="T58" s="30"/>
    </x:row>
    <x:row r="59">
      <x:c r="A59" s="30"/>
      <x:c r="B59" s="33"/>
      <x:c r="C59" s="30"/>
      <x:c r="D59" s="30"/>
      <x:c r="E59" s="30"/>
      <x:c r="F59" s="30"/>
      <x:c r="G59" s="30"/>
      <x:c r="H59" s="30"/>
      <x:c r="I59" s="33"/>
      <x:c r="J59" s="33"/>
      <x:c r="K59" s="52"/>
      <x:c r="L59" s="52"/>
      <x:c r="M59" s="30"/>
      <x:c r="N59" s="30"/>
      <x:c r="O59" s="30"/>
      <x:c r="P59" s="30"/>
      <x:c r="Q59" s="30"/>
      <x:c r="R59" s="49" t="str">
        <x:f>IF(A59="","",IF(COUNTBLANK(E59:Q59)=0,"READY","INCOMPLETE"))</x:f>
      </x:c>
      <x:c r="S59" s="49" t="str">
        <x:f>IF(A59="","",COUNTBLANK(E59:Q59))</x:f>
      </x:c>
      <x:c r="T59" s="30"/>
    </x:row>
    <x:row r="60">
      <x:c r="A60" s="30"/>
      <x:c r="B60" s="33"/>
      <x:c r="C60" s="30"/>
      <x:c r="D60" s="30"/>
      <x:c r="E60" s="30"/>
      <x:c r="F60" s="30"/>
      <x:c r="G60" s="30"/>
      <x:c r="H60" s="30"/>
      <x:c r="I60" s="33"/>
      <x:c r="J60" s="33"/>
      <x:c r="K60" s="52"/>
      <x:c r="L60" s="52"/>
      <x:c r="M60" s="30"/>
      <x:c r="N60" s="30"/>
      <x:c r="O60" s="30"/>
      <x:c r="P60" s="30"/>
      <x:c r="Q60" s="30"/>
      <x:c r="R60" s="49" t="str">
        <x:f>IF(A60="","",IF(COUNTBLANK(E60:Q60)=0,"READY","INCOMPLETE"))</x:f>
      </x:c>
      <x:c r="S60" s="49" t="str">
        <x:f>IF(A60="","",COUNTBLANK(E60:Q60))</x:f>
      </x:c>
      <x:c r="T60" s="30"/>
    </x:row>
    <x:row r="61">
      <x:c r="A61" s="30"/>
      <x:c r="B61" s="33"/>
      <x:c r="C61" s="30"/>
      <x:c r="D61" s="30"/>
      <x:c r="E61" s="30"/>
      <x:c r="F61" s="30"/>
      <x:c r="G61" s="30"/>
      <x:c r="H61" s="30"/>
      <x:c r="I61" s="33"/>
      <x:c r="J61" s="33"/>
      <x:c r="K61" s="52"/>
      <x:c r="L61" s="52"/>
      <x:c r="M61" s="30"/>
      <x:c r="N61" s="30"/>
      <x:c r="O61" s="30"/>
      <x:c r="P61" s="30"/>
      <x:c r="Q61" s="30"/>
      <x:c r="R61" s="49" t="str">
        <x:f>IF(A61="","",IF(COUNTBLANK(E61:Q61)=0,"READY","INCOMPLETE"))</x:f>
      </x:c>
      <x:c r="S61" s="49" t="str">
        <x:f>IF(A61="","",COUNTBLANK(E61:Q61))</x:f>
      </x:c>
      <x:c r="T61" s="30"/>
    </x:row>
    <x:row r="62">
      <x:c r="A62" s="30"/>
      <x:c r="B62" s="33"/>
      <x:c r="C62" s="30"/>
      <x:c r="D62" s="30"/>
      <x:c r="E62" s="30"/>
      <x:c r="F62" s="30"/>
      <x:c r="G62" s="30"/>
      <x:c r="H62" s="30"/>
      <x:c r="I62" s="33"/>
      <x:c r="J62" s="33"/>
      <x:c r="K62" s="52"/>
      <x:c r="L62" s="52"/>
      <x:c r="M62" s="30"/>
      <x:c r="N62" s="30"/>
      <x:c r="O62" s="30"/>
      <x:c r="P62" s="30"/>
      <x:c r="Q62" s="30"/>
      <x:c r="R62" s="49" t="str">
        <x:f>IF(A62="","",IF(COUNTBLANK(E62:Q62)=0,"READY","INCOMPLETE"))</x:f>
      </x:c>
      <x:c r="S62" s="49" t="str">
        <x:f>IF(A62="","",COUNTBLANK(E62:Q62))</x:f>
      </x:c>
      <x:c r="T62" s="30"/>
    </x:row>
    <x:row r="63">
      <x:c r="A63" s="30"/>
      <x:c r="B63" s="33"/>
      <x:c r="C63" s="30"/>
      <x:c r="D63" s="30"/>
      <x:c r="E63" s="30"/>
      <x:c r="F63" s="30"/>
      <x:c r="G63" s="30"/>
      <x:c r="H63" s="30"/>
      <x:c r="I63" s="33"/>
      <x:c r="J63" s="33"/>
      <x:c r="K63" s="52"/>
      <x:c r="L63" s="52"/>
      <x:c r="M63" s="30"/>
      <x:c r="N63" s="30"/>
      <x:c r="O63" s="30"/>
      <x:c r="P63" s="30"/>
      <x:c r="Q63" s="30"/>
      <x:c r="R63" s="49" t="str">
        <x:f>IF(A63="","",IF(COUNTBLANK(E63:Q63)=0,"READY","INCOMPLETE"))</x:f>
      </x:c>
      <x:c r="S63" s="49" t="str">
        <x:f>IF(A63="","",COUNTBLANK(E63:Q63))</x:f>
      </x:c>
      <x:c r="T63" s="30"/>
    </x:row>
    <x:row r="64">
      <x:c r="A64" s="30"/>
      <x:c r="B64" s="33"/>
      <x:c r="C64" s="30"/>
      <x:c r="D64" s="30"/>
      <x:c r="E64" s="30"/>
      <x:c r="F64" s="30"/>
      <x:c r="G64" s="30"/>
      <x:c r="H64" s="30"/>
      <x:c r="I64" s="33"/>
      <x:c r="J64" s="33"/>
      <x:c r="K64" s="52"/>
      <x:c r="L64" s="52"/>
      <x:c r="M64" s="30"/>
      <x:c r="N64" s="30"/>
      <x:c r="O64" s="30"/>
      <x:c r="P64" s="30"/>
      <x:c r="Q64" s="30"/>
      <x:c r="R64" s="49" t="str">
        <x:f>IF(A64="","",IF(COUNTBLANK(E64:Q64)=0,"READY","INCOMPLETE"))</x:f>
      </x:c>
      <x:c r="S64" s="49" t="str">
        <x:f>IF(A64="","",COUNTBLANK(E64:Q64))</x:f>
      </x:c>
      <x:c r="T64" s="30"/>
    </x:row>
    <x:row r="65">
      <x:c r="A65" s="30"/>
      <x:c r="B65" s="33"/>
      <x:c r="C65" s="30"/>
      <x:c r="D65" s="30"/>
      <x:c r="E65" s="30"/>
      <x:c r="F65" s="30"/>
      <x:c r="G65" s="30"/>
      <x:c r="H65" s="30"/>
      <x:c r="I65" s="33"/>
      <x:c r="J65" s="33"/>
      <x:c r="K65" s="52"/>
      <x:c r="L65" s="52"/>
      <x:c r="M65" s="30"/>
      <x:c r="N65" s="30"/>
      <x:c r="O65" s="30"/>
      <x:c r="P65" s="30"/>
      <x:c r="Q65" s="30"/>
      <x:c r="R65" s="49" t="str">
        <x:f>IF(A65="","",IF(COUNTBLANK(E65:Q65)=0,"READY","INCOMPLETE"))</x:f>
      </x:c>
      <x:c r="S65" s="49" t="str">
        <x:f>IF(A65="","",COUNTBLANK(E65:Q65))</x:f>
      </x:c>
      <x:c r="T65" s="30"/>
    </x:row>
    <x:row r="66">
      <x:c r="A66" s="30"/>
      <x:c r="B66" s="33"/>
      <x:c r="C66" s="30"/>
      <x:c r="D66" s="30"/>
      <x:c r="E66" s="30"/>
      <x:c r="F66" s="30"/>
      <x:c r="G66" s="30"/>
      <x:c r="H66" s="30"/>
      <x:c r="I66" s="33"/>
      <x:c r="J66" s="33"/>
      <x:c r="K66" s="52"/>
      <x:c r="L66" s="52"/>
      <x:c r="M66" s="30"/>
      <x:c r="N66" s="30"/>
      <x:c r="O66" s="30"/>
      <x:c r="P66" s="30"/>
      <x:c r="Q66" s="30"/>
      <x:c r="R66" s="49" t="str">
        <x:f>IF(A66="","",IF(COUNTBLANK(E66:Q66)=0,"READY","INCOMPLETE"))</x:f>
      </x:c>
      <x:c r="S66" s="49" t="str">
        <x:f>IF(A66="","",COUNTBLANK(E66:Q66))</x:f>
      </x:c>
      <x:c r="T66" s="30"/>
    </x:row>
    <x:row r="67">
      <x:c r="A67" s="30"/>
      <x:c r="B67" s="33"/>
      <x:c r="C67" s="30"/>
      <x:c r="D67" s="30"/>
      <x:c r="E67" s="30"/>
      <x:c r="F67" s="30"/>
      <x:c r="G67" s="30"/>
      <x:c r="H67" s="30"/>
      <x:c r="I67" s="33"/>
      <x:c r="J67" s="33"/>
      <x:c r="K67" s="52"/>
      <x:c r="L67" s="52"/>
      <x:c r="M67" s="30"/>
      <x:c r="N67" s="30"/>
      <x:c r="O67" s="30"/>
      <x:c r="P67" s="30"/>
      <x:c r="Q67" s="30"/>
      <x:c r="R67" s="49" t="str">
        <x:f>IF(A67="","",IF(COUNTBLANK(E67:Q67)=0,"READY","INCOMPLETE"))</x:f>
      </x:c>
      <x:c r="S67" s="49" t="str">
        <x:f>IF(A67="","",COUNTBLANK(E67:Q67))</x:f>
      </x:c>
      <x:c r="T67" s="30"/>
    </x:row>
    <x:row r="68">
      <x:c r="A68" s="30"/>
      <x:c r="B68" s="33"/>
      <x:c r="C68" s="30"/>
      <x:c r="D68" s="30"/>
      <x:c r="E68" s="30"/>
      <x:c r="F68" s="30"/>
      <x:c r="G68" s="30"/>
      <x:c r="H68" s="30"/>
      <x:c r="I68" s="33"/>
      <x:c r="J68" s="33"/>
      <x:c r="K68" s="52"/>
      <x:c r="L68" s="52"/>
      <x:c r="M68" s="30"/>
      <x:c r="N68" s="30"/>
      <x:c r="O68" s="30"/>
      <x:c r="P68" s="30"/>
      <x:c r="Q68" s="30"/>
      <x:c r="R68" s="49" t="str">
        <x:f>IF(A68="","",IF(COUNTBLANK(E68:Q68)=0,"READY","INCOMPLETE"))</x:f>
      </x:c>
      <x:c r="S68" s="49" t="str">
        <x:f>IF(A68="","",COUNTBLANK(E68:Q68))</x:f>
      </x:c>
      <x:c r="T68" s="30"/>
    </x:row>
    <x:row r="69">
      <x:c r="A69" s="30"/>
      <x:c r="B69" s="33"/>
      <x:c r="C69" s="30"/>
      <x:c r="D69" s="30"/>
      <x:c r="E69" s="30"/>
      <x:c r="F69" s="30"/>
      <x:c r="G69" s="30"/>
      <x:c r="H69" s="30"/>
      <x:c r="I69" s="33"/>
      <x:c r="J69" s="33"/>
      <x:c r="K69" s="52"/>
      <x:c r="L69" s="52"/>
      <x:c r="M69" s="30"/>
      <x:c r="N69" s="30"/>
      <x:c r="O69" s="30"/>
      <x:c r="P69" s="30"/>
      <x:c r="Q69" s="30"/>
      <x:c r="R69" s="49" t="str">
        <x:f>IF(A69="","",IF(COUNTBLANK(E69:Q69)=0,"READY","INCOMPLETE"))</x:f>
      </x:c>
      <x:c r="S69" s="49" t="str">
        <x:f>IF(A69="","",COUNTBLANK(E69:Q69))</x:f>
      </x:c>
      <x:c r="T69" s="30"/>
    </x:row>
    <x:row r="70">
      <x:c r="A70" s="30"/>
      <x:c r="B70" s="33"/>
      <x:c r="C70" s="30"/>
      <x:c r="D70" s="30"/>
      <x:c r="E70" s="30"/>
      <x:c r="F70" s="30"/>
      <x:c r="G70" s="30"/>
      <x:c r="H70" s="30"/>
      <x:c r="I70" s="33"/>
      <x:c r="J70" s="33"/>
      <x:c r="K70" s="52"/>
      <x:c r="L70" s="52"/>
      <x:c r="M70" s="30"/>
      <x:c r="N70" s="30"/>
      <x:c r="O70" s="30"/>
      <x:c r="P70" s="30"/>
      <x:c r="Q70" s="30"/>
      <x:c r="R70" s="49" t="str">
        <x:f>IF(A70="","",IF(COUNTBLANK(E70:Q70)=0,"READY","INCOMPLETE"))</x:f>
      </x:c>
      <x:c r="S70" s="49" t="str">
        <x:f>IF(A70="","",COUNTBLANK(E70:Q70))</x:f>
      </x:c>
      <x:c r="T70" s="30"/>
    </x:row>
    <x:row r="71">
      <x:c r="A71" s="30"/>
      <x:c r="B71" s="33"/>
      <x:c r="C71" s="30"/>
      <x:c r="D71" s="30"/>
      <x:c r="E71" s="30"/>
      <x:c r="F71" s="30"/>
      <x:c r="G71" s="30"/>
      <x:c r="H71" s="30"/>
      <x:c r="I71" s="33"/>
      <x:c r="J71" s="33"/>
      <x:c r="K71" s="52"/>
      <x:c r="L71" s="52"/>
      <x:c r="M71" s="30"/>
      <x:c r="N71" s="30"/>
      <x:c r="O71" s="30"/>
      <x:c r="P71" s="30"/>
      <x:c r="Q71" s="30"/>
      <x:c r="R71" s="49" t="str">
        <x:f>IF(A71="","",IF(COUNTBLANK(E71:Q71)=0,"READY","INCOMPLETE"))</x:f>
      </x:c>
      <x:c r="S71" s="49" t="str">
        <x:f>IF(A71="","",COUNTBLANK(E71:Q71))</x:f>
      </x:c>
      <x:c r="T71" s="30"/>
    </x:row>
    <x:row r="72">
      <x:c r="A72" s="30"/>
      <x:c r="B72" s="33"/>
      <x:c r="C72" s="30"/>
      <x:c r="D72" s="30"/>
      <x:c r="E72" s="30"/>
      <x:c r="F72" s="30"/>
      <x:c r="G72" s="30"/>
      <x:c r="H72" s="30"/>
      <x:c r="I72" s="33"/>
      <x:c r="J72" s="33"/>
      <x:c r="K72" s="52"/>
      <x:c r="L72" s="52"/>
      <x:c r="M72" s="30"/>
      <x:c r="N72" s="30"/>
      <x:c r="O72" s="30"/>
      <x:c r="P72" s="30"/>
      <x:c r="Q72" s="30"/>
      <x:c r="R72" s="49" t="str">
        <x:f>IF(A72="","",IF(COUNTBLANK(E72:Q72)=0,"READY","INCOMPLETE"))</x:f>
      </x:c>
      <x:c r="S72" s="49" t="str">
        <x:f>IF(A72="","",COUNTBLANK(E72:Q72))</x:f>
      </x:c>
      <x:c r="T72" s="30"/>
    </x:row>
    <x:row r="73">
      <x:c r="A73" s="30"/>
      <x:c r="B73" s="33"/>
      <x:c r="C73" s="30"/>
      <x:c r="D73" s="30"/>
      <x:c r="E73" s="30"/>
      <x:c r="F73" s="30"/>
      <x:c r="G73" s="30"/>
      <x:c r="H73" s="30"/>
      <x:c r="I73" s="33"/>
      <x:c r="J73" s="33"/>
      <x:c r="K73" s="52"/>
      <x:c r="L73" s="52"/>
      <x:c r="M73" s="30"/>
      <x:c r="N73" s="30"/>
      <x:c r="O73" s="30"/>
      <x:c r="P73" s="30"/>
      <x:c r="Q73" s="30"/>
      <x:c r="R73" s="49" t="str">
        <x:f>IF(A73="","",IF(COUNTBLANK(E73:Q73)=0,"READY","INCOMPLETE"))</x:f>
      </x:c>
      <x:c r="S73" s="49" t="str">
        <x:f>IF(A73="","",COUNTBLANK(E73:Q73))</x:f>
      </x:c>
      <x:c r="T73" s="30"/>
    </x:row>
    <x:row r="74">
      <x:c r="A74" s="30"/>
      <x:c r="B74" s="33"/>
      <x:c r="C74" s="30"/>
      <x:c r="D74" s="30"/>
      <x:c r="E74" s="30"/>
      <x:c r="F74" s="30"/>
      <x:c r="G74" s="30"/>
      <x:c r="H74" s="30"/>
      <x:c r="I74" s="33"/>
      <x:c r="J74" s="33"/>
      <x:c r="K74" s="52"/>
      <x:c r="L74" s="52"/>
      <x:c r="M74" s="30"/>
      <x:c r="N74" s="30"/>
      <x:c r="O74" s="30"/>
      <x:c r="P74" s="30"/>
      <x:c r="Q74" s="30"/>
      <x:c r="R74" s="49" t="str">
        <x:f>IF(A74="","",IF(COUNTBLANK(E74:Q74)=0,"READY","INCOMPLETE"))</x:f>
      </x:c>
      <x:c r="S74" s="49" t="str">
        <x:f>IF(A74="","",COUNTBLANK(E74:Q74))</x:f>
      </x:c>
      <x:c r="T74" s="30"/>
    </x:row>
    <x:row r="75">
      <x:c r="A75" s="30"/>
      <x:c r="B75" s="33"/>
      <x:c r="C75" s="30"/>
      <x:c r="D75" s="30"/>
      <x:c r="E75" s="30"/>
      <x:c r="F75" s="30"/>
      <x:c r="G75" s="30"/>
      <x:c r="H75" s="30"/>
      <x:c r="I75" s="33"/>
      <x:c r="J75" s="33"/>
      <x:c r="K75" s="52"/>
      <x:c r="L75" s="52"/>
      <x:c r="M75" s="30"/>
      <x:c r="N75" s="30"/>
      <x:c r="O75" s="30"/>
      <x:c r="P75" s="30"/>
      <x:c r="Q75" s="30"/>
      <x:c r="R75" s="49" t="str">
        <x:f>IF(A75="","",IF(COUNTBLANK(E75:Q75)=0,"READY","INCOMPLETE"))</x:f>
      </x:c>
      <x:c r="S75" s="49" t="str">
        <x:f>IF(A75="","",COUNTBLANK(E75:Q75))</x:f>
      </x:c>
      <x:c r="T75" s="30"/>
    </x:row>
    <x:row r="76">
      <x:c r="A76" s="30"/>
      <x:c r="B76" s="33"/>
      <x:c r="C76" s="30"/>
      <x:c r="D76" s="30"/>
      <x:c r="E76" s="30"/>
      <x:c r="F76" s="30"/>
      <x:c r="G76" s="30"/>
      <x:c r="H76" s="30"/>
      <x:c r="I76" s="33"/>
      <x:c r="J76" s="33"/>
      <x:c r="K76" s="52"/>
      <x:c r="L76" s="52"/>
      <x:c r="M76" s="30"/>
      <x:c r="N76" s="30"/>
      <x:c r="O76" s="30"/>
      <x:c r="P76" s="30"/>
      <x:c r="Q76" s="30"/>
      <x:c r="R76" s="49" t="str">
        <x:f>IF(A76="","",IF(COUNTBLANK(E76:Q76)=0,"READY","INCOMPLETE"))</x:f>
      </x:c>
      <x:c r="S76" s="49" t="str">
        <x:f>IF(A76="","",COUNTBLANK(E76:Q76))</x:f>
      </x:c>
      <x:c r="T76" s="30"/>
    </x:row>
    <x:row r="77">
      <x:c r="A77" s="30"/>
      <x:c r="B77" s="33"/>
      <x:c r="C77" s="30"/>
      <x:c r="D77" s="30"/>
      <x:c r="E77" s="30"/>
      <x:c r="F77" s="30"/>
      <x:c r="G77" s="30"/>
      <x:c r="H77" s="30"/>
      <x:c r="I77" s="33"/>
      <x:c r="J77" s="33"/>
      <x:c r="K77" s="52"/>
      <x:c r="L77" s="52"/>
      <x:c r="M77" s="30"/>
      <x:c r="N77" s="30"/>
      <x:c r="O77" s="30"/>
      <x:c r="P77" s="30"/>
      <x:c r="Q77" s="30"/>
      <x:c r="R77" s="49" t="str">
        <x:f>IF(A77="","",IF(COUNTBLANK(E77:Q77)=0,"READY","INCOMPLETE"))</x:f>
      </x:c>
      <x:c r="S77" s="49" t="str">
        <x:f>IF(A77="","",COUNTBLANK(E77:Q77))</x:f>
      </x:c>
      <x:c r="T77" s="30"/>
    </x:row>
    <x:row r="78">
      <x:c r="A78" s="30"/>
      <x:c r="B78" s="33"/>
      <x:c r="C78" s="30"/>
      <x:c r="D78" s="30"/>
      <x:c r="E78" s="30"/>
      <x:c r="F78" s="30"/>
      <x:c r="G78" s="30"/>
      <x:c r="H78" s="30"/>
      <x:c r="I78" s="33"/>
      <x:c r="J78" s="33"/>
      <x:c r="K78" s="52"/>
      <x:c r="L78" s="52"/>
      <x:c r="M78" s="30"/>
      <x:c r="N78" s="30"/>
      <x:c r="O78" s="30"/>
      <x:c r="P78" s="30"/>
      <x:c r="Q78" s="30"/>
      <x:c r="R78" s="49" t="str">
        <x:f>IF(A78="","",IF(COUNTBLANK(E78:Q78)=0,"READY","INCOMPLETE"))</x:f>
      </x:c>
      <x:c r="S78" s="49" t="str">
        <x:f>IF(A78="","",COUNTBLANK(E78:Q78))</x:f>
      </x:c>
      <x:c r="T78" s="30"/>
    </x:row>
    <x:row r="79">
      <x:c r="A79" s="30"/>
      <x:c r="B79" s="33"/>
      <x:c r="C79" s="30"/>
      <x:c r="D79" s="30"/>
      <x:c r="E79" s="30"/>
      <x:c r="F79" s="30"/>
      <x:c r="G79" s="30"/>
      <x:c r="H79" s="30"/>
      <x:c r="I79" s="33"/>
      <x:c r="J79" s="33"/>
      <x:c r="K79" s="52"/>
      <x:c r="L79" s="52"/>
      <x:c r="M79" s="30"/>
      <x:c r="N79" s="30"/>
      <x:c r="O79" s="30"/>
      <x:c r="P79" s="30"/>
      <x:c r="Q79" s="30"/>
      <x:c r="R79" s="49" t="str">
        <x:f>IF(A79="","",IF(COUNTBLANK(E79:Q79)=0,"READY","INCOMPLETE"))</x:f>
      </x:c>
      <x:c r="S79" s="49" t="str">
        <x:f>IF(A79="","",COUNTBLANK(E79:Q79))</x:f>
      </x:c>
      <x:c r="T79" s="30"/>
    </x:row>
    <x:row r="80">
      <x:c r="A80" s="30"/>
      <x:c r="B80" s="33"/>
      <x:c r="C80" s="30"/>
      <x:c r="D80" s="30"/>
      <x:c r="E80" s="30"/>
      <x:c r="F80" s="30"/>
      <x:c r="G80" s="30"/>
      <x:c r="H80" s="30"/>
      <x:c r="I80" s="33"/>
      <x:c r="J80" s="33"/>
      <x:c r="K80" s="52"/>
      <x:c r="L80" s="52"/>
      <x:c r="M80" s="30"/>
      <x:c r="N80" s="30"/>
      <x:c r="O80" s="30"/>
      <x:c r="P80" s="30"/>
      <x:c r="Q80" s="30"/>
      <x:c r="R80" s="49" t="str">
        <x:f>IF(A80="","",IF(COUNTBLANK(E80:Q80)=0,"READY","INCOMPLETE"))</x:f>
      </x:c>
      <x:c r="S80" s="49" t="str">
        <x:f>IF(A80="","",COUNTBLANK(E80:Q80))</x:f>
      </x:c>
      <x:c r="T80" s="30"/>
    </x:row>
    <x:row r="81">
      <x:c r="A81" s="30"/>
      <x:c r="B81" s="33"/>
      <x:c r="C81" s="30"/>
      <x:c r="D81" s="30"/>
      <x:c r="E81" s="30"/>
      <x:c r="F81" s="30"/>
      <x:c r="G81" s="30"/>
      <x:c r="H81" s="30"/>
      <x:c r="I81" s="33"/>
      <x:c r="J81" s="33"/>
      <x:c r="K81" s="52"/>
      <x:c r="L81" s="52"/>
      <x:c r="M81" s="30"/>
      <x:c r="N81" s="30"/>
      <x:c r="O81" s="30"/>
      <x:c r="P81" s="30"/>
      <x:c r="Q81" s="30"/>
      <x:c r="R81" s="49" t="str">
        <x:f>IF(A81="","",IF(COUNTBLANK(E81:Q81)=0,"READY","INCOMPLETE"))</x:f>
      </x:c>
      <x:c r="S81" s="49" t="str">
        <x:f>IF(A81="","",COUNTBLANK(E81:Q81))</x:f>
      </x:c>
      <x:c r="T81" s="30"/>
    </x:row>
    <x:row r="82">
      <x:c r="A82" s="30"/>
      <x:c r="B82" s="33"/>
      <x:c r="C82" s="30"/>
      <x:c r="D82" s="30"/>
      <x:c r="E82" s="30"/>
      <x:c r="F82" s="30"/>
      <x:c r="G82" s="30"/>
      <x:c r="H82" s="30"/>
      <x:c r="I82" s="33"/>
      <x:c r="J82" s="33"/>
      <x:c r="K82" s="52"/>
      <x:c r="L82" s="52"/>
      <x:c r="M82" s="30"/>
      <x:c r="N82" s="30"/>
      <x:c r="O82" s="30"/>
      <x:c r="P82" s="30"/>
      <x:c r="Q82" s="30"/>
      <x:c r="R82" s="49" t="str">
        <x:f>IF(A82="","",IF(COUNTBLANK(E82:Q82)=0,"READY","INCOMPLETE"))</x:f>
      </x:c>
      <x:c r="S82" s="49" t="str">
        <x:f>IF(A82="","",COUNTBLANK(E82:Q82))</x:f>
      </x:c>
      <x:c r="T82" s="30"/>
    </x:row>
    <x:row r="83">
      <x:c r="A83" s="30"/>
      <x:c r="B83" s="33"/>
      <x:c r="C83" s="30"/>
      <x:c r="D83" s="30"/>
      <x:c r="E83" s="30"/>
      <x:c r="F83" s="30"/>
      <x:c r="G83" s="30"/>
      <x:c r="H83" s="30"/>
      <x:c r="I83" s="33"/>
      <x:c r="J83" s="33"/>
      <x:c r="K83" s="52"/>
      <x:c r="L83" s="52"/>
      <x:c r="M83" s="30"/>
      <x:c r="N83" s="30"/>
      <x:c r="O83" s="30"/>
      <x:c r="P83" s="30"/>
      <x:c r="Q83" s="30"/>
      <x:c r="R83" s="49" t="str">
        <x:f>IF(A83="","",IF(COUNTBLANK(E83:Q83)=0,"READY","INCOMPLETE"))</x:f>
      </x:c>
      <x:c r="S83" s="49" t="str">
        <x:f>IF(A83="","",COUNTBLANK(E83:Q83))</x:f>
      </x:c>
      <x:c r="T83" s="30"/>
    </x:row>
    <x:row r="84">
      <x:c r="A84" s="30"/>
      <x:c r="B84" s="33"/>
      <x:c r="C84" s="30"/>
      <x:c r="D84" s="30"/>
      <x:c r="E84" s="30"/>
      <x:c r="F84" s="30"/>
      <x:c r="G84" s="30"/>
      <x:c r="H84" s="30"/>
      <x:c r="I84" s="33"/>
      <x:c r="J84" s="33"/>
      <x:c r="K84" s="52"/>
      <x:c r="L84" s="52"/>
      <x:c r="M84" s="30"/>
      <x:c r="N84" s="30"/>
      <x:c r="O84" s="30"/>
      <x:c r="P84" s="30"/>
      <x:c r="Q84" s="30"/>
      <x:c r="R84" s="49" t="str">
        <x:f>IF(A84="","",IF(COUNTBLANK(E84:Q84)=0,"READY","INCOMPLETE"))</x:f>
      </x:c>
      <x:c r="S84" s="49" t="str">
        <x:f>IF(A84="","",COUNTBLANK(E84:Q84))</x:f>
      </x:c>
      <x:c r="T84" s="30"/>
    </x:row>
    <x:row r="85">
      <x:c r="A85" s="30"/>
      <x:c r="B85" s="33"/>
      <x:c r="C85" s="30"/>
      <x:c r="D85" s="30"/>
      <x:c r="E85" s="30"/>
      <x:c r="F85" s="30"/>
      <x:c r="G85" s="30"/>
      <x:c r="H85" s="30"/>
      <x:c r="I85" s="33"/>
      <x:c r="J85" s="33"/>
      <x:c r="K85" s="52"/>
      <x:c r="L85" s="52"/>
      <x:c r="M85" s="30"/>
      <x:c r="N85" s="30"/>
      <x:c r="O85" s="30"/>
      <x:c r="P85" s="30"/>
      <x:c r="Q85" s="30"/>
      <x:c r="R85" s="49" t="str">
        <x:f>IF(A85="","",IF(COUNTBLANK(E85:Q85)=0,"READY","INCOMPLETE"))</x:f>
      </x:c>
      <x:c r="S85" s="49" t="str">
        <x:f>IF(A85="","",COUNTBLANK(E85:Q85))</x:f>
      </x:c>
      <x:c r="T85" s="30"/>
    </x:row>
    <x:row r="86">
      <x:c r="A86" s="30"/>
      <x:c r="B86" s="33"/>
      <x:c r="C86" s="30"/>
      <x:c r="D86" s="30"/>
      <x:c r="E86" s="30"/>
      <x:c r="F86" s="30"/>
      <x:c r="G86" s="30"/>
      <x:c r="H86" s="30"/>
      <x:c r="I86" s="33"/>
      <x:c r="J86" s="33"/>
      <x:c r="K86" s="52"/>
      <x:c r="L86" s="52"/>
      <x:c r="M86" s="30"/>
      <x:c r="N86" s="30"/>
      <x:c r="O86" s="30"/>
      <x:c r="P86" s="30"/>
      <x:c r="Q86" s="30"/>
      <x:c r="R86" s="49" t="str">
        <x:f>IF(A86="","",IF(COUNTBLANK(E86:Q86)=0,"READY","INCOMPLETE"))</x:f>
      </x:c>
      <x:c r="S86" s="49" t="str">
        <x:f>IF(A86="","",COUNTBLANK(E86:Q86))</x:f>
      </x:c>
      <x:c r="T86" s="30"/>
    </x:row>
    <x:row r="87">
      <x:c r="A87" s="30"/>
      <x:c r="B87" s="33"/>
      <x:c r="C87" s="30"/>
      <x:c r="D87" s="30"/>
      <x:c r="E87" s="30"/>
      <x:c r="F87" s="30"/>
      <x:c r="G87" s="30"/>
      <x:c r="H87" s="30"/>
      <x:c r="I87" s="33"/>
      <x:c r="J87" s="33"/>
      <x:c r="K87" s="52"/>
      <x:c r="L87" s="52"/>
      <x:c r="M87" s="30"/>
      <x:c r="N87" s="30"/>
      <x:c r="O87" s="30"/>
      <x:c r="P87" s="30"/>
      <x:c r="Q87" s="30"/>
      <x:c r="R87" s="49" t="str">
        <x:f>IF(A87="","",IF(COUNTBLANK(E87:Q87)=0,"READY","INCOMPLETE"))</x:f>
      </x:c>
      <x:c r="S87" s="49" t="str">
        <x:f>IF(A87="","",COUNTBLANK(E87:Q87))</x:f>
      </x:c>
      <x:c r="T87" s="30"/>
    </x:row>
    <x:row r="88">
      <x:c r="A88" s="30"/>
      <x:c r="B88" s="33"/>
      <x:c r="C88" s="30"/>
      <x:c r="D88" s="30"/>
      <x:c r="E88" s="30"/>
      <x:c r="F88" s="30"/>
      <x:c r="G88" s="30"/>
      <x:c r="H88" s="30"/>
      <x:c r="I88" s="33"/>
      <x:c r="J88" s="33"/>
      <x:c r="K88" s="52"/>
      <x:c r="L88" s="52"/>
      <x:c r="M88" s="30"/>
      <x:c r="N88" s="30"/>
      <x:c r="O88" s="30"/>
      <x:c r="P88" s="30"/>
      <x:c r="Q88" s="30"/>
      <x:c r="R88" s="49" t="str">
        <x:f>IF(A88="","",IF(COUNTBLANK(E88:Q88)=0,"READY","INCOMPLETE"))</x:f>
      </x:c>
      <x:c r="S88" s="49" t="str">
        <x:f>IF(A88="","",COUNTBLANK(E88:Q88))</x:f>
      </x:c>
      <x:c r="T88" s="30"/>
    </x:row>
    <x:row r="89">
      <x:c r="A89" s="30"/>
      <x:c r="B89" s="33"/>
      <x:c r="C89" s="30"/>
      <x:c r="D89" s="30"/>
      <x:c r="E89" s="30"/>
      <x:c r="F89" s="30"/>
      <x:c r="G89" s="30"/>
      <x:c r="H89" s="30"/>
      <x:c r="I89" s="33"/>
      <x:c r="J89" s="33"/>
      <x:c r="K89" s="52"/>
      <x:c r="L89" s="52"/>
      <x:c r="M89" s="30"/>
      <x:c r="N89" s="30"/>
      <x:c r="O89" s="30"/>
      <x:c r="P89" s="30"/>
      <x:c r="Q89" s="30"/>
      <x:c r="R89" s="49" t="str">
        <x:f>IF(A89="","",IF(COUNTBLANK(E89:Q89)=0,"READY","INCOMPLETE"))</x:f>
      </x:c>
      <x:c r="S89" s="49" t="str">
        <x:f>IF(A89="","",COUNTBLANK(E89:Q89))</x:f>
      </x:c>
      <x:c r="T89" s="30"/>
    </x:row>
    <x:row r="90">
      <x:c r="A90" s="30"/>
      <x:c r="B90" s="33"/>
      <x:c r="C90" s="30"/>
      <x:c r="D90" s="30"/>
      <x:c r="E90" s="30"/>
      <x:c r="F90" s="30"/>
      <x:c r="G90" s="30"/>
      <x:c r="H90" s="30"/>
      <x:c r="I90" s="33"/>
      <x:c r="J90" s="33"/>
      <x:c r="K90" s="52"/>
      <x:c r="L90" s="52"/>
      <x:c r="M90" s="30"/>
      <x:c r="N90" s="30"/>
      <x:c r="O90" s="30"/>
      <x:c r="P90" s="30"/>
      <x:c r="Q90" s="30"/>
      <x:c r="R90" s="49" t="str">
        <x:f>IF(A90="","",IF(COUNTBLANK(E90:Q90)=0,"READY","INCOMPLETE"))</x:f>
      </x:c>
      <x:c r="S90" s="49" t="str">
        <x:f>IF(A90="","",COUNTBLANK(E90:Q90))</x:f>
      </x:c>
      <x:c r="T90" s="30"/>
    </x:row>
    <x:row r="91">
      <x:c r="A91" s="30"/>
      <x:c r="B91" s="33"/>
      <x:c r="C91" s="30"/>
      <x:c r="D91" s="30"/>
      <x:c r="E91" s="30"/>
      <x:c r="F91" s="30"/>
      <x:c r="G91" s="30"/>
      <x:c r="H91" s="30"/>
      <x:c r="I91" s="33"/>
      <x:c r="J91" s="33"/>
      <x:c r="K91" s="52"/>
      <x:c r="L91" s="52"/>
      <x:c r="M91" s="30"/>
      <x:c r="N91" s="30"/>
      <x:c r="O91" s="30"/>
      <x:c r="P91" s="30"/>
      <x:c r="Q91" s="30"/>
      <x:c r="R91" s="49" t="str">
        <x:f>IF(A91="","",IF(COUNTBLANK(E91:Q91)=0,"READY","INCOMPLETE"))</x:f>
      </x:c>
      <x:c r="S91" s="49" t="str">
        <x:f>IF(A91="","",COUNTBLANK(E91:Q91))</x:f>
      </x:c>
      <x:c r="T91" s="30"/>
    </x:row>
    <x:row r="92">
      <x:c r="A92" s="30"/>
      <x:c r="B92" s="33"/>
      <x:c r="C92" s="30"/>
      <x:c r="D92" s="30"/>
      <x:c r="E92" s="30"/>
      <x:c r="F92" s="30"/>
      <x:c r="G92" s="30"/>
      <x:c r="H92" s="30"/>
      <x:c r="I92" s="33"/>
      <x:c r="J92" s="33"/>
      <x:c r="K92" s="52"/>
      <x:c r="L92" s="52"/>
      <x:c r="M92" s="30"/>
      <x:c r="N92" s="30"/>
      <x:c r="O92" s="30"/>
      <x:c r="P92" s="30"/>
      <x:c r="Q92" s="30"/>
      <x:c r="R92" s="49" t="str">
        <x:f>IF(A92="","",IF(COUNTBLANK(E92:Q92)=0,"READY","INCOMPLETE"))</x:f>
      </x:c>
      <x:c r="S92" s="49" t="str">
        <x:f>IF(A92="","",COUNTBLANK(E92:Q92))</x:f>
      </x:c>
      <x:c r="T92" s="30"/>
    </x:row>
    <x:row r="93">
      <x:c r="A93" s="30"/>
      <x:c r="B93" s="33"/>
      <x:c r="C93" s="30"/>
      <x:c r="D93" s="30"/>
      <x:c r="E93" s="30"/>
      <x:c r="F93" s="30"/>
      <x:c r="G93" s="30"/>
      <x:c r="H93" s="30"/>
      <x:c r="I93" s="33"/>
      <x:c r="J93" s="33"/>
      <x:c r="K93" s="52"/>
      <x:c r="L93" s="52"/>
      <x:c r="M93" s="30"/>
      <x:c r="N93" s="30"/>
      <x:c r="O93" s="30"/>
      <x:c r="P93" s="30"/>
      <x:c r="Q93" s="30"/>
      <x:c r="R93" s="49" t="str">
        <x:f>IF(A93="","",IF(COUNTBLANK(E93:Q93)=0,"READY","INCOMPLETE"))</x:f>
      </x:c>
      <x:c r="S93" s="49" t="str">
        <x:f>IF(A93="","",COUNTBLANK(E93:Q93))</x:f>
      </x:c>
      <x:c r="T93" s="30"/>
    </x:row>
    <x:row r="94">
      <x:c r="A94" s="30"/>
      <x:c r="B94" s="33"/>
      <x:c r="C94" s="30"/>
      <x:c r="D94" s="30"/>
      <x:c r="E94" s="30"/>
      <x:c r="F94" s="30"/>
      <x:c r="G94" s="30"/>
      <x:c r="H94" s="30"/>
      <x:c r="I94" s="33"/>
      <x:c r="J94" s="33"/>
      <x:c r="K94" s="52"/>
      <x:c r="L94" s="52"/>
      <x:c r="M94" s="30"/>
      <x:c r="N94" s="30"/>
      <x:c r="O94" s="30"/>
      <x:c r="P94" s="30"/>
      <x:c r="Q94" s="30"/>
      <x:c r="R94" s="49" t="str">
        <x:f>IF(A94="","",IF(COUNTBLANK(E94:Q94)=0,"READY","INCOMPLETE"))</x:f>
      </x:c>
      <x:c r="S94" s="49" t="str">
        <x:f>IF(A94="","",COUNTBLANK(E94:Q94))</x:f>
      </x:c>
      <x:c r="T94" s="30"/>
    </x:row>
    <x:row r="95">
      <x:c r="A95" s="30"/>
      <x:c r="B95" s="33"/>
      <x:c r="C95" s="30"/>
      <x:c r="D95" s="30"/>
      <x:c r="E95" s="30"/>
      <x:c r="F95" s="30"/>
      <x:c r="G95" s="30"/>
      <x:c r="H95" s="30"/>
      <x:c r="I95" s="33"/>
      <x:c r="J95" s="33"/>
      <x:c r="K95" s="52"/>
      <x:c r="L95" s="52"/>
      <x:c r="M95" s="30"/>
      <x:c r="N95" s="30"/>
      <x:c r="O95" s="30"/>
      <x:c r="P95" s="30"/>
      <x:c r="Q95" s="30"/>
      <x:c r="R95" s="49" t="str">
        <x:f>IF(A95="","",IF(COUNTBLANK(E95:Q95)=0,"READY","INCOMPLETE"))</x:f>
      </x:c>
      <x:c r="S95" s="49" t="str">
        <x:f>IF(A95="","",COUNTBLANK(E95:Q95))</x:f>
      </x:c>
      <x:c r="T95" s="30"/>
    </x:row>
    <x:row r="96">
      <x:c r="A96" s="30"/>
      <x:c r="B96" s="33"/>
      <x:c r="C96" s="30"/>
      <x:c r="D96" s="30"/>
      <x:c r="E96" s="30"/>
      <x:c r="F96" s="30"/>
      <x:c r="G96" s="30"/>
      <x:c r="H96" s="30"/>
      <x:c r="I96" s="33"/>
      <x:c r="J96" s="33"/>
      <x:c r="K96" s="52"/>
      <x:c r="L96" s="52"/>
      <x:c r="M96" s="30"/>
      <x:c r="N96" s="30"/>
      <x:c r="O96" s="30"/>
      <x:c r="P96" s="30"/>
      <x:c r="Q96" s="30"/>
      <x:c r="R96" s="49" t="str">
        <x:f>IF(A96="","",IF(COUNTBLANK(E96:Q96)=0,"READY","INCOMPLETE"))</x:f>
      </x:c>
      <x:c r="S96" s="49" t="str">
        <x:f>IF(A96="","",COUNTBLANK(E96:Q96))</x:f>
      </x:c>
      <x:c r="T96" s="30"/>
    </x:row>
    <x:row r="97">
      <x:c r="A97" s="30"/>
      <x:c r="B97" s="33"/>
      <x:c r="C97" s="30"/>
      <x:c r="D97" s="30"/>
      <x:c r="E97" s="30"/>
      <x:c r="F97" s="30"/>
      <x:c r="G97" s="30"/>
      <x:c r="H97" s="30"/>
      <x:c r="I97" s="33"/>
      <x:c r="J97" s="33"/>
      <x:c r="K97" s="52"/>
      <x:c r="L97" s="52"/>
      <x:c r="M97" s="30"/>
      <x:c r="N97" s="30"/>
      <x:c r="O97" s="30"/>
      <x:c r="P97" s="30"/>
      <x:c r="Q97" s="30"/>
      <x:c r="R97" s="49" t="str">
        <x:f>IF(A97="","",IF(COUNTBLANK(E97:Q97)=0,"READY","INCOMPLETE"))</x:f>
      </x:c>
      <x:c r="S97" s="49" t="str">
        <x:f>IF(A97="","",COUNTBLANK(E97:Q97))</x:f>
      </x:c>
      <x:c r="T97" s="30"/>
    </x:row>
    <x:row r="98">
      <x:c r="A98" s="30"/>
      <x:c r="B98" s="33"/>
      <x:c r="C98" s="30"/>
      <x:c r="D98" s="30"/>
      <x:c r="E98" s="30"/>
      <x:c r="F98" s="30"/>
      <x:c r="G98" s="30"/>
      <x:c r="H98" s="30"/>
      <x:c r="I98" s="33"/>
      <x:c r="J98" s="33"/>
      <x:c r="K98" s="52"/>
      <x:c r="L98" s="52"/>
      <x:c r="M98" s="30"/>
      <x:c r="N98" s="30"/>
      <x:c r="O98" s="30"/>
      <x:c r="P98" s="30"/>
      <x:c r="Q98" s="30"/>
      <x:c r="R98" s="49" t="str">
        <x:f>IF(A98="","",IF(COUNTBLANK(E98:Q98)=0,"READY","INCOMPLETE"))</x:f>
      </x:c>
      <x:c r="S98" s="49" t="str">
        <x:f>IF(A98="","",COUNTBLANK(E98:Q98))</x:f>
      </x:c>
      <x:c r="T98" s="30"/>
    </x:row>
    <x:row r="99">
      <x:c r="A99" s="30"/>
      <x:c r="B99" s="33"/>
      <x:c r="C99" s="30"/>
      <x:c r="D99" s="30"/>
      <x:c r="E99" s="30"/>
      <x:c r="F99" s="30"/>
      <x:c r="G99" s="30"/>
      <x:c r="H99" s="30"/>
      <x:c r="I99" s="33"/>
      <x:c r="J99" s="33"/>
      <x:c r="K99" s="52"/>
      <x:c r="L99" s="52"/>
      <x:c r="M99" s="30"/>
      <x:c r="N99" s="30"/>
      <x:c r="O99" s="30"/>
      <x:c r="P99" s="30"/>
      <x:c r="Q99" s="30"/>
      <x:c r="R99" s="49" t="str">
        <x:f>IF(A99="","",IF(COUNTBLANK(E99:Q99)=0,"READY","INCOMPLETE"))</x:f>
      </x:c>
      <x:c r="S99" s="49" t="str">
        <x:f>IF(A99="","",COUNTBLANK(E99:Q99))</x:f>
      </x:c>
      <x:c r="T99" s="30"/>
    </x:row>
    <x:row r="100">
      <x:c r="A100" s="30"/>
      <x:c r="B100" s="33"/>
      <x:c r="C100" s="30"/>
      <x:c r="D100" s="30"/>
      <x:c r="E100" s="30"/>
      <x:c r="F100" s="30"/>
      <x:c r="G100" s="30"/>
      <x:c r="H100" s="30"/>
      <x:c r="I100" s="33"/>
      <x:c r="J100" s="33"/>
      <x:c r="K100" s="52"/>
      <x:c r="L100" s="52"/>
      <x:c r="M100" s="30"/>
      <x:c r="N100" s="30"/>
      <x:c r="O100" s="30"/>
      <x:c r="P100" s="30"/>
      <x:c r="Q100" s="30"/>
      <x:c r="R100" s="49" t="str">
        <x:f>IF(A100="","",IF(COUNTBLANK(E100:Q100)=0,"READY","INCOMPLETE"))</x:f>
      </x:c>
      <x:c r="S100" s="49" t="str">
        <x:f>IF(A100="","",COUNTBLANK(E100:Q100))</x:f>
      </x:c>
      <x:c r="T100" s="30"/>
    </x:row>
    <x:row r="101">
      <x:c r="A101" s="30"/>
      <x:c r="B101" s="33"/>
      <x:c r="C101" s="30"/>
      <x:c r="D101" s="30"/>
      <x:c r="E101" s="30"/>
      <x:c r="F101" s="30"/>
      <x:c r="G101" s="30"/>
      <x:c r="H101" s="30"/>
      <x:c r="I101" s="33"/>
      <x:c r="J101" s="33"/>
      <x:c r="K101" s="52"/>
      <x:c r="L101" s="52"/>
      <x:c r="M101" s="30"/>
      <x:c r="N101" s="30"/>
      <x:c r="O101" s="30"/>
      <x:c r="P101" s="30"/>
      <x:c r="Q101" s="30"/>
      <x:c r="R101" s="49" t="str">
        <x:f>IF(A101="","",IF(COUNTBLANK(E101:Q101)=0,"READY","INCOMPLETE"))</x:f>
      </x:c>
      <x:c r="S101" s="49" t="str">
        <x:f>IF(A101="","",COUNTBLANK(E101:Q101))</x:f>
      </x:c>
      <x:c r="T101" s="30"/>
    </x:row>
    <x:row r="102">
      <x:c r="A102" s="30"/>
      <x:c r="B102" s="33"/>
      <x:c r="C102" s="30"/>
      <x:c r="D102" s="30"/>
      <x:c r="E102" s="30"/>
      <x:c r="F102" s="30"/>
      <x:c r="G102" s="30"/>
      <x:c r="H102" s="30"/>
      <x:c r="I102" s="33"/>
      <x:c r="J102" s="33"/>
      <x:c r="K102" s="52"/>
      <x:c r="L102" s="52"/>
      <x:c r="M102" s="30"/>
      <x:c r="N102" s="30"/>
      <x:c r="O102" s="30"/>
      <x:c r="P102" s="30"/>
      <x:c r="Q102" s="30"/>
      <x:c r="R102" s="49" t="str">
        <x:f>IF(A102="","",IF(COUNTBLANK(E102:Q102)=0,"READY","INCOMPLETE"))</x:f>
      </x:c>
      <x:c r="S102" s="49" t="str">
        <x:f>IF(A102="","",COUNTBLANK(E102:Q102))</x:f>
      </x:c>
      <x:c r="T102" s="30"/>
    </x:row>
    <x:row r="103">
      <x:c r="A103" s="30"/>
      <x:c r="B103" s="33"/>
      <x:c r="C103" s="30"/>
      <x:c r="D103" s="30"/>
      <x:c r="E103" s="30"/>
      <x:c r="F103" s="30"/>
      <x:c r="G103" s="30"/>
      <x:c r="H103" s="30"/>
      <x:c r="I103" s="33"/>
      <x:c r="J103" s="33"/>
      <x:c r="K103" s="52"/>
      <x:c r="L103" s="52"/>
      <x:c r="M103" s="30"/>
      <x:c r="N103" s="30"/>
      <x:c r="O103" s="30"/>
      <x:c r="P103" s="30"/>
      <x:c r="Q103" s="30"/>
      <x:c r="R103" s="49" t="str">
        <x:f>IF(A103="","",IF(COUNTBLANK(E103:Q103)=0,"READY","INCOMPLETE"))</x:f>
      </x:c>
      <x:c r="S103" s="49" t="str">
        <x:f>IF(A103="","",COUNTBLANK(E103:Q103))</x:f>
      </x:c>
      <x:c r="T103" s="30"/>
    </x:row>
    <x:row r="104">
      <x:c r="A104" s="30"/>
      <x:c r="B104" s="33"/>
      <x:c r="C104" s="30"/>
      <x:c r="D104" s="30"/>
      <x:c r="E104" s="30"/>
      <x:c r="F104" s="30"/>
      <x:c r="G104" s="30"/>
      <x:c r="H104" s="30"/>
      <x:c r="I104" s="33"/>
      <x:c r="J104" s="33"/>
      <x:c r="K104" s="52"/>
      <x:c r="L104" s="52"/>
      <x:c r="M104" s="30"/>
      <x:c r="N104" s="30"/>
      <x:c r="O104" s="30"/>
      <x:c r="P104" s="30"/>
      <x:c r="Q104" s="30"/>
      <x:c r="R104" s="49" t="str">
        <x:f>IF(A104="","",IF(COUNTBLANK(E104:Q104)=0,"READY","INCOMPLETE"))</x:f>
      </x:c>
      <x:c r="S104" s="49" t="str">
        <x:f>IF(A104="","",COUNTBLANK(E104:Q104))</x:f>
      </x:c>
      <x:c r="T104" s="30"/>
    </x:row>
    <x:row r="105">
      <x:c r="A105" s="31"/>
      <x:c r="B105" s="34"/>
      <x:c r="C105" s="31"/>
      <x:c r="D105" s="31"/>
      <x:c r="E105" s="31"/>
      <x:c r="F105" s="31"/>
      <x:c r="G105" s="31"/>
      <x:c r="H105" s="31"/>
      <x:c r="I105" s="34"/>
      <x:c r="J105" s="34"/>
      <x:c r="K105" s="53"/>
      <x:c r="L105" s="53"/>
      <x:c r="M105" s="31"/>
      <x:c r="N105" s="31"/>
      <x:c r="O105" s="31"/>
      <x:c r="P105" s="31"/>
      <x:c r="Q105" s="31"/>
      <x:c r="R105" s="50" t="str">
        <x:f>IF(A105="","",IF(COUNTBLANK(E105:Q105)=0,"READY","INCOMPLETE"))</x:f>
      </x:c>
      <x:c r="S105" s="50" t="str">
        <x:f>IF(A105="","",COUNTBLANK(E105:Q105))</x:f>
      </x:c>
      <x:c r="T105" s="31"/>
    </x:row>
  </x:sheetData>
  <x:mergeCells>
    <x:mergeCell ref="A1:T1"/>
    <x:mergeCell ref="A2:T2"/>
  </x:mergeCells>
  <x:conditionalFormatting sqref="R6:R105">
    <x:cfRule type="containsText" dxfId="10" priority="1" operator="containsText" text="READY"/>
    <x:cfRule type="containsText" dxfId="11" priority="2" operator="containsText" text="INCOMPLETE"/>
    <x:cfRule type="containsText" dxfId="12" priority="3" operator="containsText" text="Closed"/>
    <x:cfRule type="containsText" dxfId="13" priority="4" operator="containsText" text="Overdue"/>
    <x:cfRule type="containsText" dxfId="14" priority="5" operator="containsText" text="In Progress"/>
  </x:conditionalFormatting>
  <x:conditionalFormatting sqref="T6:T105">
    <x:cfRule type="containsText" dxfId="15" priority="6" operator="containsText" text="READY"/>
    <x:cfRule type="containsText" dxfId="16" priority="7" operator="containsText" text="INCOMPLETE"/>
    <x:cfRule type="containsText" dxfId="17" priority="8" operator="containsText" text="Closed"/>
    <x:cfRule type="containsText" dxfId="18" priority="9" operator="containsText" text="Overdue"/>
    <x:cfRule type="containsText" dxfId="19" priority="10" operator="containsText" text="In Progress"/>
  </x:conditionalFormatting>
  <x:dataValidations count="3">
    <x:dataValidation type="list" sqref="E6:E105">
      <x:formula1>"Reactivation,First Deposit,Retention,Cross-Product,VIP Progression,Other"</x:formula1>
    </x:dataValidation>
    <x:dataValidation type="list" sqref="O6:O105">
      <x:formula1>"Low,Medium,High,Urgent"</x:formula1>
    </x:dataValidation>
    <x:dataValidation type="list" sqref="T6:T105">
      <x:formula1>"Pending,Approved,Declined,Changes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8cb82fc5c049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0" hidden="0" customWidth="1"/>
    <x:col min="18" max="18" width="20" hidden="0" customWidth="1"/>
  </x:cols>
  <x:sheetData>
    <x:row r="1" ht="34" customHeight="1">
      <x:c r="A1" s="3" t="str">
        <x:v>Promo Audit &amp; Sunset Review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Review caps, usage, duplication, abuse risk, and terms. Recommendation is formula-driven; management owns the final decision.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5" ht="34" customHeight="1">
      <x:c r="A5" s="18" t="str">
        <x:v>Promo Code</x:v>
      </x:c>
      <x:c r="B5" s="19" t="str">
        <x:v>Promo Name</x:v>
      </x:c>
      <x:c r="C5" s="19" t="str">
        <x:v>Brand / Platform</x:v>
      </x:c>
      <x:c r="D5" s="19" t="str">
        <x:v>Current Status</x:v>
      </x:c>
      <x:c r="E5" s="19" t="str">
        <x:v>Launch Date</x:v>
      </x:c>
      <x:c r="F5" s="19" t="str">
        <x:v>Last Claim Date</x:v>
      </x:c>
      <x:c r="G5" s="19" t="str">
        <x:v>Claims (90d)</x:v>
      </x:c>
      <x:c r="H5" s="19" t="str">
        <x:v>Unique Claimants</x:v>
      </x:c>
      <x:c r="I5" s="19" t="str">
        <x:v>Avg Claimant Deposit (MYR)</x:v>
      </x:c>
      <x:c r="J5" s="19" t="str">
        <x:v>Max Bonus Cap (MYR)</x:v>
      </x:c>
      <x:c r="K5" s="19" t="str">
        <x:v>Cap / Deposit Ratio</x:v>
      </x:c>
      <x:c r="L5" s="19" t="str">
        <x:v>Bonus Cost (90d MYR)</x:v>
      </x:c>
      <x:c r="M5" s="19" t="str">
        <x:v>Duplicate?</x:v>
      </x:c>
      <x:c r="N5" s="19" t="str">
        <x:v>Abuse Risk?</x:v>
      </x:c>
      <x:c r="O5" s="19" t="str">
        <x:v>T&amp;C Current?</x:v>
      </x:c>
      <x:c r="P5" s="19" t="str">
        <x:v>Owner</x:v>
      </x:c>
      <x:c r="Q5" s="19" t="str">
        <x:v>Recommendation</x:v>
      </x:c>
      <x:c r="R5" s="20" t="str">
        <x:v>Management Decision</x:v>
      </x:c>
    </x:row>
    <x:row r="6">
      <x:c r="A6" s="29"/>
      <x:c r="B6" s="29"/>
      <x:c r="C6" s="29"/>
      <x:c r="D6" s="29"/>
      <x:c r="E6" s="32"/>
      <x:c r="F6" s="32"/>
      <x:c r="G6" s="54"/>
      <x:c r="H6" s="54"/>
      <x:c r="I6" s="51"/>
      <x:c r="J6" s="51"/>
      <x:c r="K6" s="57" t="str">
        <x:f>IF(A6="","",IFERROR(J6/I6,0))</x:f>
      </x:c>
      <x:c r="L6" s="51"/>
      <x:c r="M6" s="29"/>
      <x:c r="N6" s="29"/>
      <x:c r="O6" s="29"/>
      <x:c r="P6" s="29"/>
      <x:c r="Q6" s="48" t="str">
        <x:f>IF(A6="","",IF(OR(M6="Yes",N6="Yes",O6="No"),"REVIEW",IF(K6&gt;2,"REDUCE CAP",IF(G6=0,"SUNSET","KEEP"))))</x:f>
      </x:c>
      <x:c r="R6" s="29"/>
    </x:row>
    <x:row r="7">
      <x:c r="A7" s="30"/>
      <x:c r="B7" s="30"/>
      <x:c r="C7" s="30"/>
      <x:c r="D7" s="30"/>
      <x:c r="E7" s="33"/>
      <x:c r="F7" s="33"/>
      <x:c r="G7" s="55"/>
      <x:c r="H7" s="55"/>
      <x:c r="I7" s="52"/>
      <x:c r="J7" s="52"/>
      <x:c r="K7" s="58" t="str">
        <x:f>IF(A7="","",IFERROR(J7/I7,0))</x:f>
      </x:c>
      <x:c r="L7" s="52"/>
      <x:c r="M7" s="30"/>
      <x:c r="N7" s="30"/>
      <x:c r="O7" s="30"/>
      <x:c r="P7" s="30"/>
      <x:c r="Q7" s="49" t="str">
        <x:f>IF(A7="","",IF(OR(M7="Yes",N7="Yes",O7="No"),"REVIEW",IF(K7&gt;2,"REDUCE CAP",IF(G7=0,"SUNSET","KEEP"))))</x:f>
      </x:c>
      <x:c r="R7" s="30"/>
    </x:row>
    <x:row r="8">
      <x:c r="A8" s="30"/>
      <x:c r="B8" s="30"/>
      <x:c r="C8" s="30"/>
      <x:c r="D8" s="30"/>
      <x:c r="E8" s="33"/>
      <x:c r="F8" s="33"/>
      <x:c r="G8" s="55"/>
      <x:c r="H8" s="55"/>
      <x:c r="I8" s="52"/>
      <x:c r="J8" s="52"/>
      <x:c r="K8" s="58" t="str">
        <x:f>IF(A8="","",IFERROR(J8/I8,0))</x:f>
      </x:c>
      <x:c r="L8" s="52"/>
      <x:c r="M8" s="30"/>
      <x:c r="N8" s="30"/>
      <x:c r="O8" s="30"/>
      <x:c r="P8" s="30"/>
      <x:c r="Q8" s="49" t="str">
        <x:f>IF(A8="","",IF(OR(M8="Yes",N8="Yes",O8="No"),"REVIEW",IF(K8&gt;2,"REDUCE CAP",IF(G8=0,"SUNSET","KEEP"))))</x:f>
      </x:c>
      <x:c r="R8" s="30"/>
    </x:row>
    <x:row r="9">
      <x:c r="A9" s="30"/>
      <x:c r="B9" s="30"/>
      <x:c r="C9" s="30"/>
      <x:c r="D9" s="30"/>
      <x:c r="E9" s="33"/>
      <x:c r="F9" s="33"/>
      <x:c r="G9" s="55"/>
      <x:c r="H9" s="55"/>
      <x:c r="I9" s="52"/>
      <x:c r="J9" s="52"/>
      <x:c r="K9" s="58" t="str">
        <x:f>IF(A9="","",IFERROR(J9/I9,0))</x:f>
      </x:c>
      <x:c r="L9" s="52"/>
      <x:c r="M9" s="30"/>
      <x:c r="N9" s="30"/>
      <x:c r="O9" s="30"/>
      <x:c r="P9" s="30"/>
      <x:c r="Q9" s="49" t="str">
        <x:f>IF(A9="","",IF(OR(M9="Yes",N9="Yes",O9="No"),"REVIEW",IF(K9&gt;2,"REDUCE CAP",IF(G9=0,"SUNSET","KEEP"))))</x:f>
      </x:c>
      <x:c r="R9" s="30"/>
    </x:row>
    <x:row r="10">
      <x:c r="A10" s="30"/>
      <x:c r="B10" s="30"/>
      <x:c r="C10" s="30"/>
      <x:c r="D10" s="30"/>
      <x:c r="E10" s="33"/>
      <x:c r="F10" s="33"/>
      <x:c r="G10" s="55"/>
      <x:c r="H10" s="55"/>
      <x:c r="I10" s="52"/>
      <x:c r="J10" s="52"/>
      <x:c r="K10" s="58" t="str">
        <x:f>IF(A10="","",IFERROR(J10/I10,0))</x:f>
      </x:c>
      <x:c r="L10" s="52"/>
      <x:c r="M10" s="30"/>
      <x:c r="N10" s="30"/>
      <x:c r="O10" s="30"/>
      <x:c r="P10" s="30"/>
      <x:c r="Q10" s="49" t="str">
        <x:f>IF(A10="","",IF(OR(M10="Yes",N10="Yes",O10="No"),"REVIEW",IF(K10&gt;2,"REDUCE CAP",IF(G10=0,"SUNSET","KEEP"))))</x:f>
      </x:c>
      <x:c r="R10" s="30"/>
    </x:row>
    <x:row r="11">
      <x:c r="A11" s="30"/>
      <x:c r="B11" s="30"/>
      <x:c r="C11" s="30"/>
      <x:c r="D11" s="30"/>
      <x:c r="E11" s="33"/>
      <x:c r="F11" s="33"/>
      <x:c r="G11" s="55"/>
      <x:c r="H11" s="55"/>
      <x:c r="I11" s="52"/>
      <x:c r="J11" s="52"/>
      <x:c r="K11" s="58" t="str">
        <x:f>IF(A11="","",IFERROR(J11/I11,0))</x:f>
      </x:c>
      <x:c r="L11" s="52"/>
      <x:c r="M11" s="30"/>
      <x:c r="N11" s="30"/>
      <x:c r="O11" s="30"/>
      <x:c r="P11" s="30"/>
      <x:c r="Q11" s="49" t="str">
        <x:f>IF(A11="","",IF(OR(M11="Yes",N11="Yes",O11="No"),"REVIEW",IF(K11&gt;2,"REDUCE CAP",IF(G11=0,"SUNSET","KEEP"))))</x:f>
      </x:c>
      <x:c r="R11" s="30"/>
    </x:row>
    <x:row r="12">
      <x:c r="A12" s="30"/>
      <x:c r="B12" s="30"/>
      <x:c r="C12" s="30"/>
      <x:c r="D12" s="30"/>
      <x:c r="E12" s="33"/>
      <x:c r="F12" s="33"/>
      <x:c r="G12" s="55"/>
      <x:c r="H12" s="55"/>
      <x:c r="I12" s="52"/>
      <x:c r="J12" s="52"/>
      <x:c r="K12" s="58" t="str">
        <x:f>IF(A12="","",IFERROR(J12/I12,0))</x:f>
      </x:c>
      <x:c r="L12" s="52"/>
      <x:c r="M12" s="30"/>
      <x:c r="N12" s="30"/>
      <x:c r="O12" s="30"/>
      <x:c r="P12" s="30"/>
      <x:c r="Q12" s="49" t="str">
        <x:f>IF(A12="","",IF(OR(M12="Yes",N12="Yes",O12="No"),"REVIEW",IF(K12&gt;2,"REDUCE CAP",IF(G12=0,"SUNSET","KEEP"))))</x:f>
      </x:c>
      <x:c r="R12" s="30"/>
    </x:row>
    <x:row r="13">
      <x:c r="A13" s="30"/>
      <x:c r="B13" s="30"/>
      <x:c r="C13" s="30"/>
      <x:c r="D13" s="30"/>
      <x:c r="E13" s="33"/>
      <x:c r="F13" s="33"/>
      <x:c r="G13" s="55"/>
      <x:c r="H13" s="55"/>
      <x:c r="I13" s="52"/>
      <x:c r="J13" s="52"/>
      <x:c r="K13" s="58" t="str">
        <x:f>IF(A13="","",IFERROR(J13/I13,0))</x:f>
      </x:c>
      <x:c r="L13" s="52"/>
      <x:c r="M13" s="30"/>
      <x:c r="N13" s="30"/>
      <x:c r="O13" s="30"/>
      <x:c r="P13" s="30"/>
      <x:c r="Q13" s="49" t="str">
        <x:f>IF(A13="","",IF(OR(M13="Yes",N13="Yes",O13="No"),"REVIEW",IF(K13&gt;2,"REDUCE CAP",IF(G13=0,"SUNSET","KEEP"))))</x:f>
      </x:c>
      <x:c r="R13" s="30"/>
    </x:row>
    <x:row r="14">
      <x:c r="A14" s="30"/>
      <x:c r="B14" s="30"/>
      <x:c r="C14" s="30"/>
      <x:c r="D14" s="30"/>
      <x:c r="E14" s="33"/>
      <x:c r="F14" s="33"/>
      <x:c r="G14" s="55"/>
      <x:c r="H14" s="55"/>
      <x:c r="I14" s="52"/>
      <x:c r="J14" s="52"/>
      <x:c r="K14" s="58" t="str">
        <x:f>IF(A14="","",IFERROR(J14/I14,0))</x:f>
      </x:c>
      <x:c r="L14" s="52"/>
      <x:c r="M14" s="30"/>
      <x:c r="N14" s="30"/>
      <x:c r="O14" s="30"/>
      <x:c r="P14" s="30"/>
      <x:c r="Q14" s="49" t="str">
        <x:f>IF(A14="","",IF(OR(M14="Yes",N14="Yes",O14="No"),"REVIEW",IF(K14&gt;2,"REDUCE CAP",IF(G14=0,"SUNSET","KEEP"))))</x:f>
      </x:c>
      <x:c r="R14" s="30"/>
    </x:row>
    <x:row r="15">
      <x:c r="A15" s="30"/>
      <x:c r="B15" s="30"/>
      <x:c r="C15" s="30"/>
      <x:c r="D15" s="30"/>
      <x:c r="E15" s="33"/>
      <x:c r="F15" s="33"/>
      <x:c r="G15" s="55"/>
      <x:c r="H15" s="55"/>
      <x:c r="I15" s="52"/>
      <x:c r="J15" s="52"/>
      <x:c r="K15" s="58" t="str">
        <x:f>IF(A15="","",IFERROR(J15/I15,0))</x:f>
      </x:c>
      <x:c r="L15" s="52"/>
      <x:c r="M15" s="30"/>
      <x:c r="N15" s="30"/>
      <x:c r="O15" s="30"/>
      <x:c r="P15" s="30"/>
      <x:c r="Q15" s="49" t="str">
        <x:f>IF(A15="","",IF(OR(M15="Yes",N15="Yes",O15="No"),"REVIEW",IF(K15&gt;2,"REDUCE CAP",IF(G15=0,"SUNSET","KEEP"))))</x:f>
      </x:c>
      <x:c r="R15" s="30"/>
    </x:row>
    <x:row r="16">
      <x:c r="A16" s="30"/>
      <x:c r="B16" s="30"/>
      <x:c r="C16" s="30"/>
      <x:c r="D16" s="30"/>
      <x:c r="E16" s="33"/>
      <x:c r="F16" s="33"/>
      <x:c r="G16" s="55"/>
      <x:c r="H16" s="55"/>
      <x:c r="I16" s="52"/>
      <x:c r="J16" s="52"/>
      <x:c r="K16" s="58" t="str">
        <x:f>IF(A16="","",IFERROR(J16/I16,0))</x:f>
      </x:c>
      <x:c r="L16" s="52"/>
      <x:c r="M16" s="30"/>
      <x:c r="N16" s="30"/>
      <x:c r="O16" s="30"/>
      <x:c r="P16" s="30"/>
      <x:c r="Q16" s="49" t="str">
        <x:f>IF(A16="","",IF(OR(M16="Yes",N16="Yes",O16="No"),"REVIEW",IF(K16&gt;2,"REDUCE CAP",IF(G16=0,"SUNSET","KEEP"))))</x:f>
      </x:c>
      <x:c r="R16" s="30"/>
    </x:row>
    <x:row r="17">
      <x:c r="A17" s="30"/>
      <x:c r="B17" s="30"/>
      <x:c r="C17" s="30"/>
      <x:c r="D17" s="30"/>
      <x:c r="E17" s="33"/>
      <x:c r="F17" s="33"/>
      <x:c r="G17" s="55"/>
      <x:c r="H17" s="55"/>
      <x:c r="I17" s="52"/>
      <x:c r="J17" s="52"/>
      <x:c r="K17" s="58" t="str">
        <x:f>IF(A17="","",IFERROR(J17/I17,0))</x:f>
      </x:c>
      <x:c r="L17" s="52"/>
      <x:c r="M17" s="30"/>
      <x:c r="N17" s="30"/>
      <x:c r="O17" s="30"/>
      <x:c r="P17" s="30"/>
      <x:c r="Q17" s="49" t="str">
        <x:f>IF(A17="","",IF(OR(M17="Yes",N17="Yes",O17="No"),"REVIEW",IF(K17&gt;2,"REDUCE CAP",IF(G17=0,"SUNSET","KEEP"))))</x:f>
      </x:c>
      <x:c r="R17" s="30"/>
    </x:row>
    <x:row r="18">
      <x:c r="A18" s="30"/>
      <x:c r="B18" s="30"/>
      <x:c r="C18" s="30"/>
      <x:c r="D18" s="30"/>
      <x:c r="E18" s="33"/>
      <x:c r="F18" s="33"/>
      <x:c r="G18" s="55"/>
      <x:c r="H18" s="55"/>
      <x:c r="I18" s="52"/>
      <x:c r="J18" s="52"/>
      <x:c r="K18" s="58" t="str">
        <x:f>IF(A18="","",IFERROR(J18/I18,0))</x:f>
      </x:c>
      <x:c r="L18" s="52"/>
      <x:c r="M18" s="30"/>
      <x:c r="N18" s="30"/>
      <x:c r="O18" s="30"/>
      <x:c r="P18" s="30"/>
      <x:c r="Q18" s="49" t="str">
        <x:f>IF(A18="","",IF(OR(M18="Yes",N18="Yes",O18="No"),"REVIEW",IF(K18&gt;2,"REDUCE CAP",IF(G18=0,"SUNSET","KEEP"))))</x:f>
      </x:c>
      <x:c r="R18" s="30"/>
    </x:row>
    <x:row r="19">
      <x:c r="A19" s="30"/>
      <x:c r="B19" s="30"/>
      <x:c r="C19" s="30"/>
      <x:c r="D19" s="30"/>
      <x:c r="E19" s="33"/>
      <x:c r="F19" s="33"/>
      <x:c r="G19" s="55"/>
      <x:c r="H19" s="55"/>
      <x:c r="I19" s="52"/>
      <x:c r="J19" s="52"/>
      <x:c r="K19" s="58" t="str">
        <x:f>IF(A19="","",IFERROR(J19/I19,0))</x:f>
      </x:c>
      <x:c r="L19" s="52"/>
      <x:c r="M19" s="30"/>
      <x:c r="N19" s="30"/>
      <x:c r="O19" s="30"/>
      <x:c r="P19" s="30"/>
      <x:c r="Q19" s="49" t="str">
        <x:f>IF(A19="","",IF(OR(M19="Yes",N19="Yes",O19="No"),"REVIEW",IF(K19&gt;2,"REDUCE CAP",IF(G19=0,"SUNSET","KEEP"))))</x:f>
      </x:c>
      <x:c r="R19" s="30"/>
    </x:row>
    <x:row r="20">
      <x:c r="A20" s="30"/>
      <x:c r="B20" s="30"/>
      <x:c r="C20" s="30"/>
      <x:c r="D20" s="30"/>
      <x:c r="E20" s="33"/>
      <x:c r="F20" s="33"/>
      <x:c r="G20" s="55"/>
      <x:c r="H20" s="55"/>
      <x:c r="I20" s="52"/>
      <x:c r="J20" s="52"/>
      <x:c r="K20" s="58" t="str">
        <x:f>IF(A20="","",IFERROR(J20/I20,0))</x:f>
      </x:c>
      <x:c r="L20" s="52"/>
      <x:c r="M20" s="30"/>
      <x:c r="N20" s="30"/>
      <x:c r="O20" s="30"/>
      <x:c r="P20" s="30"/>
      <x:c r="Q20" s="49" t="str">
        <x:f>IF(A20="","",IF(OR(M20="Yes",N20="Yes",O20="No"),"REVIEW",IF(K20&gt;2,"REDUCE CAP",IF(G20=0,"SUNSET","KEEP"))))</x:f>
      </x:c>
      <x:c r="R20" s="30"/>
    </x:row>
    <x:row r="21">
      <x:c r="A21" s="30"/>
      <x:c r="B21" s="30"/>
      <x:c r="C21" s="30"/>
      <x:c r="D21" s="30"/>
      <x:c r="E21" s="33"/>
      <x:c r="F21" s="33"/>
      <x:c r="G21" s="55"/>
      <x:c r="H21" s="55"/>
      <x:c r="I21" s="52"/>
      <x:c r="J21" s="52"/>
      <x:c r="K21" s="58" t="str">
        <x:f>IF(A21="","",IFERROR(J21/I21,0))</x:f>
      </x:c>
      <x:c r="L21" s="52"/>
      <x:c r="M21" s="30"/>
      <x:c r="N21" s="30"/>
      <x:c r="O21" s="30"/>
      <x:c r="P21" s="30"/>
      <x:c r="Q21" s="49" t="str">
        <x:f>IF(A21="","",IF(OR(M21="Yes",N21="Yes",O21="No"),"REVIEW",IF(K21&gt;2,"REDUCE CAP",IF(G21=0,"SUNSET","KEEP"))))</x:f>
      </x:c>
      <x:c r="R21" s="30"/>
    </x:row>
    <x:row r="22">
      <x:c r="A22" s="30"/>
      <x:c r="B22" s="30"/>
      <x:c r="C22" s="30"/>
      <x:c r="D22" s="30"/>
      <x:c r="E22" s="33"/>
      <x:c r="F22" s="33"/>
      <x:c r="G22" s="55"/>
      <x:c r="H22" s="55"/>
      <x:c r="I22" s="52"/>
      <x:c r="J22" s="52"/>
      <x:c r="K22" s="58" t="str">
        <x:f>IF(A22="","",IFERROR(J22/I22,0))</x:f>
      </x:c>
      <x:c r="L22" s="52"/>
      <x:c r="M22" s="30"/>
      <x:c r="N22" s="30"/>
      <x:c r="O22" s="30"/>
      <x:c r="P22" s="30"/>
      <x:c r="Q22" s="49" t="str">
        <x:f>IF(A22="","",IF(OR(M22="Yes",N22="Yes",O22="No"),"REVIEW",IF(K22&gt;2,"REDUCE CAP",IF(G22=0,"SUNSET","KEEP"))))</x:f>
      </x:c>
      <x:c r="R22" s="30"/>
    </x:row>
    <x:row r="23">
      <x:c r="A23" s="30"/>
      <x:c r="B23" s="30"/>
      <x:c r="C23" s="30"/>
      <x:c r="D23" s="30"/>
      <x:c r="E23" s="33"/>
      <x:c r="F23" s="33"/>
      <x:c r="G23" s="55"/>
      <x:c r="H23" s="55"/>
      <x:c r="I23" s="52"/>
      <x:c r="J23" s="52"/>
      <x:c r="K23" s="58" t="str">
        <x:f>IF(A23="","",IFERROR(J23/I23,0))</x:f>
      </x:c>
      <x:c r="L23" s="52"/>
      <x:c r="M23" s="30"/>
      <x:c r="N23" s="30"/>
      <x:c r="O23" s="30"/>
      <x:c r="P23" s="30"/>
      <x:c r="Q23" s="49" t="str">
        <x:f>IF(A23="","",IF(OR(M23="Yes",N23="Yes",O23="No"),"REVIEW",IF(K23&gt;2,"REDUCE CAP",IF(G23=0,"SUNSET","KEEP"))))</x:f>
      </x:c>
      <x:c r="R23" s="30"/>
    </x:row>
    <x:row r="24">
      <x:c r="A24" s="30"/>
      <x:c r="B24" s="30"/>
      <x:c r="C24" s="30"/>
      <x:c r="D24" s="30"/>
      <x:c r="E24" s="33"/>
      <x:c r="F24" s="33"/>
      <x:c r="G24" s="55"/>
      <x:c r="H24" s="55"/>
      <x:c r="I24" s="52"/>
      <x:c r="J24" s="52"/>
      <x:c r="K24" s="58" t="str">
        <x:f>IF(A24="","",IFERROR(J24/I24,0))</x:f>
      </x:c>
      <x:c r="L24" s="52"/>
      <x:c r="M24" s="30"/>
      <x:c r="N24" s="30"/>
      <x:c r="O24" s="30"/>
      <x:c r="P24" s="30"/>
      <x:c r="Q24" s="49" t="str">
        <x:f>IF(A24="","",IF(OR(M24="Yes",N24="Yes",O24="No"),"REVIEW",IF(K24&gt;2,"REDUCE CAP",IF(G24=0,"SUNSET","KEEP"))))</x:f>
      </x:c>
      <x:c r="R24" s="30"/>
    </x:row>
    <x:row r="25">
      <x:c r="A25" s="30"/>
      <x:c r="B25" s="30"/>
      <x:c r="C25" s="30"/>
      <x:c r="D25" s="30"/>
      <x:c r="E25" s="33"/>
      <x:c r="F25" s="33"/>
      <x:c r="G25" s="55"/>
      <x:c r="H25" s="55"/>
      <x:c r="I25" s="52"/>
      <x:c r="J25" s="52"/>
      <x:c r="K25" s="58" t="str">
        <x:f>IF(A25="","",IFERROR(J25/I25,0))</x:f>
      </x:c>
      <x:c r="L25" s="52"/>
      <x:c r="M25" s="30"/>
      <x:c r="N25" s="30"/>
      <x:c r="O25" s="30"/>
      <x:c r="P25" s="30"/>
      <x:c r="Q25" s="49" t="str">
        <x:f>IF(A25="","",IF(OR(M25="Yes",N25="Yes",O25="No"),"REVIEW",IF(K25&gt;2,"REDUCE CAP",IF(G25=0,"SUNSET","KEEP"))))</x:f>
      </x:c>
      <x:c r="R25" s="30"/>
    </x:row>
    <x:row r="26">
      <x:c r="A26" s="30"/>
      <x:c r="B26" s="30"/>
      <x:c r="C26" s="30"/>
      <x:c r="D26" s="30"/>
      <x:c r="E26" s="33"/>
      <x:c r="F26" s="33"/>
      <x:c r="G26" s="55"/>
      <x:c r="H26" s="55"/>
      <x:c r="I26" s="52"/>
      <x:c r="J26" s="52"/>
      <x:c r="K26" s="58" t="str">
        <x:f>IF(A26="","",IFERROR(J26/I26,0))</x:f>
      </x:c>
      <x:c r="L26" s="52"/>
      <x:c r="M26" s="30"/>
      <x:c r="N26" s="30"/>
      <x:c r="O26" s="30"/>
      <x:c r="P26" s="30"/>
      <x:c r="Q26" s="49" t="str">
        <x:f>IF(A26="","",IF(OR(M26="Yes",N26="Yes",O26="No"),"REVIEW",IF(K26&gt;2,"REDUCE CAP",IF(G26=0,"SUNSET","KEEP"))))</x:f>
      </x:c>
      <x:c r="R26" s="30"/>
    </x:row>
    <x:row r="27">
      <x:c r="A27" s="30"/>
      <x:c r="B27" s="30"/>
      <x:c r="C27" s="30"/>
      <x:c r="D27" s="30"/>
      <x:c r="E27" s="33"/>
      <x:c r="F27" s="33"/>
      <x:c r="G27" s="55"/>
      <x:c r="H27" s="55"/>
      <x:c r="I27" s="52"/>
      <x:c r="J27" s="52"/>
      <x:c r="K27" s="58" t="str">
        <x:f>IF(A27="","",IFERROR(J27/I27,0))</x:f>
      </x:c>
      <x:c r="L27" s="52"/>
      <x:c r="M27" s="30"/>
      <x:c r="N27" s="30"/>
      <x:c r="O27" s="30"/>
      <x:c r="P27" s="30"/>
      <x:c r="Q27" s="49" t="str">
        <x:f>IF(A27="","",IF(OR(M27="Yes",N27="Yes",O27="No"),"REVIEW",IF(K27&gt;2,"REDUCE CAP",IF(G27=0,"SUNSET","KEEP"))))</x:f>
      </x:c>
      <x:c r="R27" s="30"/>
    </x:row>
    <x:row r="28">
      <x:c r="A28" s="30"/>
      <x:c r="B28" s="30"/>
      <x:c r="C28" s="30"/>
      <x:c r="D28" s="30"/>
      <x:c r="E28" s="33"/>
      <x:c r="F28" s="33"/>
      <x:c r="G28" s="55"/>
      <x:c r="H28" s="55"/>
      <x:c r="I28" s="52"/>
      <x:c r="J28" s="52"/>
      <x:c r="K28" s="58" t="str">
        <x:f>IF(A28="","",IFERROR(J28/I28,0))</x:f>
      </x:c>
      <x:c r="L28" s="52"/>
      <x:c r="M28" s="30"/>
      <x:c r="N28" s="30"/>
      <x:c r="O28" s="30"/>
      <x:c r="P28" s="30"/>
      <x:c r="Q28" s="49" t="str">
        <x:f>IF(A28="","",IF(OR(M28="Yes",N28="Yes",O28="No"),"REVIEW",IF(K28&gt;2,"REDUCE CAP",IF(G28=0,"SUNSET","KEEP"))))</x:f>
      </x:c>
      <x:c r="R28" s="30"/>
    </x:row>
    <x:row r="29">
      <x:c r="A29" s="30"/>
      <x:c r="B29" s="30"/>
      <x:c r="C29" s="30"/>
      <x:c r="D29" s="30"/>
      <x:c r="E29" s="33"/>
      <x:c r="F29" s="33"/>
      <x:c r="G29" s="55"/>
      <x:c r="H29" s="55"/>
      <x:c r="I29" s="52"/>
      <x:c r="J29" s="52"/>
      <x:c r="K29" s="58" t="str">
        <x:f>IF(A29="","",IFERROR(J29/I29,0))</x:f>
      </x:c>
      <x:c r="L29" s="52"/>
      <x:c r="M29" s="30"/>
      <x:c r="N29" s="30"/>
      <x:c r="O29" s="30"/>
      <x:c r="P29" s="30"/>
      <x:c r="Q29" s="49" t="str">
        <x:f>IF(A29="","",IF(OR(M29="Yes",N29="Yes",O29="No"),"REVIEW",IF(K29&gt;2,"REDUCE CAP",IF(G29=0,"SUNSET","KEEP"))))</x:f>
      </x:c>
      <x:c r="R29" s="30"/>
    </x:row>
    <x:row r="30">
      <x:c r="A30" s="30"/>
      <x:c r="B30" s="30"/>
      <x:c r="C30" s="30"/>
      <x:c r="D30" s="30"/>
      <x:c r="E30" s="33"/>
      <x:c r="F30" s="33"/>
      <x:c r="G30" s="55"/>
      <x:c r="H30" s="55"/>
      <x:c r="I30" s="52"/>
      <x:c r="J30" s="52"/>
      <x:c r="K30" s="58" t="str">
        <x:f>IF(A30="","",IFERROR(J30/I30,0))</x:f>
      </x:c>
      <x:c r="L30" s="52"/>
      <x:c r="M30" s="30"/>
      <x:c r="N30" s="30"/>
      <x:c r="O30" s="30"/>
      <x:c r="P30" s="30"/>
      <x:c r="Q30" s="49" t="str">
        <x:f>IF(A30="","",IF(OR(M30="Yes",N30="Yes",O30="No"),"REVIEW",IF(K30&gt;2,"REDUCE CAP",IF(G30=0,"SUNSET","KEEP"))))</x:f>
      </x:c>
      <x:c r="R30" s="30"/>
    </x:row>
    <x:row r="31">
      <x:c r="A31" s="30"/>
      <x:c r="B31" s="30"/>
      <x:c r="C31" s="30"/>
      <x:c r="D31" s="30"/>
      <x:c r="E31" s="33"/>
      <x:c r="F31" s="33"/>
      <x:c r="G31" s="55"/>
      <x:c r="H31" s="55"/>
      <x:c r="I31" s="52"/>
      <x:c r="J31" s="52"/>
      <x:c r="K31" s="58" t="str">
        <x:f>IF(A31="","",IFERROR(J31/I31,0))</x:f>
      </x:c>
      <x:c r="L31" s="52"/>
      <x:c r="M31" s="30"/>
      <x:c r="N31" s="30"/>
      <x:c r="O31" s="30"/>
      <x:c r="P31" s="30"/>
      <x:c r="Q31" s="49" t="str">
        <x:f>IF(A31="","",IF(OR(M31="Yes",N31="Yes",O31="No"),"REVIEW",IF(K31&gt;2,"REDUCE CAP",IF(G31=0,"SUNSET","KEEP"))))</x:f>
      </x:c>
      <x:c r="R31" s="30"/>
    </x:row>
    <x:row r="32">
      <x:c r="A32" s="30"/>
      <x:c r="B32" s="30"/>
      <x:c r="C32" s="30"/>
      <x:c r="D32" s="30"/>
      <x:c r="E32" s="33"/>
      <x:c r="F32" s="33"/>
      <x:c r="G32" s="55"/>
      <x:c r="H32" s="55"/>
      <x:c r="I32" s="52"/>
      <x:c r="J32" s="52"/>
      <x:c r="K32" s="58" t="str">
        <x:f>IF(A32="","",IFERROR(J32/I32,0))</x:f>
      </x:c>
      <x:c r="L32" s="52"/>
      <x:c r="M32" s="30"/>
      <x:c r="N32" s="30"/>
      <x:c r="O32" s="30"/>
      <x:c r="P32" s="30"/>
      <x:c r="Q32" s="49" t="str">
        <x:f>IF(A32="","",IF(OR(M32="Yes",N32="Yes",O32="No"),"REVIEW",IF(K32&gt;2,"REDUCE CAP",IF(G32=0,"SUNSET","KEEP"))))</x:f>
      </x:c>
      <x:c r="R32" s="30"/>
    </x:row>
    <x:row r="33">
      <x:c r="A33" s="30"/>
      <x:c r="B33" s="30"/>
      <x:c r="C33" s="30"/>
      <x:c r="D33" s="30"/>
      <x:c r="E33" s="33"/>
      <x:c r="F33" s="33"/>
      <x:c r="G33" s="55"/>
      <x:c r="H33" s="55"/>
      <x:c r="I33" s="52"/>
      <x:c r="J33" s="52"/>
      <x:c r="K33" s="58" t="str">
        <x:f>IF(A33="","",IFERROR(J33/I33,0))</x:f>
      </x:c>
      <x:c r="L33" s="52"/>
      <x:c r="M33" s="30"/>
      <x:c r="N33" s="30"/>
      <x:c r="O33" s="30"/>
      <x:c r="P33" s="30"/>
      <x:c r="Q33" s="49" t="str">
        <x:f>IF(A33="","",IF(OR(M33="Yes",N33="Yes",O33="No"),"REVIEW",IF(K33&gt;2,"REDUCE CAP",IF(G33=0,"SUNSET","KEEP"))))</x:f>
      </x:c>
      <x:c r="R33" s="30"/>
    </x:row>
    <x:row r="34">
      <x:c r="A34" s="30"/>
      <x:c r="B34" s="30"/>
      <x:c r="C34" s="30"/>
      <x:c r="D34" s="30"/>
      <x:c r="E34" s="33"/>
      <x:c r="F34" s="33"/>
      <x:c r="G34" s="55"/>
      <x:c r="H34" s="55"/>
      <x:c r="I34" s="52"/>
      <x:c r="J34" s="52"/>
      <x:c r="K34" s="58" t="str">
        <x:f>IF(A34="","",IFERROR(J34/I34,0))</x:f>
      </x:c>
      <x:c r="L34" s="52"/>
      <x:c r="M34" s="30"/>
      <x:c r="N34" s="30"/>
      <x:c r="O34" s="30"/>
      <x:c r="P34" s="30"/>
      <x:c r="Q34" s="49" t="str">
        <x:f>IF(A34="","",IF(OR(M34="Yes",N34="Yes",O34="No"),"REVIEW",IF(K34&gt;2,"REDUCE CAP",IF(G34=0,"SUNSET","KEEP"))))</x:f>
      </x:c>
      <x:c r="R34" s="30"/>
    </x:row>
    <x:row r="35">
      <x:c r="A35" s="30"/>
      <x:c r="B35" s="30"/>
      <x:c r="C35" s="30"/>
      <x:c r="D35" s="30"/>
      <x:c r="E35" s="33"/>
      <x:c r="F35" s="33"/>
      <x:c r="G35" s="55"/>
      <x:c r="H35" s="55"/>
      <x:c r="I35" s="52"/>
      <x:c r="J35" s="52"/>
      <x:c r="K35" s="58" t="str">
        <x:f>IF(A35="","",IFERROR(J35/I35,0))</x:f>
      </x:c>
      <x:c r="L35" s="52"/>
      <x:c r="M35" s="30"/>
      <x:c r="N35" s="30"/>
      <x:c r="O35" s="30"/>
      <x:c r="P35" s="30"/>
      <x:c r="Q35" s="49" t="str">
        <x:f>IF(A35="","",IF(OR(M35="Yes",N35="Yes",O35="No"),"REVIEW",IF(K35&gt;2,"REDUCE CAP",IF(G35=0,"SUNSET","KEEP"))))</x:f>
      </x:c>
      <x:c r="R35" s="30"/>
    </x:row>
    <x:row r="36">
      <x:c r="A36" s="30"/>
      <x:c r="B36" s="30"/>
      <x:c r="C36" s="30"/>
      <x:c r="D36" s="30"/>
      <x:c r="E36" s="33"/>
      <x:c r="F36" s="33"/>
      <x:c r="G36" s="55"/>
      <x:c r="H36" s="55"/>
      <x:c r="I36" s="52"/>
      <x:c r="J36" s="52"/>
      <x:c r="K36" s="58" t="str">
        <x:f>IF(A36="","",IFERROR(J36/I36,0))</x:f>
      </x:c>
      <x:c r="L36" s="52"/>
      <x:c r="M36" s="30"/>
      <x:c r="N36" s="30"/>
      <x:c r="O36" s="30"/>
      <x:c r="P36" s="30"/>
      <x:c r="Q36" s="49" t="str">
        <x:f>IF(A36="","",IF(OR(M36="Yes",N36="Yes",O36="No"),"REVIEW",IF(K36&gt;2,"REDUCE CAP",IF(G36=0,"SUNSET","KEEP"))))</x:f>
      </x:c>
      <x:c r="R36" s="30"/>
    </x:row>
    <x:row r="37">
      <x:c r="A37" s="30"/>
      <x:c r="B37" s="30"/>
      <x:c r="C37" s="30"/>
      <x:c r="D37" s="30"/>
      <x:c r="E37" s="33"/>
      <x:c r="F37" s="33"/>
      <x:c r="G37" s="55"/>
      <x:c r="H37" s="55"/>
      <x:c r="I37" s="52"/>
      <x:c r="J37" s="52"/>
      <x:c r="K37" s="58" t="str">
        <x:f>IF(A37="","",IFERROR(J37/I37,0))</x:f>
      </x:c>
      <x:c r="L37" s="52"/>
      <x:c r="M37" s="30"/>
      <x:c r="N37" s="30"/>
      <x:c r="O37" s="30"/>
      <x:c r="P37" s="30"/>
      <x:c r="Q37" s="49" t="str">
        <x:f>IF(A37="","",IF(OR(M37="Yes",N37="Yes",O37="No"),"REVIEW",IF(K37&gt;2,"REDUCE CAP",IF(G37=0,"SUNSET","KEEP"))))</x:f>
      </x:c>
      <x:c r="R37" s="30"/>
    </x:row>
    <x:row r="38">
      <x:c r="A38" s="30"/>
      <x:c r="B38" s="30"/>
      <x:c r="C38" s="30"/>
      <x:c r="D38" s="30"/>
      <x:c r="E38" s="33"/>
      <x:c r="F38" s="33"/>
      <x:c r="G38" s="55"/>
      <x:c r="H38" s="55"/>
      <x:c r="I38" s="52"/>
      <x:c r="J38" s="52"/>
      <x:c r="K38" s="58" t="str">
        <x:f>IF(A38="","",IFERROR(J38/I38,0))</x:f>
      </x:c>
      <x:c r="L38" s="52"/>
      <x:c r="M38" s="30"/>
      <x:c r="N38" s="30"/>
      <x:c r="O38" s="30"/>
      <x:c r="P38" s="30"/>
      <x:c r="Q38" s="49" t="str">
        <x:f>IF(A38="","",IF(OR(M38="Yes",N38="Yes",O38="No"),"REVIEW",IF(K38&gt;2,"REDUCE CAP",IF(G38=0,"SUNSET","KEEP"))))</x:f>
      </x:c>
      <x:c r="R38" s="30"/>
    </x:row>
    <x:row r="39">
      <x:c r="A39" s="30"/>
      <x:c r="B39" s="30"/>
      <x:c r="C39" s="30"/>
      <x:c r="D39" s="30"/>
      <x:c r="E39" s="33"/>
      <x:c r="F39" s="33"/>
      <x:c r="G39" s="55"/>
      <x:c r="H39" s="55"/>
      <x:c r="I39" s="52"/>
      <x:c r="J39" s="52"/>
      <x:c r="K39" s="58" t="str">
        <x:f>IF(A39="","",IFERROR(J39/I39,0))</x:f>
      </x:c>
      <x:c r="L39" s="52"/>
      <x:c r="M39" s="30"/>
      <x:c r="N39" s="30"/>
      <x:c r="O39" s="30"/>
      <x:c r="P39" s="30"/>
      <x:c r="Q39" s="49" t="str">
        <x:f>IF(A39="","",IF(OR(M39="Yes",N39="Yes",O39="No"),"REVIEW",IF(K39&gt;2,"REDUCE CAP",IF(G39=0,"SUNSET","KEEP"))))</x:f>
      </x:c>
      <x:c r="R39" s="30"/>
    </x:row>
    <x:row r="40">
      <x:c r="A40" s="30"/>
      <x:c r="B40" s="30"/>
      <x:c r="C40" s="30"/>
      <x:c r="D40" s="30"/>
      <x:c r="E40" s="33"/>
      <x:c r="F40" s="33"/>
      <x:c r="G40" s="55"/>
      <x:c r="H40" s="55"/>
      <x:c r="I40" s="52"/>
      <x:c r="J40" s="52"/>
      <x:c r="K40" s="58" t="str">
        <x:f>IF(A40="","",IFERROR(J40/I40,0))</x:f>
      </x:c>
      <x:c r="L40" s="52"/>
      <x:c r="M40" s="30"/>
      <x:c r="N40" s="30"/>
      <x:c r="O40" s="30"/>
      <x:c r="P40" s="30"/>
      <x:c r="Q40" s="49" t="str">
        <x:f>IF(A40="","",IF(OR(M40="Yes",N40="Yes",O40="No"),"REVIEW",IF(K40&gt;2,"REDUCE CAP",IF(G40=0,"SUNSET","KEEP"))))</x:f>
      </x:c>
      <x:c r="R40" s="30"/>
    </x:row>
    <x:row r="41">
      <x:c r="A41" s="30"/>
      <x:c r="B41" s="30"/>
      <x:c r="C41" s="30"/>
      <x:c r="D41" s="30"/>
      <x:c r="E41" s="33"/>
      <x:c r="F41" s="33"/>
      <x:c r="G41" s="55"/>
      <x:c r="H41" s="55"/>
      <x:c r="I41" s="52"/>
      <x:c r="J41" s="52"/>
      <x:c r="K41" s="58" t="str">
        <x:f>IF(A41="","",IFERROR(J41/I41,0))</x:f>
      </x:c>
      <x:c r="L41" s="52"/>
      <x:c r="M41" s="30"/>
      <x:c r="N41" s="30"/>
      <x:c r="O41" s="30"/>
      <x:c r="P41" s="30"/>
      <x:c r="Q41" s="49" t="str">
        <x:f>IF(A41="","",IF(OR(M41="Yes",N41="Yes",O41="No"),"REVIEW",IF(K41&gt;2,"REDUCE CAP",IF(G41=0,"SUNSET","KEEP"))))</x:f>
      </x:c>
      <x:c r="R41" s="30"/>
    </x:row>
    <x:row r="42">
      <x:c r="A42" s="30"/>
      <x:c r="B42" s="30"/>
      <x:c r="C42" s="30"/>
      <x:c r="D42" s="30"/>
      <x:c r="E42" s="33"/>
      <x:c r="F42" s="33"/>
      <x:c r="G42" s="55"/>
      <x:c r="H42" s="55"/>
      <x:c r="I42" s="52"/>
      <x:c r="J42" s="52"/>
      <x:c r="K42" s="58" t="str">
        <x:f>IF(A42="","",IFERROR(J42/I42,0))</x:f>
      </x:c>
      <x:c r="L42" s="52"/>
      <x:c r="M42" s="30"/>
      <x:c r="N42" s="30"/>
      <x:c r="O42" s="30"/>
      <x:c r="P42" s="30"/>
      <x:c r="Q42" s="49" t="str">
        <x:f>IF(A42="","",IF(OR(M42="Yes",N42="Yes",O42="No"),"REVIEW",IF(K42&gt;2,"REDUCE CAP",IF(G42=0,"SUNSET","KEEP"))))</x:f>
      </x:c>
      <x:c r="R42" s="30"/>
    </x:row>
    <x:row r="43">
      <x:c r="A43" s="30"/>
      <x:c r="B43" s="30"/>
      <x:c r="C43" s="30"/>
      <x:c r="D43" s="30"/>
      <x:c r="E43" s="33"/>
      <x:c r="F43" s="33"/>
      <x:c r="G43" s="55"/>
      <x:c r="H43" s="55"/>
      <x:c r="I43" s="52"/>
      <x:c r="J43" s="52"/>
      <x:c r="K43" s="58" t="str">
        <x:f>IF(A43="","",IFERROR(J43/I43,0))</x:f>
      </x:c>
      <x:c r="L43" s="52"/>
      <x:c r="M43" s="30"/>
      <x:c r="N43" s="30"/>
      <x:c r="O43" s="30"/>
      <x:c r="P43" s="30"/>
      <x:c r="Q43" s="49" t="str">
        <x:f>IF(A43="","",IF(OR(M43="Yes",N43="Yes",O43="No"),"REVIEW",IF(K43&gt;2,"REDUCE CAP",IF(G43=0,"SUNSET","KEEP"))))</x:f>
      </x:c>
      <x:c r="R43" s="30"/>
    </x:row>
    <x:row r="44">
      <x:c r="A44" s="30"/>
      <x:c r="B44" s="30"/>
      <x:c r="C44" s="30"/>
      <x:c r="D44" s="30"/>
      <x:c r="E44" s="33"/>
      <x:c r="F44" s="33"/>
      <x:c r="G44" s="55"/>
      <x:c r="H44" s="55"/>
      <x:c r="I44" s="52"/>
      <x:c r="J44" s="52"/>
      <x:c r="K44" s="58" t="str">
        <x:f>IF(A44="","",IFERROR(J44/I44,0))</x:f>
      </x:c>
      <x:c r="L44" s="52"/>
      <x:c r="M44" s="30"/>
      <x:c r="N44" s="30"/>
      <x:c r="O44" s="30"/>
      <x:c r="P44" s="30"/>
      <x:c r="Q44" s="49" t="str">
        <x:f>IF(A44="","",IF(OR(M44="Yes",N44="Yes",O44="No"),"REVIEW",IF(K44&gt;2,"REDUCE CAP",IF(G44=0,"SUNSET","KEEP"))))</x:f>
      </x:c>
      <x:c r="R44" s="30"/>
    </x:row>
    <x:row r="45">
      <x:c r="A45" s="30"/>
      <x:c r="B45" s="30"/>
      <x:c r="C45" s="30"/>
      <x:c r="D45" s="30"/>
      <x:c r="E45" s="33"/>
      <x:c r="F45" s="33"/>
      <x:c r="G45" s="55"/>
      <x:c r="H45" s="55"/>
      <x:c r="I45" s="52"/>
      <x:c r="J45" s="52"/>
      <x:c r="K45" s="58" t="str">
        <x:f>IF(A45="","",IFERROR(J45/I45,0))</x:f>
      </x:c>
      <x:c r="L45" s="52"/>
      <x:c r="M45" s="30"/>
      <x:c r="N45" s="30"/>
      <x:c r="O45" s="30"/>
      <x:c r="P45" s="30"/>
      <x:c r="Q45" s="49" t="str">
        <x:f>IF(A45="","",IF(OR(M45="Yes",N45="Yes",O45="No"),"REVIEW",IF(K45&gt;2,"REDUCE CAP",IF(G45=0,"SUNSET","KEEP"))))</x:f>
      </x:c>
      <x:c r="R45" s="30"/>
    </x:row>
    <x:row r="46">
      <x:c r="A46" s="30"/>
      <x:c r="B46" s="30"/>
      <x:c r="C46" s="30"/>
      <x:c r="D46" s="30"/>
      <x:c r="E46" s="33"/>
      <x:c r="F46" s="33"/>
      <x:c r="G46" s="55"/>
      <x:c r="H46" s="55"/>
      <x:c r="I46" s="52"/>
      <x:c r="J46" s="52"/>
      <x:c r="K46" s="58" t="str">
        <x:f>IF(A46="","",IFERROR(J46/I46,0))</x:f>
      </x:c>
      <x:c r="L46" s="52"/>
      <x:c r="M46" s="30"/>
      <x:c r="N46" s="30"/>
      <x:c r="O46" s="30"/>
      <x:c r="P46" s="30"/>
      <x:c r="Q46" s="49" t="str">
        <x:f>IF(A46="","",IF(OR(M46="Yes",N46="Yes",O46="No"),"REVIEW",IF(K46&gt;2,"REDUCE CAP",IF(G46=0,"SUNSET","KEEP"))))</x:f>
      </x:c>
      <x:c r="R46" s="30"/>
    </x:row>
    <x:row r="47">
      <x:c r="A47" s="30"/>
      <x:c r="B47" s="30"/>
      <x:c r="C47" s="30"/>
      <x:c r="D47" s="30"/>
      <x:c r="E47" s="33"/>
      <x:c r="F47" s="33"/>
      <x:c r="G47" s="55"/>
      <x:c r="H47" s="55"/>
      <x:c r="I47" s="52"/>
      <x:c r="J47" s="52"/>
      <x:c r="K47" s="58" t="str">
        <x:f>IF(A47="","",IFERROR(J47/I47,0))</x:f>
      </x:c>
      <x:c r="L47" s="52"/>
      <x:c r="M47" s="30"/>
      <x:c r="N47" s="30"/>
      <x:c r="O47" s="30"/>
      <x:c r="P47" s="30"/>
      <x:c r="Q47" s="49" t="str">
        <x:f>IF(A47="","",IF(OR(M47="Yes",N47="Yes",O47="No"),"REVIEW",IF(K47&gt;2,"REDUCE CAP",IF(G47=0,"SUNSET","KEEP"))))</x:f>
      </x:c>
      <x:c r="R47" s="30"/>
    </x:row>
    <x:row r="48">
      <x:c r="A48" s="30"/>
      <x:c r="B48" s="30"/>
      <x:c r="C48" s="30"/>
      <x:c r="D48" s="30"/>
      <x:c r="E48" s="33"/>
      <x:c r="F48" s="33"/>
      <x:c r="G48" s="55"/>
      <x:c r="H48" s="55"/>
      <x:c r="I48" s="52"/>
      <x:c r="J48" s="52"/>
      <x:c r="K48" s="58" t="str">
        <x:f>IF(A48="","",IFERROR(J48/I48,0))</x:f>
      </x:c>
      <x:c r="L48" s="52"/>
      <x:c r="M48" s="30"/>
      <x:c r="N48" s="30"/>
      <x:c r="O48" s="30"/>
      <x:c r="P48" s="30"/>
      <x:c r="Q48" s="49" t="str">
        <x:f>IF(A48="","",IF(OR(M48="Yes",N48="Yes",O48="No"),"REVIEW",IF(K48&gt;2,"REDUCE CAP",IF(G48=0,"SUNSET","KEEP"))))</x:f>
      </x:c>
      <x:c r="R48" s="30"/>
    </x:row>
    <x:row r="49">
      <x:c r="A49" s="30"/>
      <x:c r="B49" s="30"/>
      <x:c r="C49" s="30"/>
      <x:c r="D49" s="30"/>
      <x:c r="E49" s="33"/>
      <x:c r="F49" s="33"/>
      <x:c r="G49" s="55"/>
      <x:c r="H49" s="55"/>
      <x:c r="I49" s="52"/>
      <x:c r="J49" s="52"/>
      <x:c r="K49" s="58" t="str">
        <x:f>IF(A49="","",IFERROR(J49/I49,0))</x:f>
      </x:c>
      <x:c r="L49" s="52"/>
      <x:c r="M49" s="30"/>
      <x:c r="N49" s="30"/>
      <x:c r="O49" s="30"/>
      <x:c r="P49" s="30"/>
      <x:c r="Q49" s="49" t="str">
        <x:f>IF(A49="","",IF(OR(M49="Yes",N49="Yes",O49="No"),"REVIEW",IF(K49&gt;2,"REDUCE CAP",IF(G49=0,"SUNSET","KEEP"))))</x:f>
      </x:c>
      <x:c r="R49" s="30"/>
    </x:row>
    <x:row r="50">
      <x:c r="A50" s="30"/>
      <x:c r="B50" s="30"/>
      <x:c r="C50" s="30"/>
      <x:c r="D50" s="30"/>
      <x:c r="E50" s="33"/>
      <x:c r="F50" s="33"/>
      <x:c r="G50" s="55"/>
      <x:c r="H50" s="55"/>
      <x:c r="I50" s="52"/>
      <x:c r="J50" s="52"/>
      <x:c r="K50" s="58" t="str">
        <x:f>IF(A50="","",IFERROR(J50/I50,0))</x:f>
      </x:c>
      <x:c r="L50" s="52"/>
      <x:c r="M50" s="30"/>
      <x:c r="N50" s="30"/>
      <x:c r="O50" s="30"/>
      <x:c r="P50" s="30"/>
      <x:c r="Q50" s="49" t="str">
        <x:f>IF(A50="","",IF(OR(M50="Yes",N50="Yes",O50="No"),"REVIEW",IF(K50&gt;2,"REDUCE CAP",IF(G50=0,"SUNSET","KEEP"))))</x:f>
      </x:c>
      <x:c r="R50" s="30"/>
    </x:row>
    <x:row r="51">
      <x:c r="A51" s="30"/>
      <x:c r="B51" s="30"/>
      <x:c r="C51" s="30"/>
      <x:c r="D51" s="30"/>
      <x:c r="E51" s="33"/>
      <x:c r="F51" s="33"/>
      <x:c r="G51" s="55"/>
      <x:c r="H51" s="55"/>
      <x:c r="I51" s="52"/>
      <x:c r="J51" s="52"/>
      <x:c r="K51" s="58" t="str">
        <x:f>IF(A51="","",IFERROR(J51/I51,0))</x:f>
      </x:c>
      <x:c r="L51" s="52"/>
      <x:c r="M51" s="30"/>
      <x:c r="N51" s="30"/>
      <x:c r="O51" s="30"/>
      <x:c r="P51" s="30"/>
      <x:c r="Q51" s="49" t="str">
        <x:f>IF(A51="","",IF(OR(M51="Yes",N51="Yes",O51="No"),"REVIEW",IF(K51&gt;2,"REDUCE CAP",IF(G51=0,"SUNSET","KEEP"))))</x:f>
      </x:c>
      <x:c r="R51" s="30"/>
    </x:row>
    <x:row r="52">
      <x:c r="A52" s="30"/>
      <x:c r="B52" s="30"/>
      <x:c r="C52" s="30"/>
      <x:c r="D52" s="30"/>
      <x:c r="E52" s="33"/>
      <x:c r="F52" s="33"/>
      <x:c r="G52" s="55"/>
      <x:c r="H52" s="55"/>
      <x:c r="I52" s="52"/>
      <x:c r="J52" s="52"/>
      <x:c r="K52" s="58" t="str">
        <x:f>IF(A52="","",IFERROR(J52/I52,0))</x:f>
      </x:c>
      <x:c r="L52" s="52"/>
      <x:c r="M52" s="30"/>
      <x:c r="N52" s="30"/>
      <x:c r="O52" s="30"/>
      <x:c r="P52" s="30"/>
      <x:c r="Q52" s="49" t="str">
        <x:f>IF(A52="","",IF(OR(M52="Yes",N52="Yes",O52="No"),"REVIEW",IF(K52&gt;2,"REDUCE CAP",IF(G52=0,"SUNSET","KEEP"))))</x:f>
      </x:c>
      <x:c r="R52" s="30"/>
    </x:row>
    <x:row r="53">
      <x:c r="A53" s="30"/>
      <x:c r="B53" s="30"/>
      <x:c r="C53" s="30"/>
      <x:c r="D53" s="30"/>
      <x:c r="E53" s="33"/>
      <x:c r="F53" s="33"/>
      <x:c r="G53" s="55"/>
      <x:c r="H53" s="55"/>
      <x:c r="I53" s="52"/>
      <x:c r="J53" s="52"/>
      <x:c r="K53" s="58" t="str">
        <x:f>IF(A53="","",IFERROR(J53/I53,0))</x:f>
      </x:c>
      <x:c r="L53" s="52"/>
      <x:c r="M53" s="30"/>
      <x:c r="N53" s="30"/>
      <x:c r="O53" s="30"/>
      <x:c r="P53" s="30"/>
      <x:c r="Q53" s="49" t="str">
        <x:f>IF(A53="","",IF(OR(M53="Yes",N53="Yes",O53="No"),"REVIEW",IF(K53&gt;2,"REDUCE CAP",IF(G53=0,"SUNSET","KEEP"))))</x:f>
      </x:c>
      <x:c r="R53" s="30"/>
    </x:row>
    <x:row r="54">
      <x:c r="A54" s="30"/>
      <x:c r="B54" s="30"/>
      <x:c r="C54" s="30"/>
      <x:c r="D54" s="30"/>
      <x:c r="E54" s="33"/>
      <x:c r="F54" s="33"/>
      <x:c r="G54" s="55"/>
      <x:c r="H54" s="55"/>
      <x:c r="I54" s="52"/>
      <x:c r="J54" s="52"/>
      <x:c r="K54" s="58" t="str">
        <x:f>IF(A54="","",IFERROR(J54/I54,0))</x:f>
      </x:c>
      <x:c r="L54" s="52"/>
      <x:c r="M54" s="30"/>
      <x:c r="N54" s="30"/>
      <x:c r="O54" s="30"/>
      <x:c r="P54" s="30"/>
      <x:c r="Q54" s="49" t="str">
        <x:f>IF(A54="","",IF(OR(M54="Yes",N54="Yes",O54="No"),"REVIEW",IF(K54&gt;2,"REDUCE CAP",IF(G54=0,"SUNSET","KEEP"))))</x:f>
      </x:c>
      <x:c r="R54" s="30"/>
    </x:row>
    <x:row r="55">
      <x:c r="A55" s="30"/>
      <x:c r="B55" s="30"/>
      <x:c r="C55" s="30"/>
      <x:c r="D55" s="30"/>
      <x:c r="E55" s="33"/>
      <x:c r="F55" s="33"/>
      <x:c r="G55" s="55"/>
      <x:c r="H55" s="55"/>
      <x:c r="I55" s="52"/>
      <x:c r="J55" s="52"/>
      <x:c r="K55" s="58" t="str">
        <x:f>IF(A55="","",IFERROR(J55/I55,0))</x:f>
      </x:c>
      <x:c r="L55" s="52"/>
      <x:c r="M55" s="30"/>
      <x:c r="N55" s="30"/>
      <x:c r="O55" s="30"/>
      <x:c r="P55" s="30"/>
      <x:c r="Q55" s="49" t="str">
        <x:f>IF(A55="","",IF(OR(M55="Yes",N55="Yes",O55="No"),"REVIEW",IF(K55&gt;2,"REDUCE CAP",IF(G55=0,"SUNSET","KEEP"))))</x:f>
      </x:c>
      <x:c r="R55" s="30"/>
    </x:row>
    <x:row r="56">
      <x:c r="A56" s="30"/>
      <x:c r="B56" s="30"/>
      <x:c r="C56" s="30"/>
      <x:c r="D56" s="30"/>
      <x:c r="E56" s="33"/>
      <x:c r="F56" s="33"/>
      <x:c r="G56" s="55"/>
      <x:c r="H56" s="55"/>
      <x:c r="I56" s="52"/>
      <x:c r="J56" s="52"/>
      <x:c r="K56" s="58" t="str">
        <x:f>IF(A56="","",IFERROR(J56/I56,0))</x:f>
      </x:c>
      <x:c r="L56" s="52"/>
      <x:c r="M56" s="30"/>
      <x:c r="N56" s="30"/>
      <x:c r="O56" s="30"/>
      <x:c r="P56" s="30"/>
      <x:c r="Q56" s="49" t="str">
        <x:f>IF(A56="","",IF(OR(M56="Yes",N56="Yes",O56="No"),"REVIEW",IF(K56&gt;2,"REDUCE CAP",IF(G56=0,"SUNSET","KEEP"))))</x:f>
      </x:c>
      <x:c r="R56" s="30"/>
    </x:row>
    <x:row r="57">
      <x:c r="A57" s="30"/>
      <x:c r="B57" s="30"/>
      <x:c r="C57" s="30"/>
      <x:c r="D57" s="30"/>
      <x:c r="E57" s="33"/>
      <x:c r="F57" s="33"/>
      <x:c r="G57" s="55"/>
      <x:c r="H57" s="55"/>
      <x:c r="I57" s="52"/>
      <x:c r="J57" s="52"/>
      <x:c r="K57" s="58" t="str">
        <x:f>IF(A57="","",IFERROR(J57/I57,0))</x:f>
      </x:c>
      <x:c r="L57" s="52"/>
      <x:c r="M57" s="30"/>
      <x:c r="N57" s="30"/>
      <x:c r="O57" s="30"/>
      <x:c r="P57" s="30"/>
      <x:c r="Q57" s="49" t="str">
        <x:f>IF(A57="","",IF(OR(M57="Yes",N57="Yes",O57="No"),"REVIEW",IF(K57&gt;2,"REDUCE CAP",IF(G57=0,"SUNSET","KEEP"))))</x:f>
      </x:c>
      <x:c r="R57" s="30"/>
    </x:row>
    <x:row r="58">
      <x:c r="A58" s="30"/>
      <x:c r="B58" s="30"/>
      <x:c r="C58" s="30"/>
      <x:c r="D58" s="30"/>
      <x:c r="E58" s="33"/>
      <x:c r="F58" s="33"/>
      <x:c r="G58" s="55"/>
      <x:c r="H58" s="55"/>
      <x:c r="I58" s="52"/>
      <x:c r="J58" s="52"/>
      <x:c r="K58" s="58" t="str">
        <x:f>IF(A58="","",IFERROR(J58/I58,0))</x:f>
      </x:c>
      <x:c r="L58" s="52"/>
      <x:c r="M58" s="30"/>
      <x:c r="N58" s="30"/>
      <x:c r="O58" s="30"/>
      <x:c r="P58" s="30"/>
      <x:c r="Q58" s="49" t="str">
        <x:f>IF(A58="","",IF(OR(M58="Yes",N58="Yes",O58="No"),"REVIEW",IF(K58&gt;2,"REDUCE CAP",IF(G58=0,"SUNSET","KEEP"))))</x:f>
      </x:c>
      <x:c r="R58" s="30"/>
    </x:row>
    <x:row r="59">
      <x:c r="A59" s="30"/>
      <x:c r="B59" s="30"/>
      <x:c r="C59" s="30"/>
      <x:c r="D59" s="30"/>
      <x:c r="E59" s="33"/>
      <x:c r="F59" s="33"/>
      <x:c r="G59" s="55"/>
      <x:c r="H59" s="55"/>
      <x:c r="I59" s="52"/>
      <x:c r="J59" s="52"/>
      <x:c r="K59" s="58" t="str">
        <x:f>IF(A59="","",IFERROR(J59/I59,0))</x:f>
      </x:c>
      <x:c r="L59" s="52"/>
      <x:c r="M59" s="30"/>
      <x:c r="N59" s="30"/>
      <x:c r="O59" s="30"/>
      <x:c r="P59" s="30"/>
      <x:c r="Q59" s="49" t="str">
        <x:f>IF(A59="","",IF(OR(M59="Yes",N59="Yes",O59="No"),"REVIEW",IF(K59&gt;2,"REDUCE CAP",IF(G59=0,"SUNSET","KEEP"))))</x:f>
      </x:c>
      <x:c r="R59" s="30"/>
    </x:row>
    <x:row r="60">
      <x:c r="A60" s="30"/>
      <x:c r="B60" s="30"/>
      <x:c r="C60" s="30"/>
      <x:c r="D60" s="30"/>
      <x:c r="E60" s="33"/>
      <x:c r="F60" s="33"/>
      <x:c r="G60" s="55"/>
      <x:c r="H60" s="55"/>
      <x:c r="I60" s="52"/>
      <x:c r="J60" s="52"/>
      <x:c r="K60" s="58" t="str">
        <x:f>IF(A60="","",IFERROR(J60/I60,0))</x:f>
      </x:c>
      <x:c r="L60" s="52"/>
      <x:c r="M60" s="30"/>
      <x:c r="N60" s="30"/>
      <x:c r="O60" s="30"/>
      <x:c r="P60" s="30"/>
      <x:c r="Q60" s="49" t="str">
        <x:f>IF(A60="","",IF(OR(M60="Yes",N60="Yes",O60="No"),"REVIEW",IF(K60&gt;2,"REDUCE CAP",IF(G60=0,"SUNSET","KEEP"))))</x:f>
      </x:c>
      <x:c r="R60" s="30"/>
    </x:row>
    <x:row r="61">
      <x:c r="A61" s="30"/>
      <x:c r="B61" s="30"/>
      <x:c r="C61" s="30"/>
      <x:c r="D61" s="30"/>
      <x:c r="E61" s="33"/>
      <x:c r="F61" s="33"/>
      <x:c r="G61" s="55"/>
      <x:c r="H61" s="55"/>
      <x:c r="I61" s="52"/>
      <x:c r="J61" s="52"/>
      <x:c r="K61" s="58" t="str">
        <x:f>IF(A61="","",IFERROR(J61/I61,0))</x:f>
      </x:c>
      <x:c r="L61" s="52"/>
      <x:c r="M61" s="30"/>
      <x:c r="N61" s="30"/>
      <x:c r="O61" s="30"/>
      <x:c r="P61" s="30"/>
      <x:c r="Q61" s="49" t="str">
        <x:f>IF(A61="","",IF(OR(M61="Yes",N61="Yes",O61="No"),"REVIEW",IF(K61&gt;2,"REDUCE CAP",IF(G61=0,"SUNSET","KEEP"))))</x:f>
      </x:c>
      <x:c r="R61" s="30"/>
    </x:row>
    <x:row r="62">
      <x:c r="A62" s="30"/>
      <x:c r="B62" s="30"/>
      <x:c r="C62" s="30"/>
      <x:c r="D62" s="30"/>
      <x:c r="E62" s="33"/>
      <x:c r="F62" s="33"/>
      <x:c r="G62" s="55"/>
      <x:c r="H62" s="55"/>
      <x:c r="I62" s="52"/>
      <x:c r="J62" s="52"/>
      <x:c r="K62" s="58" t="str">
        <x:f>IF(A62="","",IFERROR(J62/I62,0))</x:f>
      </x:c>
      <x:c r="L62" s="52"/>
      <x:c r="M62" s="30"/>
      <x:c r="N62" s="30"/>
      <x:c r="O62" s="30"/>
      <x:c r="P62" s="30"/>
      <x:c r="Q62" s="49" t="str">
        <x:f>IF(A62="","",IF(OR(M62="Yes",N62="Yes",O62="No"),"REVIEW",IF(K62&gt;2,"REDUCE CAP",IF(G62=0,"SUNSET","KEEP"))))</x:f>
      </x:c>
      <x:c r="R62" s="30"/>
    </x:row>
    <x:row r="63">
      <x:c r="A63" s="30"/>
      <x:c r="B63" s="30"/>
      <x:c r="C63" s="30"/>
      <x:c r="D63" s="30"/>
      <x:c r="E63" s="33"/>
      <x:c r="F63" s="33"/>
      <x:c r="G63" s="55"/>
      <x:c r="H63" s="55"/>
      <x:c r="I63" s="52"/>
      <x:c r="J63" s="52"/>
      <x:c r="K63" s="58" t="str">
        <x:f>IF(A63="","",IFERROR(J63/I63,0))</x:f>
      </x:c>
      <x:c r="L63" s="52"/>
      <x:c r="M63" s="30"/>
      <x:c r="N63" s="30"/>
      <x:c r="O63" s="30"/>
      <x:c r="P63" s="30"/>
      <x:c r="Q63" s="49" t="str">
        <x:f>IF(A63="","",IF(OR(M63="Yes",N63="Yes",O63="No"),"REVIEW",IF(K63&gt;2,"REDUCE CAP",IF(G63=0,"SUNSET","KEEP"))))</x:f>
      </x:c>
      <x:c r="R63" s="30"/>
    </x:row>
    <x:row r="64">
      <x:c r="A64" s="30"/>
      <x:c r="B64" s="30"/>
      <x:c r="C64" s="30"/>
      <x:c r="D64" s="30"/>
      <x:c r="E64" s="33"/>
      <x:c r="F64" s="33"/>
      <x:c r="G64" s="55"/>
      <x:c r="H64" s="55"/>
      <x:c r="I64" s="52"/>
      <x:c r="J64" s="52"/>
      <x:c r="K64" s="58" t="str">
        <x:f>IF(A64="","",IFERROR(J64/I64,0))</x:f>
      </x:c>
      <x:c r="L64" s="52"/>
      <x:c r="M64" s="30"/>
      <x:c r="N64" s="30"/>
      <x:c r="O64" s="30"/>
      <x:c r="P64" s="30"/>
      <x:c r="Q64" s="49" t="str">
        <x:f>IF(A64="","",IF(OR(M64="Yes",N64="Yes",O64="No"),"REVIEW",IF(K64&gt;2,"REDUCE CAP",IF(G64=0,"SUNSET","KEEP"))))</x:f>
      </x:c>
      <x:c r="R64" s="30"/>
    </x:row>
    <x:row r="65">
      <x:c r="A65" s="30"/>
      <x:c r="B65" s="30"/>
      <x:c r="C65" s="30"/>
      <x:c r="D65" s="30"/>
      <x:c r="E65" s="33"/>
      <x:c r="F65" s="33"/>
      <x:c r="G65" s="55"/>
      <x:c r="H65" s="55"/>
      <x:c r="I65" s="52"/>
      <x:c r="J65" s="52"/>
      <x:c r="K65" s="58" t="str">
        <x:f>IF(A65="","",IFERROR(J65/I65,0))</x:f>
      </x:c>
      <x:c r="L65" s="52"/>
      <x:c r="M65" s="30"/>
      <x:c r="N65" s="30"/>
      <x:c r="O65" s="30"/>
      <x:c r="P65" s="30"/>
      <x:c r="Q65" s="49" t="str">
        <x:f>IF(A65="","",IF(OR(M65="Yes",N65="Yes",O65="No"),"REVIEW",IF(K65&gt;2,"REDUCE CAP",IF(G65=0,"SUNSET","KEEP"))))</x:f>
      </x:c>
      <x:c r="R65" s="30"/>
    </x:row>
    <x:row r="66">
      <x:c r="A66" s="30"/>
      <x:c r="B66" s="30"/>
      <x:c r="C66" s="30"/>
      <x:c r="D66" s="30"/>
      <x:c r="E66" s="33"/>
      <x:c r="F66" s="33"/>
      <x:c r="G66" s="55"/>
      <x:c r="H66" s="55"/>
      <x:c r="I66" s="52"/>
      <x:c r="J66" s="52"/>
      <x:c r="K66" s="58" t="str">
        <x:f>IF(A66="","",IFERROR(J66/I66,0))</x:f>
      </x:c>
      <x:c r="L66" s="52"/>
      <x:c r="M66" s="30"/>
      <x:c r="N66" s="30"/>
      <x:c r="O66" s="30"/>
      <x:c r="P66" s="30"/>
      <x:c r="Q66" s="49" t="str">
        <x:f>IF(A66="","",IF(OR(M66="Yes",N66="Yes",O66="No"),"REVIEW",IF(K66&gt;2,"REDUCE CAP",IF(G66=0,"SUNSET","KEEP"))))</x:f>
      </x:c>
      <x:c r="R66" s="30"/>
    </x:row>
    <x:row r="67">
      <x:c r="A67" s="30"/>
      <x:c r="B67" s="30"/>
      <x:c r="C67" s="30"/>
      <x:c r="D67" s="30"/>
      <x:c r="E67" s="33"/>
      <x:c r="F67" s="33"/>
      <x:c r="G67" s="55"/>
      <x:c r="H67" s="55"/>
      <x:c r="I67" s="52"/>
      <x:c r="J67" s="52"/>
      <x:c r="K67" s="58" t="str">
        <x:f>IF(A67="","",IFERROR(J67/I67,0))</x:f>
      </x:c>
      <x:c r="L67" s="52"/>
      <x:c r="M67" s="30"/>
      <x:c r="N67" s="30"/>
      <x:c r="O67" s="30"/>
      <x:c r="P67" s="30"/>
      <x:c r="Q67" s="49" t="str">
        <x:f>IF(A67="","",IF(OR(M67="Yes",N67="Yes",O67="No"),"REVIEW",IF(K67&gt;2,"REDUCE CAP",IF(G67=0,"SUNSET","KEEP"))))</x:f>
      </x:c>
      <x:c r="R67" s="30"/>
    </x:row>
    <x:row r="68">
      <x:c r="A68" s="30"/>
      <x:c r="B68" s="30"/>
      <x:c r="C68" s="30"/>
      <x:c r="D68" s="30"/>
      <x:c r="E68" s="33"/>
      <x:c r="F68" s="33"/>
      <x:c r="G68" s="55"/>
      <x:c r="H68" s="55"/>
      <x:c r="I68" s="52"/>
      <x:c r="J68" s="52"/>
      <x:c r="K68" s="58" t="str">
        <x:f>IF(A68="","",IFERROR(J68/I68,0))</x:f>
      </x:c>
      <x:c r="L68" s="52"/>
      <x:c r="M68" s="30"/>
      <x:c r="N68" s="30"/>
      <x:c r="O68" s="30"/>
      <x:c r="P68" s="30"/>
      <x:c r="Q68" s="49" t="str">
        <x:f>IF(A68="","",IF(OR(M68="Yes",N68="Yes",O68="No"),"REVIEW",IF(K68&gt;2,"REDUCE CAP",IF(G68=0,"SUNSET","KEEP"))))</x:f>
      </x:c>
      <x:c r="R68" s="30"/>
    </x:row>
    <x:row r="69">
      <x:c r="A69" s="30"/>
      <x:c r="B69" s="30"/>
      <x:c r="C69" s="30"/>
      <x:c r="D69" s="30"/>
      <x:c r="E69" s="33"/>
      <x:c r="F69" s="33"/>
      <x:c r="G69" s="55"/>
      <x:c r="H69" s="55"/>
      <x:c r="I69" s="52"/>
      <x:c r="J69" s="52"/>
      <x:c r="K69" s="58" t="str">
        <x:f>IF(A69="","",IFERROR(J69/I69,0))</x:f>
      </x:c>
      <x:c r="L69" s="52"/>
      <x:c r="M69" s="30"/>
      <x:c r="N69" s="30"/>
      <x:c r="O69" s="30"/>
      <x:c r="P69" s="30"/>
      <x:c r="Q69" s="49" t="str">
        <x:f>IF(A69="","",IF(OR(M69="Yes",N69="Yes",O69="No"),"REVIEW",IF(K69&gt;2,"REDUCE CAP",IF(G69=0,"SUNSET","KEEP"))))</x:f>
      </x:c>
      <x:c r="R69" s="30"/>
    </x:row>
    <x:row r="70">
      <x:c r="A70" s="30"/>
      <x:c r="B70" s="30"/>
      <x:c r="C70" s="30"/>
      <x:c r="D70" s="30"/>
      <x:c r="E70" s="33"/>
      <x:c r="F70" s="33"/>
      <x:c r="G70" s="55"/>
      <x:c r="H70" s="55"/>
      <x:c r="I70" s="52"/>
      <x:c r="J70" s="52"/>
      <x:c r="K70" s="58" t="str">
        <x:f>IF(A70="","",IFERROR(J70/I70,0))</x:f>
      </x:c>
      <x:c r="L70" s="52"/>
      <x:c r="M70" s="30"/>
      <x:c r="N70" s="30"/>
      <x:c r="O70" s="30"/>
      <x:c r="P70" s="30"/>
      <x:c r="Q70" s="49" t="str">
        <x:f>IF(A70="","",IF(OR(M70="Yes",N70="Yes",O70="No"),"REVIEW",IF(K70&gt;2,"REDUCE CAP",IF(G70=0,"SUNSET","KEEP"))))</x:f>
      </x:c>
      <x:c r="R70" s="30"/>
    </x:row>
    <x:row r="71">
      <x:c r="A71" s="30"/>
      <x:c r="B71" s="30"/>
      <x:c r="C71" s="30"/>
      <x:c r="D71" s="30"/>
      <x:c r="E71" s="33"/>
      <x:c r="F71" s="33"/>
      <x:c r="G71" s="55"/>
      <x:c r="H71" s="55"/>
      <x:c r="I71" s="52"/>
      <x:c r="J71" s="52"/>
      <x:c r="K71" s="58" t="str">
        <x:f>IF(A71="","",IFERROR(J71/I71,0))</x:f>
      </x:c>
      <x:c r="L71" s="52"/>
      <x:c r="M71" s="30"/>
      <x:c r="N71" s="30"/>
      <x:c r="O71" s="30"/>
      <x:c r="P71" s="30"/>
      <x:c r="Q71" s="49" t="str">
        <x:f>IF(A71="","",IF(OR(M71="Yes",N71="Yes",O71="No"),"REVIEW",IF(K71&gt;2,"REDUCE CAP",IF(G71=0,"SUNSET","KEEP"))))</x:f>
      </x:c>
      <x:c r="R71" s="30"/>
    </x:row>
    <x:row r="72">
      <x:c r="A72" s="30"/>
      <x:c r="B72" s="30"/>
      <x:c r="C72" s="30"/>
      <x:c r="D72" s="30"/>
      <x:c r="E72" s="33"/>
      <x:c r="F72" s="33"/>
      <x:c r="G72" s="55"/>
      <x:c r="H72" s="55"/>
      <x:c r="I72" s="52"/>
      <x:c r="J72" s="52"/>
      <x:c r="K72" s="58" t="str">
        <x:f>IF(A72="","",IFERROR(J72/I72,0))</x:f>
      </x:c>
      <x:c r="L72" s="52"/>
      <x:c r="M72" s="30"/>
      <x:c r="N72" s="30"/>
      <x:c r="O72" s="30"/>
      <x:c r="P72" s="30"/>
      <x:c r="Q72" s="49" t="str">
        <x:f>IF(A72="","",IF(OR(M72="Yes",N72="Yes",O72="No"),"REVIEW",IF(K72&gt;2,"REDUCE CAP",IF(G72=0,"SUNSET","KEEP"))))</x:f>
      </x:c>
      <x:c r="R72" s="30"/>
    </x:row>
    <x:row r="73">
      <x:c r="A73" s="30"/>
      <x:c r="B73" s="30"/>
      <x:c r="C73" s="30"/>
      <x:c r="D73" s="30"/>
      <x:c r="E73" s="33"/>
      <x:c r="F73" s="33"/>
      <x:c r="G73" s="55"/>
      <x:c r="H73" s="55"/>
      <x:c r="I73" s="52"/>
      <x:c r="J73" s="52"/>
      <x:c r="K73" s="58" t="str">
        <x:f>IF(A73="","",IFERROR(J73/I73,0))</x:f>
      </x:c>
      <x:c r="L73" s="52"/>
      <x:c r="M73" s="30"/>
      <x:c r="N73" s="30"/>
      <x:c r="O73" s="30"/>
      <x:c r="P73" s="30"/>
      <x:c r="Q73" s="49" t="str">
        <x:f>IF(A73="","",IF(OR(M73="Yes",N73="Yes",O73="No"),"REVIEW",IF(K73&gt;2,"REDUCE CAP",IF(G73=0,"SUNSET","KEEP"))))</x:f>
      </x:c>
      <x:c r="R73" s="30"/>
    </x:row>
    <x:row r="74">
      <x:c r="A74" s="30"/>
      <x:c r="B74" s="30"/>
      <x:c r="C74" s="30"/>
      <x:c r="D74" s="30"/>
      <x:c r="E74" s="33"/>
      <x:c r="F74" s="33"/>
      <x:c r="G74" s="55"/>
      <x:c r="H74" s="55"/>
      <x:c r="I74" s="52"/>
      <x:c r="J74" s="52"/>
      <x:c r="K74" s="58" t="str">
        <x:f>IF(A74="","",IFERROR(J74/I74,0))</x:f>
      </x:c>
      <x:c r="L74" s="52"/>
      <x:c r="M74" s="30"/>
      <x:c r="N74" s="30"/>
      <x:c r="O74" s="30"/>
      <x:c r="P74" s="30"/>
      <x:c r="Q74" s="49" t="str">
        <x:f>IF(A74="","",IF(OR(M74="Yes",N74="Yes",O74="No"),"REVIEW",IF(K74&gt;2,"REDUCE CAP",IF(G74=0,"SUNSET","KEEP"))))</x:f>
      </x:c>
      <x:c r="R74" s="30"/>
    </x:row>
    <x:row r="75">
      <x:c r="A75" s="30"/>
      <x:c r="B75" s="30"/>
      <x:c r="C75" s="30"/>
      <x:c r="D75" s="30"/>
      <x:c r="E75" s="33"/>
      <x:c r="F75" s="33"/>
      <x:c r="G75" s="55"/>
      <x:c r="H75" s="55"/>
      <x:c r="I75" s="52"/>
      <x:c r="J75" s="52"/>
      <x:c r="K75" s="58" t="str">
        <x:f>IF(A75="","",IFERROR(J75/I75,0))</x:f>
      </x:c>
      <x:c r="L75" s="52"/>
      <x:c r="M75" s="30"/>
      <x:c r="N75" s="30"/>
      <x:c r="O75" s="30"/>
      <x:c r="P75" s="30"/>
      <x:c r="Q75" s="49" t="str">
        <x:f>IF(A75="","",IF(OR(M75="Yes",N75="Yes",O75="No"),"REVIEW",IF(K75&gt;2,"REDUCE CAP",IF(G75=0,"SUNSET","KEEP"))))</x:f>
      </x:c>
      <x:c r="R75" s="30"/>
    </x:row>
    <x:row r="76">
      <x:c r="A76" s="30"/>
      <x:c r="B76" s="30"/>
      <x:c r="C76" s="30"/>
      <x:c r="D76" s="30"/>
      <x:c r="E76" s="33"/>
      <x:c r="F76" s="33"/>
      <x:c r="G76" s="55"/>
      <x:c r="H76" s="55"/>
      <x:c r="I76" s="52"/>
      <x:c r="J76" s="52"/>
      <x:c r="K76" s="58" t="str">
        <x:f>IF(A76="","",IFERROR(J76/I76,0))</x:f>
      </x:c>
      <x:c r="L76" s="52"/>
      <x:c r="M76" s="30"/>
      <x:c r="N76" s="30"/>
      <x:c r="O76" s="30"/>
      <x:c r="P76" s="30"/>
      <x:c r="Q76" s="49" t="str">
        <x:f>IF(A76="","",IF(OR(M76="Yes",N76="Yes",O76="No"),"REVIEW",IF(K76&gt;2,"REDUCE CAP",IF(G76=0,"SUNSET","KEEP"))))</x:f>
      </x:c>
      <x:c r="R76" s="30"/>
    </x:row>
    <x:row r="77">
      <x:c r="A77" s="30"/>
      <x:c r="B77" s="30"/>
      <x:c r="C77" s="30"/>
      <x:c r="D77" s="30"/>
      <x:c r="E77" s="33"/>
      <x:c r="F77" s="33"/>
      <x:c r="G77" s="55"/>
      <x:c r="H77" s="55"/>
      <x:c r="I77" s="52"/>
      <x:c r="J77" s="52"/>
      <x:c r="K77" s="58" t="str">
        <x:f>IF(A77="","",IFERROR(J77/I77,0))</x:f>
      </x:c>
      <x:c r="L77" s="52"/>
      <x:c r="M77" s="30"/>
      <x:c r="N77" s="30"/>
      <x:c r="O77" s="30"/>
      <x:c r="P77" s="30"/>
      <x:c r="Q77" s="49" t="str">
        <x:f>IF(A77="","",IF(OR(M77="Yes",N77="Yes",O77="No"),"REVIEW",IF(K77&gt;2,"REDUCE CAP",IF(G77=0,"SUNSET","KEEP"))))</x:f>
      </x:c>
      <x:c r="R77" s="30"/>
    </x:row>
    <x:row r="78">
      <x:c r="A78" s="30"/>
      <x:c r="B78" s="30"/>
      <x:c r="C78" s="30"/>
      <x:c r="D78" s="30"/>
      <x:c r="E78" s="33"/>
      <x:c r="F78" s="33"/>
      <x:c r="G78" s="55"/>
      <x:c r="H78" s="55"/>
      <x:c r="I78" s="52"/>
      <x:c r="J78" s="52"/>
      <x:c r="K78" s="58" t="str">
        <x:f>IF(A78="","",IFERROR(J78/I78,0))</x:f>
      </x:c>
      <x:c r="L78" s="52"/>
      <x:c r="M78" s="30"/>
      <x:c r="N78" s="30"/>
      <x:c r="O78" s="30"/>
      <x:c r="P78" s="30"/>
      <x:c r="Q78" s="49" t="str">
        <x:f>IF(A78="","",IF(OR(M78="Yes",N78="Yes",O78="No"),"REVIEW",IF(K78&gt;2,"REDUCE CAP",IF(G78=0,"SUNSET","KEEP"))))</x:f>
      </x:c>
      <x:c r="R78" s="30"/>
    </x:row>
    <x:row r="79">
      <x:c r="A79" s="30"/>
      <x:c r="B79" s="30"/>
      <x:c r="C79" s="30"/>
      <x:c r="D79" s="30"/>
      <x:c r="E79" s="33"/>
      <x:c r="F79" s="33"/>
      <x:c r="G79" s="55"/>
      <x:c r="H79" s="55"/>
      <x:c r="I79" s="52"/>
      <x:c r="J79" s="52"/>
      <x:c r="K79" s="58" t="str">
        <x:f>IF(A79="","",IFERROR(J79/I79,0))</x:f>
      </x:c>
      <x:c r="L79" s="52"/>
      <x:c r="M79" s="30"/>
      <x:c r="N79" s="30"/>
      <x:c r="O79" s="30"/>
      <x:c r="P79" s="30"/>
      <x:c r="Q79" s="49" t="str">
        <x:f>IF(A79="","",IF(OR(M79="Yes",N79="Yes",O79="No"),"REVIEW",IF(K79&gt;2,"REDUCE CAP",IF(G79=0,"SUNSET","KEEP"))))</x:f>
      </x:c>
      <x:c r="R79" s="30"/>
    </x:row>
    <x:row r="80">
      <x:c r="A80" s="30"/>
      <x:c r="B80" s="30"/>
      <x:c r="C80" s="30"/>
      <x:c r="D80" s="30"/>
      <x:c r="E80" s="33"/>
      <x:c r="F80" s="33"/>
      <x:c r="G80" s="55"/>
      <x:c r="H80" s="55"/>
      <x:c r="I80" s="52"/>
      <x:c r="J80" s="52"/>
      <x:c r="K80" s="58" t="str">
        <x:f>IF(A80="","",IFERROR(J80/I80,0))</x:f>
      </x:c>
      <x:c r="L80" s="52"/>
      <x:c r="M80" s="30"/>
      <x:c r="N80" s="30"/>
      <x:c r="O80" s="30"/>
      <x:c r="P80" s="30"/>
      <x:c r="Q80" s="49" t="str">
        <x:f>IF(A80="","",IF(OR(M80="Yes",N80="Yes",O80="No"),"REVIEW",IF(K80&gt;2,"REDUCE CAP",IF(G80=0,"SUNSET","KEEP"))))</x:f>
      </x:c>
      <x:c r="R80" s="30"/>
    </x:row>
    <x:row r="81">
      <x:c r="A81" s="30"/>
      <x:c r="B81" s="30"/>
      <x:c r="C81" s="30"/>
      <x:c r="D81" s="30"/>
      <x:c r="E81" s="33"/>
      <x:c r="F81" s="33"/>
      <x:c r="G81" s="55"/>
      <x:c r="H81" s="55"/>
      <x:c r="I81" s="52"/>
      <x:c r="J81" s="52"/>
      <x:c r="K81" s="58" t="str">
        <x:f>IF(A81="","",IFERROR(J81/I81,0))</x:f>
      </x:c>
      <x:c r="L81" s="52"/>
      <x:c r="M81" s="30"/>
      <x:c r="N81" s="30"/>
      <x:c r="O81" s="30"/>
      <x:c r="P81" s="30"/>
      <x:c r="Q81" s="49" t="str">
        <x:f>IF(A81="","",IF(OR(M81="Yes",N81="Yes",O81="No"),"REVIEW",IF(K81&gt;2,"REDUCE CAP",IF(G81=0,"SUNSET","KEEP"))))</x:f>
      </x:c>
      <x:c r="R81" s="30"/>
    </x:row>
    <x:row r="82">
      <x:c r="A82" s="30"/>
      <x:c r="B82" s="30"/>
      <x:c r="C82" s="30"/>
      <x:c r="D82" s="30"/>
      <x:c r="E82" s="33"/>
      <x:c r="F82" s="33"/>
      <x:c r="G82" s="55"/>
      <x:c r="H82" s="55"/>
      <x:c r="I82" s="52"/>
      <x:c r="J82" s="52"/>
      <x:c r="K82" s="58" t="str">
        <x:f>IF(A82="","",IFERROR(J82/I82,0))</x:f>
      </x:c>
      <x:c r="L82" s="52"/>
      <x:c r="M82" s="30"/>
      <x:c r="N82" s="30"/>
      <x:c r="O82" s="30"/>
      <x:c r="P82" s="30"/>
      <x:c r="Q82" s="49" t="str">
        <x:f>IF(A82="","",IF(OR(M82="Yes",N82="Yes",O82="No"),"REVIEW",IF(K82&gt;2,"REDUCE CAP",IF(G82=0,"SUNSET","KEEP"))))</x:f>
      </x:c>
      <x:c r="R82" s="30"/>
    </x:row>
    <x:row r="83">
      <x:c r="A83" s="30"/>
      <x:c r="B83" s="30"/>
      <x:c r="C83" s="30"/>
      <x:c r="D83" s="30"/>
      <x:c r="E83" s="33"/>
      <x:c r="F83" s="33"/>
      <x:c r="G83" s="55"/>
      <x:c r="H83" s="55"/>
      <x:c r="I83" s="52"/>
      <x:c r="J83" s="52"/>
      <x:c r="K83" s="58" t="str">
        <x:f>IF(A83="","",IFERROR(J83/I83,0))</x:f>
      </x:c>
      <x:c r="L83" s="52"/>
      <x:c r="M83" s="30"/>
      <x:c r="N83" s="30"/>
      <x:c r="O83" s="30"/>
      <x:c r="P83" s="30"/>
      <x:c r="Q83" s="49" t="str">
        <x:f>IF(A83="","",IF(OR(M83="Yes",N83="Yes",O83="No"),"REVIEW",IF(K83&gt;2,"REDUCE CAP",IF(G83=0,"SUNSET","KEEP"))))</x:f>
      </x:c>
      <x:c r="R83" s="30"/>
    </x:row>
    <x:row r="84">
      <x:c r="A84" s="30"/>
      <x:c r="B84" s="30"/>
      <x:c r="C84" s="30"/>
      <x:c r="D84" s="30"/>
      <x:c r="E84" s="33"/>
      <x:c r="F84" s="33"/>
      <x:c r="G84" s="55"/>
      <x:c r="H84" s="55"/>
      <x:c r="I84" s="52"/>
      <x:c r="J84" s="52"/>
      <x:c r="K84" s="58" t="str">
        <x:f>IF(A84="","",IFERROR(J84/I84,0))</x:f>
      </x:c>
      <x:c r="L84" s="52"/>
      <x:c r="M84" s="30"/>
      <x:c r="N84" s="30"/>
      <x:c r="O84" s="30"/>
      <x:c r="P84" s="30"/>
      <x:c r="Q84" s="49" t="str">
        <x:f>IF(A84="","",IF(OR(M84="Yes",N84="Yes",O84="No"),"REVIEW",IF(K84&gt;2,"REDUCE CAP",IF(G84=0,"SUNSET","KEEP"))))</x:f>
      </x:c>
      <x:c r="R84" s="30"/>
    </x:row>
    <x:row r="85">
      <x:c r="A85" s="30"/>
      <x:c r="B85" s="30"/>
      <x:c r="C85" s="30"/>
      <x:c r="D85" s="30"/>
      <x:c r="E85" s="33"/>
      <x:c r="F85" s="33"/>
      <x:c r="G85" s="55"/>
      <x:c r="H85" s="55"/>
      <x:c r="I85" s="52"/>
      <x:c r="J85" s="52"/>
      <x:c r="K85" s="58" t="str">
        <x:f>IF(A85="","",IFERROR(J85/I85,0))</x:f>
      </x:c>
      <x:c r="L85" s="52"/>
      <x:c r="M85" s="30"/>
      <x:c r="N85" s="30"/>
      <x:c r="O85" s="30"/>
      <x:c r="P85" s="30"/>
      <x:c r="Q85" s="49" t="str">
        <x:f>IF(A85="","",IF(OR(M85="Yes",N85="Yes",O85="No"),"REVIEW",IF(K85&gt;2,"REDUCE CAP",IF(G85=0,"SUNSET","KEEP"))))</x:f>
      </x:c>
      <x:c r="R85" s="30"/>
    </x:row>
    <x:row r="86">
      <x:c r="A86" s="30"/>
      <x:c r="B86" s="30"/>
      <x:c r="C86" s="30"/>
      <x:c r="D86" s="30"/>
      <x:c r="E86" s="33"/>
      <x:c r="F86" s="33"/>
      <x:c r="G86" s="55"/>
      <x:c r="H86" s="55"/>
      <x:c r="I86" s="52"/>
      <x:c r="J86" s="52"/>
      <x:c r="K86" s="58" t="str">
        <x:f>IF(A86="","",IFERROR(J86/I86,0))</x:f>
      </x:c>
      <x:c r="L86" s="52"/>
      <x:c r="M86" s="30"/>
      <x:c r="N86" s="30"/>
      <x:c r="O86" s="30"/>
      <x:c r="P86" s="30"/>
      <x:c r="Q86" s="49" t="str">
        <x:f>IF(A86="","",IF(OR(M86="Yes",N86="Yes",O86="No"),"REVIEW",IF(K86&gt;2,"REDUCE CAP",IF(G86=0,"SUNSET","KEEP"))))</x:f>
      </x:c>
      <x:c r="R86" s="30"/>
    </x:row>
    <x:row r="87">
      <x:c r="A87" s="30"/>
      <x:c r="B87" s="30"/>
      <x:c r="C87" s="30"/>
      <x:c r="D87" s="30"/>
      <x:c r="E87" s="33"/>
      <x:c r="F87" s="33"/>
      <x:c r="G87" s="55"/>
      <x:c r="H87" s="55"/>
      <x:c r="I87" s="52"/>
      <x:c r="J87" s="52"/>
      <x:c r="K87" s="58" t="str">
        <x:f>IF(A87="","",IFERROR(J87/I87,0))</x:f>
      </x:c>
      <x:c r="L87" s="52"/>
      <x:c r="M87" s="30"/>
      <x:c r="N87" s="30"/>
      <x:c r="O87" s="30"/>
      <x:c r="P87" s="30"/>
      <x:c r="Q87" s="49" t="str">
        <x:f>IF(A87="","",IF(OR(M87="Yes",N87="Yes",O87="No"),"REVIEW",IF(K87&gt;2,"REDUCE CAP",IF(G87=0,"SUNSET","KEEP"))))</x:f>
      </x:c>
      <x:c r="R87" s="30"/>
    </x:row>
    <x:row r="88">
      <x:c r="A88" s="30"/>
      <x:c r="B88" s="30"/>
      <x:c r="C88" s="30"/>
      <x:c r="D88" s="30"/>
      <x:c r="E88" s="33"/>
      <x:c r="F88" s="33"/>
      <x:c r="G88" s="55"/>
      <x:c r="H88" s="55"/>
      <x:c r="I88" s="52"/>
      <x:c r="J88" s="52"/>
      <x:c r="K88" s="58" t="str">
        <x:f>IF(A88="","",IFERROR(J88/I88,0))</x:f>
      </x:c>
      <x:c r="L88" s="52"/>
      <x:c r="M88" s="30"/>
      <x:c r="N88" s="30"/>
      <x:c r="O88" s="30"/>
      <x:c r="P88" s="30"/>
      <x:c r="Q88" s="49" t="str">
        <x:f>IF(A88="","",IF(OR(M88="Yes",N88="Yes",O88="No"),"REVIEW",IF(K88&gt;2,"REDUCE CAP",IF(G88=0,"SUNSET","KEEP"))))</x:f>
      </x:c>
      <x:c r="R88" s="30"/>
    </x:row>
    <x:row r="89">
      <x:c r="A89" s="30"/>
      <x:c r="B89" s="30"/>
      <x:c r="C89" s="30"/>
      <x:c r="D89" s="30"/>
      <x:c r="E89" s="33"/>
      <x:c r="F89" s="33"/>
      <x:c r="G89" s="55"/>
      <x:c r="H89" s="55"/>
      <x:c r="I89" s="52"/>
      <x:c r="J89" s="52"/>
      <x:c r="K89" s="58" t="str">
        <x:f>IF(A89="","",IFERROR(J89/I89,0))</x:f>
      </x:c>
      <x:c r="L89" s="52"/>
      <x:c r="M89" s="30"/>
      <x:c r="N89" s="30"/>
      <x:c r="O89" s="30"/>
      <x:c r="P89" s="30"/>
      <x:c r="Q89" s="49" t="str">
        <x:f>IF(A89="","",IF(OR(M89="Yes",N89="Yes",O89="No"),"REVIEW",IF(K89&gt;2,"REDUCE CAP",IF(G89=0,"SUNSET","KEEP"))))</x:f>
      </x:c>
      <x:c r="R89" s="30"/>
    </x:row>
    <x:row r="90">
      <x:c r="A90" s="30"/>
      <x:c r="B90" s="30"/>
      <x:c r="C90" s="30"/>
      <x:c r="D90" s="30"/>
      <x:c r="E90" s="33"/>
      <x:c r="F90" s="33"/>
      <x:c r="G90" s="55"/>
      <x:c r="H90" s="55"/>
      <x:c r="I90" s="52"/>
      <x:c r="J90" s="52"/>
      <x:c r="K90" s="58" t="str">
        <x:f>IF(A90="","",IFERROR(J90/I90,0))</x:f>
      </x:c>
      <x:c r="L90" s="52"/>
      <x:c r="M90" s="30"/>
      <x:c r="N90" s="30"/>
      <x:c r="O90" s="30"/>
      <x:c r="P90" s="30"/>
      <x:c r="Q90" s="49" t="str">
        <x:f>IF(A90="","",IF(OR(M90="Yes",N90="Yes",O90="No"),"REVIEW",IF(K90&gt;2,"REDUCE CAP",IF(G90=0,"SUNSET","KEEP"))))</x:f>
      </x:c>
      <x:c r="R90" s="30"/>
    </x:row>
    <x:row r="91">
      <x:c r="A91" s="30"/>
      <x:c r="B91" s="30"/>
      <x:c r="C91" s="30"/>
      <x:c r="D91" s="30"/>
      <x:c r="E91" s="33"/>
      <x:c r="F91" s="33"/>
      <x:c r="G91" s="55"/>
      <x:c r="H91" s="55"/>
      <x:c r="I91" s="52"/>
      <x:c r="J91" s="52"/>
      <x:c r="K91" s="58" t="str">
        <x:f>IF(A91="","",IFERROR(J91/I91,0))</x:f>
      </x:c>
      <x:c r="L91" s="52"/>
      <x:c r="M91" s="30"/>
      <x:c r="N91" s="30"/>
      <x:c r="O91" s="30"/>
      <x:c r="P91" s="30"/>
      <x:c r="Q91" s="49" t="str">
        <x:f>IF(A91="","",IF(OR(M91="Yes",N91="Yes",O91="No"),"REVIEW",IF(K91&gt;2,"REDUCE CAP",IF(G91=0,"SUNSET","KEEP"))))</x:f>
      </x:c>
      <x:c r="R91" s="30"/>
    </x:row>
    <x:row r="92">
      <x:c r="A92" s="30"/>
      <x:c r="B92" s="30"/>
      <x:c r="C92" s="30"/>
      <x:c r="D92" s="30"/>
      <x:c r="E92" s="33"/>
      <x:c r="F92" s="33"/>
      <x:c r="G92" s="55"/>
      <x:c r="H92" s="55"/>
      <x:c r="I92" s="52"/>
      <x:c r="J92" s="52"/>
      <x:c r="K92" s="58" t="str">
        <x:f>IF(A92="","",IFERROR(J92/I92,0))</x:f>
      </x:c>
      <x:c r="L92" s="52"/>
      <x:c r="M92" s="30"/>
      <x:c r="N92" s="30"/>
      <x:c r="O92" s="30"/>
      <x:c r="P92" s="30"/>
      <x:c r="Q92" s="49" t="str">
        <x:f>IF(A92="","",IF(OR(M92="Yes",N92="Yes",O92="No"),"REVIEW",IF(K92&gt;2,"REDUCE CAP",IF(G92=0,"SUNSET","KEEP"))))</x:f>
      </x:c>
      <x:c r="R92" s="30"/>
    </x:row>
    <x:row r="93">
      <x:c r="A93" s="30"/>
      <x:c r="B93" s="30"/>
      <x:c r="C93" s="30"/>
      <x:c r="D93" s="30"/>
      <x:c r="E93" s="33"/>
      <x:c r="F93" s="33"/>
      <x:c r="G93" s="55"/>
      <x:c r="H93" s="55"/>
      <x:c r="I93" s="52"/>
      <x:c r="J93" s="52"/>
      <x:c r="K93" s="58" t="str">
        <x:f>IF(A93="","",IFERROR(J93/I93,0))</x:f>
      </x:c>
      <x:c r="L93" s="52"/>
      <x:c r="M93" s="30"/>
      <x:c r="N93" s="30"/>
      <x:c r="O93" s="30"/>
      <x:c r="P93" s="30"/>
      <x:c r="Q93" s="49" t="str">
        <x:f>IF(A93="","",IF(OR(M93="Yes",N93="Yes",O93="No"),"REVIEW",IF(K93&gt;2,"REDUCE CAP",IF(G93=0,"SUNSET","KEEP"))))</x:f>
      </x:c>
      <x:c r="R93" s="30"/>
    </x:row>
    <x:row r="94">
      <x:c r="A94" s="30"/>
      <x:c r="B94" s="30"/>
      <x:c r="C94" s="30"/>
      <x:c r="D94" s="30"/>
      <x:c r="E94" s="33"/>
      <x:c r="F94" s="33"/>
      <x:c r="G94" s="55"/>
      <x:c r="H94" s="55"/>
      <x:c r="I94" s="52"/>
      <x:c r="J94" s="52"/>
      <x:c r="K94" s="58" t="str">
        <x:f>IF(A94="","",IFERROR(J94/I94,0))</x:f>
      </x:c>
      <x:c r="L94" s="52"/>
      <x:c r="M94" s="30"/>
      <x:c r="N94" s="30"/>
      <x:c r="O94" s="30"/>
      <x:c r="P94" s="30"/>
      <x:c r="Q94" s="49" t="str">
        <x:f>IF(A94="","",IF(OR(M94="Yes",N94="Yes",O94="No"),"REVIEW",IF(K94&gt;2,"REDUCE CAP",IF(G94=0,"SUNSET","KEEP"))))</x:f>
      </x:c>
      <x:c r="R94" s="30"/>
    </x:row>
    <x:row r="95">
      <x:c r="A95" s="30"/>
      <x:c r="B95" s="30"/>
      <x:c r="C95" s="30"/>
      <x:c r="D95" s="30"/>
      <x:c r="E95" s="33"/>
      <x:c r="F95" s="33"/>
      <x:c r="G95" s="55"/>
      <x:c r="H95" s="55"/>
      <x:c r="I95" s="52"/>
      <x:c r="J95" s="52"/>
      <x:c r="K95" s="58" t="str">
        <x:f>IF(A95="","",IFERROR(J95/I95,0))</x:f>
      </x:c>
      <x:c r="L95" s="52"/>
      <x:c r="M95" s="30"/>
      <x:c r="N95" s="30"/>
      <x:c r="O95" s="30"/>
      <x:c r="P95" s="30"/>
      <x:c r="Q95" s="49" t="str">
        <x:f>IF(A95="","",IF(OR(M95="Yes",N95="Yes",O95="No"),"REVIEW",IF(K95&gt;2,"REDUCE CAP",IF(G95=0,"SUNSET","KEEP"))))</x:f>
      </x:c>
      <x:c r="R95" s="30"/>
    </x:row>
    <x:row r="96">
      <x:c r="A96" s="30"/>
      <x:c r="B96" s="30"/>
      <x:c r="C96" s="30"/>
      <x:c r="D96" s="30"/>
      <x:c r="E96" s="33"/>
      <x:c r="F96" s="33"/>
      <x:c r="G96" s="55"/>
      <x:c r="H96" s="55"/>
      <x:c r="I96" s="52"/>
      <x:c r="J96" s="52"/>
      <x:c r="K96" s="58" t="str">
        <x:f>IF(A96="","",IFERROR(J96/I96,0))</x:f>
      </x:c>
      <x:c r="L96" s="52"/>
      <x:c r="M96" s="30"/>
      <x:c r="N96" s="30"/>
      <x:c r="O96" s="30"/>
      <x:c r="P96" s="30"/>
      <x:c r="Q96" s="49" t="str">
        <x:f>IF(A96="","",IF(OR(M96="Yes",N96="Yes",O96="No"),"REVIEW",IF(K96&gt;2,"REDUCE CAP",IF(G96=0,"SUNSET","KEEP"))))</x:f>
      </x:c>
      <x:c r="R96" s="30"/>
    </x:row>
    <x:row r="97">
      <x:c r="A97" s="30"/>
      <x:c r="B97" s="30"/>
      <x:c r="C97" s="30"/>
      <x:c r="D97" s="30"/>
      <x:c r="E97" s="33"/>
      <x:c r="F97" s="33"/>
      <x:c r="G97" s="55"/>
      <x:c r="H97" s="55"/>
      <x:c r="I97" s="52"/>
      <x:c r="J97" s="52"/>
      <x:c r="K97" s="58" t="str">
        <x:f>IF(A97="","",IFERROR(J97/I97,0))</x:f>
      </x:c>
      <x:c r="L97" s="52"/>
      <x:c r="M97" s="30"/>
      <x:c r="N97" s="30"/>
      <x:c r="O97" s="30"/>
      <x:c r="P97" s="30"/>
      <x:c r="Q97" s="49" t="str">
        <x:f>IF(A97="","",IF(OR(M97="Yes",N97="Yes",O97="No"),"REVIEW",IF(K97&gt;2,"REDUCE CAP",IF(G97=0,"SUNSET","KEEP"))))</x:f>
      </x:c>
      <x:c r="R97" s="30"/>
    </x:row>
    <x:row r="98">
      <x:c r="A98" s="30"/>
      <x:c r="B98" s="30"/>
      <x:c r="C98" s="30"/>
      <x:c r="D98" s="30"/>
      <x:c r="E98" s="33"/>
      <x:c r="F98" s="33"/>
      <x:c r="G98" s="55"/>
      <x:c r="H98" s="55"/>
      <x:c r="I98" s="52"/>
      <x:c r="J98" s="52"/>
      <x:c r="K98" s="58" t="str">
        <x:f>IF(A98="","",IFERROR(J98/I98,0))</x:f>
      </x:c>
      <x:c r="L98" s="52"/>
      <x:c r="M98" s="30"/>
      <x:c r="N98" s="30"/>
      <x:c r="O98" s="30"/>
      <x:c r="P98" s="30"/>
      <x:c r="Q98" s="49" t="str">
        <x:f>IF(A98="","",IF(OR(M98="Yes",N98="Yes",O98="No"),"REVIEW",IF(K98&gt;2,"REDUCE CAP",IF(G98=0,"SUNSET","KEEP"))))</x:f>
      </x:c>
      <x:c r="R98" s="30"/>
    </x:row>
    <x:row r="99">
      <x:c r="A99" s="30"/>
      <x:c r="B99" s="30"/>
      <x:c r="C99" s="30"/>
      <x:c r="D99" s="30"/>
      <x:c r="E99" s="33"/>
      <x:c r="F99" s="33"/>
      <x:c r="G99" s="55"/>
      <x:c r="H99" s="55"/>
      <x:c r="I99" s="52"/>
      <x:c r="J99" s="52"/>
      <x:c r="K99" s="58" t="str">
        <x:f>IF(A99="","",IFERROR(J99/I99,0))</x:f>
      </x:c>
      <x:c r="L99" s="52"/>
      <x:c r="M99" s="30"/>
      <x:c r="N99" s="30"/>
      <x:c r="O99" s="30"/>
      <x:c r="P99" s="30"/>
      <x:c r="Q99" s="49" t="str">
        <x:f>IF(A99="","",IF(OR(M99="Yes",N99="Yes",O99="No"),"REVIEW",IF(K99&gt;2,"REDUCE CAP",IF(G99=0,"SUNSET","KEEP"))))</x:f>
      </x:c>
      <x:c r="R99" s="30"/>
    </x:row>
    <x:row r="100">
      <x:c r="A100" s="30"/>
      <x:c r="B100" s="30"/>
      <x:c r="C100" s="30"/>
      <x:c r="D100" s="30"/>
      <x:c r="E100" s="33"/>
      <x:c r="F100" s="33"/>
      <x:c r="G100" s="55"/>
      <x:c r="H100" s="55"/>
      <x:c r="I100" s="52"/>
      <x:c r="J100" s="52"/>
      <x:c r="K100" s="58" t="str">
        <x:f>IF(A100="","",IFERROR(J100/I100,0))</x:f>
      </x:c>
      <x:c r="L100" s="52"/>
      <x:c r="M100" s="30"/>
      <x:c r="N100" s="30"/>
      <x:c r="O100" s="30"/>
      <x:c r="P100" s="30"/>
      <x:c r="Q100" s="49" t="str">
        <x:f>IF(A100="","",IF(OR(M100="Yes",N100="Yes",O100="No"),"REVIEW",IF(K100&gt;2,"REDUCE CAP",IF(G100=0,"SUNSET","KEEP"))))</x:f>
      </x:c>
      <x:c r="R100" s="30"/>
    </x:row>
    <x:row r="101">
      <x:c r="A101" s="30"/>
      <x:c r="B101" s="30"/>
      <x:c r="C101" s="30"/>
      <x:c r="D101" s="30"/>
      <x:c r="E101" s="33"/>
      <x:c r="F101" s="33"/>
      <x:c r="G101" s="55"/>
      <x:c r="H101" s="55"/>
      <x:c r="I101" s="52"/>
      <x:c r="J101" s="52"/>
      <x:c r="K101" s="58" t="str">
        <x:f>IF(A101="","",IFERROR(J101/I101,0))</x:f>
      </x:c>
      <x:c r="L101" s="52"/>
      <x:c r="M101" s="30"/>
      <x:c r="N101" s="30"/>
      <x:c r="O101" s="30"/>
      <x:c r="P101" s="30"/>
      <x:c r="Q101" s="49" t="str">
        <x:f>IF(A101="","",IF(OR(M101="Yes",N101="Yes",O101="No"),"REVIEW",IF(K101&gt;2,"REDUCE CAP",IF(G101=0,"SUNSET","KEEP"))))</x:f>
      </x:c>
      <x:c r="R101" s="30"/>
    </x:row>
    <x:row r="102">
      <x:c r="A102" s="30"/>
      <x:c r="B102" s="30"/>
      <x:c r="C102" s="30"/>
      <x:c r="D102" s="30"/>
      <x:c r="E102" s="33"/>
      <x:c r="F102" s="33"/>
      <x:c r="G102" s="55"/>
      <x:c r="H102" s="55"/>
      <x:c r="I102" s="52"/>
      <x:c r="J102" s="52"/>
      <x:c r="K102" s="58" t="str">
        <x:f>IF(A102="","",IFERROR(J102/I102,0))</x:f>
      </x:c>
      <x:c r="L102" s="52"/>
      <x:c r="M102" s="30"/>
      <x:c r="N102" s="30"/>
      <x:c r="O102" s="30"/>
      <x:c r="P102" s="30"/>
      <x:c r="Q102" s="49" t="str">
        <x:f>IF(A102="","",IF(OR(M102="Yes",N102="Yes",O102="No"),"REVIEW",IF(K102&gt;2,"REDUCE CAP",IF(G102=0,"SUNSET","KEEP"))))</x:f>
      </x:c>
      <x:c r="R102" s="30"/>
    </x:row>
    <x:row r="103">
      <x:c r="A103" s="30"/>
      <x:c r="B103" s="30"/>
      <x:c r="C103" s="30"/>
      <x:c r="D103" s="30"/>
      <x:c r="E103" s="33"/>
      <x:c r="F103" s="33"/>
      <x:c r="G103" s="55"/>
      <x:c r="H103" s="55"/>
      <x:c r="I103" s="52"/>
      <x:c r="J103" s="52"/>
      <x:c r="K103" s="58" t="str">
        <x:f>IF(A103="","",IFERROR(J103/I103,0))</x:f>
      </x:c>
      <x:c r="L103" s="52"/>
      <x:c r="M103" s="30"/>
      <x:c r="N103" s="30"/>
      <x:c r="O103" s="30"/>
      <x:c r="P103" s="30"/>
      <x:c r="Q103" s="49" t="str">
        <x:f>IF(A103="","",IF(OR(M103="Yes",N103="Yes",O103="No"),"REVIEW",IF(K103&gt;2,"REDUCE CAP",IF(G103=0,"SUNSET","KEEP"))))</x:f>
      </x:c>
      <x:c r="R103" s="30"/>
    </x:row>
    <x:row r="104">
      <x:c r="A104" s="30"/>
      <x:c r="B104" s="30"/>
      <x:c r="C104" s="30"/>
      <x:c r="D104" s="30"/>
      <x:c r="E104" s="33"/>
      <x:c r="F104" s="33"/>
      <x:c r="G104" s="55"/>
      <x:c r="H104" s="55"/>
      <x:c r="I104" s="52"/>
      <x:c r="J104" s="52"/>
      <x:c r="K104" s="58" t="str">
        <x:f>IF(A104="","",IFERROR(J104/I104,0))</x:f>
      </x:c>
      <x:c r="L104" s="52"/>
      <x:c r="M104" s="30"/>
      <x:c r="N104" s="30"/>
      <x:c r="O104" s="30"/>
      <x:c r="P104" s="30"/>
      <x:c r="Q104" s="49" t="str">
        <x:f>IF(A104="","",IF(OR(M104="Yes",N104="Yes",O104="No"),"REVIEW",IF(K104&gt;2,"REDUCE CAP",IF(G104=0,"SUNSET","KEEP"))))</x:f>
      </x:c>
      <x:c r="R104" s="30"/>
    </x:row>
    <x:row r="105">
      <x:c r="A105" s="31"/>
      <x:c r="B105" s="31"/>
      <x:c r="C105" s="31"/>
      <x:c r="D105" s="31"/>
      <x:c r="E105" s="34"/>
      <x:c r="F105" s="34"/>
      <x:c r="G105" s="56"/>
      <x:c r="H105" s="56"/>
      <x:c r="I105" s="53"/>
      <x:c r="J105" s="53"/>
      <x:c r="K105" s="59" t="str">
        <x:f>IF(A105="","",IFERROR(J105/I105,0))</x:f>
      </x:c>
      <x:c r="L105" s="53"/>
      <x:c r="M105" s="31"/>
      <x:c r="N105" s="31"/>
      <x:c r="O105" s="31"/>
      <x:c r="P105" s="31"/>
      <x:c r="Q105" s="50" t="str">
        <x:f>IF(A105="","",IF(OR(M105="Yes",N105="Yes",O105="No"),"REVIEW",IF(K105&gt;2,"REDUCE CAP",IF(G105=0,"SUNSET","KEEP"))))</x:f>
      </x:c>
      <x:c r="R105" s="31"/>
    </x:row>
  </x:sheetData>
  <x:mergeCells>
    <x:mergeCell ref="A1:R1"/>
    <x:mergeCell ref="A2:R2"/>
  </x:mergeCells>
  <x:conditionalFormatting sqref="Q6:Q105">
    <x:cfRule type="containsText" dxfId="20" priority="1" operator="containsText" text="KEEP"/>
    <x:cfRule type="containsText" dxfId="21" priority="2" operator="containsText" text="SUNSET"/>
    <x:cfRule type="containsText" dxfId="22" priority="3" operator="containsText" text="REVIEW"/>
    <x:cfRule type="containsText" dxfId="23" priority="4" operator="containsText" text="REDUCE CAP"/>
  </x:conditionalFormatting>
  <x:dataValidations count="5">
    <x:dataValidation type="list" sqref="D6:D105">
      <x:formula1>"Active,Paused,Inactive,Draft"</x:formula1>
    </x:dataValidation>
    <x:dataValidation type="list" sqref="M6:M105">
      <x:formula1>"Yes,No"</x:formula1>
    </x:dataValidation>
    <x:dataValidation type="list" sqref="N6:N105">
      <x:formula1>"Yes,No"</x:formula1>
    </x:dataValidation>
    <x:dataValidation type="list" sqref="O6:O105">
      <x:formula1>"Yes,No"</x:formula1>
    </x:dataValidation>
    <x:dataValidation type="list" sqref="R6:R105">
      <x:formula1>"Pending,Keep,Adjust Cap,Review,Sunset"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80eba9e38a4a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4" customHeight="1">
      <x:c r="A1" s="3" t="str">
        <x:v>Automation QC &amp; Exception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Record every failure, owner, corrective action, and repeat issue. Positive Days Overdue means the item needs attention.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5" ht="34" customHeight="1">
      <x:c r="A5" s="18" t="str">
        <x:v>Exception ID</x:v>
      </x:c>
      <x:c r="B5" s="19" t="str">
        <x:v>Date Logged</x:v>
      </x:c>
      <x:c r="C5" s="19" t="str">
        <x:v>Brand / Platform</x:v>
      </x:c>
      <x:c r="D5" s="19" t="str">
        <x:v>Campaign ID</x:v>
      </x:c>
      <x:c r="E5" s="19" t="str">
        <x:v>Source</x:v>
      </x:c>
      <x:c r="F5" s="19" t="str">
        <x:v>Exception Type</x:v>
      </x:c>
      <x:c r="G5" s="19" t="str">
        <x:v>Description</x:v>
      </x:c>
      <x:c r="H5" s="19" t="str">
        <x:v>Player / Business Impact</x:v>
      </x:c>
      <x:c r="I5" s="19" t="str">
        <x:v>Root Cause</x:v>
      </x:c>
      <x:c r="J5" s="19" t="str">
        <x:v>Immediate Fix</x:v>
      </x:c>
      <x:c r="K5" s="19" t="str">
        <x:v>Rule / SOP Update</x:v>
      </x:c>
      <x:c r="L5" s="19" t="str">
        <x:v>Owner</x:v>
      </x:c>
      <x:c r="M5" s="19" t="str">
        <x:v>Due Date</x:v>
      </x:c>
      <x:c r="N5" s="19" t="str">
        <x:v>Status</x:v>
      </x:c>
      <x:c r="O5" s="19" t="str">
        <x:v>Days Overdue</x:v>
      </x:c>
      <x:c r="P5" s="20" t="str">
        <x:v>Repeat Issue?</x:v>
      </x:c>
    </x:row>
    <x:row r="6">
      <x:c r="A6" s="29"/>
      <x:c r="B6" s="32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32"/>
      <x:c r="N6" s="29"/>
      <x:c r="O6" s="60" t="str">
        <x:f>IF(A6="","",IF(OR(N6="Closed",M6=""),0,TODAY()-M6))</x:f>
      </x:c>
      <x:c r="P6" s="29"/>
    </x:row>
    <x:row r="7">
      <x:c r="A7" s="30"/>
      <x:c r="B7" s="33"/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3"/>
      <x:c r="N7" s="30"/>
      <x:c r="O7" s="61" t="str">
        <x:f>IF(A7="","",IF(OR(N7="Closed",M7=""),0,TODAY()-M7))</x:f>
      </x:c>
      <x:c r="P7" s="30"/>
    </x:row>
    <x:row r="8">
      <x:c r="A8" s="30"/>
      <x:c r="B8" s="33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3"/>
      <x:c r="N8" s="30"/>
      <x:c r="O8" s="61" t="str">
        <x:f>IF(A8="","",IF(OR(N8="Closed",M8=""),0,TODAY()-M8))</x:f>
      </x:c>
      <x:c r="P8" s="30"/>
    </x:row>
    <x:row r="9">
      <x:c r="A9" s="30"/>
      <x:c r="B9" s="33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3"/>
      <x:c r="N9" s="30"/>
      <x:c r="O9" s="61" t="str">
        <x:f>IF(A9="","",IF(OR(N9="Closed",M9=""),0,TODAY()-M9))</x:f>
      </x:c>
      <x:c r="P9" s="30"/>
    </x:row>
    <x:row r="10">
      <x:c r="A10" s="30"/>
      <x:c r="B10" s="33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3"/>
      <x:c r="N10" s="30"/>
      <x:c r="O10" s="61" t="str">
        <x:f>IF(A10="","",IF(OR(N10="Closed",M10=""),0,TODAY()-M10))</x:f>
      </x:c>
      <x:c r="P10" s="30"/>
    </x:row>
    <x:row r="11">
      <x:c r="A11" s="30"/>
      <x:c r="B11" s="33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3"/>
      <x:c r="N11" s="30"/>
      <x:c r="O11" s="61" t="str">
        <x:f>IF(A11="","",IF(OR(N11="Closed",M11=""),0,TODAY()-M11))</x:f>
      </x:c>
      <x:c r="P11" s="30"/>
    </x:row>
    <x:row r="12">
      <x:c r="A12" s="30"/>
      <x:c r="B12" s="33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3"/>
      <x:c r="N12" s="30"/>
      <x:c r="O12" s="61" t="str">
        <x:f>IF(A12="","",IF(OR(N12="Closed",M12=""),0,TODAY()-M12))</x:f>
      </x:c>
      <x:c r="P12" s="30"/>
    </x:row>
    <x:row r="13">
      <x:c r="A13" s="30"/>
      <x:c r="B13" s="33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3"/>
      <x:c r="N13" s="30"/>
      <x:c r="O13" s="61" t="str">
        <x:f>IF(A13="","",IF(OR(N13="Closed",M13=""),0,TODAY()-M13))</x:f>
      </x:c>
      <x:c r="P13" s="30"/>
    </x:row>
    <x:row r="14">
      <x:c r="A14" s="30"/>
      <x:c r="B14" s="33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3"/>
      <x:c r="N14" s="30"/>
      <x:c r="O14" s="61" t="str">
        <x:f>IF(A14="","",IF(OR(N14="Closed",M14=""),0,TODAY()-M14))</x:f>
      </x:c>
      <x:c r="P14" s="30"/>
    </x:row>
    <x:row r="15">
      <x:c r="A15" s="30"/>
      <x:c r="B15" s="33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3"/>
      <x:c r="N15" s="30"/>
      <x:c r="O15" s="61" t="str">
        <x:f>IF(A15="","",IF(OR(N15="Closed",M15=""),0,TODAY()-M15))</x:f>
      </x:c>
      <x:c r="P15" s="30"/>
    </x:row>
    <x:row r="16">
      <x:c r="A16" s="30"/>
      <x:c r="B16" s="33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3"/>
      <x:c r="N16" s="30"/>
      <x:c r="O16" s="61" t="str">
        <x:f>IF(A16="","",IF(OR(N16="Closed",M16=""),0,TODAY()-M16))</x:f>
      </x:c>
      <x:c r="P16" s="30"/>
    </x:row>
    <x:row r="17">
      <x:c r="A17" s="30"/>
      <x:c r="B17" s="33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3"/>
      <x:c r="N17" s="30"/>
      <x:c r="O17" s="61" t="str">
        <x:f>IF(A17="","",IF(OR(N17="Closed",M17=""),0,TODAY()-M17))</x:f>
      </x:c>
      <x:c r="P17" s="30"/>
    </x:row>
    <x:row r="18">
      <x:c r="A18" s="30"/>
      <x:c r="B18" s="33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3"/>
      <x:c r="N18" s="30"/>
      <x:c r="O18" s="61" t="str">
        <x:f>IF(A18="","",IF(OR(N18="Closed",M18=""),0,TODAY()-M18))</x:f>
      </x:c>
      <x:c r="P18" s="30"/>
    </x:row>
    <x:row r="19">
      <x:c r="A19" s="30"/>
      <x:c r="B19" s="33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3"/>
      <x:c r="N19" s="30"/>
      <x:c r="O19" s="61" t="str">
        <x:f>IF(A19="","",IF(OR(N19="Closed",M19=""),0,TODAY()-M19))</x:f>
      </x:c>
      <x:c r="P19" s="30"/>
    </x:row>
    <x:row r="20">
      <x:c r="A20" s="30"/>
      <x:c r="B20" s="33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3"/>
      <x:c r="N20" s="30"/>
      <x:c r="O20" s="61" t="str">
        <x:f>IF(A20="","",IF(OR(N20="Closed",M20=""),0,TODAY()-M20))</x:f>
      </x:c>
      <x:c r="P20" s="30"/>
    </x:row>
    <x:row r="21">
      <x:c r="A21" s="30"/>
      <x:c r="B21" s="33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3"/>
      <x:c r="N21" s="30"/>
      <x:c r="O21" s="61" t="str">
        <x:f>IF(A21="","",IF(OR(N21="Closed",M21=""),0,TODAY()-M21))</x:f>
      </x:c>
      <x:c r="P21" s="30"/>
    </x:row>
    <x:row r="22">
      <x:c r="A22" s="30"/>
      <x:c r="B22" s="33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3"/>
      <x:c r="N22" s="30"/>
      <x:c r="O22" s="61" t="str">
        <x:f>IF(A22="","",IF(OR(N22="Closed",M22=""),0,TODAY()-M22))</x:f>
      </x:c>
      <x:c r="P22" s="30"/>
    </x:row>
    <x:row r="23">
      <x:c r="A23" s="30"/>
      <x:c r="B23" s="33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3"/>
      <x:c r="N23" s="30"/>
      <x:c r="O23" s="61" t="str">
        <x:f>IF(A23="","",IF(OR(N23="Closed",M23=""),0,TODAY()-M23))</x:f>
      </x:c>
      <x:c r="P23" s="30"/>
    </x:row>
    <x:row r="24">
      <x:c r="A24" s="30"/>
      <x:c r="B24" s="33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3"/>
      <x:c r="N24" s="30"/>
      <x:c r="O24" s="61" t="str">
        <x:f>IF(A24="","",IF(OR(N24="Closed",M24=""),0,TODAY()-M24))</x:f>
      </x:c>
      <x:c r="P24" s="30"/>
    </x:row>
    <x:row r="25">
      <x:c r="A25" s="30"/>
      <x:c r="B25" s="33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3"/>
      <x:c r="N25" s="30"/>
      <x:c r="O25" s="61" t="str">
        <x:f>IF(A25="","",IF(OR(N25="Closed",M25=""),0,TODAY()-M25))</x:f>
      </x:c>
      <x:c r="P25" s="30"/>
    </x:row>
    <x:row r="26">
      <x:c r="A26" s="30"/>
      <x:c r="B26" s="33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3"/>
      <x:c r="N26" s="30"/>
      <x:c r="O26" s="61" t="str">
        <x:f>IF(A26="","",IF(OR(N26="Closed",M26=""),0,TODAY()-M26))</x:f>
      </x:c>
      <x:c r="P26" s="30"/>
    </x:row>
    <x:row r="27">
      <x:c r="A27" s="30"/>
      <x:c r="B27" s="33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3"/>
      <x:c r="N27" s="30"/>
      <x:c r="O27" s="61" t="str">
        <x:f>IF(A27="","",IF(OR(N27="Closed",M27=""),0,TODAY()-M27))</x:f>
      </x:c>
      <x:c r="P27" s="30"/>
    </x:row>
    <x:row r="28">
      <x:c r="A28" s="30"/>
      <x:c r="B28" s="33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3"/>
      <x:c r="N28" s="30"/>
      <x:c r="O28" s="61" t="str">
        <x:f>IF(A28="","",IF(OR(N28="Closed",M28=""),0,TODAY()-M28))</x:f>
      </x:c>
      <x:c r="P28" s="30"/>
    </x:row>
    <x:row r="29">
      <x:c r="A29" s="30"/>
      <x:c r="B29" s="33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3"/>
      <x:c r="N29" s="30"/>
      <x:c r="O29" s="61" t="str">
        <x:f>IF(A29="","",IF(OR(N29="Closed",M29=""),0,TODAY()-M29))</x:f>
      </x:c>
      <x:c r="P29" s="30"/>
    </x:row>
    <x:row r="30">
      <x:c r="A30" s="30"/>
      <x:c r="B30" s="33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3"/>
      <x:c r="N30" s="30"/>
      <x:c r="O30" s="61" t="str">
        <x:f>IF(A30="","",IF(OR(N30="Closed",M30=""),0,TODAY()-M30))</x:f>
      </x:c>
      <x:c r="P30" s="30"/>
    </x:row>
    <x:row r="31">
      <x:c r="A31" s="30"/>
      <x:c r="B31" s="33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3"/>
      <x:c r="N31" s="30"/>
      <x:c r="O31" s="61" t="str">
        <x:f>IF(A31="","",IF(OR(N31="Closed",M31=""),0,TODAY()-M31))</x:f>
      </x:c>
      <x:c r="P31" s="30"/>
    </x:row>
    <x:row r="32">
      <x:c r="A32" s="30"/>
      <x:c r="B32" s="33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3"/>
      <x:c r="N32" s="30"/>
      <x:c r="O32" s="61" t="str">
        <x:f>IF(A32="","",IF(OR(N32="Closed",M32=""),0,TODAY()-M32))</x:f>
      </x:c>
      <x:c r="P32" s="30"/>
    </x:row>
    <x:row r="33">
      <x:c r="A33" s="30"/>
      <x:c r="B33" s="33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3"/>
      <x:c r="N33" s="30"/>
      <x:c r="O33" s="61" t="str">
        <x:f>IF(A33="","",IF(OR(N33="Closed",M33=""),0,TODAY()-M33))</x:f>
      </x:c>
      <x:c r="P33" s="30"/>
    </x:row>
    <x:row r="34">
      <x:c r="A34" s="30"/>
      <x:c r="B34" s="33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3"/>
      <x:c r="N34" s="30"/>
      <x:c r="O34" s="61" t="str">
        <x:f>IF(A34="","",IF(OR(N34="Closed",M34=""),0,TODAY()-M34))</x:f>
      </x:c>
      <x:c r="P34" s="30"/>
    </x:row>
    <x:row r="35">
      <x:c r="A35" s="30"/>
      <x:c r="B35" s="33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3"/>
      <x:c r="N35" s="30"/>
      <x:c r="O35" s="61" t="str">
        <x:f>IF(A35="","",IF(OR(N35="Closed",M35=""),0,TODAY()-M35))</x:f>
      </x:c>
      <x:c r="P35" s="30"/>
    </x:row>
    <x:row r="36">
      <x:c r="A36" s="30"/>
      <x:c r="B36" s="33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3"/>
      <x:c r="N36" s="30"/>
      <x:c r="O36" s="61" t="str">
        <x:f>IF(A36="","",IF(OR(N36="Closed",M36=""),0,TODAY()-M36))</x:f>
      </x:c>
      <x:c r="P36" s="30"/>
    </x:row>
    <x:row r="37">
      <x:c r="A37" s="30"/>
      <x:c r="B37" s="33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3"/>
      <x:c r="N37" s="30"/>
      <x:c r="O37" s="61" t="str">
        <x:f>IF(A37="","",IF(OR(N37="Closed",M37=""),0,TODAY()-M37))</x:f>
      </x:c>
      <x:c r="P37" s="30"/>
    </x:row>
    <x:row r="38">
      <x:c r="A38" s="30"/>
      <x:c r="B38" s="33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3"/>
      <x:c r="N38" s="30"/>
      <x:c r="O38" s="61" t="str">
        <x:f>IF(A38="","",IF(OR(N38="Closed",M38=""),0,TODAY()-M38))</x:f>
      </x:c>
      <x:c r="P38" s="30"/>
    </x:row>
    <x:row r="39">
      <x:c r="A39" s="30"/>
      <x:c r="B39" s="33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3"/>
      <x:c r="N39" s="30"/>
      <x:c r="O39" s="61" t="str">
        <x:f>IF(A39="","",IF(OR(N39="Closed",M39=""),0,TODAY()-M39))</x:f>
      </x:c>
      <x:c r="P39" s="30"/>
    </x:row>
    <x:row r="40">
      <x:c r="A40" s="30"/>
      <x:c r="B40" s="33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3"/>
      <x:c r="N40" s="30"/>
      <x:c r="O40" s="61" t="str">
        <x:f>IF(A40="","",IF(OR(N40="Closed",M40=""),0,TODAY()-M40))</x:f>
      </x:c>
      <x:c r="P40" s="30"/>
    </x:row>
    <x:row r="41">
      <x:c r="A41" s="30"/>
      <x:c r="B41" s="33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3"/>
      <x:c r="N41" s="30"/>
      <x:c r="O41" s="61" t="str">
        <x:f>IF(A41="","",IF(OR(N41="Closed",M41=""),0,TODAY()-M41))</x:f>
      </x:c>
      <x:c r="P41" s="30"/>
    </x:row>
    <x:row r="42">
      <x:c r="A42" s="30"/>
      <x:c r="B42" s="33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3"/>
      <x:c r="N42" s="30"/>
      <x:c r="O42" s="61" t="str">
        <x:f>IF(A42="","",IF(OR(N42="Closed",M42=""),0,TODAY()-M42))</x:f>
      </x:c>
      <x:c r="P42" s="30"/>
    </x:row>
    <x:row r="43">
      <x:c r="A43" s="30"/>
      <x:c r="B43" s="33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3"/>
      <x:c r="N43" s="30"/>
      <x:c r="O43" s="61" t="str">
        <x:f>IF(A43="","",IF(OR(N43="Closed",M43=""),0,TODAY()-M43))</x:f>
      </x:c>
      <x:c r="P43" s="30"/>
    </x:row>
    <x:row r="44">
      <x:c r="A44" s="30"/>
      <x:c r="B44" s="33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3"/>
      <x:c r="N44" s="30"/>
      <x:c r="O44" s="61" t="str">
        <x:f>IF(A44="","",IF(OR(N44="Closed",M44=""),0,TODAY()-M44))</x:f>
      </x:c>
      <x:c r="P44" s="30"/>
    </x:row>
    <x:row r="45">
      <x:c r="A45" s="30"/>
      <x:c r="B45" s="33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3"/>
      <x:c r="N45" s="30"/>
      <x:c r="O45" s="61" t="str">
        <x:f>IF(A45="","",IF(OR(N45="Closed",M45=""),0,TODAY()-M45))</x:f>
      </x:c>
      <x:c r="P45" s="30"/>
    </x:row>
    <x:row r="46">
      <x:c r="A46" s="30"/>
      <x:c r="B46" s="33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3"/>
      <x:c r="N46" s="30"/>
      <x:c r="O46" s="61" t="str">
        <x:f>IF(A46="","",IF(OR(N46="Closed",M46=""),0,TODAY()-M46))</x:f>
      </x:c>
      <x:c r="P46" s="30"/>
    </x:row>
    <x:row r="47">
      <x:c r="A47" s="30"/>
      <x:c r="B47" s="33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3"/>
      <x:c r="N47" s="30"/>
      <x:c r="O47" s="61" t="str">
        <x:f>IF(A47="","",IF(OR(N47="Closed",M47=""),0,TODAY()-M47))</x:f>
      </x:c>
      <x:c r="P47" s="30"/>
    </x:row>
    <x:row r="48">
      <x:c r="A48" s="30"/>
      <x:c r="B48" s="33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3"/>
      <x:c r="N48" s="30"/>
      <x:c r="O48" s="61" t="str">
        <x:f>IF(A48="","",IF(OR(N48="Closed",M48=""),0,TODAY()-M48))</x:f>
      </x:c>
      <x:c r="P48" s="30"/>
    </x:row>
    <x:row r="49">
      <x:c r="A49" s="30"/>
      <x:c r="B49" s="33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3"/>
      <x:c r="N49" s="30"/>
      <x:c r="O49" s="61" t="str">
        <x:f>IF(A49="","",IF(OR(N49="Closed",M49=""),0,TODAY()-M49))</x:f>
      </x:c>
      <x:c r="P49" s="30"/>
    </x:row>
    <x:row r="50">
      <x:c r="A50" s="30"/>
      <x:c r="B50" s="33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3"/>
      <x:c r="N50" s="30"/>
      <x:c r="O50" s="61" t="str">
        <x:f>IF(A50="","",IF(OR(N50="Closed",M50=""),0,TODAY()-M50))</x:f>
      </x:c>
      <x:c r="P50" s="30"/>
    </x:row>
    <x:row r="51">
      <x:c r="A51" s="30"/>
      <x:c r="B51" s="33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3"/>
      <x:c r="N51" s="30"/>
      <x:c r="O51" s="61" t="str">
        <x:f>IF(A51="","",IF(OR(N51="Closed",M51=""),0,TODAY()-M51))</x:f>
      </x:c>
      <x:c r="P51" s="30"/>
    </x:row>
    <x:row r="52">
      <x:c r="A52" s="30"/>
      <x:c r="B52" s="33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3"/>
      <x:c r="N52" s="30"/>
      <x:c r="O52" s="61" t="str">
        <x:f>IF(A52="","",IF(OR(N52="Closed",M52=""),0,TODAY()-M52))</x:f>
      </x:c>
      <x:c r="P52" s="30"/>
    </x:row>
    <x:row r="53">
      <x:c r="A53" s="30"/>
      <x:c r="B53" s="33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3"/>
      <x:c r="N53" s="30"/>
      <x:c r="O53" s="61" t="str">
        <x:f>IF(A53="","",IF(OR(N53="Closed",M53=""),0,TODAY()-M53))</x:f>
      </x:c>
      <x:c r="P53" s="30"/>
    </x:row>
    <x:row r="54">
      <x:c r="A54" s="30"/>
      <x:c r="B54" s="33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3"/>
      <x:c r="N54" s="30"/>
      <x:c r="O54" s="61" t="str">
        <x:f>IF(A54="","",IF(OR(N54="Closed",M54=""),0,TODAY()-M54))</x:f>
      </x:c>
      <x:c r="P54" s="30"/>
    </x:row>
    <x:row r="55">
      <x:c r="A55" s="30"/>
      <x:c r="B55" s="33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3"/>
      <x:c r="N55" s="30"/>
      <x:c r="O55" s="61" t="str">
        <x:f>IF(A55="","",IF(OR(N55="Closed",M55=""),0,TODAY()-M55))</x:f>
      </x:c>
      <x:c r="P55" s="30"/>
    </x:row>
    <x:row r="56">
      <x:c r="A56" s="30"/>
      <x:c r="B56" s="33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3"/>
      <x:c r="N56" s="30"/>
      <x:c r="O56" s="61" t="str">
        <x:f>IF(A56="","",IF(OR(N56="Closed",M56=""),0,TODAY()-M56))</x:f>
      </x:c>
      <x:c r="P56" s="30"/>
    </x:row>
    <x:row r="57">
      <x:c r="A57" s="30"/>
      <x:c r="B57" s="33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3"/>
      <x:c r="N57" s="30"/>
      <x:c r="O57" s="61" t="str">
        <x:f>IF(A57="","",IF(OR(N57="Closed",M57=""),0,TODAY()-M57))</x:f>
      </x:c>
      <x:c r="P57" s="30"/>
    </x:row>
    <x:row r="58">
      <x:c r="A58" s="30"/>
      <x:c r="B58" s="33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3"/>
      <x:c r="N58" s="30"/>
      <x:c r="O58" s="61" t="str">
        <x:f>IF(A58="","",IF(OR(N58="Closed",M58=""),0,TODAY()-M58))</x:f>
      </x:c>
      <x:c r="P58" s="30"/>
    </x:row>
    <x:row r="59">
      <x:c r="A59" s="30"/>
      <x:c r="B59" s="33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3"/>
      <x:c r="N59" s="30"/>
      <x:c r="O59" s="61" t="str">
        <x:f>IF(A59="","",IF(OR(N59="Closed",M59=""),0,TODAY()-M59))</x:f>
      </x:c>
      <x:c r="P59" s="30"/>
    </x:row>
    <x:row r="60">
      <x:c r="A60" s="30"/>
      <x:c r="B60" s="33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3"/>
      <x:c r="N60" s="30"/>
      <x:c r="O60" s="61" t="str">
        <x:f>IF(A60="","",IF(OR(N60="Closed",M60=""),0,TODAY()-M60))</x:f>
      </x:c>
      <x:c r="P60" s="30"/>
    </x:row>
    <x:row r="61">
      <x:c r="A61" s="30"/>
      <x:c r="B61" s="33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3"/>
      <x:c r="N61" s="30"/>
      <x:c r="O61" s="61" t="str">
        <x:f>IF(A61="","",IF(OR(N61="Closed",M61=""),0,TODAY()-M61))</x:f>
      </x:c>
      <x:c r="P61" s="30"/>
    </x:row>
    <x:row r="62">
      <x:c r="A62" s="30"/>
      <x:c r="B62" s="33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3"/>
      <x:c r="N62" s="30"/>
      <x:c r="O62" s="61" t="str">
        <x:f>IF(A62="","",IF(OR(N62="Closed",M62=""),0,TODAY()-M62))</x:f>
      </x:c>
      <x:c r="P62" s="30"/>
    </x:row>
    <x:row r="63">
      <x:c r="A63" s="30"/>
      <x:c r="B63" s="33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3"/>
      <x:c r="N63" s="30"/>
      <x:c r="O63" s="61" t="str">
        <x:f>IF(A63="","",IF(OR(N63="Closed",M63=""),0,TODAY()-M63))</x:f>
      </x:c>
      <x:c r="P63" s="30"/>
    </x:row>
    <x:row r="64">
      <x:c r="A64" s="30"/>
      <x:c r="B64" s="33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3"/>
      <x:c r="N64" s="30"/>
      <x:c r="O64" s="61" t="str">
        <x:f>IF(A64="","",IF(OR(N64="Closed",M64=""),0,TODAY()-M64))</x:f>
      </x:c>
      <x:c r="P64" s="30"/>
    </x:row>
    <x:row r="65">
      <x:c r="A65" s="30"/>
      <x:c r="B65" s="33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3"/>
      <x:c r="N65" s="30"/>
      <x:c r="O65" s="61" t="str">
        <x:f>IF(A65="","",IF(OR(N65="Closed",M65=""),0,TODAY()-M65))</x:f>
      </x:c>
      <x:c r="P65" s="30"/>
    </x:row>
    <x:row r="66">
      <x:c r="A66" s="30"/>
      <x:c r="B66" s="33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3"/>
      <x:c r="N66" s="30"/>
      <x:c r="O66" s="61" t="str">
        <x:f>IF(A66="","",IF(OR(N66="Closed",M66=""),0,TODAY()-M66))</x:f>
      </x:c>
      <x:c r="P66" s="30"/>
    </x:row>
    <x:row r="67">
      <x:c r="A67" s="30"/>
      <x:c r="B67" s="33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3"/>
      <x:c r="N67" s="30"/>
      <x:c r="O67" s="61" t="str">
        <x:f>IF(A67="","",IF(OR(N67="Closed",M67=""),0,TODAY()-M67))</x:f>
      </x:c>
      <x:c r="P67" s="30"/>
    </x:row>
    <x:row r="68">
      <x:c r="A68" s="30"/>
      <x:c r="B68" s="33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3"/>
      <x:c r="N68" s="30"/>
      <x:c r="O68" s="61" t="str">
        <x:f>IF(A68="","",IF(OR(N68="Closed",M68=""),0,TODAY()-M68))</x:f>
      </x:c>
      <x:c r="P68" s="30"/>
    </x:row>
    <x:row r="69">
      <x:c r="A69" s="30"/>
      <x:c r="B69" s="33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3"/>
      <x:c r="N69" s="30"/>
      <x:c r="O69" s="61" t="str">
        <x:f>IF(A69="","",IF(OR(N69="Closed",M69=""),0,TODAY()-M69))</x:f>
      </x:c>
      <x:c r="P69" s="30"/>
    </x:row>
    <x:row r="70">
      <x:c r="A70" s="30"/>
      <x:c r="B70" s="33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3"/>
      <x:c r="N70" s="30"/>
      <x:c r="O70" s="61" t="str">
        <x:f>IF(A70="","",IF(OR(N70="Closed",M70=""),0,TODAY()-M70))</x:f>
      </x:c>
      <x:c r="P70" s="30"/>
    </x:row>
    <x:row r="71">
      <x:c r="A71" s="30"/>
      <x:c r="B71" s="33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3"/>
      <x:c r="N71" s="30"/>
      <x:c r="O71" s="61" t="str">
        <x:f>IF(A71="","",IF(OR(N71="Closed",M71=""),0,TODAY()-M71))</x:f>
      </x:c>
      <x:c r="P71" s="30"/>
    </x:row>
    <x:row r="72">
      <x:c r="A72" s="30"/>
      <x:c r="B72" s="33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3"/>
      <x:c r="N72" s="30"/>
      <x:c r="O72" s="61" t="str">
        <x:f>IF(A72="","",IF(OR(N72="Closed",M72=""),0,TODAY()-M72))</x:f>
      </x:c>
      <x:c r="P72" s="30"/>
    </x:row>
    <x:row r="73">
      <x:c r="A73" s="30"/>
      <x:c r="B73" s="33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3"/>
      <x:c r="N73" s="30"/>
      <x:c r="O73" s="61" t="str">
        <x:f>IF(A73="","",IF(OR(N73="Closed",M73=""),0,TODAY()-M73))</x:f>
      </x:c>
      <x:c r="P73" s="30"/>
    </x:row>
    <x:row r="74">
      <x:c r="A74" s="30"/>
      <x:c r="B74" s="33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3"/>
      <x:c r="N74" s="30"/>
      <x:c r="O74" s="61" t="str">
        <x:f>IF(A74="","",IF(OR(N74="Closed",M74=""),0,TODAY()-M74))</x:f>
      </x:c>
      <x:c r="P74" s="30"/>
    </x:row>
    <x:row r="75">
      <x:c r="A75" s="30"/>
      <x:c r="B75" s="33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3"/>
      <x:c r="N75" s="30"/>
      <x:c r="O75" s="61" t="str">
        <x:f>IF(A75="","",IF(OR(N75="Closed",M75=""),0,TODAY()-M75))</x:f>
      </x:c>
      <x:c r="P75" s="30"/>
    </x:row>
    <x:row r="76">
      <x:c r="A76" s="30"/>
      <x:c r="B76" s="33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3"/>
      <x:c r="N76" s="30"/>
      <x:c r="O76" s="61" t="str">
        <x:f>IF(A76="","",IF(OR(N76="Closed",M76=""),0,TODAY()-M76))</x:f>
      </x:c>
      <x:c r="P76" s="30"/>
    </x:row>
    <x:row r="77">
      <x:c r="A77" s="30"/>
      <x:c r="B77" s="33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3"/>
      <x:c r="N77" s="30"/>
      <x:c r="O77" s="61" t="str">
        <x:f>IF(A77="","",IF(OR(N77="Closed",M77=""),0,TODAY()-M77))</x:f>
      </x:c>
      <x:c r="P77" s="30"/>
    </x:row>
    <x:row r="78">
      <x:c r="A78" s="30"/>
      <x:c r="B78" s="33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3"/>
      <x:c r="N78" s="30"/>
      <x:c r="O78" s="61" t="str">
        <x:f>IF(A78="","",IF(OR(N78="Closed",M78=""),0,TODAY()-M78))</x:f>
      </x:c>
      <x:c r="P78" s="30"/>
    </x:row>
    <x:row r="79">
      <x:c r="A79" s="30"/>
      <x:c r="B79" s="33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3"/>
      <x:c r="N79" s="30"/>
      <x:c r="O79" s="61" t="str">
        <x:f>IF(A79="","",IF(OR(N79="Closed",M79=""),0,TODAY()-M79))</x:f>
      </x:c>
      <x:c r="P79" s="30"/>
    </x:row>
    <x:row r="80">
      <x:c r="A80" s="30"/>
      <x:c r="B80" s="33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3"/>
      <x:c r="N80" s="30"/>
      <x:c r="O80" s="61" t="str">
        <x:f>IF(A80="","",IF(OR(N80="Closed",M80=""),0,TODAY()-M80))</x:f>
      </x:c>
      <x:c r="P80" s="30"/>
    </x:row>
    <x:row r="81">
      <x:c r="A81" s="30"/>
      <x:c r="B81" s="33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3"/>
      <x:c r="N81" s="30"/>
      <x:c r="O81" s="61" t="str">
        <x:f>IF(A81="","",IF(OR(N81="Closed",M81=""),0,TODAY()-M81))</x:f>
      </x:c>
      <x:c r="P81" s="30"/>
    </x:row>
    <x:row r="82">
      <x:c r="A82" s="30"/>
      <x:c r="B82" s="33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3"/>
      <x:c r="N82" s="30"/>
      <x:c r="O82" s="61" t="str">
        <x:f>IF(A82="","",IF(OR(N82="Closed",M82=""),0,TODAY()-M82))</x:f>
      </x:c>
      <x:c r="P82" s="30"/>
    </x:row>
    <x:row r="83">
      <x:c r="A83" s="30"/>
      <x:c r="B83" s="33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3"/>
      <x:c r="N83" s="30"/>
      <x:c r="O83" s="61" t="str">
        <x:f>IF(A83="","",IF(OR(N83="Closed",M83=""),0,TODAY()-M83))</x:f>
      </x:c>
      <x:c r="P83" s="30"/>
    </x:row>
    <x:row r="84">
      <x:c r="A84" s="30"/>
      <x:c r="B84" s="33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3"/>
      <x:c r="N84" s="30"/>
      <x:c r="O84" s="61" t="str">
        <x:f>IF(A84="","",IF(OR(N84="Closed",M84=""),0,TODAY()-M84))</x:f>
      </x:c>
      <x:c r="P84" s="30"/>
    </x:row>
    <x:row r="85">
      <x:c r="A85" s="30"/>
      <x:c r="B85" s="33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3"/>
      <x:c r="N85" s="30"/>
      <x:c r="O85" s="61" t="str">
        <x:f>IF(A85="","",IF(OR(N85="Closed",M85=""),0,TODAY()-M85))</x:f>
      </x:c>
      <x:c r="P85" s="30"/>
    </x:row>
    <x:row r="86">
      <x:c r="A86" s="30"/>
      <x:c r="B86" s="33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3"/>
      <x:c r="N86" s="30"/>
      <x:c r="O86" s="61" t="str">
        <x:f>IF(A86="","",IF(OR(N86="Closed",M86=""),0,TODAY()-M86))</x:f>
      </x:c>
      <x:c r="P86" s="30"/>
    </x:row>
    <x:row r="87">
      <x:c r="A87" s="30"/>
      <x:c r="B87" s="33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3"/>
      <x:c r="N87" s="30"/>
      <x:c r="O87" s="61" t="str">
        <x:f>IF(A87="","",IF(OR(N87="Closed",M87=""),0,TODAY()-M87))</x:f>
      </x:c>
      <x:c r="P87" s="30"/>
    </x:row>
    <x:row r="88">
      <x:c r="A88" s="30"/>
      <x:c r="B88" s="33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3"/>
      <x:c r="N88" s="30"/>
      <x:c r="O88" s="61" t="str">
        <x:f>IF(A88="","",IF(OR(N88="Closed",M88=""),0,TODAY()-M88))</x:f>
      </x:c>
      <x:c r="P88" s="30"/>
    </x:row>
    <x:row r="89">
      <x:c r="A89" s="30"/>
      <x:c r="B89" s="33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3"/>
      <x:c r="N89" s="30"/>
      <x:c r="O89" s="61" t="str">
        <x:f>IF(A89="","",IF(OR(N89="Closed",M89=""),0,TODAY()-M89))</x:f>
      </x:c>
      <x:c r="P89" s="30"/>
    </x:row>
    <x:row r="90">
      <x:c r="A90" s="30"/>
      <x:c r="B90" s="33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3"/>
      <x:c r="N90" s="30"/>
      <x:c r="O90" s="61" t="str">
        <x:f>IF(A90="","",IF(OR(N90="Closed",M90=""),0,TODAY()-M90))</x:f>
      </x:c>
      <x:c r="P90" s="30"/>
    </x:row>
    <x:row r="91">
      <x:c r="A91" s="30"/>
      <x:c r="B91" s="33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3"/>
      <x:c r="N91" s="30"/>
      <x:c r="O91" s="61" t="str">
        <x:f>IF(A91="","",IF(OR(N91="Closed",M91=""),0,TODAY()-M91))</x:f>
      </x:c>
      <x:c r="P91" s="30"/>
    </x:row>
    <x:row r="92">
      <x:c r="A92" s="30"/>
      <x:c r="B92" s="33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3"/>
      <x:c r="N92" s="30"/>
      <x:c r="O92" s="61" t="str">
        <x:f>IF(A92="","",IF(OR(N92="Closed",M92=""),0,TODAY()-M92))</x:f>
      </x:c>
      <x:c r="P92" s="30"/>
    </x:row>
    <x:row r="93">
      <x:c r="A93" s="30"/>
      <x:c r="B93" s="33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3"/>
      <x:c r="N93" s="30"/>
      <x:c r="O93" s="61" t="str">
        <x:f>IF(A93="","",IF(OR(N93="Closed",M93=""),0,TODAY()-M93))</x:f>
      </x:c>
      <x:c r="P93" s="30"/>
    </x:row>
    <x:row r="94">
      <x:c r="A94" s="30"/>
      <x:c r="B94" s="33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3"/>
      <x:c r="N94" s="30"/>
      <x:c r="O94" s="61" t="str">
        <x:f>IF(A94="","",IF(OR(N94="Closed",M94=""),0,TODAY()-M94))</x:f>
      </x:c>
      <x:c r="P94" s="30"/>
    </x:row>
    <x:row r="95">
      <x:c r="A95" s="30"/>
      <x:c r="B95" s="33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3"/>
      <x:c r="N95" s="30"/>
      <x:c r="O95" s="61" t="str">
        <x:f>IF(A95="","",IF(OR(N95="Closed",M95=""),0,TODAY()-M95))</x:f>
      </x:c>
      <x:c r="P95" s="30"/>
    </x:row>
    <x:row r="96">
      <x:c r="A96" s="30"/>
      <x:c r="B96" s="33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3"/>
      <x:c r="N96" s="30"/>
      <x:c r="O96" s="61" t="str">
        <x:f>IF(A96="","",IF(OR(N96="Closed",M96=""),0,TODAY()-M96))</x:f>
      </x:c>
      <x:c r="P96" s="30"/>
    </x:row>
    <x:row r="97">
      <x:c r="A97" s="30"/>
      <x:c r="B97" s="33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3"/>
      <x:c r="N97" s="30"/>
      <x:c r="O97" s="61" t="str">
        <x:f>IF(A97="","",IF(OR(N97="Closed",M97=""),0,TODAY()-M97))</x:f>
      </x:c>
      <x:c r="P97" s="30"/>
    </x:row>
    <x:row r="98">
      <x:c r="A98" s="30"/>
      <x:c r="B98" s="33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3"/>
      <x:c r="N98" s="30"/>
      <x:c r="O98" s="61" t="str">
        <x:f>IF(A98="","",IF(OR(N98="Closed",M98=""),0,TODAY()-M98))</x:f>
      </x:c>
      <x:c r="P98" s="30"/>
    </x:row>
    <x:row r="99">
      <x:c r="A99" s="30"/>
      <x:c r="B99" s="33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3"/>
      <x:c r="N99" s="30"/>
      <x:c r="O99" s="61" t="str">
        <x:f>IF(A99="","",IF(OR(N99="Closed",M99=""),0,TODAY()-M99))</x:f>
      </x:c>
      <x:c r="P99" s="30"/>
    </x:row>
    <x:row r="100">
      <x:c r="A100" s="30"/>
      <x:c r="B100" s="33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3"/>
      <x:c r="N100" s="30"/>
      <x:c r="O100" s="61" t="str">
        <x:f>IF(A100="","",IF(OR(N100="Closed",M100=""),0,TODAY()-M100))</x:f>
      </x:c>
      <x:c r="P100" s="30"/>
    </x:row>
    <x:row r="101">
      <x:c r="A101" s="30"/>
      <x:c r="B101" s="33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3"/>
      <x:c r="N101" s="30"/>
      <x:c r="O101" s="61" t="str">
        <x:f>IF(A101="","",IF(OR(N101="Closed",M101=""),0,TODAY()-M101))</x:f>
      </x:c>
      <x:c r="P101" s="30"/>
    </x:row>
    <x:row r="102">
      <x:c r="A102" s="30"/>
      <x:c r="B102" s="33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3"/>
      <x:c r="N102" s="30"/>
      <x:c r="O102" s="61" t="str">
        <x:f>IF(A102="","",IF(OR(N102="Closed",M102=""),0,TODAY()-M102))</x:f>
      </x:c>
      <x:c r="P102" s="30"/>
    </x:row>
    <x:row r="103">
      <x:c r="A103" s="30"/>
      <x:c r="B103" s="33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3"/>
      <x:c r="N103" s="30"/>
      <x:c r="O103" s="61" t="str">
        <x:f>IF(A103="","",IF(OR(N103="Closed",M103=""),0,TODAY()-M103))</x:f>
      </x:c>
      <x:c r="P103" s="30"/>
    </x:row>
    <x:row r="104">
      <x:c r="A104" s="30"/>
      <x:c r="B104" s="33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3"/>
      <x:c r="N104" s="30"/>
      <x:c r="O104" s="61" t="str">
        <x:f>IF(A104="","",IF(OR(N104="Closed",M104=""),0,TODAY()-M104))</x:f>
      </x:c>
      <x:c r="P104" s="30"/>
    </x:row>
    <x:row r="105">
      <x:c r="A105" s="31"/>
      <x:c r="B105" s="34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4"/>
      <x:c r="N105" s="31"/>
      <x:c r="O105" s="62" t="str">
        <x:f>IF(A105="","",IF(OR(N105="Closed",M105=""),0,TODAY()-M105))</x:f>
      </x:c>
      <x:c r="P105" s="31"/>
    </x:row>
  </x:sheetData>
  <x:mergeCells>
    <x:mergeCell ref="A1:P1"/>
    <x:mergeCell ref="A2:P2"/>
  </x:mergeCells>
  <x:conditionalFormatting sqref="O6:O105">
    <x:cfRule type="cellIs" dxfId="24" priority="1" operator="greaterThan">
      <x:formula>0</x:formula>
    </x:cfRule>
  </x:conditionalFormatting>
  <x:conditionalFormatting sqref="N6:N105">
    <x:cfRule type="containsText" dxfId="25" priority="2" operator="containsText" text="READY"/>
    <x:cfRule type="containsText" dxfId="26" priority="3" operator="containsText" text="INCOMPLETE"/>
    <x:cfRule type="containsText" dxfId="27" priority="4" operator="containsText" text="Closed"/>
    <x:cfRule type="containsText" dxfId="28" priority="5" operator="containsText" text="Overdue"/>
    <x:cfRule type="containsText" dxfId="29" priority="6" operator="containsText" text="In Progress"/>
  </x:conditionalFormatting>
  <x:dataValidations count="4">
    <x:dataValidation type="list" sqref="E6:E105">
      <x:formula1>"Automation,Manual Setup,Pre-Live QC,Post-Live,Player Report"</x:formula1>
    </x:dataValidation>
    <x:dataValidation type="list" sqref="F6:F105">
      <x:formula1>"Eligibility,Bonus Amount,Turnover,Dates,Segment,Duplicate,T&amp;C,Tracking,Other"</x:formula1>
    </x:dataValidation>
    <x:dataValidation type="list" sqref="N6:N105">
      <x:formula1>"Open,Investigating,Fix in Progress,Monitoring,Closed"</x:formula1>
    </x:dataValidation>
    <x:dataValidation type="list" sqref="P6:P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751115b60946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2" hidden="0" customWidth="1"/>
    <x:col min="22" max="22" width="22" hidden="0" customWidth="1"/>
  </x:cols>
  <x:sheetData>
    <x:row r="1" ht="34" customHeight="1">
      <x:c r="A1" s="3" t="str">
        <x:v>Campaign Results &amp; Post-Mortem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0" customHeight="1">
      <x:c r="A2" s="7" t="str">
        <x:v>Enter results after each campaign. Rates, unit costs, and deposit uplift calculate automatically.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5" ht="34" customHeight="1">
      <x:c r="A5" s="18" t="str">
        <x:v>Campaign ID</x:v>
      </x:c>
      <x:c r="B5" s="19" t="str">
        <x:v>Campaign Name</x:v>
      </x:c>
      <x:c r="C5" s="19" t="str">
        <x:v>Objective</x:v>
      </x:c>
      <x:c r="D5" s="19" t="str">
        <x:v>Segment</x:v>
      </x:c>
      <x:c r="E5" s="19" t="str">
        <x:v>Brand / Platform</x:v>
      </x:c>
      <x:c r="F5" s="19" t="str">
        <x:v>Channel</x:v>
      </x:c>
      <x:c r="G5" s="19" t="str">
        <x:v>Start Date</x:v>
      </x:c>
      <x:c r="H5" s="19" t="str">
        <x:v>End Date</x:v>
      </x:c>
      <x:c r="I5" s="19" t="str">
        <x:v>Target Players</x:v>
      </x:c>
      <x:c r="J5" s="19" t="str">
        <x:v>Claims</x:v>
      </x:c>
      <x:c r="K5" s="19" t="str">
        <x:v>Claim Rate</x:v>
      </x:c>
      <x:c r="L5" s="19" t="str">
        <x:v>Depositors (72h)</x:v>
      </x:c>
      <x:c r="M5" s="19" t="str">
        <x:v>Claim → Deposit Rate</x:v>
      </x:c>
      <x:c r="N5" s="19" t="str">
        <x:v>Deposit Amount (MYR)</x:v>
      </x:c>
      <x:c r="O5" s="19" t="str">
        <x:v>Bonus Cost (MYR)</x:v>
      </x:c>
      <x:c r="P5" s="19" t="str">
        <x:v>Cost / Claim</x:v>
      </x:c>
      <x:c r="Q5" s="19" t="str">
        <x:v>Cost / Reactivated Player</x:v>
      </x:c>
      <x:c r="R5" s="19" t="str">
        <x:v>Avg Deposit Pre</x:v>
      </x:c>
      <x:c r="S5" s="19" t="str">
        <x:v>Avg Deposit Post</x:v>
      </x:c>
      <x:c r="T5" s="19" t="str">
        <x:v>Deposit Uplift</x:v>
      </x:c>
      <x:c r="U5" s="19" t="str">
        <x:v>Post-Mortem Complete?</x:v>
      </x:c>
      <x:c r="V5" s="20" t="str">
        <x:v>Next Action</x:v>
      </x:c>
    </x:row>
    <x:row r="6">
      <x:c r="A6" s="29"/>
      <x:c r="B6" s="29"/>
      <x:c r="C6" s="29"/>
      <x:c r="D6" s="29"/>
      <x:c r="E6" s="29"/>
      <x:c r="F6" s="29"/>
      <x:c r="G6" s="32"/>
      <x:c r="H6" s="32"/>
      <x:c r="I6" s="54"/>
      <x:c r="J6" s="54"/>
      <x:c r="K6" s="63" t="str">
        <x:f>IF(A6="","",IFERROR(J6/I6,0))</x:f>
      </x:c>
      <x:c r="L6" s="54"/>
      <x:c r="M6" s="63" t="str">
        <x:f>IF(A6="","",IFERROR(L6/J6,0))</x:f>
      </x:c>
      <x:c r="N6" s="51"/>
      <x:c r="O6" s="51"/>
      <x:c r="P6" s="66" t="str">
        <x:f>IF(A6="","",IFERROR(O6/J6,0))</x:f>
      </x:c>
      <x:c r="Q6" s="66" t="str">
        <x:f>IF(A6="","",IFERROR(O6/L6,0))</x:f>
      </x:c>
      <x:c r="R6" s="51"/>
      <x:c r="S6" s="51"/>
      <x:c r="T6" s="63" t="str">
        <x:f>IF(A6="","",IFERROR(S6/R6-1,0))</x:f>
      </x:c>
      <x:c r="U6" s="29"/>
      <x:c r="V6" s="29"/>
    </x:row>
    <x:row r="7">
      <x:c r="A7" s="30"/>
      <x:c r="B7" s="30"/>
      <x:c r="C7" s="30"/>
      <x:c r="D7" s="30"/>
      <x:c r="E7" s="30"/>
      <x:c r="F7" s="30"/>
      <x:c r="G7" s="33"/>
      <x:c r="H7" s="33"/>
      <x:c r="I7" s="55"/>
      <x:c r="J7" s="55"/>
      <x:c r="K7" s="64" t="str">
        <x:f>IF(A7="","",IFERROR(J7/I7,0))</x:f>
      </x:c>
      <x:c r="L7" s="55"/>
      <x:c r="M7" s="64" t="str">
        <x:f>IF(A7="","",IFERROR(L7/J7,0))</x:f>
      </x:c>
      <x:c r="N7" s="52"/>
      <x:c r="O7" s="52"/>
      <x:c r="P7" s="67" t="str">
        <x:f>IF(A7="","",IFERROR(O7/J7,0))</x:f>
      </x:c>
      <x:c r="Q7" s="67" t="str">
        <x:f>IF(A7="","",IFERROR(O7/L7,0))</x:f>
      </x:c>
      <x:c r="R7" s="52"/>
      <x:c r="S7" s="52"/>
      <x:c r="T7" s="64" t="str">
        <x:f>IF(A7="","",IFERROR(S7/R7-1,0))</x:f>
      </x:c>
      <x:c r="U7" s="30"/>
      <x:c r="V7" s="30"/>
    </x:row>
    <x:row r="8">
      <x:c r="A8" s="30"/>
      <x:c r="B8" s="30"/>
      <x:c r="C8" s="30"/>
      <x:c r="D8" s="30"/>
      <x:c r="E8" s="30"/>
      <x:c r="F8" s="30"/>
      <x:c r="G8" s="33"/>
      <x:c r="H8" s="33"/>
      <x:c r="I8" s="55"/>
      <x:c r="J8" s="55"/>
      <x:c r="K8" s="64" t="str">
        <x:f>IF(A8="","",IFERROR(J8/I8,0))</x:f>
      </x:c>
      <x:c r="L8" s="55"/>
      <x:c r="M8" s="64" t="str">
        <x:f>IF(A8="","",IFERROR(L8/J8,0))</x:f>
      </x:c>
      <x:c r="N8" s="52"/>
      <x:c r="O8" s="52"/>
      <x:c r="P8" s="67" t="str">
        <x:f>IF(A8="","",IFERROR(O8/J8,0))</x:f>
      </x:c>
      <x:c r="Q8" s="67" t="str">
        <x:f>IF(A8="","",IFERROR(O8/L8,0))</x:f>
      </x:c>
      <x:c r="R8" s="52"/>
      <x:c r="S8" s="52"/>
      <x:c r="T8" s="64" t="str">
        <x:f>IF(A8="","",IFERROR(S8/R8-1,0))</x:f>
      </x:c>
      <x:c r="U8" s="30"/>
      <x:c r="V8" s="30"/>
    </x:row>
    <x:row r="9">
      <x:c r="A9" s="30"/>
      <x:c r="B9" s="30"/>
      <x:c r="C9" s="30"/>
      <x:c r="D9" s="30"/>
      <x:c r="E9" s="30"/>
      <x:c r="F9" s="30"/>
      <x:c r="G9" s="33"/>
      <x:c r="H9" s="33"/>
      <x:c r="I9" s="55"/>
      <x:c r="J9" s="55"/>
      <x:c r="K9" s="64" t="str">
        <x:f>IF(A9="","",IFERROR(J9/I9,0))</x:f>
      </x:c>
      <x:c r="L9" s="55"/>
      <x:c r="M9" s="64" t="str">
        <x:f>IF(A9="","",IFERROR(L9/J9,0))</x:f>
      </x:c>
      <x:c r="N9" s="52"/>
      <x:c r="O9" s="52"/>
      <x:c r="P9" s="67" t="str">
        <x:f>IF(A9="","",IFERROR(O9/J9,0))</x:f>
      </x:c>
      <x:c r="Q9" s="67" t="str">
        <x:f>IF(A9="","",IFERROR(O9/L9,0))</x:f>
      </x:c>
      <x:c r="R9" s="52"/>
      <x:c r="S9" s="52"/>
      <x:c r="T9" s="64" t="str">
        <x:f>IF(A9="","",IFERROR(S9/R9-1,0))</x:f>
      </x:c>
      <x:c r="U9" s="30"/>
      <x:c r="V9" s="30"/>
    </x:row>
    <x:row r="10">
      <x:c r="A10" s="30"/>
      <x:c r="B10" s="30"/>
      <x:c r="C10" s="30"/>
      <x:c r="D10" s="30"/>
      <x:c r="E10" s="30"/>
      <x:c r="F10" s="30"/>
      <x:c r="G10" s="33"/>
      <x:c r="H10" s="33"/>
      <x:c r="I10" s="55"/>
      <x:c r="J10" s="55"/>
      <x:c r="K10" s="64" t="str">
        <x:f>IF(A10="","",IFERROR(J10/I10,0))</x:f>
      </x:c>
      <x:c r="L10" s="55"/>
      <x:c r="M10" s="64" t="str">
        <x:f>IF(A10="","",IFERROR(L10/J10,0))</x:f>
      </x:c>
      <x:c r="N10" s="52"/>
      <x:c r="O10" s="52"/>
      <x:c r="P10" s="67" t="str">
        <x:f>IF(A10="","",IFERROR(O10/J10,0))</x:f>
      </x:c>
      <x:c r="Q10" s="67" t="str">
        <x:f>IF(A10="","",IFERROR(O10/L10,0))</x:f>
      </x:c>
      <x:c r="R10" s="52"/>
      <x:c r="S10" s="52"/>
      <x:c r="T10" s="64" t="str">
        <x:f>IF(A10="","",IFERROR(S10/R10-1,0))</x:f>
      </x:c>
      <x:c r="U10" s="30"/>
      <x:c r="V10" s="30"/>
    </x:row>
    <x:row r="11">
      <x:c r="A11" s="30"/>
      <x:c r="B11" s="30"/>
      <x:c r="C11" s="30"/>
      <x:c r="D11" s="30"/>
      <x:c r="E11" s="30"/>
      <x:c r="F11" s="30"/>
      <x:c r="G11" s="33"/>
      <x:c r="H11" s="33"/>
      <x:c r="I11" s="55"/>
      <x:c r="J11" s="55"/>
      <x:c r="K11" s="64" t="str">
        <x:f>IF(A11="","",IFERROR(J11/I11,0))</x:f>
      </x:c>
      <x:c r="L11" s="55"/>
      <x:c r="M11" s="64" t="str">
        <x:f>IF(A11="","",IFERROR(L11/J11,0))</x:f>
      </x:c>
      <x:c r="N11" s="52"/>
      <x:c r="O11" s="52"/>
      <x:c r="P11" s="67" t="str">
        <x:f>IF(A11="","",IFERROR(O11/J11,0))</x:f>
      </x:c>
      <x:c r="Q11" s="67" t="str">
        <x:f>IF(A11="","",IFERROR(O11/L11,0))</x:f>
      </x:c>
      <x:c r="R11" s="52"/>
      <x:c r="S11" s="52"/>
      <x:c r="T11" s="64" t="str">
        <x:f>IF(A11="","",IFERROR(S11/R11-1,0))</x:f>
      </x:c>
      <x:c r="U11" s="30"/>
      <x:c r="V11" s="30"/>
    </x:row>
    <x:row r="12">
      <x:c r="A12" s="30"/>
      <x:c r="B12" s="30"/>
      <x:c r="C12" s="30"/>
      <x:c r="D12" s="30"/>
      <x:c r="E12" s="30"/>
      <x:c r="F12" s="30"/>
      <x:c r="G12" s="33"/>
      <x:c r="H12" s="33"/>
      <x:c r="I12" s="55"/>
      <x:c r="J12" s="55"/>
      <x:c r="K12" s="64" t="str">
        <x:f>IF(A12="","",IFERROR(J12/I12,0))</x:f>
      </x:c>
      <x:c r="L12" s="55"/>
      <x:c r="M12" s="64" t="str">
        <x:f>IF(A12="","",IFERROR(L12/J12,0))</x:f>
      </x:c>
      <x:c r="N12" s="52"/>
      <x:c r="O12" s="52"/>
      <x:c r="P12" s="67" t="str">
        <x:f>IF(A12="","",IFERROR(O12/J12,0))</x:f>
      </x:c>
      <x:c r="Q12" s="67" t="str">
        <x:f>IF(A12="","",IFERROR(O12/L12,0))</x:f>
      </x:c>
      <x:c r="R12" s="52"/>
      <x:c r="S12" s="52"/>
      <x:c r="T12" s="64" t="str">
        <x:f>IF(A12="","",IFERROR(S12/R12-1,0))</x:f>
      </x:c>
      <x:c r="U12" s="30"/>
      <x:c r="V12" s="30"/>
    </x:row>
    <x:row r="13">
      <x:c r="A13" s="30"/>
      <x:c r="B13" s="30"/>
      <x:c r="C13" s="30"/>
      <x:c r="D13" s="30"/>
      <x:c r="E13" s="30"/>
      <x:c r="F13" s="30"/>
      <x:c r="G13" s="33"/>
      <x:c r="H13" s="33"/>
      <x:c r="I13" s="55"/>
      <x:c r="J13" s="55"/>
      <x:c r="K13" s="64" t="str">
        <x:f>IF(A13="","",IFERROR(J13/I13,0))</x:f>
      </x:c>
      <x:c r="L13" s="55"/>
      <x:c r="M13" s="64" t="str">
        <x:f>IF(A13="","",IFERROR(L13/J13,0))</x:f>
      </x:c>
      <x:c r="N13" s="52"/>
      <x:c r="O13" s="52"/>
      <x:c r="P13" s="67" t="str">
        <x:f>IF(A13="","",IFERROR(O13/J13,0))</x:f>
      </x:c>
      <x:c r="Q13" s="67" t="str">
        <x:f>IF(A13="","",IFERROR(O13/L13,0))</x:f>
      </x:c>
      <x:c r="R13" s="52"/>
      <x:c r="S13" s="52"/>
      <x:c r="T13" s="64" t="str">
        <x:f>IF(A13="","",IFERROR(S13/R13-1,0))</x:f>
      </x:c>
      <x:c r="U13" s="30"/>
      <x:c r="V13" s="30"/>
    </x:row>
    <x:row r="14">
      <x:c r="A14" s="30"/>
      <x:c r="B14" s="30"/>
      <x:c r="C14" s="30"/>
      <x:c r="D14" s="30"/>
      <x:c r="E14" s="30"/>
      <x:c r="F14" s="30"/>
      <x:c r="G14" s="33"/>
      <x:c r="H14" s="33"/>
      <x:c r="I14" s="55"/>
      <x:c r="J14" s="55"/>
      <x:c r="K14" s="64" t="str">
        <x:f>IF(A14="","",IFERROR(J14/I14,0))</x:f>
      </x:c>
      <x:c r="L14" s="55"/>
      <x:c r="M14" s="64" t="str">
        <x:f>IF(A14="","",IFERROR(L14/J14,0))</x:f>
      </x:c>
      <x:c r="N14" s="52"/>
      <x:c r="O14" s="52"/>
      <x:c r="P14" s="67" t="str">
        <x:f>IF(A14="","",IFERROR(O14/J14,0))</x:f>
      </x:c>
      <x:c r="Q14" s="67" t="str">
        <x:f>IF(A14="","",IFERROR(O14/L14,0))</x:f>
      </x:c>
      <x:c r="R14" s="52"/>
      <x:c r="S14" s="52"/>
      <x:c r="T14" s="64" t="str">
        <x:f>IF(A14="","",IFERROR(S14/R14-1,0))</x:f>
      </x:c>
      <x:c r="U14" s="30"/>
      <x:c r="V14" s="30"/>
    </x:row>
    <x:row r="15">
      <x:c r="A15" s="30"/>
      <x:c r="B15" s="30"/>
      <x:c r="C15" s="30"/>
      <x:c r="D15" s="30"/>
      <x:c r="E15" s="30"/>
      <x:c r="F15" s="30"/>
      <x:c r="G15" s="33"/>
      <x:c r="H15" s="33"/>
      <x:c r="I15" s="55"/>
      <x:c r="J15" s="55"/>
      <x:c r="K15" s="64" t="str">
        <x:f>IF(A15="","",IFERROR(J15/I15,0))</x:f>
      </x:c>
      <x:c r="L15" s="55"/>
      <x:c r="M15" s="64" t="str">
        <x:f>IF(A15="","",IFERROR(L15/J15,0))</x:f>
      </x:c>
      <x:c r="N15" s="52"/>
      <x:c r="O15" s="52"/>
      <x:c r="P15" s="67" t="str">
        <x:f>IF(A15="","",IFERROR(O15/J15,0))</x:f>
      </x:c>
      <x:c r="Q15" s="67" t="str">
        <x:f>IF(A15="","",IFERROR(O15/L15,0))</x:f>
      </x:c>
      <x:c r="R15" s="52"/>
      <x:c r="S15" s="52"/>
      <x:c r="T15" s="64" t="str">
        <x:f>IF(A15="","",IFERROR(S15/R15-1,0))</x:f>
      </x:c>
      <x:c r="U15" s="30"/>
      <x:c r="V15" s="30"/>
    </x:row>
    <x:row r="16">
      <x:c r="A16" s="30"/>
      <x:c r="B16" s="30"/>
      <x:c r="C16" s="30"/>
      <x:c r="D16" s="30"/>
      <x:c r="E16" s="30"/>
      <x:c r="F16" s="30"/>
      <x:c r="G16" s="33"/>
      <x:c r="H16" s="33"/>
      <x:c r="I16" s="55"/>
      <x:c r="J16" s="55"/>
      <x:c r="K16" s="64" t="str">
        <x:f>IF(A16="","",IFERROR(J16/I16,0))</x:f>
      </x:c>
      <x:c r="L16" s="55"/>
      <x:c r="M16" s="64" t="str">
        <x:f>IF(A16="","",IFERROR(L16/J16,0))</x:f>
      </x:c>
      <x:c r="N16" s="52"/>
      <x:c r="O16" s="52"/>
      <x:c r="P16" s="67" t="str">
        <x:f>IF(A16="","",IFERROR(O16/J16,0))</x:f>
      </x:c>
      <x:c r="Q16" s="67" t="str">
        <x:f>IF(A16="","",IFERROR(O16/L16,0))</x:f>
      </x:c>
      <x:c r="R16" s="52"/>
      <x:c r="S16" s="52"/>
      <x:c r="T16" s="64" t="str">
        <x:f>IF(A16="","",IFERROR(S16/R16-1,0))</x:f>
      </x:c>
      <x:c r="U16" s="30"/>
      <x:c r="V16" s="30"/>
    </x:row>
    <x:row r="17">
      <x:c r="A17" s="30"/>
      <x:c r="B17" s="30"/>
      <x:c r="C17" s="30"/>
      <x:c r="D17" s="30"/>
      <x:c r="E17" s="30"/>
      <x:c r="F17" s="30"/>
      <x:c r="G17" s="33"/>
      <x:c r="H17" s="33"/>
      <x:c r="I17" s="55"/>
      <x:c r="J17" s="55"/>
      <x:c r="K17" s="64" t="str">
        <x:f>IF(A17="","",IFERROR(J17/I17,0))</x:f>
      </x:c>
      <x:c r="L17" s="55"/>
      <x:c r="M17" s="64" t="str">
        <x:f>IF(A17="","",IFERROR(L17/J17,0))</x:f>
      </x:c>
      <x:c r="N17" s="52"/>
      <x:c r="O17" s="52"/>
      <x:c r="P17" s="67" t="str">
        <x:f>IF(A17="","",IFERROR(O17/J17,0))</x:f>
      </x:c>
      <x:c r="Q17" s="67" t="str">
        <x:f>IF(A17="","",IFERROR(O17/L17,0))</x:f>
      </x:c>
      <x:c r="R17" s="52"/>
      <x:c r="S17" s="52"/>
      <x:c r="T17" s="64" t="str">
        <x:f>IF(A17="","",IFERROR(S17/R17-1,0))</x:f>
      </x:c>
      <x:c r="U17" s="30"/>
      <x:c r="V17" s="30"/>
    </x:row>
    <x:row r="18">
      <x:c r="A18" s="30"/>
      <x:c r="B18" s="30"/>
      <x:c r="C18" s="30"/>
      <x:c r="D18" s="30"/>
      <x:c r="E18" s="30"/>
      <x:c r="F18" s="30"/>
      <x:c r="G18" s="33"/>
      <x:c r="H18" s="33"/>
      <x:c r="I18" s="55"/>
      <x:c r="J18" s="55"/>
      <x:c r="K18" s="64" t="str">
        <x:f>IF(A18="","",IFERROR(J18/I18,0))</x:f>
      </x:c>
      <x:c r="L18" s="55"/>
      <x:c r="M18" s="64" t="str">
        <x:f>IF(A18="","",IFERROR(L18/J18,0))</x:f>
      </x:c>
      <x:c r="N18" s="52"/>
      <x:c r="O18" s="52"/>
      <x:c r="P18" s="67" t="str">
        <x:f>IF(A18="","",IFERROR(O18/J18,0))</x:f>
      </x:c>
      <x:c r="Q18" s="67" t="str">
        <x:f>IF(A18="","",IFERROR(O18/L18,0))</x:f>
      </x:c>
      <x:c r="R18" s="52"/>
      <x:c r="S18" s="52"/>
      <x:c r="T18" s="64" t="str">
        <x:f>IF(A18="","",IFERROR(S18/R18-1,0))</x:f>
      </x:c>
      <x:c r="U18" s="30"/>
      <x:c r="V18" s="30"/>
    </x:row>
    <x:row r="19">
      <x:c r="A19" s="30"/>
      <x:c r="B19" s="30"/>
      <x:c r="C19" s="30"/>
      <x:c r="D19" s="30"/>
      <x:c r="E19" s="30"/>
      <x:c r="F19" s="30"/>
      <x:c r="G19" s="33"/>
      <x:c r="H19" s="33"/>
      <x:c r="I19" s="55"/>
      <x:c r="J19" s="55"/>
      <x:c r="K19" s="64" t="str">
        <x:f>IF(A19="","",IFERROR(J19/I19,0))</x:f>
      </x:c>
      <x:c r="L19" s="55"/>
      <x:c r="M19" s="64" t="str">
        <x:f>IF(A19="","",IFERROR(L19/J19,0))</x:f>
      </x:c>
      <x:c r="N19" s="52"/>
      <x:c r="O19" s="52"/>
      <x:c r="P19" s="67" t="str">
        <x:f>IF(A19="","",IFERROR(O19/J19,0))</x:f>
      </x:c>
      <x:c r="Q19" s="67" t="str">
        <x:f>IF(A19="","",IFERROR(O19/L19,0))</x:f>
      </x:c>
      <x:c r="R19" s="52"/>
      <x:c r="S19" s="52"/>
      <x:c r="T19" s="64" t="str">
        <x:f>IF(A19="","",IFERROR(S19/R19-1,0))</x:f>
      </x:c>
      <x:c r="U19" s="30"/>
      <x:c r="V19" s="30"/>
    </x:row>
    <x:row r="20">
      <x:c r="A20" s="30"/>
      <x:c r="B20" s="30"/>
      <x:c r="C20" s="30"/>
      <x:c r="D20" s="30"/>
      <x:c r="E20" s="30"/>
      <x:c r="F20" s="30"/>
      <x:c r="G20" s="33"/>
      <x:c r="H20" s="33"/>
      <x:c r="I20" s="55"/>
      <x:c r="J20" s="55"/>
      <x:c r="K20" s="64" t="str">
        <x:f>IF(A20="","",IFERROR(J20/I20,0))</x:f>
      </x:c>
      <x:c r="L20" s="55"/>
      <x:c r="M20" s="64" t="str">
        <x:f>IF(A20="","",IFERROR(L20/J20,0))</x:f>
      </x:c>
      <x:c r="N20" s="52"/>
      <x:c r="O20" s="52"/>
      <x:c r="P20" s="67" t="str">
        <x:f>IF(A20="","",IFERROR(O20/J20,0))</x:f>
      </x:c>
      <x:c r="Q20" s="67" t="str">
        <x:f>IF(A20="","",IFERROR(O20/L20,0))</x:f>
      </x:c>
      <x:c r="R20" s="52"/>
      <x:c r="S20" s="52"/>
      <x:c r="T20" s="64" t="str">
        <x:f>IF(A20="","",IFERROR(S20/R20-1,0))</x:f>
      </x:c>
      <x:c r="U20" s="30"/>
      <x:c r="V20" s="30"/>
    </x:row>
    <x:row r="21">
      <x:c r="A21" s="30"/>
      <x:c r="B21" s="30"/>
      <x:c r="C21" s="30"/>
      <x:c r="D21" s="30"/>
      <x:c r="E21" s="30"/>
      <x:c r="F21" s="30"/>
      <x:c r="G21" s="33"/>
      <x:c r="H21" s="33"/>
      <x:c r="I21" s="55"/>
      <x:c r="J21" s="55"/>
      <x:c r="K21" s="64" t="str">
        <x:f>IF(A21="","",IFERROR(J21/I21,0))</x:f>
      </x:c>
      <x:c r="L21" s="55"/>
      <x:c r="M21" s="64" t="str">
        <x:f>IF(A21="","",IFERROR(L21/J21,0))</x:f>
      </x:c>
      <x:c r="N21" s="52"/>
      <x:c r="O21" s="52"/>
      <x:c r="P21" s="67" t="str">
        <x:f>IF(A21="","",IFERROR(O21/J21,0))</x:f>
      </x:c>
      <x:c r="Q21" s="67" t="str">
        <x:f>IF(A21="","",IFERROR(O21/L21,0))</x:f>
      </x:c>
      <x:c r="R21" s="52"/>
      <x:c r="S21" s="52"/>
      <x:c r="T21" s="64" t="str">
        <x:f>IF(A21="","",IFERROR(S21/R21-1,0))</x:f>
      </x:c>
      <x:c r="U21" s="30"/>
      <x:c r="V21" s="30"/>
    </x:row>
    <x:row r="22">
      <x:c r="A22" s="30"/>
      <x:c r="B22" s="30"/>
      <x:c r="C22" s="30"/>
      <x:c r="D22" s="30"/>
      <x:c r="E22" s="30"/>
      <x:c r="F22" s="30"/>
      <x:c r="G22" s="33"/>
      <x:c r="H22" s="33"/>
      <x:c r="I22" s="55"/>
      <x:c r="J22" s="55"/>
      <x:c r="K22" s="64" t="str">
        <x:f>IF(A22="","",IFERROR(J22/I22,0))</x:f>
      </x:c>
      <x:c r="L22" s="55"/>
      <x:c r="M22" s="64" t="str">
        <x:f>IF(A22="","",IFERROR(L22/J22,0))</x:f>
      </x:c>
      <x:c r="N22" s="52"/>
      <x:c r="O22" s="52"/>
      <x:c r="P22" s="67" t="str">
        <x:f>IF(A22="","",IFERROR(O22/J22,0))</x:f>
      </x:c>
      <x:c r="Q22" s="67" t="str">
        <x:f>IF(A22="","",IFERROR(O22/L22,0))</x:f>
      </x:c>
      <x:c r="R22" s="52"/>
      <x:c r="S22" s="52"/>
      <x:c r="T22" s="64" t="str">
        <x:f>IF(A22="","",IFERROR(S22/R22-1,0))</x:f>
      </x:c>
      <x:c r="U22" s="30"/>
      <x:c r="V22" s="30"/>
    </x:row>
    <x:row r="23">
      <x:c r="A23" s="30"/>
      <x:c r="B23" s="30"/>
      <x:c r="C23" s="30"/>
      <x:c r="D23" s="30"/>
      <x:c r="E23" s="30"/>
      <x:c r="F23" s="30"/>
      <x:c r="G23" s="33"/>
      <x:c r="H23" s="33"/>
      <x:c r="I23" s="55"/>
      <x:c r="J23" s="55"/>
      <x:c r="K23" s="64" t="str">
        <x:f>IF(A23="","",IFERROR(J23/I23,0))</x:f>
      </x:c>
      <x:c r="L23" s="55"/>
      <x:c r="M23" s="64" t="str">
        <x:f>IF(A23="","",IFERROR(L23/J23,0))</x:f>
      </x:c>
      <x:c r="N23" s="52"/>
      <x:c r="O23" s="52"/>
      <x:c r="P23" s="67" t="str">
        <x:f>IF(A23="","",IFERROR(O23/J23,0))</x:f>
      </x:c>
      <x:c r="Q23" s="67" t="str">
        <x:f>IF(A23="","",IFERROR(O23/L23,0))</x:f>
      </x:c>
      <x:c r="R23" s="52"/>
      <x:c r="S23" s="52"/>
      <x:c r="T23" s="64" t="str">
        <x:f>IF(A23="","",IFERROR(S23/R23-1,0))</x:f>
      </x:c>
      <x:c r="U23" s="30"/>
      <x:c r="V23" s="30"/>
    </x:row>
    <x:row r="24">
      <x:c r="A24" s="30"/>
      <x:c r="B24" s="30"/>
      <x:c r="C24" s="30"/>
      <x:c r="D24" s="30"/>
      <x:c r="E24" s="30"/>
      <x:c r="F24" s="30"/>
      <x:c r="G24" s="33"/>
      <x:c r="H24" s="33"/>
      <x:c r="I24" s="55"/>
      <x:c r="J24" s="55"/>
      <x:c r="K24" s="64" t="str">
        <x:f>IF(A24="","",IFERROR(J24/I24,0))</x:f>
      </x:c>
      <x:c r="L24" s="55"/>
      <x:c r="M24" s="64" t="str">
        <x:f>IF(A24="","",IFERROR(L24/J24,0))</x:f>
      </x:c>
      <x:c r="N24" s="52"/>
      <x:c r="O24" s="52"/>
      <x:c r="P24" s="67" t="str">
        <x:f>IF(A24="","",IFERROR(O24/J24,0))</x:f>
      </x:c>
      <x:c r="Q24" s="67" t="str">
        <x:f>IF(A24="","",IFERROR(O24/L24,0))</x:f>
      </x:c>
      <x:c r="R24" s="52"/>
      <x:c r="S24" s="52"/>
      <x:c r="T24" s="64" t="str">
        <x:f>IF(A24="","",IFERROR(S24/R24-1,0))</x:f>
      </x:c>
      <x:c r="U24" s="30"/>
      <x:c r="V24" s="30"/>
    </x:row>
    <x:row r="25">
      <x:c r="A25" s="30"/>
      <x:c r="B25" s="30"/>
      <x:c r="C25" s="30"/>
      <x:c r="D25" s="30"/>
      <x:c r="E25" s="30"/>
      <x:c r="F25" s="30"/>
      <x:c r="G25" s="33"/>
      <x:c r="H25" s="33"/>
      <x:c r="I25" s="55"/>
      <x:c r="J25" s="55"/>
      <x:c r="K25" s="64" t="str">
        <x:f>IF(A25="","",IFERROR(J25/I25,0))</x:f>
      </x:c>
      <x:c r="L25" s="55"/>
      <x:c r="M25" s="64" t="str">
        <x:f>IF(A25="","",IFERROR(L25/J25,0))</x:f>
      </x:c>
      <x:c r="N25" s="52"/>
      <x:c r="O25" s="52"/>
      <x:c r="P25" s="67" t="str">
        <x:f>IF(A25="","",IFERROR(O25/J25,0))</x:f>
      </x:c>
      <x:c r="Q25" s="67" t="str">
        <x:f>IF(A25="","",IFERROR(O25/L25,0))</x:f>
      </x:c>
      <x:c r="R25" s="52"/>
      <x:c r="S25" s="52"/>
      <x:c r="T25" s="64" t="str">
        <x:f>IF(A25="","",IFERROR(S25/R25-1,0))</x:f>
      </x:c>
      <x:c r="U25" s="30"/>
      <x:c r="V25" s="30"/>
    </x:row>
    <x:row r="26">
      <x:c r="A26" s="30"/>
      <x:c r="B26" s="30"/>
      <x:c r="C26" s="30"/>
      <x:c r="D26" s="30"/>
      <x:c r="E26" s="30"/>
      <x:c r="F26" s="30"/>
      <x:c r="G26" s="33"/>
      <x:c r="H26" s="33"/>
      <x:c r="I26" s="55"/>
      <x:c r="J26" s="55"/>
      <x:c r="K26" s="64" t="str">
        <x:f>IF(A26="","",IFERROR(J26/I26,0))</x:f>
      </x:c>
      <x:c r="L26" s="55"/>
      <x:c r="M26" s="64" t="str">
        <x:f>IF(A26="","",IFERROR(L26/J26,0))</x:f>
      </x:c>
      <x:c r="N26" s="52"/>
      <x:c r="O26" s="52"/>
      <x:c r="P26" s="67" t="str">
        <x:f>IF(A26="","",IFERROR(O26/J26,0))</x:f>
      </x:c>
      <x:c r="Q26" s="67" t="str">
        <x:f>IF(A26="","",IFERROR(O26/L26,0))</x:f>
      </x:c>
      <x:c r="R26" s="52"/>
      <x:c r="S26" s="52"/>
      <x:c r="T26" s="64" t="str">
        <x:f>IF(A26="","",IFERROR(S26/R26-1,0))</x:f>
      </x:c>
      <x:c r="U26" s="30"/>
      <x:c r="V26" s="30"/>
    </x:row>
    <x:row r="27">
      <x:c r="A27" s="30"/>
      <x:c r="B27" s="30"/>
      <x:c r="C27" s="30"/>
      <x:c r="D27" s="30"/>
      <x:c r="E27" s="30"/>
      <x:c r="F27" s="30"/>
      <x:c r="G27" s="33"/>
      <x:c r="H27" s="33"/>
      <x:c r="I27" s="55"/>
      <x:c r="J27" s="55"/>
      <x:c r="K27" s="64" t="str">
        <x:f>IF(A27="","",IFERROR(J27/I27,0))</x:f>
      </x:c>
      <x:c r="L27" s="55"/>
      <x:c r="M27" s="64" t="str">
        <x:f>IF(A27="","",IFERROR(L27/J27,0))</x:f>
      </x:c>
      <x:c r="N27" s="52"/>
      <x:c r="O27" s="52"/>
      <x:c r="P27" s="67" t="str">
        <x:f>IF(A27="","",IFERROR(O27/J27,0))</x:f>
      </x:c>
      <x:c r="Q27" s="67" t="str">
        <x:f>IF(A27="","",IFERROR(O27/L27,0))</x:f>
      </x:c>
      <x:c r="R27" s="52"/>
      <x:c r="S27" s="52"/>
      <x:c r="T27" s="64" t="str">
        <x:f>IF(A27="","",IFERROR(S27/R27-1,0))</x:f>
      </x:c>
      <x:c r="U27" s="30"/>
      <x:c r="V27" s="30"/>
    </x:row>
    <x:row r="28">
      <x:c r="A28" s="30"/>
      <x:c r="B28" s="30"/>
      <x:c r="C28" s="30"/>
      <x:c r="D28" s="30"/>
      <x:c r="E28" s="30"/>
      <x:c r="F28" s="30"/>
      <x:c r="G28" s="33"/>
      <x:c r="H28" s="33"/>
      <x:c r="I28" s="55"/>
      <x:c r="J28" s="55"/>
      <x:c r="K28" s="64" t="str">
        <x:f>IF(A28="","",IFERROR(J28/I28,0))</x:f>
      </x:c>
      <x:c r="L28" s="55"/>
      <x:c r="M28" s="64" t="str">
        <x:f>IF(A28="","",IFERROR(L28/J28,0))</x:f>
      </x:c>
      <x:c r="N28" s="52"/>
      <x:c r="O28" s="52"/>
      <x:c r="P28" s="67" t="str">
        <x:f>IF(A28="","",IFERROR(O28/J28,0))</x:f>
      </x:c>
      <x:c r="Q28" s="67" t="str">
        <x:f>IF(A28="","",IFERROR(O28/L28,0))</x:f>
      </x:c>
      <x:c r="R28" s="52"/>
      <x:c r="S28" s="52"/>
      <x:c r="T28" s="64" t="str">
        <x:f>IF(A28="","",IFERROR(S28/R28-1,0))</x:f>
      </x:c>
      <x:c r="U28" s="30"/>
      <x:c r="V28" s="30"/>
    </x:row>
    <x:row r="29">
      <x:c r="A29" s="30"/>
      <x:c r="B29" s="30"/>
      <x:c r="C29" s="30"/>
      <x:c r="D29" s="30"/>
      <x:c r="E29" s="30"/>
      <x:c r="F29" s="30"/>
      <x:c r="G29" s="33"/>
      <x:c r="H29" s="33"/>
      <x:c r="I29" s="55"/>
      <x:c r="J29" s="55"/>
      <x:c r="K29" s="64" t="str">
        <x:f>IF(A29="","",IFERROR(J29/I29,0))</x:f>
      </x:c>
      <x:c r="L29" s="55"/>
      <x:c r="M29" s="64" t="str">
        <x:f>IF(A29="","",IFERROR(L29/J29,0))</x:f>
      </x:c>
      <x:c r="N29" s="52"/>
      <x:c r="O29" s="52"/>
      <x:c r="P29" s="67" t="str">
        <x:f>IF(A29="","",IFERROR(O29/J29,0))</x:f>
      </x:c>
      <x:c r="Q29" s="67" t="str">
        <x:f>IF(A29="","",IFERROR(O29/L29,0))</x:f>
      </x:c>
      <x:c r="R29" s="52"/>
      <x:c r="S29" s="52"/>
      <x:c r="T29" s="64" t="str">
        <x:f>IF(A29="","",IFERROR(S29/R29-1,0))</x:f>
      </x:c>
      <x:c r="U29" s="30"/>
      <x:c r="V29" s="30"/>
    </x:row>
    <x:row r="30">
      <x:c r="A30" s="30"/>
      <x:c r="B30" s="30"/>
      <x:c r="C30" s="30"/>
      <x:c r="D30" s="30"/>
      <x:c r="E30" s="30"/>
      <x:c r="F30" s="30"/>
      <x:c r="G30" s="33"/>
      <x:c r="H30" s="33"/>
      <x:c r="I30" s="55"/>
      <x:c r="J30" s="55"/>
      <x:c r="K30" s="64" t="str">
        <x:f>IF(A30="","",IFERROR(J30/I30,0))</x:f>
      </x:c>
      <x:c r="L30" s="55"/>
      <x:c r="M30" s="64" t="str">
        <x:f>IF(A30="","",IFERROR(L30/J30,0))</x:f>
      </x:c>
      <x:c r="N30" s="52"/>
      <x:c r="O30" s="52"/>
      <x:c r="P30" s="67" t="str">
        <x:f>IF(A30="","",IFERROR(O30/J30,0))</x:f>
      </x:c>
      <x:c r="Q30" s="67" t="str">
        <x:f>IF(A30="","",IFERROR(O30/L30,0))</x:f>
      </x:c>
      <x:c r="R30" s="52"/>
      <x:c r="S30" s="52"/>
      <x:c r="T30" s="64" t="str">
        <x:f>IF(A30="","",IFERROR(S30/R30-1,0))</x:f>
      </x:c>
      <x:c r="U30" s="30"/>
      <x:c r="V30" s="30"/>
    </x:row>
    <x:row r="31">
      <x:c r="A31" s="30"/>
      <x:c r="B31" s="30"/>
      <x:c r="C31" s="30"/>
      <x:c r="D31" s="30"/>
      <x:c r="E31" s="30"/>
      <x:c r="F31" s="30"/>
      <x:c r="G31" s="33"/>
      <x:c r="H31" s="33"/>
      <x:c r="I31" s="55"/>
      <x:c r="J31" s="55"/>
      <x:c r="K31" s="64" t="str">
        <x:f>IF(A31="","",IFERROR(J31/I31,0))</x:f>
      </x:c>
      <x:c r="L31" s="55"/>
      <x:c r="M31" s="64" t="str">
        <x:f>IF(A31="","",IFERROR(L31/J31,0))</x:f>
      </x:c>
      <x:c r="N31" s="52"/>
      <x:c r="O31" s="52"/>
      <x:c r="P31" s="67" t="str">
        <x:f>IF(A31="","",IFERROR(O31/J31,0))</x:f>
      </x:c>
      <x:c r="Q31" s="67" t="str">
        <x:f>IF(A31="","",IFERROR(O31/L31,0))</x:f>
      </x:c>
      <x:c r="R31" s="52"/>
      <x:c r="S31" s="52"/>
      <x:c r="T31" s="64" t="str">
        <x:f>IF(A31="","",IFERROR(S31/R31-1,0))</x:f>
      </x:c>
      <x:c r="U31" s="30"/>
      <x:c r="V31" s="30"/>
    </x:row>
    <x:row r="32">
      <x:c r="A32" s="30"/>
      <x:c r="B32" s="30"/>
      <x:c r="C32" s="30"/>
      <x:c r="D32" s="30"/>
      <x:c r="E32" s="30"/>
      <x:c r="F32" s="30"/>
      <x:c r="G32" s="33"/>
      <x:c r="H32" s="33"/>
      <x:c r="I32" s="55"/>
      <x:c r="J32" s="55"/>
      <x:c r="K32" s="64" t="str">
        <x:f>IF(A32="","",IFERROR(J32/I32,0))</x:f>
      </x:c>
      <x:c r="L32" s="55"/>
      <x:c r="M32" s="64" t="str">
        <x:f>IF(A32="","",IFERROR(L32/J32,0))</x:f>
      </x:c>
      <x:c r="N32" s="52"/>
      <x:c r="O32" s="52"/>
      <x:c r="P32" s="67" t="str">
        <x:f>IF(A32="","",IFERROR(O32/J32,0))</x:f>
      </x:c>
      <x:c r="Q32" s="67" t="str">
        <x:f>IF(A32="","",IFERROR(O32/L32,0))</x:f>
      </x:c>
      <x:c r="R32" s="52"/>
      <x:c r="S32" s="52"/>
      <x:c r="T32" s="64" t="str">
        <x:f>IF(A32="","",IFERROR(S32/R32-1,0))</x:f>
      </x:c>
      <x:c r="U32" s="30"/>
      <x:c r="V32" s="30"/>
    </x:row>
    <x:row r="33">
      <x:c r="A33" s="30"/>
      <x:c r="B33" s="30"/>
      <x:c r="C33" s="30"/>
      <x:c r="D33" s="30"/>
      <x:c r="E33" s="30"/>
      <x:c r="F33" s="30"/>
      <x:c r="G33" s="33"/>
      <x:c r="H33" s="33"/>
      <x:c r="I33" s="55"/>
      <x:c r="J33" s="55"/>
      <x:c r="K33" s="64" t="str">
        <x:f>IF(A33="","",IFERROR(J33/I33,0))</x:f>
      </x:c>
      <x:c r="L33" s="55"/>
      <x:c r="M33" s="64" t="str">
        <x:f>IF(A33="","",IFERROR(L33/J33,0))</x:f>
      </x:c>
      <x:c r="N33" s="52"/>
      <x:c r="O33" s="52"/>
      <x:c r="P33" s="67" t="str">
        <x:f>IF(A33="","",IFERROR(O33/J33,0))</x:f>
      </x:c>
      <x:c r="Q33" s="67" t="str">
        <x:f>IF(A33="","",IFERROR(O33/L33,0))</x:f>
      </x:c>
      <x:c r="R33" s="52"/>
      <x:c r="S33" s="52"/>
      <x:c r="T33" s="64" t="str">
        <x:f>IF(A33="","",IFERROR(S33/R33-1,0))</x:f>
      </x:c>
      <x:c r="U33" s="30"/>
      <x:c r="V33" s="30"/>
    </x:row>
    <x:row r="34">
      <x:c r="A34" s="30"/>
      <x:c r="B34" s="30"/>
      <x:c r="C34" s="30"/>
      <x:c r="D34" s="30"/>
      <x:c r="E34" s="30"/>
      <x:c r="F34" s="30"/>
      <x:c r="G34" s="33"/>
      <x:c r="H34" s="33"/>
      <x:c r="I34" s="55"/>
      <x:c r="J34" s="55"/>
      <x:c r="K34" s="64" t="str">
        <x:f>IF(A34="","",IFERROR(J34/I34,0))</x:f>
      </x:c>
      <x:c r="L34" s="55"/>
      <x:c r="M34" s="64" t="str">
        <x:f>IF(A34="","",IFERROR(L34/J34,0))</x:f>
      </x:c>
      <x:c r="N34" s="52"/>
      <x:c r="O34" s="52"/>
      <x:c r="P34" s="67" t="str">
        <x:f>IF(A34="","",IFERROR(O34/J34,0))</x:f>
      </x:c>
      <x:c r="Q34" s="67" t="str">
        <x:f>IF(A34="","",IFERROR(O34/L34,0))</x:f>
      </x:c>
      <x:c r="R34" s="52"/>
      <x:c r="S34" s="52"/>
      <x:c r="T34" s="64" t="str">
        <x:f>IF(A34="","",IFERROR(S34/R34-1,0))</x:f>
      </x:c>
      <x:c r="U34" s="30"/>
      <x:c r="V34" s="30"/>
    </x:row>
    <x:row r="35">
      <x:c r="A35" s="30"/>
      <x:c r="B35" s="30"/>
      <x:c r="C35" s="30"/>
      <x:c r="D35" s="30"/>
      <x:c r="E35" s="30"/>
      <x:c r="F35" s="30"/>
      <x:c r="G35" s="33"/>
      <x:c r="H35" s="33"/>
      <x:c r="I35" s="55"/>
      <x:c r="J35" s="55"/>
      <x:c r="K35" s="64" t="str">
        <x:f>IF(A35="","",IFERROR(J35/I35,0))</x:f>
      </x:c>
      <x:c r="L35" s="55"/>
      <x:c r="M35" s="64" t="str">
        <x:f>IF(A35="","",IFERROR(L35/J35,0))</x:f>
      </x:c>
      <x:c r="N35" s="52"/>
      <x:c r="O35" s="52"/>
      <x:c r="P35" s="67" t="str">
        <x:f>IF(A35="","",IFERROR(O35/J35,0))</x:f>
      </x:c>
      <x:c r="Q35" s="67" t="str">
        <x:f>IF(A35="","",IFERROR(O35/L35,0))</x:f>
      </x:c>
      <x:c r="R35" s="52"/>
      <x:c r="S35" s="52"/>
      <x:c r="T35" s="64" t="str">
        <x:f>IF(A35="","",IFERROR(S35/R35-1,0))</x:f>
      </x:c>
      <x:c r="U35" s="30"/>
      <x:c r="V35" s="30"/>
    </x:row>
    <x:row r="36">
      <x:c r="A36" s="30"/>
      <x:c r="B36" s="30"/>
      <x:c r="C36" s="30"/>
      <x:c r="D36" s="30"/>
      <x:c r="E36" s="30"/>
      <x:c r="F36" s="30"/>
      <x:c r="G36" s="33"/>
      <x:c r="H36" s="33"/>
      <x:c r="I36" s="55"/>
      <x:c r="J36" s="55"/>
      <x:c r="K36" s="64" t="str">
        <x:f>IF(A36="","",IFERROR(J36/I36,0))</x:f>
      </x:c>
      <x:c r="L36" s="55"/>
      <x:c r="M36" s="64" t="str">
        <x:f>IF(A36="","",IFERROR(L36/J36,0))</x:f>
      </x:c>
      <x:c r="N36" s="52"/>
      <x:c r="O36" s="52"/>
      <x:c r="P36" s="67" t="str">
        <x:f>IF(A36="","",IFERROR(O36/J36,0))</x:f>
      </x:c>
      <x:c r="Q36" s="67" t="str">
        <x:f>IF(A36="","",IFERROR(O36/L36,0))</x:f>
      </x:c>
      <x:c r="R36" s="52"/>
      <x:c r="S36" s="52"/>
      <x:c r="T36" s="64" t="str">
        <x:f>IF(A36="","",IFERROR(S36/R36-1,0))</x:f>
      </x:c>
      <x:c r="U36" s="30"/>
      <x:c r="V36" s="30"/>
    </x:row>
    <x:row r="37">
      <x:c r="A37" s="30"/>
      <x:c r="B37" s="30"/>
      <x:c r="C37" s="30"/>
      <x:c r="D37" s="30"/>
      <x:c r="E37" s="30"/>
      <x:c r="F37" s="30"/>
      <x:c r="G37" s="33"/>
      <x:c r="H37" s="33"/>
      <x:c r="I37" s="55"/>
      <x:c r="J37" s="55"/>
      <x:c r="K37" s="64" t="str">
        <x:f>IF(A37="","",IFERROR(J37/I37,0))</x:f>
      </x:c>
      <x:c r="L37" s="55"/>
      <x:c r="M37" s="64" t="str">
        <x:f>IF(A37="","",IFERROR(L37/J37,0))</x:f>
      </x:c>
      <x:c r="N37" s="52"/>
      <x:c r="O37" s="52"/>
      <x:c r="P37" s="67" t="str">
        <x:f>IF(A37="","",IFERROR(O37/J37,0))</x:f>
      </x:c>
      <x:c r="Q37" s="67" t="str">
        <x:f>IF(A37="","",IFERROR(O37/L37,0))</x:f>
      </x:c>
      <x:c r="R37" s="52"/>
      <x:c r="S37" s="52"/>
      <x:c r="T37" s="64" t="str">
        <x:f>IF(A37="","",IFERROR(S37/R37-1,0))</x:f>
      </x:c>
      <x:c r="U37" s="30"/>
      <x:c r="V37" s="30"/>
    </x:row>
    <x:row r="38">
      <x:c r="A38" s="30"/>
      <x:c r="B38" s="30"/>
      <x:c r="C38" s="30"/>
      <x:c r="D38" s="30"/>
      <x:c r="E38" s="30"/>
      <x:c r="F38" s="30"/>
      <x:c r="G38" s="33"/>
      <x:c r="H38" s="33"/>
      <x:c r="I38" s="55"/>
      <x:c r="J38" s="55"/>
      <x:c r="K38" s="64" t="str">
        <x:f>IF(A38="","",IFERROR(J38/I38,0))</x:f>
      </x:c>
      <x:c r="L38" s="55"/>
      <x:c r="M38" s="64" t="str">
        <x:f>IF(A38="","",IFERROR(L38/J38,0))</x:f>
      </x:c>
      <x:c r="N38" s="52"/>
      <x:c r="O38" s="52"/>
      <x:c r="P38" s="67" t="str">
        <x:f>IF(A38="","",IFERROR(O38/J38,0))</x:f>
      </x:c>
      <x:c r="Q38" s="67" t="str">
        <x:f>IF(A38="","",IFERROR(O38/L38,0))</x:f>
      </x:c>
      <x:c r="R38" s="52"/>
      <x:c r="S38" s="52"/>
      <x:c r="T38" s="64" t="str">
        <x:f>IF(A38="","",IFERROR(S38/R38-1,0))</x:f>
      </x:c>
      <x:c r="U38" s="30"/>
      <x:c r="V38" s="30"/>
    </x:row>
    <x:row r="39">
      <x:c r="A39" s="30"/>
      <x:c r="B39" s="30"/>
      <x:c r="C39" s="30"/>
      <x:c r="D39" s="30"/>
      <x:c r="E39" s="30"/>
      <x:c r="F39" s="30"/>
      <x:c r="G39" s="33"/>
      <x:c r="H39" s="33"/>
      <x:c r="I39" s="55"/>
      <x:c r="J39" s="55"/>
      <x:c r="K39" s="64" t="str">
        <x:f>IF(A39="","",IFERROR(J39/I39,0))</x:f>
      </x:c>
      <x:c r="L39" s="55"/>
      <x:c r="M39" s="64" t="str">
        <x:f>IF(A39="","",IFERROR(L39/J39,0))</x:f>
      </x:c>
      <x:c r="N39" s="52"/>
      <x:c r="O39" s="52"/>
      <x:c r="P39" s="67" t="str">
        <x:f>IF(A39="","",IFERROR(O39/J39,0))</x:f>
      </x:c>
      <x:c r="Q39" s="67" t="str">
        <x:f>IF(A39="","",IFERROR(O39/L39,0))</x:f>
      </x:c>
      <x:c r="R39" s="52"/>
      <x:c r="S39" s="52"/>
      <x:c r="T39" s="64" t="str">
        <x:f>IF(A39="","",IFERROR(S39/R39-1,0))</x:f>
      </x:c>
      <x:c r="U39" s="30"/>
      <x:c r="V39" s="30"/>
    </x:row>
    <x:row r="40">
      <x:c r="A40" s="30"/>
      <x:c r="B40" s="30"/>
      <x:c r="C40" s="30"/>
      <x:c r="D40" s="30"/>
      <x:c r="E40" s="30"/>
      <x:c r="F40" s="30"/>
      <x:c r="G40" s="33"/>
      <x:c r="H40" s="33"/>
      <x:c r="I40" s="55"/>
      <x:c r="J40" s="55"/>
      <x:c r="K40" s="64" t="str">
        <x:f>IF(A40="","",IFERROR(J40/I40,0))</x:f>
      </x:c>
      <x:c r="L40" s="55"/>
      <x:c r="M40" s="64" t="str">
        <x:f>IF(A40="","",IFERROR(L40/J40,0))</x:f>
      </x:c>
      <x:c r="N40" s="52"/>
      <x:c r="O40" s="52"/>
      <x:c r="P40" s="67" t="str">
        <x:f>IF(A40="","",IFERROR(O40/J40,0))</x:f>
      </x:c>
      <x:c r="Q40" s="67" t="str">
        <x:f>IF(A40="","",IFERROR(O40/L40,0))</x:f>
      </x:c>
      <x:c r="R40" s="52"/>
      <x:c r="S40" s="52"/>
      <x:c r="T40" s="64" t="str">
        <x:f>IF(A40="","",IFERROR(S40/R40-1,0))</x:f>
      </x:c>
      <x:c r="U40" s="30"/>
      <x:c r="V40" s="30"/>
    </x:row>
    <x:row r="41">
      <x:c r="A41" s="30"/>
      <x:c r="B41" s="30"/>
      <x:c r="C41" s="30"/>
      <x:c r="D41" s="30"/>
      <x:c r="E41" s="30"/>
      <x:c r="F41" s="30"/>
      <x:c r="G41" s="33"/>
      <x:c r="H41" s="33"/>
      <x:c r="I41" s="55"/>
      <x:c r="J41" s="55"/>
      <x:c r="K41" s="64" t="str">
        <x:f>IF(A41="","",IFERROR(J41/I41,0))</x:f>
      </x:c>
      <x:c r="L41" s="55"/>
      <x:c r="M41" s="64" t="str">
        <x:f>IF(A41="","",IFERROR(L41/J41,0))</x:f>
      </x:c>
      <x:c r="N41" s="52"/>
      <x:c r="O41" s="52"/>
      <x:c r="P41" s="67" t="str">
        <x:f>IF(A41="","",IFERROR(O41/J41,0))</x:f>
      </x:c>
      <x:c r="Q41" s="67" t="str">
        <x:f>IF(A41="","",IFERROR(O41/L41,0))</x:f>
      </x:c>
      <x:c r="R41" s="52"/>
      <x:c r="S41" s="52"/>
      <x:c r="T41" s="64" t="str">
        <x:f>IF(A41="","",IFERROR(S41/R41-1,0))</x:f>
      </x:c>
      <x:c r="U41" s="30"/>
      <x:c r="V41" s="30"/>
    </x:row>
    <x:row r="42">
      <x:c r="A42" s="30"/>
      <x:c r="B42" s="30"/>
      <x:c r="C42" s="30"/>
      <x:c r="D42" s="30"/>
      <x:c r="E42" s="30"/>
      <x:c r="F42" s="30"/>
      <x:c r="G42" s="33"/>
      <x:c r="H42" s="33"/>
      <x:c r="I42" s="55"/>
      <x:c r="J42" s="55"/>
      <x:c r="K42" s="64" t="str">
        <x:f>IF(A42="","",IFERROR(J42/I42,0))</x:f>
      </x:c>
      <x:c r="L42" s="55"/>
      <x:c r="M42" s="64" t="str">
        <x:f>IF(A42="","",IFERROR(L42/J42,0))</x:f>
      </x:c>
      <x:c r="N42" s="52"/>
      <x:c r="O42" s="52"/>
      <x:c r="P42" s="67" t="str">
        <x:f>IF(A42="","",IFERROR(O42/J42,0))</x:f>
      </x:c>
      <x:c r="Q42" s="67" t="str">
        <x:f>IF(A42="","",IFERROR(O42/L42,0))</x:f>
      </x:c>
      <x:c r="R42" s="52"/>
      <x:c r="S42" s="52"/>
      <x:c r="T42" s="64" t="str">
        <x:f>IF(A42="","",IFERROR(S42/R42-1,0))</x:f>
      </x:c>
      <x:c r="U42" s="30"/>
      <x:c r="V42" s="30"/>
    </x:row>
    <x:row r="43">
      <x:c r="A43" s="30"/>
      <x:c r="B43" s="30"/>
      <x:c r="C43" s="30"/>
      <x:c r="D43" s="30"/>
      <x:c r="E43" s="30"/>
      <x:c r="F43" s="30"/>
      <x:c r="G43" s="33"/>
      <x:c r="H43" s="33"/>
      <x:c r="I43" s="55"/>
      <x:c r="J43" s="55"/>
      <x:c r="K43" s="64" t="str">
        <x:f>IF(A43="","",IFERROR(J43/I43,0))</x:f>
      </x:c>
      <x:c r="L43" s="55"/>
      <x:c r="M43" s="64" t="str">
        <x:f>IF(A43="","",IFERROR(L43/J43,0))</x:f>
      </x:c>
      <x:c r="N43" s="52"/>
      <x:c r="O43" s="52"/>
      <x:c r="P43" s="67" t="str">
        <x:f>IF(A43="","",IFERROR(O43/J43,0))</x:f>
      </x:c>
      <x:c r="Q43" s="67" t="str">
        <x:f>IF(A43="","",IFERROR(O43/L43,0))</x:f>
      </x:c>
      <x:c r="R43" s="52"/>
      <x:c r="S43" s="52"/>
      <x:c r="T43" s="64" t="str">
        <x:f>IF(A43="","",IFERROR(S43/R43-1,0))</x:f>
      </x:c>
      <x:c r="U43" s="30"/>
      <x:c r="V43" s="30"/>
    </x:row>
    <x:row r="44">
      <x:c r="A44" s="30"/>
      <x:c r="B44" s="30"/>
      <x:c r="C44" s="30"/>
      <x:c r="D44" s="30"/>
      <x:c r="E44" s="30"/>
      <x:c r="F44" s="30"/>
      <x:c r="G44" s="33"/>
      <x:c r="H44" s="33"/>
      <x:c r="I44" s="55"/>
      <x:c r="J44" s="55"/>
      <x:c r="K44" s="64" t="str">
        <x:f>IF(A44="","",IFERROR(J44/I44,0))</x:f>
      </x:c>
      <x:c r="L44" s="55"/>
      <x:c r="M44" s="64" t="str">
        <x:f>IF(A44="","",IFERROR(L44/J44,0))</x:f>
      </x:c>
      <x:c r="N44" s="52"/>
      <x:c r="O44" s="52"/>
      <x:c r="P44" s="67" t="str">
        <x:f>IF(A44="","",IFERROR(O44/J44,0))</x:f>
      </x:c>
      <x:c r="Q44" s="67" t="str">
        <x:f>IF(A44="","",IFERROR(O44/L44,0))</x:f>
      </x:c>
      <x:c r="R44" s="52"/>
      <x:c r="S44" s="52"/>
      <x:c r="T44" s="64" t="str">
        <x:f>IF(A44="","",IFERROR(S44/R44-1,0))</x:f>
      </x:c>
      <x:c r="U44" s="30"/>
      <x:c r="V44" s="30"/>
    </x:row>
    <x:row r="45">
      <x:c r="A45" s="30"/>
      <x:c r="B45" s="30"/>
      <x:c r="C45" s="30"/>
      <x:c r="D45" s="30"/>
      <x:c r="E45" s="30"/>
      <x:c r="F45" s="30"/>
      <x:c r="G45" s="33"/>
      <x:c r="H45" s="33"/>
      <x:c r="I45" s="55"/>
      <x:c r="J45" s="55"/>
      <x:c r="K45" s="64" t="str">
        <x:f>IF(A45="","",IFERROR(J45/I45,0))</x:f>
      </x:c>
      <x:c r="L45" s="55"/>
      <x:c r="M45" s="64" t="str">
        <x:f>IF(A45="","",IFERROR(L45/J45,0))</x:f>
      </x:c>
      <x:c r="N45" s="52"/>
      <x:c r="O45" s="52"/>
      <x:c r="P45" s="67" t="str">
        <x:f>IF(A45="","",IFERROR(O45/J45,0))</x:f>
      </x:c>
      <x:c r="Q45" s="67" t="str">
        <x:f>IF(A45="","",IFERROR(O45/L45,0))</x:f>
      </x:c>
      <x:c r="R45" s="52"/>
      <x:c r="S45" s="52"/>
      <x:c r="T45" s="64" t="str">
        <x:f>IF(A45="","",IFERROR(S45/R45-1,0))</x:f>
      </x:c>
      <x:c r="U45" s="30"/>
      <x:c r="V45" s="30"/>
    </x:row>
    <x:row r="46">
      <x:c r="A46" s="30"/>
      <x:c r="B46" s="30"/>
      <x:c r="C46" s="30"/>
      <x:c r="D46" s="30"/>
      <x:c r="E46" s="30"/>
      <x:c r="F46" s="30"/>
      <x:c r="G46" s="33"/>
      <x:c r="H46" s="33"/>
      <x:c r="I46" s="55"/>
      <x:c r="J46" s="55"/>
      <x:c r="K46" s="64" t="str">
        <x:f>IF(A46="","",IFERROR(J46/I46,0))</x:f>
      </x:c>
      <x:c r="L46" s="55"/>
      <x:c r="M46" s="64" t="str">
        <x:f>IF(A46="","",IFERROR(L46/J46,0))</x:f>
      </x:c>
      <x:c r="N46" s="52"/>
      <x:c r="O46" s="52"/>
      <x:c r="P46" s="67" t="str">
        <x:f>IF(A46="","",IFERROR(O46/J46,0))</x:f>
      </x:c>
      <x:c r="Q46" s="67" t="str">
        <x:f>IF(A46="","",IFERROR(O46/L46,0))</x:f>
      </x:c>
      <x:c r="R46" s="52"/>
      <x:c r="S46" s="52"/>
      <x:c r="T46" s="64" t="str">
        <x:f>IF(A46="","",IFERROR(S46/R46-1,0))</x:f>
      </x:c>
      <x:c r="U46" s="30"/>
      <x:c r="V46" s="30"/>
    </x:row>
    <x:row r="47">
      <x:c r="A47" s="30"/>
      <x:c r="B47" s="30"/>
      <x:c r="C47" s="30"/>
      <x:c r="D47" s="30"/>
      <x:c r="E47" s="30"/>
      <x:c r="F47" s="30"/>
      <x:c r="G47" s="33"/>
      <x:c r="H47" s="33"/>
      <x:c r="I47" s="55"/>
      <x:c r="J47" s="55"/>
      <x:c r="K47" s="64" t="str">
        <x:f>IF(A47="","",IFERROR(J47/I47,0))</x:f>
      </x:c>
      <x:c r="L47" s="55"/>
      <x:c r="M47" s="64" t="str">
        <x:f>IF(A47="","",IFERROR(L47/J47,0))</x:f>
      </x:c>
      <x:c r="N47" s="52"/>
      <x:c r="O47" s="52"/>
      <x:c r="P47" s="67" t="str">
        <x:f>IF(A47="","",IFERROR(O47/J47,0))</x:f>
      </x:c>
      <x:c r="Q47" s="67" t="str">
        <x:f>IF(A47="","",IFERROR(O47/L47,0))</x:f>
      </x:c>
      <x:c r="R47" s="52"/>
      <x:c r="S47" s="52"/>
      <x:c r="T47" s="64" t="str">
        <x:f>IF(A47="","",IFERROR(S47/R47-1,0))</x:f>
      </x:c>
      <x:c r="U47" s="30"/>
      <x:c r="V47" s="30"/>
    </x:row>
    <x:row r="48">
      <x:c r="A48" s="30"/>
      <x:c r="B48" s="30"/>
      <x:c r="C48" s="30"/>
      <x:c r="D48" s="30"/>
      <x:c r="E48" s="30"/>
      <x:c r="F48" s="30"/>
      <x:c r="G48" s="33"/>
      <x:c r="H48" s="33"/>
      <x:c r="I48" s="55"/>
      <x:c r="J48" s="55"/>
      <x:c r="K48" s="64" t="str">
        <x:f>IF(A48="","",IFERROR(J48/I48,0))</x:f>
      </x:c>
      <x:c r="L48" s="55"/>
      <x:c r="M48" s="64" t="str">
        <x:f>IF(A48="","",IFERROR(L48/J48,0))</x:f>
      </x:c>
      <x:c r="N48" s="52"/>
      <x:c r="O48" s="52"/>
      <x:c r="P48" s="67" t="str">
        <x:f>IF(A48="","",IFERROR(O48/J48,0))</x:f>
      </x:c>
      <x:c r="Q48" s="67" t="str">
        <x:f>IF(A48="","",IFERROR(O48/L48,0))</x:f>
      </x:c>
      <x:c r="R48" s="52"/>
      <x:c r="S48" s="52"/>
      <x:c r="T48" s="64" t="str">
        <x:f>IF(A48="","",IFERROR(S48/R48-1,0))</x:f>
      </x:c>
      <x:c r="U48" s="30"/>
      <x:c r="V48" s="30"/>
    </x:row>
    <x:row r="49">
      <x:c r="A49" s="30"/>
      <x:c r="B49" s="30"/>
      <x:c r="C49" s="30"/>
      <x:c r="D49" s="30"/>
      <x:c r="E49" s="30"/>
      <x:c r="F49" s="30"/>
      <x:c r="G49" s="33"/>
      <x:c r="H49" s="33"/>
      <x:c r="I49" s="55"/>
      <x:c r="J49" s="55"/>
      <x:c r="K49" s="64" t="str">
        <x:f>IF(A49="","",IFERROR(J49/I49,0))</x:f>
      </x:c>
      <x:c r="L49" s="55"/>
      <x:c r="M49" s="64" t="str">
        <x:f>IF(A49="","",IFERROR(L49/J49,0))</x:f>
      </x:c>
      <x:c r="N49" s="52"/>
      <x:c r="O49" s="52"/>
      <x:c r="P49" s="67" t="str">
        <x:f>IF(A49="","",IFERROR(O49/J49,0))</x:f>
      </x:c>
      <x:c r="Q49" s="67" t="str">
        <x:f>IF(A49="","",IFERROR(O49/L49,0))</x:f>
      </x:c>
      <x:c r="R49" s="52"/>
      <x:c r="S49" s="52"/>
      <x:c r="T49" s="64" t="str">
        <x:f>IF(A49="","",IFERROR(S49/R49-1,0))</x:f>
      </x:c>
      <x:c r="U49" s="30"/>
      <x:c r="V49" s="30"/>
    </x:row>
    <x:row r="50">
      <x:c r="A50" s="30"/>
      <x:c r="B50" s="30"/>
      <x:c r="C50" s="30"/>
      <x:c r="D50" s="30"/>
      <x:c r="E50" s="30"/>
      <x:c r="F50" s="30"/>
      <x:c r="G50" s="33"/>
      <x:c r="H50" s="33"/>
      <x:c r="I50" s="55"/>
      <x:c r="J50" s="55"/>
      <x:c r="K50" s="64" t="str">
        <x:f>IF(A50="","",IFERROR(J50/I50,0))</x:f>
      </x:c>
      <x:c r="L50" s="55"/>
      <x:c r="M50" s="64" t="str">
        <x:f>IF(A50="","",IFERROR(L50/J50,0))</x:f>
      </x:c>
      <x:c r="N50" s="52"/>
      <x:c r="O50" s="52"/>
      <x:c r="P50" s="67" t="str">
        <x:f>IF(A50="","",IFERROR(O50/J50,0))</x:f>
      </x:c>
      <x:c r="Q50" s="67" t="str">
        <x:f>IF(A50="","",IFERROR(O50/L50,0))</x:f>
      </x:c>
      <x:c r="R50" s="52"/>
      <x:c r="S50" s="52"/>
      <x:c r="T50" s="64" t="str">
        <x:f>IF(A50="","",IFERROR(S50/R50-1,0))</x:f>
      </x:c>
      <x:c r="U50" s="30"/>
      <x:c r="V50" s="30"/>
    </x:row>
    <x:row r="51">
      <x:c r="A51" s="30"/>
      <x:c r="B51" s="30"/>
      <x:c r="C51" s="30"/>
      <x:c r="D51" s="30"/>
      <x:c r="E51" s="30"/>
      <x:c r="F51" s="30"/>
      <x:c r="G51" s="33"/>
      <x:c r="H51" s="33"/>
      <x:c r="I51" s="55"/>
      <x:c r="J51" s="55"/>
      <x:c r="K51" s="64" t="str">
        <x:f>IF(A51="","",IFERROR(J51/I51,0))</x:f>
      </x:c>
      <x:c r="L51" s="55"/>
      <x:c r="M51" s="64" t="str">
        <x:f>IF(A51="","",IFERROR(L51/J51,0))</x:f>
      </x:c>
      <x:c r="N51" s="52"/>
      <x:c r="O51" s="52"/>
      <x:c r="P51" s="67" t="str">
        <x:f>IF(A51="","",IFERROR(O51/J51,0))</x:f>
      </x:c>
      <x:c r="Q51" s="67" t="str">
        <x:f>IF(A51="","",IFERROR(O51/L51,0))</x:f>
      </x:c>
      <x:c r="R51" s="52"/>
      <x:c r="S51" s="52"/>
      <x:c r="T51" s="64" t="str">
        <x:f>IF(A51="","",IFERROR(S51/R51-1,0))</x:f>
      </x:c>
      <x:c r="U51" s="30"/>
      <x:c r="V51" s="30"/>
    </x:row>
    <x:row r="52">
      <x:c r="A52" s="30"/>
      <x:c r="B52" s="30"/>
      <x:c r="C52" s="30"/>
      <x:c r="D52" s="30"/>
      <x:c r="E52" s="30"/>
      <x:c r="F52" s="30"/>
      <x:c r="G52" s="33"/>
      <x:c r="H52" s="33"/>
      <x:c r="I52" s="55"/>
      <x:c r="J52" s="55"/>
      <x:c r="K52" s="64" t="str">
        <x:f>IF(A52="","",IFERROR(J52/I52,0))</x:f>
      </x:c>
      <x:c r="L52" s="55"/>
      <x:c r="M52" s="64" t="str">
        <x:f>IF(A52="","",IFERROR(L52/J52,0))</x:f>
      </x:c>
      <x:c r="N52" s="52"/>
      <x:c r="O52" s="52"/>
      <x:c r="P52" s="67" t="str">
        <x:f>IF(A52="","",IFERROR(O52/J52,0))</x:f>
      </x:c>
      <x:c r="Q52" s="67" t="str">
        <x:f>IF(A52="","",IFERROR(O52/L52,0))</x:f>
      </x:c>
      <x:c r="R52" s="52"/>
      <x:c r="S52" s="52"/>
      <x:c r="T52" s="64" t="str">
        <x:f>IF(A52="","",IFERROR(S52/R52-1,0))</x:f>
      </x:c>
      <x:c r="U52" s="30"/>
      <x:c r="V52" s="30"/>
    </x:row>
    <x:row r="53">
      <x:c r="A53" s="30"/>
      <x:c r="B53" s="30"/>
      <x:c r="C53" s="30"/>
      <x:c r="D53" s="30"/>
      <x:c r="E53" s="30"/>
      <x:c r="F53" s="30"/>
      <x:c r="G53" s="33"/>
      <x:c r="H53" s="33"/>
      <x:c r="I53" s="55"/>
      <x:c r="J53" s="55"/>
      <x:c r="K53" s="64" t="str">
        <x:f>IF(A53="","",IFERROR(J53/I53,0))</x:f>
      </x:c>
      <x:c r="L53" s="55"/>
      <x:c r="M53" s="64" t="str">
        <x:f>IF(A53="","",IFERROR(L53/J53,0))</x:f>
      </x:c>
      <x:c r="N53" s="52"/>
      <x:c r="O53" s="52"/>
      <x:c r="P53" s="67" t="str">
        <x:f>IF(A53="","",IFERROR(O53/J53,0))</x:f>
      </x:c>
      <x:c r="Q53" s="67" t="str">
        <x:f>IF(A53="","",IFERROR(O53/L53,0))</x:f>
      </x:c>
      <x:c r="R53" s="52"/>
      <x:c r="S53" s="52"/>
      <x:c r="T53" s="64" t="str">
        <x:f>IF(A53="","",IFERROR(S53/R53-1,0))</x:f>
      </x:c>
      <x:c r="U53" s="30"/>
      <x:c r="V53" s="30"/>
    </x:row>
    <x:row r="54">
      <x:c r="A54" s="30"/>
      <x:c r="B54" s="30"/>
      <x:c r="C54" s="30"/>
      <x:c r="D54" s="30"/>
      <x:c r="E54" s="30"/>
      <x:c r="F54" s="30"/>
      <x:c r="G54" s="33"/>
      <x:c r="H54" s="33"/>
      <x:c r="I54" s="55"/>
      <x:c r="J54" s="55"/>
      <x:c r="K54" s="64" t="str">
        <x:f>IF(A54="","",IFERROR(J54/I54,0))</x:f>
      </x:c>
      <x:c r="L54" s="55"/>
      <x:c r="M54" s="64" t="str">
        <x:f>IF(A54="","",IFERROR(L54/J54,0))</x:f>
      </x:c>
      <x:c r="N54" s="52"/>
      <x:c r="O54" s="52"/>
      <x:c r="P54" s="67" t="str">
        <x:f>IF(A54="","",IFERROR(O54/J54,0))</x:f>
      </x:c>
      <x:c r="Q54" s="67" t="str">
        <x:f>IF(A54="","",IFERROR(O54/L54,0))</x:f>
      </x:c>
      <x:c r="R54" s="52"/>
      <x:c r="S54" s="52"/>
      <x:c r="T54" s="64" t="str">
        <x:f>IF(A54="","",IFERROR(S54/R54-1,0))</x:f>
      </x:c>
      <x:c r="U54" s="30"/>
      <x:c r="V54" s="30"/>
    </x:row>
    <x:row r="55">
      <x:c r="A55" s="30"/>
      <x:c r="B55" s="30"/>
      <x:c r="C55" s="30"/>
      <x:c r="D55" s="30"/>
      <x:c r="E55" s="30"/>
      <x:c r="F55" s="30"/>
      <x:c r="G55" s="33"/>
      <x:c r="H55" s="33"/>
      <x:c r="I55" s="55"/>
      <x:c r="J55" s="55"/>
      <x:c r="K55" s="64" t="str">
        <x:f>IF(A55="","",IFERROR(J55/I55,0))</x:f>
      </x:c>
      <x:c r="L55" s="55"/>
      <x:c r="M55" s="64" t="str">
        <x:f>IF(A55="","",IFERROR(L55/J55,0))</x:f>
      </x:c>
      <x:c r="N55" s="52"/>
      <x:c r="O55" s="52"/>
      <x:c r="P55" s="67" t="str">
        <x:f>IF(A55="","",IFERROR(O55/J55,0))</x:f>
      </x:c>
      <x:c r="Q55" s="67" t="str">
        <x:f>IF(A55="","",IFERROR(O55/L55,0))</x:f>
      </x:c>
      <x:c r="R55" s="52"/>
      <x:c r="S55" s="52"/>
      <x:c r="T55" s="64" t="str">
        <x:f>IF(A55="","",IFERROR(S55/R55-1,0))</x:f>
      </x:c>
      <x:c r="U55" s="30"/>
      <x:c r="V55" s="30"/>
    </x:row>
    <x:row r="56">
      <x:c r="A56" s="30"/>
      <x:c r="B56" s="30"/>
      <x:c r="C56" s="30"/>
      <x:c r="D56" s="30"/>
      <x:c r="E56" s="30"/>
      <x:c r="F56" s="30"/>
      <x:c r="G56" s="33"/>
      <x:c r="H56" s="33"/>
      <x:c r="I56" s="55"/>
      <x:c r="J56" s="55"/>
      <x:c r="K56" s="64" t="str">
        <x:f>IF(A56="","",IFERROR(J56/I56,0))</x:f>
      </x:c>
      <x:c r="L56" s="55"/>
      <x:c r="M56" s="64" t="str">
        <x:f>IF(A56="","",IFERROR(L56/J56,0))</x:f>
      </x:c>
      <x:c r="N56" s="52"/>
      <x:c r="O56" s="52"/>
      <x:c r="P56" s="67" t="str">
        <x:f>IF(A56="","",IFERROR(O56/J56,0))</x:f>
      </x:c>
      <x:c r="Q56" s="67" t="str">
        <x:f>IF(A56="","",IFERROR(O56/L56,0))</x:f>
      </x:c>
      <x:c r="R56" s="52"/>
      <x:c r="S56" s="52"/>
      <x:c r="T56" s="64" t="str">
        <x:f>IF(A56="","",IFERROR(S56/R56-1,0))</x:f>
      </x:c>
      <x:c r="U56" s="30"/>
      <x:c r="V56" s="30"/>
    </x:row>
    <x:row r="57">
      <x:c r="A57" s="30"/>
      <x:c r="B57" s="30"/>
      <x:c r="C57" s="30"/>
      <x:c r="D57" s="30"/>
      <x:c r="E57" s="30"/>
      <x:c r="F57" s="30"/>
      <x:c r="G57" s="33"/>
      <x:c r="H57" s="33"/>
      <x:c r="I57" s="55"/>
      <x:c r="J57" s="55"/>
      <x:c r="K57" s="64" t="str">
        <x:f>IF(A57="","",IFERROR(J57/I57,0))</x:f>
      </x:c>
      <x:c r="L57" s="55"/>
      <x:c r="M57" s="64" t="str">
        <x:f>IF(A57="","",IFERROR(L57/J57,0))</x:f>
      </x:c>
      <x:c r="N57" s="52"/>
      <x:c r="O57" s="52"/>
      <x:c r="P57" s="67" t="str">
        <x:f>IF(A57="","",IFERROR(O57/J57,0))</x:f>
      </x:c>
      <x:c r="Q57" s="67" t="str">
        <x:f>IF(A57="","",IFERROR(O57/L57,0))</x:f>
      </x:c>
      <x:c r="R57" s="52"/>
      <x:c r="S57" s="52"/>
      <x:c r="T57" s="64" t="str">
        <x:f>IF(A57="","",IFERROR(S57/R57-1,0))</x:f>
      </x:c>
      <x:c r="U57" s="30"/>
      <x:c r="V57" s="30"/>
    </x:row>
    <x:row r="58">
      <x:c r="A58" s="30"/>
      <x:c r="B58" s="30"/>
      <x:c r="C58" s="30"/>
      <x:c r="D58" s="30"/>
      <x:c r="E58" s="30"/>
      <x:c r="F58" s="30"/>
      <x:c r="G58" s="33"/>
      <x:c r="H58" s="33"/>
      <x:c r="I58" s="55"/>
      <x:c r="J58" s="55"/>
      <x:c r="K58" s="64" t="str">
        <x:f>IF(A58="","",IFERROR(J58/I58,0))</x:f>
      </x:c>
      <x:c r="L58" s="55"/>
      <x:c r="M58" s="64" t="str">
        <x:f>IF(A58="","",IFERROR(L58/J58,0))</x:f>
      </x:c>
      <x:c r="N58" s="52"/>
      <x:c r="O58" s="52"/>
      <x:c r="P58" s="67" t="str">
        <x:f>IF(A58="","",IFERROR(O58/J58,0))</x:f>
      </x:c>
      <x:c r="Q58" s="67" t="str">
        <x:f>IF(A58="","",IFERROR(O58/L58,0))</x:f>
      </x:c>
      <x:c r="R58" s="52"/>
      <x:c r="S58" s="52"/>
      <x:c r="T58" s="64" t="str">
        <x:f>IF(A58="","",IFERROR(S58/R58-1,0))</x:f>
      </x:c>
      <x:c r="U58" s="30"/>
      <x:c r="V58" s="30"/>
    </x:row>
    <x:row r="59">
      <x:c r="A59" s="30"/>
      <x:c r="B59" s="30"/>
      <x:c r="C59" s="30"/>
      <x:c r="D59" s="30"/>
      <x:c r="E59" s="30"/>
      <x:c r="F59" s="30"/>
      <x:c r="G59" s="33"/>
      <x:c r="H59" s="33"/>
      <x:c r="I59" s="55"/>
      <x:c r="J59" s="55"/>
      <x:c r="K59" s="64" t="str">
        <x:f>IF(A59="","",IFERROR(J59/I59,0))</x:f>
      </x:c>
      <x:c r="L59" s="55"/>
      <x:c r="M59" s="64" t="str">
        <x:f>IF(A59="","",IFERROR(L59/J59,0))</x:f>
      </x:c>
      <x:c r="N59" s="52"/>
      <x:c r="O59" s="52"/>
      <x:c r="P59" s="67" t="str">
        <x:f>IF(A59="","",IFERROR(O59/J59,0))</x:f>
      </x:c>
      <x:c r="Q59" s="67" t="str">
        <x:f>IF(A59="","",IFERROR(O59/L59,0))</x:f>
      </x:c>
      <x:c r="R59" s="52"/>
      <x:c r="S59" s="52"/>
      <x:c r="T59" s="64" t="str">
        <x:f>IF(A59="","",IFERROR(S59/R59-1,0))</x:f>
      </x:c>
      <x:c r="U59" s="30"/>
      <x:c r="V59" s="30"/>
    </x:row>
    <x:row r="60">
      <x:c r="A60" s="30"/>
      <x:c r="B60" s="30"/>
      <x:c r="C60" s="30"/>
      <x:c r="D60" s="30"/>
      <x:c r="E60" s="30"/>
      <x:c r="F60" s="30"/>
      <x:c r="G60" s="33"/>
      <x:c r="H60" s="33"/>
      <x:c r="I60" s="55"/>
      <x:c r="J60" s="55"/>
      <x:c r="K60" s="64" t="str">
        <x:f>IF(A60="","",IFERROR(J60/I60,0))</x:f>
      </x:c>
      <x:c r="L60" s="55"/>
      <x:c r="M60" s="64" t="str">
        <x:f>IF(A60="","",IFERROR(L60/J60,0))</x:f>
      </x:c>
      <x:c r="N60" s="52"/>
      <x:c r="O60" s="52"/>
      <x:c r="P60" s="67" t="str">
        <x:f>IF(A60="","",IFERROR(O60/J60,0))</x:f>
      </x:c>
      <x:c r="Q60" s="67" t="str">
        <x:f>IF(A60="","",IFERROR(O60/L60,0))</x:f>
      </x:c>
      <x:c r="R60" s="52"/>
      <x:c r="S60" s="52"/>
      <x:c r="T60" s="64" t="str">
        <x:f>IF(A60="","",IFERROR(S60/R60-1,0))</x:f>
      </x:c>
      <x:c r="U60" s="30"/>
      <x:c r="V60" s="30"/>
    </x:row>
    <x:row r="61">
      <x:c r="A61" s="30"/>
      <x:c r="B61" s="30"/>
      <x:c r="C61" s="30"/>
      <x:c r="D61" s="30"/>
      <x:c r="E61" s="30"/>
      <x:c r="F61" s="30"/>
      <x:c r="G61" s="33"/>
      <x:c r="H61" s="33"/>
      <x:c r="I61" s="55"/>
      <x:c r="J61" s="55"/>
      <x:c r="K61" s="64" t="str">
        <x:f>IF(A61="","",IFERROR(J61/I61,0))</x:f>
      </x:c>
      <x:c r="L61" s="55"/>
      <x:c r="M61" s="64" t="str">
        <x:f>IF(A61="","",IFERROR(L61/J61,0))</x:f>
      </x:c>
      <x:c r="N61" s="52"/>
      <x:c r="O61" s="52"/>
      <x:c r="P61" s="67" t="str">
        <x:f>IF(A61="","",IFERROR(O61/J61,0))</x:f>
      </x:c>
      <x:c r="Q61" s="67" t="str">
        <x:f>IF(A61="","",IFERROR(O61/L61,0))</x:f>
      </x:c>
      <x:c r="R61" s="52"/>
      <x:c r="S61" s="52"/>
      <x:c r="T61" s="64" t="str">
        <x:f>IF(A61="","",IFERROR(S61/R61-1,0))</x:f>
      </x:c>
      <x:c r="U61" s="30"/>
      <x:c r="V61" s="30"/>
    </x:row>
    <x:row r="62">
      <x:c r="A62" s="30"/>
      <x:c r="B62" s="30"/>
      <x:c r="C62" s="30"/>
      <x:c r="D62" s="30"/>
      <x:c r="E62" s="30"/>
      <x:c r="F62" s="30"/>
      <x:c r="G62" s="33"/>
      <x:c r="H62" s="33"/>
      <x:c r="I62" s="55"/>
      <x:c r="J62" s="55"/>
      <x:c r="K62" s="64" t="str">
        <x:f>IF(A62="","",IFERROR(J62/I62,0))</x:f>
      </x:c>
      <x:c r="L62" s="55"/>
      <x:c r="M62" s="64" t="str">
        <x:f>IF(A62="","",IFERROR(L62/J62,0))</x:f>
      </x:c>
      <x:c r="N62" s="52"/>
      <x:c r="O62" s="52"/>
      <x:c r="P62" s="67" t="str">
        <x:f>IF(A62="","",IFERROR(O62/J62,0))</x:f>
      </x:c>
      <x:c r="Q62" s="67" t="str">
        <x:f>IF(A62="","",IFERROR(O62/L62,0))</x:f>
      </x:c>
      <x:c r="R62" s="52"/>
      <x:c r="S62" s="52"/>
      <x:c r="T62" s="64" t="str">
        <x:f>IF(A62="","",IFERROR(S62/R62-1,0))</x:f>
      </x:c>
      <x:c r="U62" s="30"/>
      <x:c r="V62" s="30"/>
    </x:row>
    <x:row r="63">
      <x:c r="A63" s="30"/>
      <x:c r="B63" s="30"/>
      <x:c r="C63" s="30"/>
      <x:c r="D63" s="30"/>
      <x:c r="E63" s="30"/>
      <x:c r="F63" s="30"/>
      <x:c r="G63" s="33"/>
      <x:c r="H63" s="33"/>
      <x:c r="I63" s="55"/>
      <x:c r="J63" s="55"/>
      <x:c r="K63" s="64" t="str">
        <x:f>IF(A63="","",IFERROR(J63/I63,0))</x:f>
      </x:c>
      <x:c r="L63" s="55"/>
      <x:c r="M63" s="64" t="str">
        <x:f>IF(A63="","",IFERROR(L63/J63,0))</x:f>
      </x:c>
      <x:c r="N63" s="52"/>
      <x:c r="O63" s="52"/>
      <x:c r="P63" s="67" t="str">
        <x:f>IF(A63="","",IFERROR(O63/J63,0))</x:f>
      </x:c>
      <x:c r="Q63" s="67" t="str">
        <x:f>IF(A63="","",IFERROR(O63/L63,0))</x:f>
      </x:c>
      <x:c r="R63" s="52"/>
      <x:c r="S63" s="52"/>
      <x:c r="T63" s="64" t="str">
        <x:f>IF(A63="","",IFERROR(S63/R63-1,0))</x:f>
      </x:c>
      <x:c r="U63" s="30"/>
      <x:c r="V63" s="30"/>
    </x:row>
    <x:row r="64">
      <x:c r="A64" s="30"/>
      <x:c r="B64" s="30"/>
      <x:c r="C64" s="30"/>
      <x:c r="D64" s="30"/>
      <x:c r="E64" s="30"/>
      <x:c r="F64" s="30"/>
      <x:c r="G64" s="33"/>
      <x:c r="H64" s="33"/>
      <x:c r="I64" s="55"/>
      <x:c r="J64" s="55"/>
      <x:c r="K64" s="64" t="str">
        <x:f>IF(A64="","",IFERROR(J64/I64,0))</x:f>
      </x:c>
      <x:c r="L64" s="55"/>
      <x:c r="M64" s="64" t="str">
        <x:f>IF(A64="","",IFERROR(L64/J64,0))</x:f>
      </x:c>
      <x:c r="N64" s="52"/>
      <x:c r="O64" s="52"/>
      <x:c r="P64" s="67" t="str">
        <x:f>IF(A64="","",IFERROR(O64/J64,0))</x:f>
      </x:c>
      <x:c r="Q64" s="67" t="str">
        <x:f>IF(A64="","",IFERROR(O64/L64,0))</x:f>
      </x:c>
      <x:c r="R64" s="52"/>
      <x:c r="S64" s="52"/>
      <x:c r="T64" s="64" t="str">
        <x:f>IF(A64="","",IFERROR(S64/R64-1,0))</x:f>
      </x:c>
      <x:c r="U64" s="30"/>
      <x:c r="V64" s="30"/>
    </x:row>
    <x:row r="65">
      <x:c r="A65" s="30"/>
      <x:c r="B65" s="30"/>
      <x:c r="C65" s="30"/>
      <x:c r="D65" s="30"/>
      <x:c r="E65" s="30"/>
      <x:c r="F65" s="30"/>
      <x:c r="G65" s="33"/>
      <x:c r="H65" s="33"/>
      <x:c r="I65" s="55"/>
      <x:c r="J65" s="55"/>
      <x:c r="K65" s="64" t="str">
        <x:f>IF(A65="","",IFERROR(J65/I65,0))</x:f>
      </x:c>
      <x:c r="L65" s="55"/>
      <x:c r="M65" s="64" t="str">
        <x:f>IF(A65="","",IFERROR(L65/J65,0))</x:f>
      </x:c>
      <x:c r="N65" s="52"/>
      <x:c r="O65" s="52"/>
      <x:c r="P65" s="67" t="str">
        <x:f>IF(A65="","",IFERROR(O65/J65,0))</x:f>
      </x:c>
      <x:c r="Q65" s="67" t="str">
        <x:f>IF(A65="","",IFERROR(O65/L65,0))</x:f>
      </x:c>
      <x:c r="R65" s="52"/>
      <x:c r="S65" s="52"/>
      <x:c r="T65" s="64" t="str">
        <x:f>IF(A65="","",IFERROR(S65/R65-1,0))</x:f>
      </x:c>
      <x:c r="U65" s="30"/>
      <x:c r="V65" s="30"/>
    </x:row>
    <x:row r="66">
      <x:c r="A66" s="30"/>
      <x:c r="B66" s="30"/>
      <x:c r="C66" s="30"/>
      <x:c r="D66" s="30"/>
      <x:c r="E66" s="30"/>
      <x:c r="F66" s="30"/>
      <x:c r="G66" s="33"/>
      <x:c r="H66" s="33"/>
      <x:c r="I66" s="55"/>
      <x:c r="J66" s="55"/>
      <x:c r="K66" s="64" t="str">
        <x:f>IF(A66="","",IFERROR(J66/I66,0))</x:f>
      </x:c>
      <x:c r="L66" s="55"/>
      <x:c r="M66" s="64" t="str">
        <x:f>IF(A66="","",IFERROR(L66/J66,0))</x:f>
      </x:c>
      <x:c r="N66" s="52"/>
      <x:c r="O66" s="52"/>
      <x:c r="P66" s="67" t="str">
        <x:f>IF(A66="","",IFERROR(O66/J66,0))</x:f>
      </x:c>
      <x:c r="Q66" s="67" t="str">
        <x:f>IF(A66="","",IFERROR(O66/L66,0))</x:f>
      </x:c>
      <x:c r="R66" s="52"/>
      <x:c r="S66" s="52"/>
      <x:c r="T66" s="64" t="str">
        <x:f>IF(A66="","",IFERROR(S66/R66-1,0))</x:f>
      </x:c>
      <x:c r="U66" s="30"/>
      <x:c r="V66" s="30"/>
    </x:row>
    <x:row r="67">
      <x:c r="A67" s="30"/>
      <x:c r="B67" s="30"/>
      <x:c r="C67" s="30"/>
      <x:c r="D67" s="30"/>
      <x:c r="E67" s="30"/>
      <x:c r="F67" s="30"/>
      <x:c r="G67" s="33"/>
      <x:c r="H67" s="33"/>
      <x:c r="I67" s="55"/>
      <x:c r="J67" s="55"/>
      <x:c r="K67" s="64" t="str">
        <x:f>IF(A67="","",IFERROR(J67/I67,0))</x:f>
      </x:c>
      <x:c r="L67" s="55"/>
      <x:c r="M67" s="64" t="str">
        <x:f>IF(A67="","",IFERROR(L67/J67,0))</x:f>
      </x:c>
      <x:c r="N67" s="52"/>
      <x:c r="O67" s="52"/>
      <x:c r="P67" s="67" t="str">
        <x:f>IF(A67="","",IFERROR(O67/J67,0))</x:f>
      </x:c>
      <x:c r="Q67" s="67" t="str">
        <x:f>IF(A67="","",IFERROR(O67/L67,0))</x:f>
      </x:c>
      <x:c r="R67" s="52"/>
      <x:c r="S67" s="52"/>
      <x:c r="T67" s="64" t="str">
        <x:f>IF(A67="","",IFERROR(S67/R67-1,0))</x:f>
      </x:c>
      <x:c r="U67" s="30"/>
      <x:c r="V67" s="30"/>
    </x:row>
    <x:row r="68">
      <x:c r="A68" s="30"/>
      <x:c r="B68" s="30"/>
      <x:c r="C68" s="30"/>
      <x:c r="D68" s="30"/>
      <x:c r="E68" s="30"/>
      <x:c r="F68" s="30"/>
      <x:c r="G68" s="33"/>
      <x:c r="H68" s="33"/>
      <x:c r="I68" s="55"/>
      <x:c r="J68" s="55"/>
      <x:c r="K68" s="64" t="str">
        <x:f>IF(A68="","",IFERROR(J68/I68,0))</x:f>
      </x:c>
      <x:c r="L68" s="55"/>
      <x:c r="M68" s="64" t="str">
        <x:f>IF(A68="","",IFERROR(L68/J68,0))</x:f>
      </x:c>
      <x:c r="N68" s="52"/>
      <x:c r="O68" s="52"/>
      <x:c r="P68" s="67" t="str">
        <x:f>IF(A68="","",IFERROR(O68/J68,0))</x:f>
      </x:c>
      <x:c r="Q68" s="67" t="str">
        <x:f>IF(A68="","",IFERROR(O68/L68,0))</x:f>
      </x:c>
      <x:c r="R68" s="52"/>
      <x:c r="S68" s="52"/>
      <x:c r="T68" s="64" t="str">
        <x:f>IF(A68="","",IFERROR(S68/R68-1,0))</x:f>
      </x:c>
      <x:c r="U68" s="30"/>
      <x:c r="V68" s="30"/>
    </x:row>
    <x:row r="69">
      <x:c r="A69" s="30"/>
      <x:c r="B69" s="30"/>
      <x:c r="C69" s="30"/>
      <x:c r="D69" s="30"/>
      <x:c r="E69" s="30"/>
      <x:c r="F69" s="30"/>
      <x:c r="G69" s="33"/>
      <x:c r="H69" s="33"/>
      <x:c r="I69" s="55"/>
      <x:c r="J69" s="55"/>
      <x:c r="K69" s="64" t="str">
        <x:f>IF(A69="","",IFERROR(J69/I69,0))</x:f>
      </x:c>
      <x:c r="L69" s="55"/>
      <x:c r="M69" s="64" t="str">
        <x:f>IF(A69="","",IFERROR(L69/J69,0))</x:f>
      </x:c>
      <x:c r="N69" s="52"/>
      <x:c r="O69" s="52"/>
      <x:c r="P69" s="67" t="str">
        <x:f>IF(A69="","",IFERROR(O69/J69,0))</x:f>
      </x:c>
      <x:c r="Q69" s="67" t="str">
        <x:f>IF(A69="","",IFERROR(O69/L69,0))</x:f>
      </x:c>
      <x:c r="R69" s="52"/>
      <x:c r="S69" s="52"/>
      <x:c r="T69" s="64" t="str">
        <x:f>IF(A69="","",IFERROR(S69/R69-1,0))</x:f>
      </x:c>
      <x:c r="U69" s="30"/>
      <x:c r="V69" s="30"/>
    </x:row>
    <x:row r="70">
      <x:c r="A70" s="30"/>
      <x:c r="B70" s="30"/>
      <x:c r="C70" s="30"/>
      <x:c r="D70" s="30"/>
      <x:c r="E70" s="30"/>
      <x:c r="F70" s="30"/>
      <x:c r="G70" s="33"/>
      <x:c r="H70" s="33"/>
      <x:c r="I70" s="55"/>
      <x:c r="J70" s="55"/>
      <x:c r="K70" s="64" t="str">
        <x:f>IF(A70="","",IFERROR(J70/I70,0))</x:f>
      </x:c>
      <x:c r="L70" s="55"/>
      <x:c r="M70" s="64" t="str">
        <x:f>IF(A70="","",IFERROR(L70/J70,0))</x:f>
      </x:c>
      <x:c r="N70" s="52"/>
      <x:c r="O70" s="52"/>
      <x:c r="P70" s="67" t="str">
        <x:f>IF(A70="","",IFERROR(O70/J70,0))</x:f>
      </x:c>
      <x:c r="Q70" s="67" t="str">
        <x:f>IF(A70="","",IFERROR(O70/L70,0))</x:f>
      </x:c>
      <x:c r="R70" s="52"/>
      <x:c r="S70" s="52"/>
      <x:c r="T70" s="64" t="str">
        <x:f>IF(A70="","",IFERROR(S70/R70-1,0))</x:f>
      </x:c>
      <x:c r="U70" s="30"/>
      <x:c r="V70" s="30"/>
    </x:row>
    <x:row r="71">
      <x:c r="A71" s="30"/>
      <x:c r="B71" s="30"/>
      <x:c r="C71" s="30"/>
      <x:c r="D71" s="30"/>
      <x:c r="E71" s="30"/>
      <x:c r="F71" s="30"/>
      <x:c r="G71" s="33"/>
      <x:c r="H71" s="33"/>
      <x:c r="I71" s="55"/>
      <x:c r="J71" s="55"/>
      <x:c r="K71" s="64" t="str">
        <x:f>IF(A71="","",IFERROR(J71/I71,0))</x:f>
      </x:c>
      <x:c r="L71" s="55"/>
      <x:c r="M71" s="64" t="str">
        <x:f>IF(A71="","",IFERROR(L71/J71,0))</x:f>
      </x:c>
      <x:c r="N71" s="52"/>
      <x:c r="O71" s="52"/>
      <x:c r="P71" s="67" t="str">
        <x:f>IF(A71="","",IFERROR(O71/J71,0))</x:f>
      </x:c>
      <x:c r="Q71" s="67" t="str">
        <x:f>IF(A71="","",IFERROR(O71/L71,0))</x:f>
      </x:c>
      <x:c r="R71" s="52"/>
      <x:c r="S71" s="52"/>
      <x:c r="T71" s="64" t="str">
        <x:f>IF(A71="","",IFERROR(S71/R71-1,0))</x:f>
      </x:c>
      <x:c r="U71" s="30"/>
      <x:c r="V71" s="30"/>
    </x:row>
    <x:row r="72">
      <x:c r="A72" s="30"/>
      <x:c r="B72" s="30"/>
      <x:c r="C72" s="30"/>
      <x:c r="D72" s="30"/>
      <x:c r="E72" s="30"/>
      <x:c r="F72" s="30"/>
      <x:c r="G72" s="33"/>
      <x:c r="H72" s="33"/>
      <x:c r="I72" s="55"/>
      <x:c r="J72" s="55"/>
      <x:c r="K72" s="64" t="str">
        <x:f>IF(A72="","",IFERROR(J72/I72,0))</x:f>
      </x:c>
      <x:c r="L72" s="55"/>
      <x:c r="M72" s="64" t="str">
        <x:f>IF(A72="","",IFERROR(L72/J72,0))</x:f>
      </x:c>
      <x:c r="N72" s="52"/>
      <x:c r="O72" s="52"/>
      <x:c r="P72" s="67" t="str">
        <x:f>IF(A72="","",IFERROR(O72/J72,0))</x:f>
      </x:c>
      <x:c r="Q72" s="67" t="str">
        <x:f>IF(A72="","",IFERROR(O72/L72,0))</x:f>
      </x:c>
      <x:c r="R72" s="52"/>
      <x:c r="S72" s="52"/>
      <x:c r="T72" s="64" t="str">
        <x:f>IF(A72="","",IFERROR(S72/R72-1,0))</x:f>
      </x:c>
      <x:c r="U72" s="30"/>
      <x:c r="V72" s="30"/>
    </x:row>
    <x:row r="73">
      <x:c r="A73" s="30"/>
      <x:c r="B73" s="30"/>
      <x:c r="C73" s="30"/>
      <x:c r="D73" s="30"/>
      <x:c r="E73" s="30"/>
      <x:c r="F73" s="30"/>
      <x:c r="G73" s="33"/>
      <x:c r="H73" s="33"/>
      <x:c r="I73" s="55"/>
      <x:c r="J73" s="55"/>
      <x:c r="K73" s="64" t="str">
        <x:f>IF(A73="","",IFERROR(J73/I73,0))</x:f>
      </x:c>
      <x:c r="L73" s="55"/>
      <x:c r="M73" s="64" t="str">
        <x:f>IF(A73="","",IFERROR(L73/J73,0))</x:f>
      </x:c>
      <x:c r="N73" s="52"/>
      <x:c r="O73" s="52"/>
      <x:c r="P73" s="67" t="str">
        <x:f>IF(A73="","",IFERROR(O73/J73,0))</x:f>
      </x:c>
      <x:c r="Q73" s="67" t="str">
        <x:f>IF(A73="","",IFERROR(O73/L73,0))</x:f>
      </x:c>
      <x:c r="R73" s="52"/>
      <x:c r="S73" s="52"/>
      <x:c r="T73" s="64" t="str">
        <x:f>IF(A73="","",IFERROR(S73/R73-1,0))</x:f>
      </x:c>
      <x:c r="U73" s="30"/>
      <x:c r="V73" s="30"/>
    </x:row>
    <x:row r="74">
      <x:c r="A74" s="30"/>
      <x:c r="B74" s="30"/>
      <x:c r="C74" s="30"/>
      <x:c r="D74" s="30"/>
      <x:c r="E74" s="30"/>
      <x:c r="F74" s="30"/>
      <x:c r="G74" s="33"/>
      <x:c r="H74" s="33"/>
      <x:c r="I74" s="55"/>
      <x:c r="J74" s="55"/>
      <x:c r="K74" s="64" t="str">
        <x:f>IF(A74="","",IFERROR(J74/I74,0))</x:f>
      </x:c>
      <x:c r="L74" s="55"/>
      <x:c r="M74" s="64" t="str">
        <x:f>IF(A74="","",IFERROR(L74/J74,0))</x:f>
      </x:c>
      <x:c r="N74" s="52"/>
      <x:c r="O74" s="52"/>
      <x:c r="P74" s="67" t="str">
        <x:f>IF(A74="","",IFERROR(O74/J74,0))</x:f>
      </x:c>
      <x:c r="Q74" s="67" t="str">
        <x:f>IF(A74="","",IFERROR(O74/L74,0))</x:f>
      </x:c>
      <x:c r="R74" s="52"/>
      <x:c r="S74" s="52"/>
      <x:c r="T74" s="64" t="str">
        <x:f>IF(A74="","",IFERROR(S74/R74-1,0))</x:f>
      </x:c>
      <x:c r="U74" s="30"/>
      <x:c r="V74" s="30"/>
    </x:row>
    <x:row r="75">
      <x:c r="A75" s="30"/>
      <x:c r="B75" s="30"/>
      <x:c r="C75" s="30"/>
      <x:c r="D75" s="30"/>
      <x:c r="E75" s="30"/>
      <x:c r="F75" s="30"/>
      <x:c r="G75" s="33"/>
      <x:c r="H75" s="33"/>
      <x:c r="I75" s="55"/>
      <x:c r="J75" s="55"/>
      <x:c r="K75" s="64" t="str">
        <x:f>IF(A75="","",IFERROR(J75/I75,0))</x:f>
      </x:c>
      <x:c r="L75" s="55"/>
      <x:c r="M75" s="64" t="str">
        <x:f>IF(A75="","",IFERROR(L75/J75,0))</x:f>
      </x:c>
      <x:c r="N75" s="52"/>
      <x:c r="O75" s="52"/>
      <x:c r="P75" s="67" t="str">
        <x:f>IF(A75="","",IFERROR(O75/J75,0))</x:f>
      </x:c>
      <x:c r="Q75" s="67" t="str">
        <x:f>IF(A75="","",IFERROR(O75/L75,0))</x:f>
      </x:c>
      <x:c r="R75" s="52"/>
      <x:c r="S75" s="52"/>
      <x:c r="T75" s="64" t="str">
        <x:f>IF(A75="","",IFERROR(S75/R75-1,0))</x:f>
      </x:c>
      <x:c r="U75" s="30"/>
      <x:c r="V75" s="30"/>
    </x:row>
    <x:row r="76">
      <x:c r="A76" s="30"/>
      <x:c r="B76" s="30"/>
      <x:c r="C76" s="30"/>
      <x:c r="D76" s="30"/>
      <x:c r="E76" s="30"/>
      <x:c r="F76" s="30"/>
      <x:c r="G76" s="33"/>
      <x:c r="H76" s="33"/>
      <x:c r="I76" s="55"/>
      <x:c r="J76" s="55"/>
      <x:c r="K76" s="64" t="str">
        <x:f>IF(A76="","",IFERROR(J76/I76,0))</x:f>
      </x:c>
      <x:c r="L76" s="55"/>
      <x:c r="M76" s="64" t="str">
        <x:f>IF(A76="","",IFERROR(L76/J76,0))</x:f>
      </x:c>
      <x:c r="N76" s="52"/>
      <x:c r="O76" s="52"/>
      <x:c r="P76" s="67" t="str">
        <x:f>IF(A76="","",IFERROR(O76/J76,0))</x:f>
      </x:c>
      <x:c r="Q76" s="67" t="str">
        <x:f>IF(A76="","",IFERROR(O76/L76,0))</x:f>
      </x:c>
      <x:c r="R76" s="52"/>
      <x:c r="S76" s="52"/>
      <x:c r="T76" s="64" t="str">
        <x:f>IF(A76="","",IFERROR(S76/R76-1,0))</x:f>
      </x:c>
      <x:c r="U76" s="30"/>
      <x:c r="V76" s="30"/>
    </x:row>
    <x:row r="77">
      <x:c r="A77" s="30"/>
      <x:c r="B77" s="30"/>
      <x:c r="C77" s="30"/>
      <x:c r="D77" s="30"/>
      <x:c r="E77" s="30"/>
      <x:c r="F77" s="30"/>
      <x:c r="G77" s="33"/>
      <x:c r="H77" s="33"/>
      <x:c r="I77" s="55"/>
      <x:c r="J77" s="55"/>
      <x:c r="K77" s="64" t="str">
        <x:f>IF(A77="","",IFERROR(J77/I77,0))</x:f>
      </x:c>
      <x:c r="L77" s="55"/>
      <x:c r="M77" s="64" t="str">
        <x:f>IF(A77="","",IFERROR(L77/J77,0))</x:f>
      </x:c>
      <x:c r="N77" s="52"/>
      <x:c r="O77" s="52"/>
      <x:c r="P77" s="67" t="str">
        <x:f>IF(A77="","",IFERROR(O77/J77,0))</x:f>
      </x:c>
      <x:c r="Q77" s="67" t="str">
        <x:f>IF(A77="","",IFERROR(O77/L77,0))</x:f>
      </x:c>
      <x:c r="R77" s="52"/>
      <x:c r="S77" s="52"/>
      <x:c r="T77" s="64" t="str">
        <x:f>IF(A77="","",IFERROR(S77/R77-1,0))</x:f>
      </x:c>
      <x:c r="U77" s="30"/>
      <x:c r="V77" s="30"/>
    </x:row>
    <x:row r="78">
      <x:c r="A78" s="30"/>
      <x:c r="B78" s="30"/>
      <x:c r="C78" s="30"/>
      <x:c r="D78" s="30"/>
      <x:c r="E78" s="30"/>
      <x:c r="F78" s="30"/>
      <x:c r="G78" s="33"/>
      <x:c r="H78" s="33"/>
      <x:c r="I78" s="55"/>
      <x:c r="J78" s="55"/>
      <x:c r="K78" s="64" t="str">
        <x:f>IF(A78="","",IFERROR(J78/I78,0))</x:f>
      </x:c>
      <x:c r="L78" s="55"/>
      <x:c r="M78" s="64" t="str">
        <x:f>IF(A78="","",IFERROR(L78/J78,0))</x:f>
      </x:c>
      <x:c r="N78" s="52"/>
      <x:c r="O78" s="52"/>
      <x:c r="P78" s="67" t="str">
        <x:f>IF(A78="","",IFERROR(O78/J78,0))</x:f>
      </x:c>
      <x:c r="Q78" s="67" t="str">
        <x:f>IF(A78="","",IFERROR(O78/L78,0))</x:f>
      </x:c>
      <x:c r="R78" s="52"/>
      <x:c r="S78" s="52"/>
      <x:c r="T78" s="64" t="str">
        <x:f>IF(A78="","",IFERROR(S78/R78-1,0))</x:f>
      </x:c>
      <x:c r="U78" s="30"/>
      <x:c r="V78" s="30"/>
    </x:row>
    <x:row r="79">
      <x:c r="A79" s="30"/>
      <x:c r="B79" s="30"/>
      <x:c r="C79" s="30"/>
      <x:c r="D79" s="30"/>
      <x:c r="E79" s="30"/>
      <x:c r="F79" s="30"/>
      <x:c r="G79" s="33"/>
      <x:c r="H79" s="33"/>
      <x:c r="I79" s="55"/>
      <x:c r="J79" s="55"/>
      <x:c r="K79" s="64" t="str">
        <x:f>IF(A79="","",IFERROR(J79/I79,0))</x:f>
      </x:c>
      <x:c r="L79" s="55"/>
      <x:c r="M79" s="64" t="str">
        <x:f>IF(A79="","",IFERROR(L79/J79,0))</x:f>
      </x:c>
      <x:c r="N79" s="52"/>
      <x:c r="O79" s="52"/>
      <x:c r="P79" s="67" t="str">
        <x:f>IF(A79="","",IFERROR(O79/J79,0))</x:f>
      </x:c>
      <x:c r="Q79" s="67" t="str">
        <x:f>IF(A79="","",IFERROR(O79/L79,0))</x:f>
      </x:c>
      <x:c r="R79" s="52"/>
      <x:c r="S79" s="52"/>
      <x:c r="T79" s="64" t="str">
        <x:f>IF(A79="","",IFERROR(S79/R79-1,0))</x:f>
      </x:c>
      <x:c r="U79" s="30"/>
      <x:c r="V79" s="30"/>
    </x:row>
    <x:row r="80">
      <x:c r="A80" s="30"/>
      <x:c r="B80" s="30"/>
      <x:c r="C80" s="30"/>
      <x:c r="D80" s="30"/>
      <x:c r="E80" s="30"/>
      <x:c r="F80" s="30"/>
      <x:c r="G80" s="33"/>
      <x:c r="H80" s="33"/>
      <x:c r="I80" s="55"/>
      <x:c r="J80" s="55"/>
      <x:c r="K80" s="64" t="str">
        <x:f>IF(A80="","",IFERROR(J80/I80,0))</x:f>
      </x:c>
      <x:c r="L80" s="55"/>
      <x:c r="M80" s="64" t="str">
        <x:f>IF(A80="","",IFERROR(L80/J80,0))</x:f>
      </x:c>
      <x:c r="N80" s="52"/>
      <x:c r="O80" s="52"/>
      <x:c r="P80" s="67" t="str">
        <x:f>IF(A80="","",IFERROR(O80/J80,0))</x:f>
      </x:c>
      <x:c r="Q80" s="67" t="str">
        <x:f>IF(A80="","",IFERROR(O80/L80,0))</x:f>
      </x:c>
      <x:c r="R80" s="52"/>
      <x:c r="S80" s="52"/>
      <x:c r="T80" s="64" t="str">
        <x:f>IF(A80="","",IFERROR(S80/R80-1,0))</x:f>
      </x:c>
      <x:c r="U80" s="30"/>
      <x:c r="V80" s="30"/>
    </x:row>
    <x:row r="81">
      <x:c r="A81" s="30"/>
      <x:c r="B81" s="30"/>
      <x:c r="C81" s="30"/>
      <x:c r="D81" s="30"/>
      <x:c r="E81" s="30"/>
      <x:c r="F81" s="30"/>
      <x:c r="G81" s="33"/>
      <x:c r="H81" s="33"/>
      <x:c r="I81" s="55"/>
      <x:c r="J81" s="55"/>
      <x:c r="K81" s="64" t="str">
        <x:f>IF(A81="","",IFERROR(J81/I81,0))</x:f>
      </x:c>
      <x:c r="L81" s="55"/>
      <x:c r="M81" s="64" t="str">
        <x:f>IF(A81="","",IFERROR(L81/J81,0))</x:f>
      </x:c>
      <x:c r="N81" s="52"/>
      <x:c r="O81" s="52"/>
      <x:c r="P81" s="67" t="str">
        <x:f>IF(A81="","",IFERROR(O81/J81,0))</x:f>
      </x:c>
      <x:c r="Q81" s="67" t="str">
        <x:f>IF(A81="","",IFERROR(O81/L81,0))</x:f>
      </x:c>
      <x:c r="R81" s="52"/>
      <x:c r="S81" s="52"/>
      <x:c r="T81" s="64" t="str">
        <x:f>IF(A81="","",IFERROR(S81/R81-1,0))</x:f>
      </x:c>
      <x:c r="U81" s="30"/>
      <x:c r="V81" s="30"/>
    </x:row>
    <x:row r="82">
      <x:c r="A82" s="30"/>
      <x:c r="B82" s="30"/>
      <x:c r="C82" s="30"/>
      <x:c r="D82" s="30"/>
      <x:c r="E82" s="30"/>
      <x:c r="F82" s="30"/>
      <x:c r="G82" s="33"/>
      <x:c r="H82" s="33"/>
      <x:c r="I82" s="55"/>
      <x:c r="J82" s="55"/>
      <x:c r="K82" s="64" t="str">
        <x:f>IF(A82="","",IFERROR(J82/I82,0))</x:f>
      </x:c>
      <x:c r="L82" s="55"/>
      <x:c r="M82" s="64" t="str">
        <x:f>IF(A82="","",IFERROR(L82/J82,0))</x:f>
      </x:c>
      <x:c r="N82" s="52"/>
      <x:c r="O82" s="52"/>
      <x:c r="P82" s="67" t="str">
        <x:f>IF(A82="","",IFERROR(O82/J82,0))</x:f>
      </x:c>
      <x:c r="Q82" s="67" t="str">
        <x:f>IF(A82="","",IFERROR(O82/L82,0))</x:f>
      </x:c>
      <x:c r="R82" s="52"/>
      <x:c r="S82" s="52"/>
      <x:c r="T82" s="64" t="str">
        <x:f>IF(A82="","",IFERROR(S82/R82-1,0))</x:f>
      </x:c>
      <x:c r="U82" s="30"/>
      <x:c r="V82" s="30"/>
    </x:row>
    <x:row r="83">
      <x:c r="A83" s="30"/>
      <x:c r="B83" s="30"/>
      <x:c r="C83" s="30"/>
      <x:c r="D83" s="30"/>
      <x:c r="E83" s="30"/>
      <x:c r="F83" s="30"/>
      <x:c r="G83" s="33"/>
      <x:c r="H83" s="33"/>
      <x:c r="I83" s="55"/>
      <x:c r="J83" s="55"/>
      <x:c r="K83" s="64" t="str">
        <x:f>IF(A83="","",IFERROR(J83/I83,0))</x:f>
      </x:c>
      <x:c r="L83" s="55"/>
      <x:c r="M83" s="64" t="str">
        <x:f>IF(A83="","",IFERROR(L83/J83,0))</x:f>
      </x:c>
      <x:c r="N83" s="52"/>
      <x:c r="O83" s="52"/>
      <x:c r="P83" s="67" t="str">
        <x:f>IF(A83="","",IFERROR(O83/J83,0))</x:f>
      </x:c>
      <x:c r="Q83" s="67" t="str">
        <x:f>IF(A83="","",IFERROR(O83/L83,0))</x:f>
      </x:c>
      <x:c r="R83" s="52"/>
      <x:c r="S83" s="52"/>
      <x:c r="T83" s="64" t="str">
        <x:f>IF(A83="","",IFERROR(S83/R83-1,0))</x:f>
      </x:c>
      <x:c r="U83" s="30"/>
      <x:c r="V83" s="30"/>
    </x:row>
    <x:row r="84">
      <x:c r="A84" s="30"/>
      <x:c r="B84" s="30"/>
      <x:c r="C84" s="30"/>
      <x:c r="D84" s="30"/>
      <x:c r="E84" s="30"/>
      <x:c r="F84" s="30"/>
      <x:c r="G84" s="33"/>
      <x:c r="H84" s="33"/>
      <x:c r="I84" s="55"/>
      <x:c r="J84" s="55"/>
      <x:c r="K84" s="64" t="str">
        <x:f>IF(A84="","",IFERROR(J84/I84,0))</x:f>
      </x:c>
      <x:c r="L84" s="55"/>
      <x:c r="M84" s="64" t="str">
        <x:f>IF(A84="","",IFERROR(L84/J84,0))</x:f>
      </x:c>
      <x:c r="N84" s="52"/>
      <x:c r="O84" s="52"/>
      <x:c r="P84" s="67" t="str">
        <x:f>IF(A84="","",IFERROR(O84/J84,0))</x:f>
      </x:c>
      <x:c r="Q84" s="67" t="str">
        <x:f>IF(A84="","",IFERROR(O84/L84,0))</x:f>
      </x:c>
      <x:c r="R84" s="52"/>
      <x:c r="S84" s="52"/>
      <x:c r="T84" s="64" t="str">
        <x:f>IF(A84="","",IFERROR(S84/R84-1,0))</x:f>
      </x:c>
      <x:c r="U84" s="30"/>
      <x:c r="V84" s="30"/>
    </x:row>
    <x:row r="85">
      <x:c r="A85" s="30"/>
      <x:c r="B85" s="30"/>
      <x:c r="C85" s="30"/>
      <x:c r="D85" s="30"/>
      <x:c r="E85" s="30"/>
      <x:c r="F85" s="30"/>
      <x:c r="G85" s="33"/>
      <x:c r="H85" s="33"/>
      <x:c r="I85" s="55"/>
      <x:c r="J85" s="55"/>
      <x:c r="K85" s="64" t="str">
        <x:f>IF(A85="","",IFERROR(J85/I85,0))</x:f>
      </x:c>
      <x:c r="L85" s="55"/>
      <x:c r="M85" s="64" t="str">
        <x:f>IF(A85="","",IFERROR(L85/J85,0))</x:f>
      </x:c>
      <x:c r="N85" s="52"/>
      <x:c r="O85" s="52"/>
      <x:c r="P85" s="67" t="str">
        <x:f>IF(A85="","",IFERROR(O85/J85,0))</x:f>
      </x:c>
      <x:c r="Q85" s="67" t="str">
        <x:f>IF(A85="","",IFERROR(O85/L85,0))</x:f>
      </x:c>
      <x:c r="R85" s="52"/>
      <x:c r="S85" s="52"/>
      <x:c r="T85" s="64" t="str">
        <x:f>IF(A85="","",IFERROR(S85/R85-1,0))</x:f>
      </x:c>
      <x:c r="U85" s="30"/>
      <x:c r="V85" s="30"/>
    </x:row>
    <x:row r="86">
      <x:c r="A86" s="30"/>
      <x:c r="B86" s="30"/>
      <x:c r="C86" s="30"/>
      <x:c r="D86" s="30"/>
      <x:c r="E86" s="30"/>
      <x:c r="F86" s="30"/>
      <x:c r="G86" s="33"/>
      <x:c r="H86" s="33"/>
      <x:c r="I86" s="55"/>
      <x:c r="J86" s="55"/>
      <x:c r="K86" s="64" t="str">
        <x:f>IF(A86="","",IFERROR(J86/I86,0))</x:f>
      </x:c>
      <x:c r="L86" s="55"/>
      <x:c r="M86" s="64" t="str">
        <x:f>IF(A86="","",IFERROR(L86/J86,0))</x:f>
      </x:c>
      <x:c r="N86" s="52"/>
      <x:c r="O86" s="52"/>
      <x:c r="P86" s="67" t="str">
        <x:f>IF(A86="","",IFERROR(O86/J86,0))</x:f>
      </x:c>
      <x:c r="Q86" s="67" t="str">
        <x:f>IF(A86="","",IFERROR(O86/L86,0))</x:f>
      </x:c>
      <x:c r="R86" s="52"/>
      <x:c r="S86" s="52"/>
      <x:c r="T86" s="64" t="str">
        <x:f>IF(A86="","",IFERROR(S86/R86-1,0))</x:f>
      </x:c>
      <x:c r="U86" s="30"/>
      <x:c r="V86" s="30"/>
    </x:row>
    <x:row r="87">
      <x:c r="A87" s="30"/>
      <x:c r="B87" s="30"/>
      <x:c r="C87" s="30"/>
      <x:c r="D87" s="30"/>
      <x:c r="E87" s="30"/>
      <x:c r="F87" s="30"/>
      <x:c r="G87" s="33"/>
      <x:c r="H87" s="33"/>
      <x:c r="I87" s="55"/>
      <x:c r="J87" s="55"/>
      <x:c r="K87" s="64" t="str">
        <x:f>IF(A87="","",IFERROR(J87/I87,0))</x:f>
      </x:c>
      <x:c r="L87" s="55"/>
      <x:c r="M87" s="64" t="str">
        <x:f>IF(A87="","",IFERROR(L87/J87,0))</x:f>
      </x:c>
      <x:c r="N87" s="52"/>
      <x:c r="O87" s="52"/>
      <x:c r="P87" s="67" t="str">
        <x:f>IF(A87="","",IFERROR(O87/J87,0))</x:f>
      </x:c>
      <x:c r="Q87" s="67" t="str">
        <x:f>IF(A87="","",IFERROR(O87/L87,0))</x:f>
      </x:c>
      <x:c r="R87" s="52"/>
      <x:c r="S87" s="52"/>
      <x:c r="T87" s="64" t="str">
        <x:f>IF(A87="","",IFERROR(S87/R87-1,0))</x:f>
      </x:c>
      <x:c r="U87" s="30"/>
      <x:c r="V87" s="30"/>
    </x:row>
    <x:row r="88">
      <x:c r="A88" s="30"/>
      <x:c r="B88" s="30"/>
      <x:c r="C88" s="30"/>
      <x:c r="D88" s="30"/>
      <x:c r="E88" s="30"/>
      <x:c r="F88" s="30"/>
      <x:c r="G88" s="33"/>
      <x:c r="H88" s="33"/>
      <x:c r="I88" s="55"/>
      <x:c r="J88" s="55"/>
      <x:c r="K88" s="64" t="str">
        <x:f>IF(A88="","",IFERROR(J88/I88,0))</x:f>
      </x:c>
      <x:c r="L88" s="55"/>
      <x:c r="M88" s="64" t="str">
        <x:f>IF(A88="","",IFERROR(L88/J88,0))</x:f>
      </x:c>
      <x:c r="N88" s="52"/>
      <x:c r="O88" s="52"/>
      <x:c r="P88" s="67" t="str">
        <x:f>IF(A88="","",IFERROR(O88/J88,0))</x:f>
      </x:c>
      <x:c r="Q88" s="67" t="str">
        <x:f>IF(A88="","",IFERROR(O88/L88,0))</x:f>
      </x:c>
      <x:c r="R88" s="52"/>
      <x:c r="S88" s="52"/>
      <x:c r="T88" s="64" t="str">
        <x:f>IF(A88="","",IFERROR(S88/R88-1,0))</x:f>
      </x:c>
      <x:c r="U88" s="30"/>
      <x:c r="V88" s="30"/>
    </x:row>
    <x:row r="89">
      <x:c r="A89" s="30"/>
      <x:c r="B89" s="30"/>
      <x:c r="C89" s="30"/>
      <x:c r="D89" s="30"/>
      <x:c r="E89" s="30"/>
      <x:c r="F89" s="30"/>
      <x:c r="G89" s="33"/>
      <x:c r="H89" s="33"/>
      <x:c r="I89" s="55"/>
      <x:c r="J89" s="55"/>
      <x:c r="K89" s="64" t="str">
        <x:f>IF(A89="","",IFERROR(J89/I89,0))</x:f>
      </x:c>
      <x:c r="L89" s="55"/>
      <x:c r="M89" s="64" t="str">
        <x:f>IF(A89="","",IFERROR(L89/J89,0))</x:f>
      </x:c>
      <x:c r="N89" s="52"/>
      <x:c r="O89" s="52"/>
      <x:c r="P89" s="67" t="str">
        <x:f>IF(A89="","",IFERROR(O89/J89,0))</x:f>
      </x:c>
      <x:c r="Q89" s="67" t="str">
        <x:f>IF(A89="","",IFERROR(O89/L89,0))</x:f>
      </x:c>
      <x:c r="R89" s="52"/>
      <x:c r="S89" s="52"/>
      <x:c r="T89" s="64" t="str">
        <x:f>IF(A89="","",IFERROR(S89/R89-1,0))</x:f>
      </x:c>
      <x:c r="U89" s="30"/>
      <x:c r="V89" s="30"/>
    </x:row>
    <x:row r="90">
      <x:c r="A90" s="30"/>
      <x:c r="B90" s="30"/>
      <x:c r="C90" s="30"/>
      <x:c r="D90" s="30"/>
      <x:c r="E90" s="30"/>
      <x:c r="F90" s="30"/>
      <x:c r="G90" s="33"/>
      <x:c r="H90" s="33"/>
      <x:c r="I90" s="55"/>
      <x:c r="J90" s="55"/>
      <x:c r="K90" s="64" t="str">
        <x:f>IF(A90="","",IFERROR(J90/I90,0))</x:f>
      </x:c>
      <x:c r="L90" s="55"/>
      <x:c r="M90" s="64" t="str">
        <x:f>IF(A90="","",IFERROR(L90/J90,0))</x:f>
      </x:c>
      <x:c r="N90" s="52"/>
      <x:c r="O90" s="52"/>
      <x:c r="P90" s="67" t="str">
        <x:f>IF(A90="","",IFERROR(O90/J90,0))</x:f>
      </x:c>
      <x:c r="Q90" s="67" t="str">
        <x:f>IF(A90="","",IFERROR(O90/L90,0))</x:f>
      </x:c>
      <x:c r="R90" s="52"/>
      <x:c r="S90" s="52"/>
      <x:c r="T90" s="64" t="str">
        <x:f>IF(A90="","",IFERROR(S90/R90-1,0))</x:f>
      </x:c>
      <x:c r="U90" s="30"/>
      <x:c r="V90" s="30"/>
    </x:row>
    <x:row r="91">
      <x:c r="A91" s="30"/>
      <x:c r="B91" s="30"/>
      <x:c r="C91" s="30"/>
      <x:c r="D91" s="30"/>
      <x:c r="E91" s="30"/>
      <x:c r="F91" s="30"/>
      <x:c r="G91" s="33"/>
      <x:c r="H91" s="33"/>
      <x:c r="I91" s="55"/>
      <x:c r="J91" s="55"/>
      <x:c r="K91" s="64" t="str">
        <x:f>IF(A91="","",IFERROR(J91/I91,0))</x:f>
      </x:c>
      <x:c r="L91" s="55"/>
      <x:c r="M91" s="64" t="str">
        <x:f>IF(A91="","",IFERROR(L91/J91,0))</x:f>
      </x:c>
      <x:c r="N91" s="52"/>
      <x:c r="O91" s="52"/>
      <x:c r="P91" s="67" t="str">
        <x:f>IF(A91="","",IFERROR(O91/J91,0))</x:f>
      </x:c>
      <x:c r="Q91" s="67" t="str">
        <x:f>IF(A91="","",IFERROR(O91/L91,0))</x:f>
      </x:c>
      <x:c r="R91" s="52"/>
      <x:c r="S91" s="52"/>
      <x:c r="T91" s="64" t="str">
        <x:f>IF(A91="","",IFERROR(S91/R91-1,0))</x:f>
      </x:c>
      <x:c r="U91" s="30"/>
      <x:c r="V91" s="30"/>
    </x:row>
    <x:row r="92">
      <x:c r="A92" s="30"/>
      <x:c r="B92" s="30"/>
      <x:c r="C92" s="30"/>
      <x:c r="D92" s="30"/>
      <x:c r="E92" s="30"/>
      <x:c r="F92" s="30"/>
      <x:c r="G92" s="33"/>
      <x:c r="H92" s="33"/>
      <x:c r="I92" s="55"/>
      <x:c r="J92" s="55"/>
      <x:c r="K92" s="64" t="str">
        <x:f>IF(A92="","",IFERROR(J92/I92,0))</x:f>
      </x:c>
      <x:c r="L92" s="55"/>
      <x:c r="M92" s="64" t="str">
        <x:f>IF(A92="","",IFERROR(L92/J92,0))</x:f>
      </x:c>
      <x:c r="N92" s="52"/>
      <x:c r="O92" s="52"/>
      <x:c r="P92" s="67" t="str">
        <x:f>IF(A92="","",IFERROR(O92/J92,0))</x:f>
      </x:c>
      <x:c r="Q92" s="67" t="str">
        <x:f>IF(A92="","",IFERROR(O92/L92,0))</x:f>
      </x:c>
      <x:c r="R92" s="52"/>
      <x:c r="S92" s="52"/>
      <x:c r="T92" s="64" t="str">
        <x:f>IF(A92="","",IFERROR(S92/R92-1,0))</x:f>
      </x:c>
      <x:c r="U92" s="30"/>
      <x:c r="V92" s="30"/>
    </x:row>
    <x:row r="93">
      <x:c r="A93" s="30"/>
      <x:c r="B93" s="30"/>
      <x:c r="C93" s="30"/>
      <x:c r="D93" s="30"/>
      <x:c r="E93" s="30"/>
      <x:c r="F93" s="30"/>
      <x:c r="G93" s="33"/>
      <x:c r="H93" s="33"/>
      <x:c r="I93" s="55"/>
      <x:c r="J93" s="55"/>
      <x:c r="K93" s="64" t="str">
        <x:f>IF(A93="","",IFERROR(J93/I93,0))</x:f>
      </x:c>
      <x:c r="L93" s="55"/>
      <x:c r="M93" s="64" t="str">
        <x:f>IF(A93="","",IFERROR(L93/J93,0))</x:f>
      </x:c>
      <x:c r="N93" s="52"/>
      <x:c r="O93" s="52"/>
      <x:c r="P93" s="67" t="str">
        <x:f>IF(A93="","",IFERROR(O93/J93,0))</x:f>
      </x:c>
      <x:c r="Q93" s="67" t="str">
        <x:f>IF(A93="","",IFERROR(O93/L93,0))</x:f>
      </x:c>
      <x:c r="R93" s="52"/>
      <x:c r="S93" s="52"/>
      <x:c r="T93" s="64" t="str">
        <x:f>IF(A93="","",IFERROR(S93/R93-1,0))</x:f>
      </x:c>
      <x:c r="U93" s="30"/>
      <x:c r="V93" s="30"/>
    </x:row>
    <x:row r="94">
      <x:c r="A94" s="30"/>
      <x:c r="B94" s="30"/>
      <x:c r="C94" s="30"/>
      <x:c r="D94" s="30"/>
      <x:c r="E94" s="30"/>
      <x:c r="F94" s="30"/>
      <x:c r="G94" s="33"/>
      <x:c r="H94" s="33"/>
      <x:c r="I94" s="55"/>
      <x:c r="J94" s="55"/>
      <x:c r="K94" s="64" t="str">
        <x:f>IF(A94="","",IFERROR(J94/I94,0))</x:f>
      </x:c>
      <x:c r="L94" s="55"/>
      <x:c r="M94" s="64" t="str">
        <x:f>IF(A94="","",IFERROR(L94/J94,0))</x:f>
      </x:c>
      <x:c r="N94" s="52"/>
      <x:c r="O94" s="52"/>
      <x:c r="P94" s="67" t="str">
        <x:f>IF(A94="","",IFERROR(O94/J94,0))</x:f>
      </x:c>
      <x:c r="Q94" s="67" t="str">
        <x:f>IF(A94="","",IFERROR(O94/L94,0))</x:f>
      </x:c>
      <x:c r="R94" s="52"/>
      <x:c r="S94" s="52"/>
      <x:c r="T94" s="64" t="str">
        <x:f>IF(A94="","",IFERROR(S94/R94-1,0))</x:f>
      </x:c>
      <x:c r="U94" s="30"/>
      <x:c r="V94" s="30"/>
    </x:row>
    <x:row r="95">
      <x:c r="A95" s="30"/>
      <x:c r="B95" s="30"/>
      <x:c r="C95" s="30"/>
      <x:c r="D95" s="30"/>
      <x:c r="E95" s="30"/>
      <x:c r="F95" s="30"/>
      <x:c r="G95" s="33"/>
      <x:c r="H95" s="33"/>
      <x:c r="I95" s="55"/>
      <x:c r="J95" s="55"/>
      <x:c r="K95" s="64" t="str">
        <x:f>IF(A95="","",IFERROR(J95/I95,0))</x:f>
      </x:c>
      <x:c r="L95" s="55"/>
      <x:c r="M95" s="64" t="str">
        <x:f>IF(A95="","",IFERROR(L95/J95,0))</x:f>
      </x:c>
      <x:c r="N95" s="52"/>
      <x:c r="O95" s="52"/>
      <x:c r="P95" s="67" t="str">
        <x:f>IF(A95="","",IFERROR(O95/J95,0))</x:f>
      </x:c>
      <x:c r="Q95" s="67" t="str">
        <x:f>IF(A95="","",IFERROR(O95/L95,0))</x:f>
      </x:c>
      <x:c r="R95" s="52"/>
      <x:c r="S95" s="52"/>
      <x:c r="T95" s="64" t="str">
        <x:f>IF(A95="","",IFERROR(S95/R95-1,0))</x:f>
      </x:c>
      <x:c r="U95" s="30"/>
      <x:c r="V95" s="30"/>
    </x:row>
    <x:row r="96">
      <x:c r="A96" s="30"/>
      <x:c r="B96" s="30"/>
      <x:c r="C96" s="30"/>
      <x:c r="D96" s="30"/>
      <x:c r="E96" s="30"/>
      <x:c r="F96" s="30"/>
      <x:c r="G96" s="33"/>
      <x:c r="H96" s="33"/>
      <x:c r="I96" s="55"/>
      <x:c r="J96" s="55"/>
      <x:c r="K96" s="64" t="str">
        <x:f>IF(A96="","",IFERROR(J96/I96,0))</x:f>
      </x:c>
      <x:c r="L96" s="55"/>
      <x:c r="M96" s="64" t="str">
        <x:f>IF(A96="","",IFERROR(L96/J96,0))</x:f>
      </x:c>
      <x:c r="N96" s="52"/>
      <x:c r="O96" s="52"/>
      <x:c r="P96" s="67" t="str">
        <x:f>IF(A96="","",IFERROR(O96/J96,0))</x:f>
      </x:c>
      <x:c r="Q96" s="67" t="str">
        <x:f>IF(A96="","",IFERROR(O96/L96,0))</x:f>
      </x:c>
      <x:c r="R96" s="52"/>
      <x:c r="S96" s="52"/>
      <x:c r="T96" s="64" t="str">
        <x:f>IF(A96="","",IFERROR(S96/R96-1,0))</x:f>
      </x:c>
      <x:c r="U96" s="30"/>
      <x:c r="V96" s="30"/>
    </x:row>
    <x:row r="97">
      <x:c r="A97" s="30"/>
      <x:c r="B97" s="30"/>
      <x:c r="C97" s="30"/>
      <x:c r="D97" s="30"/>
      <x:c r="E97" s="30"/>
      <x:c r="F97" s="30"/>
      <x:c r="G97" s="33"/>
      <x:c r="H97" s="33"/>
      <x:c r="I97" s="55"/>
      <x:c r="J97" s="55"/>
      <x:c r="K97" s="64" t="str">
        <x:f>IF(A97="","",IFERROR(J97/I97,0))</x:f>
      </x:c>
      <x:c r="L97" s="55"/>
      <x:c r="M97" s="64" t="str">
        <x:f>IF(A97="","",IFERROR(L97/J97,0))</x:f>
      </x:c>
      <x:c r="N97" s="52"/>
      <x:c r="O97" s="52"/>
      <x:c r="P97" s="67" t="str">
        <x:f>IF(A97="","",IFERROR(O97/J97,0))</x:f>
      </x:c>
      <x:c r="Q97" s="67" t="str">
        <x:f>IF(A97="","",IFERROR(O97/L97,0))</x:f>
      </x:c>
      <x:c r="R97" s="52"/>
      <x:c r="S97" s="52"/>
      <x:c r="T97" s="64" t="str">
        <x:f>IF(A97="","",IFERROR(S97/R97-1,0))</x:f>
      </x:c>
      <x:c r="U97" s="30"/>
      <x:c r="V97" s="30"/>
    </x:row>
    <x:row r="98">
      <x:c r="A98" s="30"/>
      <x:c r="B98" s="30"/>
      <x:c r="C98" s="30"/>
      <x:c r="D98" s="30"/>
      <x:c r="E98" s="30"/>
      <x:c r="F98" s="30"/>
      <x:c r="G98" s="33"/>
      <x:c r="H98" s="33"/>
      <x:c r="I98" s="55"/>
      <x:c r="J98" s="55"/>
      <x:c r="K98" s="64" t="str">
        <x:f>IF(A98="","",IFERROR(J98/I98,0))</x:f>
      </x:c>
      <x:c r="L98" s="55"/>
      <x:c r="M98" s="64" t="str">
        <x:f>IF(A98="","",IFERROR(L98/J98,0))</x:f>
      </x:c>
      <x:c r="N98" s="52"/>
      <x:c r="O98" s="52"/>
      <x:c r="P98" s="67" t="str">
        <x:f>IF(A98="","",IFERROR(O98/J98,0))</x:f>
      </x:c>
      <x:c r="Q98" s="67" t="str">
        <x:f>IF(A98="","",IFERROR(O98/L98,0))</x:f>
      </x:c>
      <x:c r="R98" s="52"/>
      <x:c r="S98" s="52"/>
      <x:c r="T98" s="64" t="str">
        <x:f>IF(A98="","",IFERROR(S98/R98-1,0))</x:f>
      </x:c>
      <x:c r="U98" s="30"/>
      <x:c r="V98" s="30"/>
    </x:row>
    <x:row r="99">
      <x:c r="A99" s="30"/>
      <x:c r="B99" s="30"/>
      <x:c r="C99" s="30"/>
      <x:c r="D99" s="30"/>
      <x:c r="E99" s="30"/>
      <x:c r="F99" s="30"/>
      <x:c r="G99" s="33"/>
      <x:c r="H99" s="33"/>
      <x:c r="I99" s="55"/>
      <x:c r="J99" s="55"/>
      <x:c r="K99" s="64" t="str">
        <x:f>IF(A99="","",IFERROR(J99/I99,0))</x:f>
      </x:c>
      <x:c r="L99" s="55"/>
      <x:c r="M99" s="64" t="str">
        <x:f>IF(A99="","",IFERROR(L99/J99,0))</x:f>
      </x:c>
      <x:c r="N99" s="52"/>
      <x:c r="O99" s="52"/>
      <x:c r="P99" s="67" t="str">
        <x:f>IF(A99="","",IFERROR(O99/J99,0))</x:f>
      </x:c>
      <x:c r="Q99" s="67" t="str">
        <x:f>IF(A99="","",IFERROR(O99/L99,0))</x:f>
      </x:c>
      <x:c r="R99" s="52"/>
      <x:c r="S99" s="52"/>
      <x:c r="T99" s="64" t="str">
        <x:f>IF(A99="","",IFERROR(S99/R99-1,0))</x:f>
      </x:c>
      <x:c r="U99" s="30"/>
      <x:c r="V99" s="30"/>
    </x:row>
    <x:row r="100">
      <x:c r="A100" s="30"/>
      <x:c r="B100" s="30"/>
      <x:c r="C100" s="30"/>
      <x:c r="D100" s="30"/>
      <x:c r="E100" s="30"/>
      <x:c r="F100" s="30"/>
      <x:c r="G100" s="33"/>
      <x:c r="H100" s="33"/>
      <x:c r="I100" s="55"/>
      <x:c r="J100" s="55"/>
      <x:c r="K100" s="64" t="str">
        <x:f>IF(A100="","",IFERROR(J100/I100,0))</x:f>
      </x:c>
      <x:c r="L100" s="55"/>
      <x:c r="M100" s="64" t="str">
        <x:f>IF(A100="","",IFERROR(L100/J100,0))</x:f>
      </x:c>
      <x:c r="N100" s="52"/>
      <x:c r="O100" s="52"/>
      <x:c r="P100" s="67" t="str">
        <x:f>IF(A100="","",IFERROR(O100/J100,0))</x:f>
      </x:c>
      <x:c r="Q100" s="67" t="str">
        <x:f>IF(A100="","",IFERROR(O100/L100,0))</x:f>
      </x:c>
      <x:c r="R100" s="52"/>
      <x:c r="S100" s="52"/>
      <x:c r="T100" s="64" t="str">
        <x:f>IF(A100="","",IFERROR(S100/R100-1,0))</x:f>
      </x:c>
      <x:c r="U100" s="30"/>
      <x:c r="V100" s="30"/>
    </x:row>
    <x:row r="101">
      <x:c r="A101" s="30"/>
      <x:c r="B101" s="30"/>
      <x:c r="C101" s="30"/>
      <x:c r="D101" s="30"/>
      <x:c r="E101" s="30"/>
      <x:c r="F101" s="30"/>
      <x:c r="G101" s="33"/>
      <x:c r="H101" s="33"/>
      <x:c r="I101" s="55"/>
      <x:c r="J101" s="55"/>
      <x:c r="K101" s="64" t="str">
        <x:f>IF(A101="","",IFERROR(J101/I101,0))</x:f>
      </x:c>
      <x:c r="L101" s="55"/>
      <x:c r="M101" s="64" t="str">
        <x:f>IF(A101="","",IFERROR(L101/J101,0))</x:f>
      </x:c>
      <x:c r="N101" s="52"/>
      <x:c r="O101" s="52"/>
      <x:c r="P101" s="67" t="str">
        <x:f>IF(A101="","",IFERROR(O101/J101,0))</x:f>
      </x:c>
      <x:c r="Q101" s="67" t="str">
        <x:f>IF(A101="","",IFERROR(O101/L101,0))</x:f>
      </x:c>
      <x:c r="R101" s="52"/>
      <x:c r="S101" s="52"/>
      <x:c r="T101" s="64" t="str">
        <x:f>IF(A101="","",IFERROR(S101/R101-1,0))</x:f>
      </x:c>
      <x:c r="U101" s="30"/>
      <x:c r="V101" s="30"/>
    </x:row>
    <x:row r="102">
      <x:c r="A102" s="30"/>
      <x:c r="B102" s="30"/>
      <x:c r="C102" s="30"/>
      <x:c r="D102" s="30"/>
      <x:c r="E102" s="30"/>
      <x:c r="F102" s="30"/>
      <x:c r="G102" s="33"/>
      <x:c r="H102" s="33"/>
      <x:c r="I102" s="55"/>
      <x:c r="J102" s="55"/>
      <x:c r="K102" s="64" t="str">
        <x:f>IF(A102="","",IFERROR(J102/I102,0))</x:f>
      </x:c>
      <x:c r="L102" s="55"/>
      <x:c r="M102" s="64" t="str">
        <x:f>IF(A102="","",IFERROR(L102/J102,0))</x:f>
      </x:c>
      <x:c r="N102" s="52"/>
      <x:c r="O102" s="52"/>
      <x:c r="P102" s="67" t="str">
        <x:f>IF(A102="","",IFERROR(O102/J102,0))</x:f>
      </x:c>
      <x:c r="Q102" s="67" t="str">
        <x:f>IF(A102="","",IFERROR(O102/L102,0))</x:f>
      </x:c>
      <x:c r="R102" s="52"/>
      <x:c r="S102" s="52"/>
      <x:c r="T102" s="64" t="str">
        <x:f>IF(A102="","",IFERROR(S102/R102-1,0))</x:f>
      </x:c>
      <x:c r="U102" s="30"/>
      <x:c r="V102" s="30"/>
    </x:row>
    <x:row r="103">
      <x:c r="A103" s="30"/>
      <x:c r="B103" s="30"/>
      <x:c r="C103" s="30"/>
      <x:c r="D103" s="30"/>
      <x:c r="E103" s="30"/>
      <x:c r="F103" s="30"/>
      <x:c r="G103" s="33"/>
      <x:c r="H103" s="33"/>
      <x:c r="I103" s="55"/>
      <x:c r="J103" s="55"/>
      <x:c r="K103" s="64" t="str">
        <x:f>IF(A103="","",IFERROR(J103/I103,0))</x:f>
      </x:c>
      <x:c r="L103" s="55"/>
      <x:c r="M103" s="64" t="str">
        <x:f>IF(A103="","",IFERROR(L103/J103,0))</x:f>
      </x:c>
      <x:c r="N103" s="52"/>
      <x:c r="O103" s="52"/>
      <x:c r="P103" s="67" t="str">
        <x:f>IF(A103="","",IFERROR(O103/J103,0))</x:f>
      </x:c>
      <x:c r="Q103" s="67" t="str">
        <x:f>IF(A103="","",IFERROR(O103/L103,0))</x:f>
      </x:c>
      <x:c r="R103" s="52"/>
      <x:c r="S103" s="52"/>
      <x:c r="T103" s="64" t="str">
        <x:f>IF(A103="","",IFERROR(S103/R103-1,0))</x:f>
      </x:c>
      <x:c r="U103" s="30"/>
      <x:c r="V103" s="30"/>
    </x:row>
    <x:row r="104">
      <x:c r="A104" s="30"/>
      <x:c r="B104" s="30"/>
      <x:c r="C104" s="30"/>
      <x:c r="D104" s="30"/>
      <x:c r="E104" s="30"/>
      <x:c r="F104" s="30"/>
      <x:c r="G104" s="33"/>
      <x:c r="H104" s="33"/>
      <x:c r="I104" s="55"/>
      <x:c r="J104" s="55"/>
      <x:c r="K104" s="64" t="str">
        <x:f>IF(A104="","",IFERROR(J104/I104,0))</x:f>
      </x:c>
      <x:c r="L104" s="55"/>
      <x:c r="M104" s="64" t="str">
        <x:f>IF(A104="","",IFERROR(L104/J104,0))</x:f>
      </x:c>
      <x:c r="N104" s="52"/>
      <x:c r="O104" s="52"/>
      <x:c r="P104" s="67" t="str">
        <x:f>IF(A104="","",IFERROR(O104/J104,0))</x:f>
      </x:c>
      <x:c r="Q104" s="67" t="str">
        <x:f>IF(A104="","",IFERROR(O104/L104,0))</x:f>
      </x:c>
      <x:c r="R104" s="52"/>
      <x:c r="S104" s="52"/>
      <x:c r="T104" s="64" t="str">
        <x:f>IF(A104="","",IFERROR(S104/R104-1,0))</x:f>
      </x:c>
      <x:c r="U104" s="30"/>
      <x:c r="V104" s="30"/>
    </x:row>
    <x:row r="105">
      <x:c r="A105" s="31"/>
      <x:c r="B105" s="31"/>
      <x:c r="C105" s="31"/>
      <x:c r="D105" s="31"/>
      <x:c r="E105" s="31"/>
      <x:c r="F105" s="31"/>
      <x:c r="G105" s="34"/>
      <x:c r="H105" s="34"/>
      <x:c r="I105" s="56"/>
      <x:c r="J105" s="56"/>
      <x:c r="K105" s="65" t="str">
        <x:f>IF(A105="","",IFERROR(J105/I105,0))</x:f>
      </x:c>
      <x:c r="L105" s="56"/>
      <x:c r="M105" s="65" t="str">
        <x:f>IF(A105="","",IFERROR(L105/J105,0))</x:f>
      </x:c>
      <x:c r="N105" s="53"/>
      <x:c r="O105" s="53"/>
      <x:c r="P105" s="68" t="str">
        <x:f>IF(A105="","",IFERROR(O105/J105,0))</x:f>
      </x:c>
      <x:c r="Q105" s="68" t="str">
        <x:f>IF(A105="","",IFERROR(O105/L105,0))</x:f>
      </x:c>
      <x:c r="R105" s="53"/>
      <x:c r="S105" s="53"/>
      <x:c r="T105" s="65" t="str">
        <x:f>IF(A105="","",IFERROR(S105/R105-1,0))</x:f>
      </x:c>
      <x:c r="U105" s="31"/>
      <x:c r="V105" s="31"/>
    </x:row>
  </x:sheetData>
  <x:mergeCells>
    <x:mergeCell ref="A1:V1"/>
    <x:mergeCell ref="A2:V2"/>
  </x:mergeCells>
  <x:dataValidations count="3">
    <x:dataValidation type="list" sqref="C6:C105">
      <x:formula1>"Reactivation,First Deposit,Retention,Cross-Product,VIP Progression,Other"</x:formula1>
    </x:dataValidation>
    <x:dataValidation type="list" sqref="F6:F105">
      <x:formula1>"Inbox,SMS,Push,Banner,Multi-Channel,Other"</x:formula1>
    </x:dataValidation>
    <x:dataValidation type="list" sqref="U6:U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1c86e73fde4d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How to Use This Workbook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A practical operating system for the Promo value-creation framework.</x:v>
      </x:c>
      <x:c r="B2" s="7"/>
      <x:c r="C2" s="7"/>
      <x:c r="D2" s="7"/>
      <x:c r="E2" s="7"/>
      <x:c r="F2" s="7"/>
      <x:c r="G2" s="7"/>
      <x:c r="H2" s="7"/>
    </x:row>
    <x:row r="4">
      <x:c r="A4" s="9" t="str">
        <x:v>WORKFLOW</x:v>
      </x:c>
      <x:c r="B4" s="9"/>
      <x:c r="C4" s="9"/>
      <x:c r="D4" s="9"/>
      <x:c r="E4" s="9"/>
      <x:c r="F4" s="9"/>
      <x:c r="G4" s="9"/>
      <x:c r="H4" s="9"/>
    </x:row>
    <x:row r="5" ht="34" customHeight="1">
      <x:c r="A5" s="74" t="str">
        <x:v>Step</x:v>
      </x:c>
      <x:c r="B5" s="75" t="str">
        <x:v>When</x:v>
      </x:c>
      <x:c r="C5" s="75" t="str">
        <x:v>Owner</x:v>
      </x:c>
      <x:c r="D5" s="75" t="str">
        <x:v>What to update</x:v>
      </x:c>
      <x:c r="E5" s="75" t="str">
        <x:v>Output</x:v>
      </x:c>
      <x:c r="F5" s="75" t="str">
        <x:v>Decision</x:v>
      </x:c>
      <x:c r="G5" s="75" t="str">
        <x:v>Colour</x:v>
      </x:c>
      <x:c r="H5" s="76" t="str">
        <x:v>Meaning</x:v>
      </x:c>
    </x:row>
    <x:row r="6">
      <x:c r="A6" s="77" t="str">
        <x:v>1</x:v>
      </x:c>
      <x:c r="B6" s="78" t="str">
        <x:v>Before setup</x:v>
      </x:c>
      <x:c r="C6" s="78" t="str">
        <x:v>Sales / Requester</x:v>
      </x:c>
      <x:c r="D6" s="78" t="str">
        <x:v>Campaign Requests</x:v>
      </x:c>
      <x:c r="E6" s="78" t="str">
        <x:v>Gate Status</x:v>
      </x:c>
      <x:c r="F6" s="78" t="str">
        <x:v>Proceed or return for clarification</x:v>
      </x:c>
      <x:c r="G6" s="78" t="str">
        <x:v>Light yellow</x:v>
      </x:c>
      <x:c r="H6" s="79" t="str">
        <x:v>Input cell</x:v>
      </x:c>
    </x:row>
    <x:row r="7">
      <x:c r="A7" s="77" t="str">
        <x:v>2</x:v>
      </x:c>
      <x:c r="B7" s="78" t="str">
        <x:v>Weekly / Monthly</x:v>
      </x:c>
      <x:c r="C7" s="78" t="str">
        <x:v>Promo</x:v>
      </x:c>
      <x:c r="D7" s="78" t="str">
        <x:v>Promo Audit</x:v>
      </x:c>
      <x:c r="E7" s="78" t="str">
        <x:v>Keep, reduce cap, review, or sunset</x:v>
      </x:c>
      <x:c r="F7" s="78" t="str">
        <x:v>Management approval</x:v>
      </x:c>
      <x:c r="G7" s="78" t="str">
        <x:v>Light grey</x:v>
      </x:c>
      <x:c r="H7" s="79" t="str">
        <x:v>Formula cell</x:v>
      </x:c>
    </x:row>
    <x:row r="8">
      <x:c r="A8" s="77" t="str">
        <x:v>3</x:v>
      </x:c>
      <x:c r="B8" s="78" t="str">
        <x:v>Whenever an issue occurs</x:v>
      </x:c>
      <x:c r="C8" s="78" t="str">
        <x:v>Promo / QC</x:v>
      </x:c>
      <x:c r="D8" s="78" t="str">
        <x:v>Exception Log</x:v>
      </x:c>
      <x:c r="E8" s="78" t="str">
        <x:v>Owner and corrective action</x:v>
      </x:c>
      <x:c r="F8" s="78" t="str">
        <x:v>Close only after validation</x:v>
      </x:c>
      <x:c r="G8" s="78" t="str">
        <x:v>Green</x:v>
      </x:c>
      <x:c r="H8" s="79" t="str">
        <x:v>Ready / completed</x:v>
      </x:c>
    </x:row>
    <x:row r="9">
      <x:c r="A9" s="77" t="str">
        <x:v>4</x:v>
      </x:c>
      <x:c r="B9" s="78" t="str">
        <x:v>After campaign</x:v>
      </x:c>
      <x:c r="C9" s="78" t="str">
        <x:v>Promo + Sales</x:v>
      </x:c>
      <x:c r="D9" s="78" t="str">
        <x:v>Campaign Results</x:v>
      </x:c>
      <x:c r="E9" s="78" t="str">
        <x:v>Claims, deposits, costs, and learning</x:v>
      </x:c>
      <x:c r="F9" s="78" t="str">
        <x:v>Agree next action</x:v>
      </x:c>
      <x:c r="G9" s="78" t="str">
        <x:v>Amber</x:v>
      </x:c>
      <x:c r="H9" s="79" t="str">
        <x:v>Needs attention</x:v>
      </x:c>
    </x:row>
    <x:row r="10">
      <x:c r="A10" s="77" t="str">
        <x:v>5</x:v>
      </x:c>
      <x:c r="B10" s="78" t="str">
        <x:v>Weekly management review</x:v>
      </x:c>
      <x:c r="C10" s="78" t="str">
        <x:v>Promo Lead</x:v>
      </x:c>
      <x:c r="D10" s="78" t="str">
        <x:v>Dashboard + 30-Day Plan</x:v>
      </x:c>
      <x:c r="E10" s="78" t="str">
        <x:v>Status snapshot and decisions</x:v>
      </x:c>
      <x:c r="F10" s="78" t="str">
        <x:v>Approve, unblock, or redirect</x:v>
      </x:c>
      <x:c r="G10" s="78" t="str">
        <x:v>Red</x:v>
      </x:c>
      <x:c r="H10" s="79" t="str">
        <x:v>Incomplete / overdue</x:v>
      </x:c>
    </x:row>
    <x:row r="11">
      <x:c r="A11" s="80"/>
      <x:c r="B11" s="81"/>
      <x:c r="C11" s="81"/>
      <x:c r="D11" s="81"/>
      <x:c r="E11" s="81"/>
      <x:c r="F11" s="81"/>
      <x:c r="G11" s="81"/>
      <x:c r="H11" s="82"/>
    </x:row>
    <x:row r="12">
      <x:c r="A12" s="83" t="str">
        <x:v>KEY DEFINITIONS</x:v>
      </x:c>
      <x:c r="B12" s="84"/>
      <x:c r="C12" s="84"/>
      <x:c r="D12" s="84"/>
      <x:c r="E12" s="84"/>
      <x:c r="F12" s="84"/>
      <x:c r="G12" s="84"/>
      <x:c r="H12" s="85"/>
    </x:row>
    <x:row r="13">
      <x:c r="A13" s="80" t="str">
        <x:v>Term</x:v>
      </x:c>
      <x:c r="B13" s="81" t="str">
        <x:v>Definition</x:v>
      </x:c>
      <x:c r="C13" s="81"/>
      <x:c r="D13" s="81"/>
      <x:c r="E13" s="81"/>
      <x:c r="F13" s="81"/>
      <x:c r="G13" s="81"/>
      <x:c r="H13" s="82"/>
    </x:row>
    <x:row r="14">
      <x:c r="A14" s="86" t="str">
        <x:v>Quality Gate</x:v>
      </x:c>
      <x:c r="B14" s="87" t="str">
        <x:v>A completeness check confirming objective, audience, timing, budget, mechanics, success measure, and data owner before setup begins.</x:v>
      </x:c>
      <x:c r="C14" s="87"/>
      <x:c r="D14" s="87"/>
      <x:c r="E14" s="87"/>
      <x:c r="F14" s="87"/>
      <x:c r="G14" s="87"/>
      <x:c r="H14" s="88"/>
    </x:row>
    <x:row r="15">
      <x:c r="A15" s="86" t="str">
        <x:v>Promo Audit</x:v>
      </x:c>
      <x:c r="B15" s="87" t="str">
        <x:v>A health check of current promotions to decide what to keep, adjust, review, or retire.</x:v>
      </x:c>
      <x:c r="C15" s="87"/>
      <x:c r="D15" s="87"/>
      <x:c r="E15" s="87"/>
      <x:c r="F15" s="87"/>
      <x:c r="G15" s="87"/>
      <x:c r="H15" s="88"/>
    </x:row>
    <x:row r="16">
      <x:c r="A16" s="86" t="str">
        <x:v>Claim → Deposit Rate</x:v>
      </x:c>
      <x:c r="B16" s="87" t="str">
        <x:v>Players depositing within 72 hours divided by total claims; directional until attribution is established.</x:v>
      </x:c>
      <x:c r="C16" s="87"/>
      <x:c r="D16" s="87"/>
      <x:c r="E16" s="87"/>
      <x:c r="F16" s="87"/>
      <x:c r="G16" s="87"/>
      <x:c r="H16" s="88"/>
    </x:row>
    <x:row r="17">
      <x:c r="A17" s="86" t="str">
        <x:v>Cap / Deposit Ratio</x:v>
      </x:c>
      <x:c r="B17" s="87" t="str">
        <x:v>Maximum bonus cap divided by average claimant deposit; values above 2.0x are flagged for cap review.</x:v>
      </x:c>
      <x:c r="C17" s="87"/>
      <x:c r="D17" s="87"/>
      <x:c r="E17" s="87"/>
      <x:c r="F17" s="87"/>
      <x:c r="G17" s="87"/>
      <x:c r="H17" s="88"/>
    </x:row>
    <x:row r="18">
      <x:c r="A18" s="89" t="str">
        <x:v>Post-Mortem</x:v>
      </x:c>
      <x:c r="B18" s="90" t="str">
        <x:v>A short campaign review covering objective, cost, claims, deposits, issues, learning, and next action.</x:v>
      </x:c>
      <x:c r="C18" s="90"/>
      <x:c r="D18" s="90"/>
      <x:c r="E18" s="90"/>
      <x:c r="F18" s="90"/>
      <x:c r="G18" s="90"/>
      <x:c r="H18" s="91"/>
    </x:row>
  </x:sheetData>
  <x:mergeCells>
    <x:mergeCell ref="A1:H1"/>
    <x:mergeCell ref="A2:H2"/>
    <x:mergeCell ref="A4:H4"/>
    <x:mergeCell ref="A12:H12"/>
    <x:mergeCell ref="A13:H13"/>
    <x:mergeCell ref="B14:H14"/>
    <x:mergeCell ref="B15:H15"/>
    <x:mergeCell ref="B16:H16"/>
    <x:mergeCell ref="B17:H17"/>
    <x:mergeCell ref="B18:H18"/>
  </x:mergeCells>
  <x:pageMargins left="0.7" right="0.7" top="0.75" bottom="0.75" header="0.3" footer="0.3"/>
</x:worksheet>
</file>