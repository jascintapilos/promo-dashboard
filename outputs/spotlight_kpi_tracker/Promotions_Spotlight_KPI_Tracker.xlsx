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b3a32112834032" /></Relationships>
</file>

<file path=xl/workbook.xml><?xml version="1.0" encoding="utf-8"?>
<x:workbook xmlns:x="http://schemas.openxmlformats.org/spreadsheetml/2006/main">
  <x:sheets>
    <x:sheet xmlns:r="http://schemas.openxmlformats.org/officeDocument/2006/relationships" name="Dashboard" sheetId="1" r:id="R32a44ad812fb4cd4"/>
    <x:sheet xmlns:r="http://schemas.openxmlformats.org/officeDocument/2006/relationships" name="Monthly Assessment" sheetId="2" r:id="R003d7994d33d4e7a"/>
    <x:sheet xmlns:r="http://schemas.openxmlformats.org/officeDocument/2006/relationships" name="Improvement Log" sheetId="3" r:id="Rb1ec84e8fd5f421c"/>
    <x:sheet xmlns:r="http://schemas.openxmlformats.org/officeDocument/2006/relationships" name="Scoring Rubrics" sheetId="4" r:id="R30f9f31100d54bd5"/>
    <x:sheet xmlns:r="http://schemas.openxmlformats.org/officeDocument/2006/relationships" name="Team Setup" sheetId="5" r:id="R1a14d31908c4418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mmm yyyy"/>
    <x:numFmt numFmtId="202" formatCode="yyyy-mm-dd"/>
    <x:numFmt numFmtId="203" formatCode="0"/>
    <x:numFmt numFmtId="204" formatCode="0.00"/>
  </x:numFmts>
  <x:fonts count="18">
    <x:font>
      <x:sz val="11"/>
      <x:name val="Carlito"/>
    </x:font>
    <x:font>
      <x:b/>
      <x:sz val="18"/>
      <x:color rgb="FFFFFFFF"/>
      <x:name val="Carlito"/>
    </x:font>
    <x:font>
      <x:b/>
      <x:sz val="11"/>
      <x:color rgb="FF17324D"/>
      <x:name val="Carlito"/>
    </x:font>
    <x:font>
      <x:sz val="11"/>
      <x:color rgb="FF17324D"/>
      <x:name val="Carlito"/>
    </x:font>
    <x:font>
      <x:b/>
      <x:sz val="18"/>
      <x:color rgb="FFFFFFFF"/>
      <x:name val="Aptos"/>
    </x:font>
    <x:font>
      <x:sz val="11"/>
      <x:name val="Aptos"/>
    </x:font>
    <x:font>
      <x:b/>
      <x:sz val="11"/>
      <x:color rgb="FF17324D"/>
      <x:name val="Aptos"/>
    </x:font>
    <x:font>
      <x:sz val="11"/>
      <x:color rgb="FF17324D"/>
      <x:name val="Aptos"/>
    </x:font>
    <x:font>
      <x:b/>
      <x:sz val="11"/>
      <x:color rgb="FF157A6E"/>
      <x:name val="Carlito"/>
    </x:font>
    <x:font>
      <x:b/>
      <x:sz val="11"/>
      <x:color rgb="FF157A6E"/>
      <x:name val="Aptos"/>
    </x:font>
    <x:font>
      <x:i/>
      <x:sz val="11"/>
      <x:color rgb="FF664D03"/>
      <x:name val="Carlito"/>
    </x:font>
    <x:font>
      <x:i/>
      <x:sz val="11"/>
      <x:color rgb="FF664D03"/>
      <x:name val="Aptos"/>
    </x:font>
    <x:font>
      <x:b/>
      <x:sz val="11"/>
      <x:color rgb="FFFFFFFF"/>
      <x:name val="Carlito"/>
    </x:font>
    <x:font>
      <x:b/>
      <x:sz val="11"/>
      <x:color rgb="FFFFFFFF"/>
      <x:name val="Aptos"/>
    </x:font>
    <x:font>
      <x:b/>
      <x:sz val="22"/>
      <x:color rgb="FF157A6E"/>
      <x:name val="Carlito"/>
    </x:font>
    <x:font>
      <x:b/>
      <x:sz val="20"/>
      <x:color rgb="FF17324D"/>
      <x:name val="Carlito"/>
    </x:font>
    <x:font>
      <x:b/>
      <x:sz val="22"/>
      <x:color rgb="FF157A6E"/>
      <x:name val="Aptos"/>
    </x:font>
    <x:font>
      <x:b/>
      <x:sz val="20"/>
      <x:color rgb="FF17324D"/>
      <x:name val="Aptos"/>
    </x:font>
  </x:fonts>
  <x:fills count="8">
    <x:fill>
      <x:patternFill patternType="none"/>
    </x:fill>
    <x:fill>
      <x:patternFill patternType="gray125"/>
    </x:fill>
    <x:fill>
      <x:patternFill patternType="solid">
        <x:fgColor rgb="FF17324D"/>
      </x:patternFill>
    </x:fill>
    <x:fill>
      <x:patternFill patternType="solid">
        <x:fgColor rgb="FFE7EDF3"/>
      </x:patternFill>
    </x:fill>
    <x:fill>
      <x:patternFill patternType="solid">
        <x:fgColor rgb="FFFFF3CD"/>
      </x:patternFill>
    </x:fill>
    <x:fill>
      <x:patternFill patternType="solid">
        <x:fgColor rgb="FFDDF2ED"/>
      </x:patternFill>
    </x:fill>
    <x:fill>
      <x:patternFill patternType="solid">
        <x:fgColor rgb="FFF5F7FA"/>
      </x:patternFill>
    </x:fill>
    <x:fill>
      <x:patternFill patternType="solid">
        <x:fgColor rgb="FF157A6E"/>
      </x:patternFill>
    </x:fill>
  </x:fills>
  <x:borders count="24">
    <x:border/>
    <x:border>
      <x:bottom style="thin">
        <x:color rgb="FF9EADBC"/>
      </x:bottom>
    </x:border>
    <x:border>
      <x:bottom style="thin">
        <x:color rgb="FFD7DEE7"/>
      </x:bottom>
    </x:border>
    <x:border>
      <x:top style="thin">
        <x:color rgb="FFD7DEE7"/>
      </x:top>
      <x:bottom style="thin">
        <x:color rgb="FFD7DEE7"/>
      </x:bottom>
    </x:border>
    <x:border>
      <x:top style="thin">
        <x:color rgb="FFD7DEE7"/>
      </x:top>
    </x:border>
    <x:border>
      <x:top style="medium">
        <x:color rgb="FF157A6E"/>
      </x:top>
      <x:bottom style="thin">
        <x:color rgb="FFD7DEE7"/>
      </x:bottom>
    </x:border>
    <x:border>
      <x:bottom style="thin">
        <x:color rgb="FFE6EBF0"/>
      </x:bottom>
    </x:border>
    <x:border>
      <x:top style="thin">
        <x:color rgb="FFE6EBF0"/>
      </x:top>
      <x:bottom style="thin">
        <x:color rgb="FFE6EBF0"/>
      </x:bottom>
    </x:border>
    <x:border>
      <x:top style="thin">
        <x:color rgb="FFE6EBF0"/>
      </x:top>
      <x:bottom style="thin">
        <x:color rgb="FF9EADBC"/>
      </x:bottom>
    </x:border>
    <x:border>
      <x:top style="thin">
        <x:color rgb="FFD7DEE7"/>
      </x:top>
      <x:bottom style="thin">
        <x:color rgb="FF9EADBC"/>
      </x:bottom>
    </x:border>
    <x:border>
      <x:left style="thin">
        <x:color rgb="FFD7DEE7"/>
      </x:left>
      <x:top style="thin">
        <x:color rgb="FFD7DEE7"/>
      </x:top>
    </x:border>
    <x:border>
      <x:right style="thin">
        <x:color rgb="FFD7DEE7"/>
      </x:right>
      <x:top style="thin">
        <x:color rgb="FFD7DEE7"/>
      </x:top>
    </x:border>
    <x:border>
      <x:left style="thin">
        <x:color rgb="FFD7DEE7"/>
      </x:left>
    </x:border>
    <x:border>
      <x:right style="thin">
        <x:color rgb="FFD7DEE7"/>
      </x:right>
    </x:border>
    <x:border>
      <x:left style="thin">
        <x:color rgb="FFD7DEE7"/>
      </x:left>
      <x:bottom style="thin">
        <x:color rgb="FFD7DEE7"/>
      </x:bottom>
    </x:border>
    <x:border>
      <x:right style="thin">
        <x:color rgb="FFD7DEE7"/>
      </x:right>
      <x:bottom style="thin">
        <x:color rgb="FFD7DEE7"/>
      </x:bottom>
    </x:border>
    <x:border>
      <x:left style="medium">
        <x:color rgb="FFF4B942"/>
      </x:left>
      <x:top style="medium">
        <x:color rgb="FFF4B942"/>
      </x:top>
    </x:border>
    <x:border>
      <x:top style="medium">
        <x:color rgb="FFF4B942"/>
      </x:top>
    </x:border>
    <x:border>
      <x:right style="medium">
        <x:color rgb="FFF4B942"/>
      </x:right>
      <x:top style="medium">
        <x:color rgb="FFF4B942"/>
      </x:top>
    </x:border>
    <x:border>
      <x:left style="medium">
        <x:color rgb="FFF4B942"/>
      </x:left>
    </x:border>
    <x:border>
      <x:right style="medium">
        <x:color rgb="FFF4B942"/>
      </x:right>
    </x:border>
    <x:border>
      <x:left style="medium">
        <x:color rgb="FFF4B942"/>
      </x:left>
      <x:bottom style="medium">
        <x:color rgb="FFF4B942"/>
      </x:bottom>
    </x:border>
    <x:border>
      <x:bottom style="medium">
        <x:color rgb="FFF4B942"/>
      </x:bottom>
    </x:border>
    <x:border>
      <x:right style="medium">
        <x:color rgb="FFF4B942"/>
      </x:right>
      <x:bottom style="medium">
        <x:color rgb="FFF4B942"/>
      </x:bottom>
    </x:border>
  </x:borders>
  <x:cellStyleXfs count="1">
    <x:xf numFmtId="0" fontId="0" fillId="0" borderId="0"/>
  </x:cellStyleXfs>
  <x:cellXfs count="2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200" fontId="0" fillId="0" borderId="0" xfId="0" applyNumberFormat="1" applyFont="1" applyFill="1" applyBorder="1"/>
    <x:xf numFmtId="200" fontId="0" fillId="4"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5" fillId="0" borderId="0" xfId="0" applyNumberFormat="1" applyFont="1" applyFill="1" applyBorder="1"/>
    <x:xf numFmtId="0" fontId="6" fillId="3" borderId="1" xfId="0" applyNumberFormat="1" applyFont="1" applyFill="1" applyBorder="1" applyAlignment="1">
      <x:alignment vertical="center" wrapText="1"/>
    </x:xf>
    <x:xf numFmtId="200" fontId="5" fillId="4" borderId="0" xfId="0" applyNumberFormat="1" applyFont="1" applyFill="1" applyBorder="1"/>
    <x:xf numFmtId="0" fontId="5" fillId="4" borderId="0" xfId="0" applyNumberFormat="1" applyFont="1" applyFill="1" applyBorder="1"/>
    <x:xf numFmtId="0" fontId="7" fillId="5" borderId="0" xfId="0" applyNumberFormat="1" applyFont="1" applyFill="1" applyBorder="1" applyAlignment="1">
      <x:alignment vertical="top" wrapText="1"/>
    </x:xf>
    <x:xf numFmtId="0" fontId="7" fillId="5" borderId="0"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8" fillId="6" borderId="2" xfId="0" applyNumberFormat="1" applyFont="1" applyFill="1" applyBorder="1" applyAlignment="1">
      <x:alignment vertical="top" wrapText="1"/>
    </x:xf>
    <x:xf numFmtId="0" fontId="8" fillId="6" borderId="3" xfId="0" applyNumberFormat="1" applyFont="1" applyFill="1" applyBorder="1" applyAlignment="1">
      <x:alignment vertical="top" wrapText="1"/>
    </x:xf>
    <x:xf numFmtId="0" fontId="8" fillId="6" borderId="4" xfId="0" applyNumberFormat="1" applyFont="1" applyFill="1" applyBorder="1" applyAlignment="1">
      <x:alignment vertical="top" wrapText="1"/>
    </x:xf>
    <x:xf numFmtId="0" fontId="8" fillId="6" borderId="2" xfId="0" applyNumberFormat="1" applyFont="1" applyFill="1" applyBorder="1" applyAlignment="1">
      <x:alignment horizontal="center" vertical="top" wrapText="1"/>
    </x:xf>
    <x:xf numFmtId="0" fontId="8" fillId="6" borderId="3" xfId="0" applyNumberFormat="1" applyFont="1" applyFill="1" applyBorder="1" applyAlignment="1">
      <x:alignment horizontal="center" vertical="top" wrapText="1"/>
    </x:xf>
    <x:xf numFmtId="0" fontId="8" fillId="6"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8" fillId="6" borderId="5" xfId="0" applyNumberFormat="1" applyFont="1" applyFill="1" applyBorder="1" applyAlignment="1">
      <x:alignment horizontal="center" vertical="top" wrapText="1"/>
    </x:xf>
    <x:xf numFmtId="0" fontId="5" fillId="0" borderId="5" xfId="0" applyNumberFormat="1" applyFont="1" applyFill="1" applyBorder="1" applyAlignment="1">
      <x:alignment vertical="top" wrapText="1"/>
    </x:xf>
    <x:xf numFmtId="0" fontId="9" fillId="6" borderId="5" xfId="0" applyNumberFormat="1" applyFont="1" applyFill="1" applyBorder="1" applyAlignment="1">
      <x:alignment horizontal="center" vertical="top" wrapText="1"/>
    </x:xf>
    <x:xf numFmtId="0" fontId="5" fillId="0" borderId="3" xfId="0" applyNumberFormat="1" applyFont="1" applyFill="1" applyBorder="1" applyAlignment="1">
      <x:alignment vertical="top" wrapText="1"/>
    </x:xf>
    <x:xf numFmtId="0" fontId="9" fillId="6" borderId="3" xfId="0" applyNumberFormat="1" applyFont="1" applyFill="1" applyBorder="1" applyAlignment="1">
      <x:alignment horizontal="center" vertical="top" wrapText="1"/>
    </x:xf>
    <x:xf numFmtId="0" fontId="5" fillId="0" borderId="4" xfId="0" applyNumberFormat="1" applyFont="1" applyFill="1" applyBorder="1" applyAlignment="1">
      <x:alignment vertical="top" wrapText="1"/>
    </x:xf>
    <x:xf numFmtId="0" fontId="9" fillId="6" borderId="4" xfId="0" applyNumberFormat="1" applyFont="1" applyFill="1" applyBorder="1" applyAlignment="1">
      <x:alignment horizontal="center" vertical="top" wrapText="1"/>
    </x:xf>
    <x:xf numFmtId="0" fontId="10" fillId="4" borderId="0" xfId="0" applyNumberFormat="1" applyFont="1" applyFill="1" applyBorder="1"/>
    <x:xf numFmtId="0" fontId="10" fillId="4"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201" fontId="0" fillId="4" borderId="0" xfId="0" applyNumberFormat="1" applyFont="1" applyFill="1" applyBorder="1"/>
    <x:xf numFmtId="202" fontId="0" fillId="4" borderId="0" xfId="0" applyNumberFormat="1" applyFont="1" applyFill="1" applyBorder="1"/>
    <x:xf numFmtId="0" fontId="0" fillId="6" borderId="0" xfId="0" applyNumberFormat="1" applyFont="1" applyFill="1" applyBorder="1"/>
    <x:xf numFmtId="0" fontId="2" fillId="3" borderId="6" xfId="0" applyNumberFormat="1" applyFont="1" applyFill="1" applyBorder="1" applyAlignment="1">
      <x:alignment vertical="center" wrapText="1"/>
    </x:xf>
    <x:xf numFmtId="0" fontId="0" fillId="6" borderId="7" xfId="0" applyNumberFormat="1" applyFont="1" applyFill="1" applyBorder="1"/>
    <x:xf numFmtId="201" fontId="0" fillId="4" borderId="7" xfId="0" applyNumberFormat="1" applyFont="1" applyFill="1" applyBorder="1"/>
    <x:xf numFmtId="202" fontId="0" fillId="4" borderId="7" xfId="0" applyNumberFormat="1" applyFont="1" applyFill="1" applyBorder="1"/>
    <x:xf numFmtId="0" fontId="0" fillId="4" borderId="7" xfId="0" applyNumberFormat="1" applyFont="1" applyFill="1" applyBorder="1"/>
    <x:xf numFmtId="0" fontId="0" fillId="6" borderId="8" xfId="0" applyNumberFormat="1" applyFont="1" applyFill="1" applyBorder="1"/>
    <x:xf numFmtId="201" fontId="0" fillId="4" borderId="8" xfId="0" applyNumberFormat="1" applyFont="1" applyFill="1" applyBorder="1"/>
    <x:xf numFmtId="202" fontId="0" fillId="4" borderId="8" xfId="0" applyNumberFormat="1" applyFont="1" applyFill="1" applyBorder="1"/>
    <x:xf numFmtId="0" fontId="0" fillId="4" borderId="8" xfId="0" applyNumberFormat="1" applyFont="1" applyFill="1" applyBorder="1"/>
    <x:xf numFmtId="0" fontId="0" fillId="4" borderId="7" xfId="0" applyNumberFormat="1" applyFont="1" applyFill="1" applyBorder="1" applyAlignment="1">
      <x:alignment wrapText="1"/>
    </x:xf>
    <x:xf numFmtId="0" fontId="0" fillId="4" borderId="8" xfId="0" applyNumberFormat="1" applyFont="1" applyFill="1" applyBorder="1" applyAlignment="1">
      <x:alignment wrapText="1"/>
    </x:xf>
    <x:xf numFmtId="0" fontId="11" fillId="4" borderId="0" xfId="0" applyNumberFormat="1" applyFont="1" applyFill="1" applyBorder="1" applyAlignment="1">
      <x:alignment wrapText="1"/>
    </x:xf>
    <x:xf numFmtId="0" fontId="6" fillId="3" borderId="6" xfId="0" applyNumberFormat="1" applyFont="1" applyFill="1" applyBorder="1" applyAlignment="1">
      <x:alignment vertical="center" wrapText="1"/>
    </x:xf>
    <x:xf numFmtId="0" fontId="5" fillId="6" borderId="7" xfId="0" applyNumberFormat="1" applyFont="1" applyFill="1" applyBorder="1"/>
    <x:xf numFmtId="201" fontId="5" fillId="4" borderId="7" xfId="0" applyNumberFormat="1" applyFont="1" applyFill="1" applyBorder="1"/>
    <x:xf numFmtId="202" fontId="5" fillId="4" borderId="7" xfId="0" applyNumberFormat="1" applyFont="1" applyFill="1" applyBorder="1"/>
    <x:xf numFmtId="0" fontId="5" fillId="4" borderId="7" xfId="0" applyNumberFormat="1" applyFont="1" applyFill="1" applyBorder="1"/>
    <x:xf numFmtId="0" fontId="5" fillId="4" borderId="7" xfId="0" applyNumberFormat="1" applyFont="1" applyFill="1" applyBorder="1" applyAlignment="1">
      <x:alignment wrapText="1"/>
    </x:xf>
    <x:xf numFmtId="0" fontId="5" fillId="6" borderId="8" xfId="0" applyNumberFormat="1" applyFont="1" applyFill="1" applyBorder="1"/>
    <x:xf numFmtId="201" fontId="5" fillId="4" borderId="8" xfId="0" applyNumberFormat="1" applyFont="1" applyFill="1" applyBorder="1"/>
    <x:xf numFmtId="202" fontId="5" fillId="4" borderId="8" xfId="0" applyNumberFormat="1" applyFont="1" applyFill="1" applyBorder="1"/>
    <x:xf numFmtId="0" fontId="5" fillId="4" borderId="8" xfId="0" applyNumberFormat="1" applyFont="1" applyFill="1" applyBorder="1"/>
    <x:xf numFmtId="0" fontId="5" fillId="4" borderId="8" xfId="0" applyNumberFormat="1" applyFont="1" applyFill="1" applyBorder="1" applyAlignment="1">
      <x:alignment wrapText="1"/>
    </x:xf>
    <x:xf numFmtId="0" fontId="0" fillId="7" borderId="0" xfId="0" applyNumberFormat="1" applyFont="1" applyFill="1" applyBorder="1"/>
    <x:xf numFmtId="0" fontId="12" fillId="7" borderId="0" xfId="0" applyNumberFormat="1" applyFont="1" applyFill="1" applyBorder="1"/>
    <x:xf numFmtId="0" fontId="12" fillId="7" borderId="0" xfId="0" applyNumberFormat="1" applyFont="1" applyFill="1" applyBorder="1" applyAlignment="1">
      <x:alignment vertical="center"/>
    </x:xf>
    <x:xf numFmtId="0" fontId="2" fillId="4" borderId="0" xfId="0" applyNumberFormat="1" applyFont="1" applyFill="1" applyBorder="1"/>
    <x:xf numFmtId="201" fontId="2" fillId="4" borderId="0" xfId="0" applyNumberFormat="1" applyFont="1" applyFill="1" applyBorder="1"/>
    <x:xf numFmtId="203" fontId="0" fillId="0" borderId="0" xfId="0" applyNumberFormat="1" applyFont="1" applyFill="1" applyBorder="1"/>
    <x:xf numFmtId="203" fontId="0" fillId="4" borderId="0" xfId="0" applyNumberFormat="1" applyFont="1" applyFill="1" applyBorder="1"/>
    <x:xf numFmtId="204" fontId="0" fillId="0" borderId="0" xfId="0" applyNumberFormat="1" applyFont="1" applyFill="1" applyBorder="1"/>
    <x:xf numFmtId="0" fontId="2" fillId="3" borderId="2" xfId="0" applyNumberFormat="1" applyFont="1" applyFill="1" applyBorder="1" applyAlignment="1">
      <x:alignment vertical="center" wrapText="1"/>
    </x:xf>
    <x:xf numFmtId="203" fontId="0" fillId="0" borderId="3" xfId="0" applyNumberFormat="1" applyFont="1" applyFill="1" applyBorder="1"/>
    <x:xf numFmtId="203" fontId="0" fillId="4" borderId="3" xfId="0" applyNumberFormat="1" applyFont="1" applyFill="1" applyBorder="1"/>
    <x:xf numFmtId="0" fontId="0" fillId="4" borderId="3" xfId="0" applyNumberFormat="1" applyFont="1" applyFill="1" applyBorder="1"/>
    <x:xf numFmtId="204" fontId="0" fillId="0" borderId="3" xfId="0" applyNumberFormat="1" applyFont="1" applyFill="1" applyBorder="1"/>
    <x:xf numFmtId="0" fontId="0" fillId="0" borderId="9" xfId="0" applyNumberFormat="1" applyFont="1" applyFill="1" applyBorder="1"/>
    <x:xf numFmtId="203" fontId="0" fillId="0" borderId="9" xfId="0" applyNumberFormat="1" applyFont="1" applyFill="1" applyBorder="1"/>
    <x:xf numFmtId="203" fontId="0" fillId="4" borderId="9" xfId="0" applyNumberFormat="1" applyFont="1" applyFill="1" applyBorder="1"/>
    <x:xf numFmtId="0" fontId="0" fillId="4" borderId="9" xfId="0" applyNumberFormat="1" applyFont="1" applyFill="1" applyBorder="1"/>
    <x:xf numFmtId="204" fontId="0" fillId="0" borderId="9" xfId="0" applyNumberFormat="1" applyFont="1" applyFill="1" applyBorder="1"/>
    <x:xf numFmtId="0" fontId="0" fillId="4" borderId="3" xfId="0" applyNumberFormat="1" applyFont="1" applyFill="1" applyBorder="1" applyAlignment="1">
      <x:alignment wrapText="1"/>
    </x:xf>
    <x:xf numFmtId="203" fontId="0" fillId="4" borderId="3" xfId="0" applyNumberFormat="1" applyFont="1" applyFill="1" applyBorder="1" applyAlignment="1">
      <x:alignment wrapText="1"/>
    </x:xf>
    <x:xf numFmtId="0" fontId="0" fillId="4" borderId="9" xfId="0" applyNumberFormat="1" applyFont="1" applyFill="1" applyBorder="1" applyAlignment="1">
      <x:alignment wrapText="1"/>
    </x:xf>
    <x:xf numFmtId="203" fontId="0" fillId="4" borderId="9" xfId="0" applyNumberFormat="1" applyFont="1" applyFill="1" applyBorder="1" applyAlignment="1">
      <x:alignment wrapText="1"/>
    </x:xf>
    <x:xf numFmtId="0" fontId="13" fillId="7" borderId="0" xfId="0" applyNumberFormat="1" applyFont="1" applyFill="1" applyBorder="1" applyAlignment="1">
      <x:alignment vertical="center"/>
    </x:xf>
    <x:xf numFmtId="201" fontId="6" fillId="4" borderId="0" xfId="0" applyNumberFormat="1" applyFont="1" applyFill="1" applyBorder="1"/>
    <x:xf numFmtId="0" fontId="6" fillId="3" borderId="2" xfId="0" applyNumberFormat="1" applyFont="1" applyFill="1" applyBorder="1" applyAlignment="1">
      <x:alignment vertical="center" wrapText="1"/>
    </x:xf>
    <x:xf numFmtId="0" fontId="5" fillId="0" borderId="3" xfId="0" applyNumberFormat="1" applyFont="1" applyFill="1" applyBorder="1"/>
    <x:xf numFmtId="203" fontId="5" fillId="0" borderId="3" xfId="0" applyNumberFormat="1" applyFont="1" applyFill="1" applyBorder="1"/>
    <x:xf numFmtId="203" fontId="5" fillId="4" borderId="3" xfId="0" applyNumberFormat="1" applyFont="1" applyFill="1" applyBorder="1"/>
    <x:xf numFmtId="0" fontId="5" fillId="4" borderId="3" xfId="0" applyNumberFormat="1" applyFont="1" applyFill="1" applyBorder="1" applyAlignment="1">
      <x:alignment wrapText="1"/>
    </x:xf>
    <x:xf numFmtId="203" fontId="5" fillId="4" borderId="3" xfId="0" applyNumberFormat="1" applyFont="1" applyFill="1" applyBorder="1" applyAlignment="1">
      <x:alignment wrapText="1"/>
    </x:xf>
    <x:xf numFmtId="204" fontId="5" fillId="0" borderId="3" xfId="0" applyNumberFormat="1" applyFont="1" applyFill="1" applyBorder="1"/>
    <x:xf numFmtId="0" fontId="5" fillId="4" borderId="3" xfId="0" applyNumberFormat="1" applyFont="1" applyFill="1" applyBorder="1"/>
    <x:xf numFmtId="0" fontId="5" fillId="0" borderId="9" xfId="0" applyNumberFormat="1" applyFont="1" applyFill="1" applyBorder="1"/>
    <x:xf numFmtId="203" fontId="5" fillId="0" borderId="9" xfId="0" applyNumberFormat="1" applyFont="1" applyFill="1" applyBorder="1"/>
    <x:xf numFmtId="203" fontId="5" fillId="4" borderId="9" xfId="0" applyNumberFormat="1" applyFont="1" applyFill="1" applyBorder="1"/>
    <x:xf numFmtId="0" fontId="5" fillId="4" borderId="9" xfId="0" applyNumberFormat="1" applyFont="1" applyFill="1" applyBorder="1" applyAlignment="1">
      <x:alignment wrapText="1"/>
    </x:xf>
    <x:xf numFmtId="203" fontId="5" fillId="4" borderId="9" xfId="0" applyNumberFormat="1" applyFont="1" applyFill="1" applyBorder="1" applyAlignment="1">
      <x:alignment wrapText="1"/>
    </x:xf>
    <x:xf numFmtId="204" fontId="5" fillId="0" borderId="9" xfId="0" applyNumberFormat="1" applyFont="1" applyFill="1" applyBorder="1"/>
    <x:xf numFmtId="0" fontId="5" fillId="4" borderId="9" xfId="0" applyNumberFormat="1" applyFont="1" applyFill="1" applyBorder="1"/>
    <x:xf numFmtId="0" fontId="2" fillId="5" borderId="0" xfId="0" applyNumberFormat="1" applyFont="1" applyFill="1" applyBorder="1"/>
    <x:xf numFmtId="201" fontId="2" fillId="5" borderId="0" xfId="0" applyNumberFormat="1" applyFont="1" applyFill="1" applyBorder="1"/>
    <x:xf numFmtId="0" fontId="2" fillId="3" borderId="0" xfId="0" applyNumberFormat="1" applyFont="1" applyFill="1" applyBorder="1" applyAlignment="1">
      <x:alignment horizontal="center"/>
    </x:xf>
    <x:xf numFmtId="0" fontId="14" fillId="6" borderId="0" xfId="0" applyNumberFormat="1" applyFont="1" applyFill="1" applyBorder="1"/>
    <x:xf numFmtId="0" fontId="14" fillId="6" borderId="10" xfId="0" applyNumberFormat="1" applyFont="1" applyFill="1" applyBorder="1"/>
    <x:xf numFmtId="0" fontId="14" fillId="6" borderId="4" xfId="0" applyNumberFormat="1" applyFont="1" applyFill="1" applyBorder="1"/>
    <x:xf numFmtId="0" fontId="14" fillId="6" borderId="11" xfId="0" applyNumberFormat="1" applyFont="1" applyFill="1" applyBorder="1"/>
    <x:xf numFmtId="0" fontId="14" fillId="6" borderId="12" xfId="0" applyNumberFormat="1" applyFont="1" applyFill="1" applyBorder="1"/>
    <x:xf numFmtId="0" fontId="14" fillId="6" borderId="13" xfId="0" applyNumberFormat="1" applyFont="1" applyFill="1" applyBorder="1"/>
    <x:xf numFmtId="0" fontId="14" fillId="6" borderId="14" xfId="0" applyNumberFormat="1" applyFont="1" applyFill="1" applyBorder="1"/>
    <x:xf numFmtId="0" fontId="14" fillId="6" borderId="2" xfId="0" applyNumberFormat="1" applyFont="1" applyFill="1" applyBorder="1"/>
    <x:xf numFmtId="0" fontId="14" fillId="6" borderId="15" xfId="0" applyNumberFormat="1" applyFont="1" applyFill="1" applyBorder="1"/>
    <x:xf numFmtId="0" fontId="14" fillId="6" borderId="10" xfId="0" applyNumberFormat="1" applyFont="1" applyFill="1" applyBorder="1" applyAlignment="1">
      <x:alignment horizontal="center"/>
    </x:xf>
    <x:xf numFmtId="0" fontId="14" fillId="6" borderId="4" xfId="0" applyNumberFormat="1" applyFont="1" applyFill="1" applyBorder="1" applyAlignment="1">
      <x:alignment horizontal="center"/>
    </x:xf>
    <x:xf numFmtId="0" fontId="14" fillId="6" borderId="11" xfId="0" applyNumberFormat="1" applyFont="1" applyFill="1" applyBorder="1" applyAlignment="1">
      <x:alignment horizontal="center"/>
    </x:xf>
    <x:xf numFmtId="0" fontId="14" fillId="6" borderId="12" xfId="0" applyNumberFormat="1" applyFont="1" applyFill="1" applyBorder="1" applyAlignment="1">
      <x:alignment horizontal="center"/>
    </x:xf>
    <x:xf numFmtId="0" fontId="14" fillId="6" borderId="0" xfId="0" applyNumberFormat="1" applyFont="1" applyFill="1" applyBorder="1" applyAlignment="1">
      <x:alignment horizontal="center"/>
    </x:xf>
    <x:xf numFmtId="0" fontId="14" fillId="6" borderId="13" xfId="0" applyNumberFormat="1" applyFont="1" applyFill="1" applyBorder="1" applyAlignment="1">
      <x:alignment horizontal="center"/>
    </x:xf>
    <x:xf numFmtId="0" fontId="14" fillId="6" borderId="14" xfId="0" applyNumberFormat="1" applyFont="1" applyFill="1" applyBorder="1" applyAlignment="1">
      <x:alignment horizontal="center"/>
    </x:xf>
    <x:xf numFmtId="0" fontId="14" fillId="6" borderId="2" xfId="0" applyNumberFormat="1" applyFont="1" applyFill="1" applyBorder="1" applyAlignment="1">
      <x:alignment horizontal="center"/>
    </x:xf>
    <x:xf numFmtId="0" fontId="14" fillId="6" borderId="15" xfId="0" applyNumberFormat="1" applyFont="1" applyFill="1" applyBorder="1" applyAlignment="1">
      <x:alignment horizontal="center"/>
    </x:xf>
    <x:xf numFmtId="0" fontId="14" fillId="6" borderId="10" xfId="0" applyNumberFormat="1" applyFont="1" applyFill="1" applyBorder="1" applyAlignment="1">
      <x:alignment horizontal="center" vertical="center"/>
    </x:xf>
    <x:xf numFmtId="0" fontId="14" fillId="6" borderId="4" xfId="0" applyNumberFormat="1" applyFont="1" applyFill="1" applyBorder="1" applyAlignment="1">
      <x:alignment horizontal="center" vertical="center"/>
    </x:xf>
    <x:xf numFmtId="0" fontId="14" fillId="6" borderId="11" xfId="0" applyNumberFormat="1" applyFont="1" applyFill="1" applyBorder="1" applyAlignment="1">
      <x:alignment horizontal="center" vertical="center"/>
    </x:xf>
    <x:xf numFmtId="0" fontId="14" fillId="6" borderId="12" xfId="0" applyNumberFormat="1" applyFont="1" applyFill="1" applyBorder="1" applyAlignment="1">
      <x:alignment horizontal="center" vertical="center"/>
    </x:xf>
    <x:xf numFmtId="0" fontId="14" fillId="6" borderId="0" xfId="0" applyNumberFormat="1" applyFont="1" applyFill="1" applyBorder="1" applyAlignment="1">
      <x:alignment horizontal="center" vertical="center"/>
    </x:xf>
    <x:xf numFmtId="0" fontId="14" fillId="6" borderId="13" xfId="0" applyNumberFormat="1" applyFont="1" applyFill="1" applyBorder="1" applyAlignment="1">
      <x:alignment horizontal="center" vertical="center"/>
    </x:xf>
    <x:xf numFmtId="0" fontId="14" fillId="6" borderId="14" xfId="0" applyNumberFormat="1" applyFont="1" applyFill="1" applyBorder="1" applyAlignment="1">
      <x:alignment horizontal="center" vertical="center"/>
    </x:xf>
    <x:xf numFmtId="0" fontId="14" fillId="6" borderId="2" xfId="0" applyNumberFormat="1" applyFont="1" applyFill="1" applyBorder="1" applyAlignment="1">
      <x:alignment horizontal="center" vertical="center"/>
    </x:xf>
    <x:xf numFmtId="0" fontId="14" fillId="6" borderId="15" xfId="0" applyNumberFormat="1" applyFont="1" applyFill="1" applyBorder="1" applyAlignment="1">
      <x:alignment horizontal="center" vertical="center"/>
    </x:xf>
    <x:xf numFmtId="204" fontId="14" fillId="6" borderId="4" xfId="0" applyNumberFormat="1" applyFont="1" applyFill="1" applyBorder="1" applyAlignment="1">
      <x:alignment horizontal="center" vertical="center"/>
    </x:xf>
    <x:xf numFmtId="0" fontId="15" fillId="4" borderId="0" xfId="0" applyNumberFormat="1" applyFont="1" applyFill="1" applyBorder="1"/>
    <x:xf numFmtId="0" fontId="15" fillId="4" borderId="16" xfId="0" applyNumberFormat="1" applyFont="1" applyFill="1" applyBorder="1"/>
    <x:xf numFmtId="0" fontId="15" fillId="4" borderId="17" xfId="0" applyNumberFormat="1" applyFont="1" applyFill="1" applyBorder="1"/>
    <x:xf numFmtId="0" fontId="15" fillId="4" borderId="18" xfId="0" applyNumberFormat="1" applyFont="1" applyFill="1" applyBorder="1"/>
    <x:xf numFmtId="0" fontId="15" fillId="4" borderId="19" xfId="0" applyNumberFormat="1" applyFont="1" applyFill="1" applyBorder="1"/>
    <x:xf numFmtId="0" fontId="15" fillId="4" borderId="20" xfId="0" applyNumberFormat="1" applyFont="1" applyFill="1" applyBorder="1"/>
    <x:xf numFmtId="0" fontId="15" fillId="4" borderId="21" xfId="0" applyNumberFormat="1" applyFont="1" applyFill="1" applyBorder="1"/>
    <x:xf numFmtId="0" fontId="15" fillId="4" borderId="22" xfId="0" applyNumberFormat="1" applyFont="1" applyFill="1" applyBorder="1"/>
    <x:xf numFmtId="0" fontId="15" fillId="4" borderId="23" xfId="0" applyNumberFormat="1" applyFont="1" applyFill="1" applyBorder="1"/>
    <x:xf numFmtId="0" fontId="15" fillId="4" borderId="16" xfId="0" applyNumberFormat="1" applyFont="1" applyFill="1" applyBorder="1" applyAlignment="1">
      <x:alignment horizontal="center"/>
    </x:xf>
    <x:xf numFmtId="0" fontId="15" fillId="4" borderId="17" xfId="0" applyNumberFormat="1" applyFont="1" applyFill="1" applyBorder="1" applyAlignment="1">
      <x:alignment horizontal="center"/>
    </x:xf>
    <x:xf numFmtId="0" fontId="15" fillId="4" borderId="18" xfId="0" applyNumberFormat="1" applyFont="1" applyFill="1" applyBorder="1" applyAlignment="1">
      <x:alignment horizontal="center"/>
    </x:xf>
    <x:xf numFmtId="0" fontId="15" fillId="4" borderId="19" xfId="0" applyNumberFormat="1" applyFont="1" applyFill="1" applyBorder="1" applyAlignment="1">
      <x:alignment horizontal="center"/>
    </x:xf>
    <x:xf numFmtId="0" fontId="15" fillId="4" borderId="0" xfId="0" applyNumberFormat="1" applyFont="1" applyFill="1" applyBorder="1" applyAlignment="1">
      <x:alignment horizontal="center"/>
    </x:xf>
    <x:xf numFmtId="0" fontId="15" fillId="4" borderId="20" xfId="0" applyNumberFormat="1" applyFont="1" applyFill="1" applyBorder="1" applyAlignment="1">
      <x:alignment horizontal="center"/>
    </x:xf>
    <x:xf numFmtId="0" fontId="15" fillId="4" borderId="21" xfId="0" applyNumberFormat="1" applyFont="1" applyFill="1" applyBorder="1" applyAlignment="1">
      <x:alignment horizontal="center"/>
    </x:xf>
    <x:xf numFmtId="0" fontId="15" fillId="4" borderId="22" xfId="0" applyNumberFormat="1" applyFont="1" applyFill="1" applyBorder="1" applyAlignment="1">
      <x:alignment horizontal="center"/>
    </x:xf>
    <x:xf numFmtId="0" fontId="15" fillId="4" borderId="23" xfId="0" applyNumberFormat="1" applyFont="1" applyFill="1" applyBorder="1" applyAlignment="1">
      <x:alignment horizontal="center"/>
    </x:xf>
    <x:xf numFmtId="0" fontId="15" fillId="4" borderId="16" xfId="0" applyNumberFormat="1" applyFont="1" applyFill="1" applyBorder="1" applyAlignment="1">
      <x:alignment horizontal="center" vertical="center"/>
    </x:xf>
    <x:xf numFmtId="0" fontId="15" fillId="4" borderId="17" xfId="0" applyNumberFormat="1" applyFont="1" applyFill="1" applyBorder="1" applyAlignment="1">
      <x:alignment horizontal="center" vertical="center"/>
    </x:xf>
    <x:xf numFmtId="0" fontId="15" fillId="4" borderId="18" xfId="0" applyNumberFormat="1" applyFont="1" applyFill="1" applyBorder="1" applyAlignment="1">
      <x:alignment horizontal="center" vertical="center"/>
    </x:xf>
    <x:xf numFmtId="0" fontId="15" fillId="4" borderId="19" xfId="0" applyNumberFormat="1" applyFont="1" applyFill="1" applyBorder="1" applyAlignment="1">
      <x:alignment horizontal="center" vertical="center"/>
    </x:xf>
    <x:xf numFmtId="0" fontId="15" fillId="4" borderId="0" xfId="0" applyNumberFormat="1" applyFont="1" applyFill="1" applyBorder="1" applyAlignment="1">
      <x:alignment horizontal="center" vertical="center"/>
    </x:xf>
    <x:xf numFmtId="0" fontId="15" fillId="4" borderId="20" xfId="0" applyNumberFormat="1" applyFont="1" applyFill="1" applyBorder="1" applyAlignment="1">
      <x:alignment horizontal="center" vertical="center"/>
    </x:xf>
    <x:xf numFmtId="0" fontId="15" fillId="4" borderId="21" xfId="0" applyNumberFormat="1" applyFont="1" applyFill="1" applyBorder="1" applyAlignment="1">
      <x:alignment horizontal="center" vertical="center"/>
    </x:xf>
    <x:xf numFmtId="0" fontId="15" fillId="4" borderId="22" xfId="0" applyNumberFormat="1" applyFont="1" applyFill="1" applyBorder="1" applyAlignment="1">
      <x:alignment horizontal="center" vertical="center"/>
    </x:xf>
    <x:xf numFmtId="0" fontId="15" fillId="4" borderId="23" xfId="0" applyNumberFormat="1" applyFont="1" applyFill="1" applyBorder="1" applyAlignment="1">
      <x:alignment horizontal="center" vertical="center"/>
    </x:xf>
    <x:xf numFmtId="0" fontId="3" fillId="5" borderId="10" xfId="0" applyNumberFormat="1" applyFont="1" applyFill="1" applyBorder="1"/>
    <x:xf numFmtId="0" fontId="3" fillId="5" borderId="11" xfId="0" applyNumberFormat="1" applyFont="1" applyFill="1" applyBorder="1"/>
    <x:xf numFmtId="0" fontId="3" fillId="5" borderId="12" xfId="0" applyNumberFormat="1" applyFont="1" applyFill="1" applyBorder="1"/>
    <x:xf numFmtId="0" fontId="3" fillId="5" borderId="13" xfId="0" applyNumberFormat="1" applyFont="1" applyFill="1" applyBorder="1"/>
    <x:xf numFmtId="0" fontId="3" fillId="5" borderId="14" xfId="0" applyNumberFormat="1" applyFont="1" applyFill="1" applyBorder="1"/>
    <x:xf numFmtId="0" fontId="3" fillId="5" borderId="15" xfId="0" applyNumberFormat="1" applyFont="1" applyFill="1" applyBorder="1"/>
    <x:xf numFmtId="0" fontId="3" fillId="5" borderId="10" xfId="0" applyNumberFormat="1" applyFont="1" applyFill="1" applyBorder="1" applyAlignment="1">
      <x:alignment wrapText="1"/>
    </x:xf>
    <x:xf numFmtId="0" fontId="3" fillId="5" borderId="11" xfId="0" applyNumberFormat="1" applyFont="1" applyFill="1" applyBorder="1" applyAlignment="1">
      <x:alignment wrapText="1"/>
    </x:xf>
    <x:xf numFmtId="0" fontId="3" fillId="5" borderId="12" xfId="0" applyNumberFormat="1" applyFont="1" applyFill="1" applyBorder="1" applyAlignment="1">
      <x:alignment wrapText="1"/>
    </x:xf>
    <x:xf numFmtId="0" fontId="3" fillId="5" borderId="13" xfId="0" applyNumberFormat="1" applyFont="1" applyFill="1" applyBorder="1" applyAlignment="1">
      <x:alignment wrapText="1"/>
    </x:xf>
    <x:xf numFmtId="0" fontId="3" fillId="5" borderId="14" xfId="0" applyNumberFormat="1" applyFont="1" applyFill="1" applyBorder="1" applyAlignment="1">
      <x:alignment wrapText="1"/>
    </x:xf>
    <x:xf numFmtId="0" fontId="3" fillId="5" borderId="15" xfId="0" applyNumberFormat="1" applyFont="1" applyFill="1" applyBorder="1" applyAlignment="1">
      <x:alignment wrapText="1"/>
    </x:xf>
    <x:xf numFmtId="0" fontId="3" fillId="5" borderId="10" xfId="0" applyNumberFormat="1" applyFont="1" applyFill="1" applyBorder="1" applyAlignment="1">
      <x:alignment vertical="top" wrapText="1"/>
    </x:xf>
    <x:xf numFmtId="0" fontId="3" fillId="5" borderId="11" xfId="0" applyNumberFormat="1" applyFont="1" applyFill="1" applyBorder="1" applyAlignment="1">
      <x:alignment vertical="top" wrapText="1"/>
    </x:xf>
    <x:xf numFmtId="0" fontId="3" fillId="5" borderId="12"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3" fillId="5" borderId="14" xfId="0" applyNumberFormat="1" applyFont="1" applyFill="1" applyBorder="1" applyAlignment="1">
      <x:alignment vertical="top" wrapText="1"/>
    </x:xf>
    <x:xf numFmtId="0" fontId="3" fillId="5" borderId="15" xfId="0" applyNumberFormat="1" applyFont="1" applyFill="1" applyBorder="1" applyAlignment="1">
      <x:alignment vertical="top" wrapText="1"/>
    </x:xf>
    <x:xf numFmtId="201" fontId="6" fillId="5" borderId="0" xfId="0" applyNumberFormat="1" applyFont="1" applyFill="1" applyBorder="1"/>
    <x:xf numFmtId="0" fontId="6" fillId="3" borderId="0" xfId="0" applyNumberFormat="1" applyFont="1" applyFill="1" applyBorder="1" applyAlignment="1">
      <x:alignment horizontal="center"/>
    </x:xf>
    <x:xf numFmtId="0" fontId="16" fillId="6" borderId="10" xfId="0" applyNumberFormat="1" applyFont="1" applyFill="1" applyBorder="1" applyAlignment="1">
      <x:alignment horizontal="center" vertical="center"/>
    </x:xf>
    <x:xf numFmtId="0" fontId="16" fillId="6" borderId="4" xfId="0" applyNumberFormat="1" applyFont="1" applyFill="1" applyBorder="1" applyAlignment="1">
      <x:alignment horizontal="center" vertical="center"/>
    </x:xf>
    <x:xf numFmtId="204" fontId="16" fillId="6" borderId="4" xfId="0" applyNumberFormat="1" applyFont="1" applyFill="1" applyBorder="1" applyAlignment="1">
      <x:alignment horizontal="center" vertical="center"/>
    </x:xf>
    <x:xf numFmtId="0" fontId="16" fillId="6" borderId="11" xfId="0" applyNumberFormat="1" applyFont="1" applyFill="1" applyBorder="1" applyAlignment="1">
      <x:alignment horizontal="center" vertical="center"/>
    </x:xf>
    <x:xf numFmtId="0" fontId="16" fillId="6" borderId="12" xfId="0" applyNumberFormat="1" applyFont="1" applyFill="1" applyBorder="1" applyAlignment="1">
      <x:alignment horizontal="center" vertical="center"/>
    </x:xf>
    <x:xf numFmtId="0" fontId="16" fillId="6" borderId="0" xfId="0" applyNumberFormat="1" applyFont="1" applyFill="1" applyBorder="1" applyAlignment="1">
      <x:alignment horizontal="center" vertical="center"/>
    </x:xf>
    <x:xf numFmtId="0" fontId="16" fillId="6" borderId="13" xfId="0" applyNumberFormat="1" applyFont="1" applyFill="1" applyBorder="1" applyAlignment="1">
      <x:alignment horizontal="center" vertical="center"/>
    </x:xf>
    <x:xf numFmtId="0" fontId="16" fillId="6" borderId="14" xfId="0" applyNumberFormat="1" applyFont="1" applyFill="1" applyBorder="1" applyAlignment="1">
      <x:alignment horizontal="center" vertical="center"/>
    </x:xf>
    <x:xf numFmtId="0" fontId="16" fillId="6" borderId="2" xfId="0" applyNumberFormat="1" applyFont="1" applyFill="1" applyBorder="1" applyAlignment="1">
      <x:alignment horizontal="center" vertical="center"/>
    </x:xf>
    <x:xf numFmtId="0" fontId="16" fillId="6" borderId="15" xfId="0" applyNumberFormat="1" applyFont="1" applyFill="1" applyBorder="1" applyAlignment="1">
      <x:alignment horizontal="center" vertical="center"/>
    </x:xf>
    <x:xf numFmtId="0" fontId="17" fillId="4" borderId="16" xfId="0" applyNumberFormat="1" applyFont="1" applyFill="1" applyBorder="1" applyAlignment="1">
      <x:alignment horizontal="center" vertical="center"/>
    </x:xf>
    <x:xf numFmtId="0" fontId="17" fillId="4" borderId="17" xfId="0" applyNumberFormat="1" applyFont="1" applyFill="1" applyBorder="1" applyAlignment="1">
      <x:alignment horizontal="center" vertical="center"/>
    </x:xf>
    <x:xf numFmtId="0" fontId="17" fillId="4" borderId="18" xfId="0" applyNumberFormat="1" applyFont="1" applyFill="1" applyBorder="1" applyAlignment="1">
      <x:alignment horizontal="center" vertical="center"/>
    </x:xf>
    <x:xf numFmtId="0" fontId="17" fillId="4" borderId="19" xfId="0" applyNumberFormat="1" applyFont="1" applyFill="1" applyBorder="1" applyAlignment="1">
      <x:alignment horizontal="center" vertical="center"/>
    </x:xf>
    <x:xf numFmtId="0" fontId="17" fillId="4" borderId="0" xfId="0" applyNumberFormat="1" applyFont="1" applyFill="1" applyBorder="1" applyAlignment="1">
      <x:alignment horizontal="center" vertical="center"/>
    </x:xf>
    <x:xf numFmtId="0" fontId="17" fillId="4" borderId="20" xfId="0" applyNumberFormat="1" applyFont="1" applyFill="1" applyBorder="1" applyAlignment="1">
      <x:alignment horizontal="center" vertical="center"/>
    </x:xf>
    <x:xf numFmtId="0" fontId="17" fillId="4" borderId="21" xfId="0" applyNumberFormat="1" applyFont="1" applyFill="1" applyBorder="1" applyAlignment="1">
      <x:alignment horizontal="center" vertical="center"/>
    </x:xf>
    <x:xf numFmtId="0" fontId="17" fillId="4" borderId="22" xfId="0" applyNumberFormat="1" applyFont="1" applyFill="1" applyBorder="1" applyAlignment="1">
      <x:alignment horizontal="center" vertical="center"/>
    </x:xf>
    <x:xf numFmtId="0" fontId="17" fillId="4" borderId="23" xfId="0" applyNumberFormat="1" applyFont="1" applyFill="1" applyBorder="1" applyAlignment="1">
      <x:alignment horizontal="center" vertical="center"/>
    </x:xf>
    <x:xf numFmtId="0" fontId="7" fillId="5" borderId="10" xfId="0" applyNumberFormat="1" applyFont="1" applyFill="1" applyBorder="1" applyAlignment="1">
      <x:alignment vertical="top" wrapText="1"/>
    </x:xf>
    <x:xf numFmtId="0" fontId="7" fillId="5" borderId="11" xfId="0" applyNumberFormat="1" applyFont="1" applyFill="1" applyBorder="1" applyAlignment="1">
      <x:alignment vertical="top" wrapText="1"/>
    </x:xf>
    <x:xf numFmtId="0" fontId="7" fillId="5" borderId="12" xfId="0" applyNumberFormat="1" applyFont="1" applyFill="1" applyBorder="1" applyAlignment="1">
      <x:alignment vertical="top" wrapText="1"/>
    </x:xf>
    <x:xf numFmtId="0" fontId="7" fillId="5" borderId="13" xfId="0" applyNumberFormat="1" applyFont="1" applyFill="1" applyBorder="1" applyAlignment="1">
      <x:alignment vertical="top" wrapText="1"/>
    </x:xf>
    <x:xf numFmtId="0" fontId="7" fillId="5" borderId="14" xfId="0" applyNumberFormat="1" applyFont="1" applyFill="1" applyBorder="1" applyAlignment="1">
      <x:alignment vertical="top" wrapText="1"/>
    </x:xf>
    <x:xf numFmtId="0" fontId="7" fillId="5" borderId="15" xfId="0" applyNumberFormat="1" applyFont="1" applyFill="1" applyBorder="1" applyAlignment="1">
      <x:alignment vertical="top" wrapText="1"/>
    </x:xf>
  </x:cellXfs>
  <x:cellStyles count="1">
    <x:cellStyle name="Normal" xfId="0"/>
  </x:cellStyles>
  <x:dxfs count="4">
    <x:dxf>
      <x:font>
        <x:b/>
        <x:color rgb="FF176B2C"/>
      </x:font>
      <x:fill>
        <x:patternFill patternType="solid">
          <x:bgColor rgb="FFE4F4E8"/>
        </x:patternFill>
      </x:fill>
    </x:dxf>
    <x:dxf>
      <x:font>
        <x:color rgb="FFA61B1B"/>
      </x:font>
      <x:fill>
        <x:patternFill patternType="solid">
          <x:bgColor rgb="FFFDE8E7"/>
        </x:patternFill>
      </x:fill>
    </x:dxf>
    <x:dxf>
      <x:font>
        <x:b/>
        <x:color rgb="FF176B2C"/>
      </x:font>
      <x:fill>
        <x:patternFill patternType="solid">
          <x:bgColor rgb="FFE4F4E8"/>
        </x:patternFill>
      </x:fill>
    </x:dxf>
    <x:dxf>
      <x:font>
        <x:color rgb="FFA61B1B"/>
      </x:font>
      <x:fill>
        <x:patternFill patternType="solid">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55403075bf4839" /><Relationship Type="http://schemas.openxmlformats.org/officeDocument/2006/relationships/theme" Target="/xl/theme/theme1.xml" Id="R8e13565ce3bc47d8" /><Relationship Type="http://schemas.openxmlformats.org/officeDocument/2006/relationships/sharedStrings" Target="/xl/sharedStrings.xml" Id="Rb4eff514821547e4" /><Relationship Type="http://schemas.openxmlformats.org/officeDocument/2006/relationships/worksheet" Target="/xl/worksheets/sheet1.xml" Id="R32a44ad812fb4cd4" /><Relationship Type="http://schemas.openxmlformats.org/officeDocument/2006/relationships/worksheet" Target="/xl/worksheets/sheet2.xml" Id="R003d7994d33d4e7a" /><Relationship Type="http://schemas.openxmlformats.org/officeDocument/2006/relationships/worksheet" Target="/xl/worksheets/sheet3.xml" Id="Rb1ec84e8fd5f421c" /><Relationship Type="http://schemas.openxmlformats.org/officeDocument/2006/relationships/worksheet" Target="/xl/worksheets/sheet4.xml" Id="R30f9f31100d54bd5" /><Relationship Type="http://schemas.openxmlformats.org/officeDocument/2006/relationships/worksheet" Target="/xl/worksheets/sheet5.xml" Id="R1a14d31908c441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6" hidden="0" customWidth="1"/>
    <x:col min="4" max="4" width="14" hidden="0" customWidth="1"/>
    <x:col min="5" max="5" width="14" hidden="0" customWidth="1"/>
    <x:col min="6" max="6" width="17" hidden="0" customWidth="1"/>
    <x:col min="7" max="7" width="3" hidden="0" customWidth="1"/>
    <x:col min="8" max="8" width="24" hidden="0" customWidth="1"/>
    <x:col min="9" max="9" width="24" hidden="0" customWidth="1"/>
  </x:cols>
  <x:sheetData>
    <x:row r="1">
      <x:c r="A1" s="17" t="str">
        <x:v>Spotlight Program — Promotions KPI Dashboard</x:v>
      </x:c>
      <x:c r="B1" s="17"/>
      <x:c r="C1" s="17"/>
      <x:c r="D1" s="17"/>
      <x:c r="E1" s="17"/>
      <x:c r="F1" s="17"/>
      <x:c r="G1" s="17"/>
      <x:c r="H1" s="17"/>
      <x:c r="I1" s="17"/>
    </x:row>
    <x:row r="2">
      <x:c r="A2" s="17"/>
      <x:c r="B2" s="17"/>
      <x:c r="C2" s="17"/>
      <x:c r="D2" s="17"/>
      <x:c r="E2" s="17"/>
      <x:c r="F2" s="17"/>
      <x:c r="G2" s="17"/>
      <x:c r="H2" s="17"/>
      <x:c r="I2" s="17"/>
    </x:row>
    <x:row r="3">
      <x:c r="A3" s="18"/>
      <x:c r="B3" s="18"/>
      <x:c r="C3" s="18"/>
      <x:c r="D3" s="18"/>
      <x:c r="E3" s="18"/>
      <x:c r="F3" s="18"/>
      <x:c r="G3" s="18"/>
      <x:c r="H3" s="18"/>
      <x:c r="I3" s="18"/>
    </x:row>
    <x:row r="4">
      <x:c r="A4" s="102" t="str">
        <x:v>Reporting month</x:v>
      </x:c>
      <x:c r="B4" s="195" t="n">
        <x:f>'Monthly Assessment'!B4</x:f>
        <x:v>46204</x:v>
      </x:c>
      <x:c r="C4" s="18"/>
      <x:c r="D4" s="18"/>
      <x:c r="E4" s="18"/>
      <x:c r="F4" s="18"/>
      <x:c r="G4" s="18"/>
      <x:c r="H4" s="18"/>
      <x:c r="I4" s="18"/>
    </x:row>
    <x:row r="5">
      <x:c r="A5" s="18"/>
      <x:c r="B5" s="18"/>
      <x:c r="C5" s="18"/>
      <x:c r="D5" s="18"/>
      <x:c r="E5" s="18"/>
      <x:c r="F5" s="18"/>
      <x:c r="G5" s="18"/>
      <x:c r="H5" s="18"/>
      <x:c r="I5" s="18"/>
    </x:row>
    <x:row r="6">
      <x:c r="A6" s="196" t="str">
        <x:v>People assessed</x:v>
      </x:c>
      <x:c r="B6" s="196"/>
      <x:c r="C6" s="196"/>
      <x:c r="D6" s="196" t="str">
        <x:v>Eligible employees</x:v>
      </x:c>
      <x:c r="E6" s="196"/>
      <x:c r="F6" s="196"/>
      <x:c r="G6" s="196" t="str">
        <x:v>Average overall score</x:v>
      </x:c>
      <x:c r="H6" s="196"/>
      <x:c r="I6" s="196"/>
    </x:row>
    <x:row r="7">
      <x:c r="A7" s="197" t="n">
        <x:f>COUNT('Monthly Assessment'!H7:H36)</x:f>
        <x:v>2</x:v>
      </x:c>
      <x:c r="B7" s="198"/>
      <x:c r="C7" s="198"/>
      <x:c r="D7" s="198" t="n">
        <x:f>COUNTIF('Monthly Assessment'!L7:L36,"Eligible")</x:f>
        <x:v>1</x:v>
      </x:c>
      <x:c r="E7" s="198"/>
      <x:c r="F7" s="198"/>
      <x:c r="G7" s="199" t="n">
        <x:f>IFERROR(AVERAGE('Monthly Assessment'!H7:H36),0)</x:f>
        <x:v>3.165</x:v>
      </x:c>
      <x:c r="H7" s="198"/>
      <x:c r="I7" s="200"/>
    </x:row>
    <x:row r="8">
      <x:c r="A8" s="201"/>
      <x:c r="B8" s="202"/>
      <x:c r="C8" s="202"/>
      <x:c r="D8" s="202"/>
      <x:c r="E8" s="202"/>
      <x:c r="F8" s="202"/>
      <x:c r="G8" s="202"/>
      <x:c r="H8" s="202"/>
      <x:c r="I8" s="203"/>
    </x:row>
    <x:row r="9">
      <x:c r="A9" s="204"/>
      <x:c r="B9" s="205"/>
      <x:c r="C9" s="205"/>
      <x:c r="D9" s="205"/>
      <x:c r="E9" s="205"/>
      <x:c r="F9" s="205"/>
      <x:c r="G9" s="205"/>
      <x:c r="H9" s="205"/>
      <x:c r="I9" s="206"/>
    </x:row>
    <x:row r="10">
      <x:c r="A10" s="18"/>
      <x:c r="B10" s="18"/>
      <x:c r="C10" s="18"/>
      <x:c r="D10" s="18"/>
      <x:c r="E10" s="18"/>
      <x:c r="F10" s="18"/>
      <x:c r="G10" s="18"/>
      <x:c r="H10" s="18"/>
      <x:c r="I10" s="18"/>
    </x:row>
    <x:row r="11">
      <x:c r="A11" s="18"/>
      <x:c r="B11" s="18"/>
      <x:c r="C11" s="18"/>
      <x:c r="D11" s="18"/>
      <x:c r="E11" s="18"/>
      <x:c r="F11" s="18"/>
      <x:c r="G11" s="18"/>
      <x:c r="H11" s="18"/>
      <x:c r="I11" s="18"/>
    </x:row>
    <x:row r="12">
      <x:c r="A12" s="102" t="str">
        <x:v>Monthly KPI MVP</x:v>
      </x:c>
      <x:c r="B12" s="102"/>
      <x:c r="C12" s="102"/>
      <x:c r="D12" s="102"/>
      <x:c r="E12" s="102"/>
      <x:c r="F12" s="102"/>
      <x:c r="G12" s="102"/>
      <x:c r="H12" s="102"/>
      <x:c r="I12" s="102"/>
    </x:row>
    <x:row r="13">
      <x:c r="A13" s="207" t="str">
        <x:f>IFERROR(INDEX('Monthly Assessment'!A7:A36,MATCH(MAXIFS('Monthly Assessment'!H7:H36,'Monthly Assessment'!L7:L36,"Eligible"),'Monthly Assessment'!H7:H36,0)),"No eligible winner yet")</x:f>
        <x:v>Team Member 1</x:v>
      </x:c>
      <x:c r="B13" s="208"/>
      <x:c r="C13" s="208"/>
      <x:c r="D13" s="208"/>
      <x:c r="E13" s="208"/>
      <x:c r="F13" s="208"/>
      <x:c r="G13" s="208"/>
      <x:c r="H13" s="208"/>
      <x:c r="I13" s="209"/>
    </x:row>
    <x:row r="14">
      <x:c r="A14" s="210"/>
      <x:c r="B14" s="211"/>
      <x:c r="C14" s="211"/>
      <x:c r="D14" s="211"/>
      <x:c r="E14" s="211"/>
      <x:c r="F14" s="211"/>
      <x:c r="G14" s="211"/>
      <x:c r="H14" s="211"/>
      <x:c r="I14" s="212"/>
    </x:row>
    <x:row r="15">
      <x:c r="A15" s="213"/>
      <x:c r="B15" s="214"/>
      <x:c r="C15" s="214"/>
      <x:c r="D15" s="214"/>
      <x:c r="E15" s="214"/>
      <x:c r="F15" s="214"/>
      <x:c r="G15" s="214"/>
      <x:c r="H15" s="214"/>
      <x:c r="I15" s="215"/>
    </x:row>
    <x:row r="16">
      <x:c r="A16" s="18"/>
      <x:c r="B16" s="18"/>
      <x:c r="C16" s="18"/>
      <x:c r="D16" s="18"/>
      <x:c r="E16" s="18"/>
      <x:c r="F16" s="18"/>
      <x:c r="G16" s="18"/>
      <x:c r="H16" s="18"/>
      <x:c r="I16" s="18"/>
    </x:row>
    <x:row r="17">
      <x:c r="A17" s="18"/>
      <x:c r="B17" s="18"/>
      <x:c r="C17" s="18"/>
      <x:c r="D17" s="18"/>
      <x:c r="E17" s="18"/>
      <x:c r="F17" s="18"/>
      <x:c r="G17" s="18"/>
      <x:c r="H17" s="18"/>
      <x:c r="I17" s="18"/>
    </x:row>
    <x:row r="18">
      <x:c r="A18" s="104" t="str">
        <x:v>Employee</x:v>
      </x:c>
      <x:c r="B18" s="104" t="str">
        <x:v>Improvement</x:v>
      </x:c>
      <x:c r="C18" s="104" t="str">
        <x:v>Responsibilities</x:v>
      </x:c>
      <x:c r="D18" s="104" t="str">
        <x:v>Behaviours</x:v>
      </x:c>
      <x:c r="E18" s="104" t="str">
        <x:v>Overall</x:v>
      </x:c>
      <x:c r="F18" s="104" t="str">
        <x:v>Eligibility</x:v>
      </x:c>
      <x:c r="G18" s="18"/>
      <x:c r="H18" s="19" t="str">
        <x:v>Three KPI objectives</x:v>
      </x:c>
      <x:c r="I18" s="19"/>
    </x:row>
    <x:row r="19">
      <x:c r="A19" s="105" t="str">
        <x:f>IF('Monthly Assessment'!A7="","",'Monthly Assessment'!A7)</x:f>
        <x:v>Team Member 1</x:v>
      </x:c>
      <x:c r="B19" s="110" t="n">
        <x:f>IF('Monthly Assessment'!H7="","",'Monthly Assessment'!B7)</x:f>
        <x:v>4</x:v>
      </x:c>
      <x:c r="C19" s="110" t="n">
        <x:f>IF('Monthly Assessment'!H7="","",'Monthly Assessment'!D7)</x:f>
        <x:v>4</x:v>
      </x:c>
      <x:c r="D19" s="110" t="n">
        <x:f>IF('Monthly Assessment'!H7="","",'Monthly Assessment'!F7)</x:f>
        <x:v>4</x:v>
      </x:c>
      <x:c r="E19" s="110" t="n">
        <x:f>IF('Monthly Assessment'!H7="","",'Monthly Assessment'!H7)</x:f>
        <x:v>4</x:v>
      </x:c>
      <x:c r="F19" s="105" t="str">
        <x:f>IF('Monthly Assessment'!H7="","",'Monthly Assessment'!L7)</x:f>
        <x:v>Eligible</x:v>
      </x:c>
      <x:c r="G19" s="18"/>
      <x:c r="H19" s="216" t="str">
        <x:v>1. Improvement Contribution
A measurable improvement made beyond normal BAU.
2. Responsibilities
How consistently agreed monthly BAU responsibilities were owned and completed.
3. Expected Behaviours
How consistently the employee demonstrated the team's ways of working.
Each objective is scored 1–5 with evidence.</x:v>
      </x:c>
      <x:c r="I19" s="217"/>
    </x:row>
    <x:row r="20">
      <x:c r="A20" s="105" t="str">
        <x:f>IF('Monthly Assessment'!A8="","",'Monthly Assessment'!A8)</x:f>
        <x:v>Team Member 2</x:v>
      </x:c>
      <x:c r="B20" s="110" t="n">
        <x:f>IF('Monthly Assessment'!H8="","",'Monthly Assessment'!B8)</x:f>
        <x:v>1</x:v>
      </x:c>
      <x:c r="C20" s="110" t="n">
        <x:f>IF('Monthly Assessment'!H8="","",'Monthly Assessment'!D8)</x:f>
        <x:v>3</x:v>
      </x:c>
      <x:c r="D20" s="110" t="n">
        <x:f>IF('Monthly Assessment'!H8="","",'Monthly Assessment'!F8)</x:f>
        <x:v>3</x:v>
      </x:c>
      <x:c r="E20" s="110" t="n">
        <x:f>IF('Monthly Assessment'!H8="","",'Monthly Assessment'!H8)</x:f>
        <x:v>2.33</x:v>
      </x:c>
      <x:c r="F20" s="105" t="str">
        <x:f>IF('Monthly Assessment'!H8="","",'Monthly Assessment'!L8)</x:f>
        <x:v>Not eligible</x:v>
      </x:c>
      <x:c r="G20" s="18"/>
      <x:c r="H20" s="218"/>
      <x:c r="I20" s="219"/>
    </x:row>
    <x:row r="21">
      <x:c r="A21" s="105" t="str">
        <x:f>IF('Monthly Assessment'!A9="","",'Monthly Assessment'!A9)</x:f>
        <x:v>Team Member 3</x:v>
      </x:c>
      <x:c r="B21" s="110" t="str">
        <x:f>IF('Monthly Assessment'!H9="","",'Monthly Assessment'!B9)</x:f>
      </x:c>
      <x:c r="C21" s="110" t="str">
        <x:f>IF('Monthly Assessment'!H9="","",'Monthly Assessment'!D9)</x:f>
      </x:c>
      <x:c r="D21" s="110" t="str">
        <x:f>IF('Monthly Assessment'!H9="","",'Monthly Assessment'!F9)</x:f>
      </x:c>
      <x:c r="E21" s="110" t="str">
        <x:f>IF('Monthly Assessment'!H9="","",'Monthly Assessment'!H9)</x:f>
      </x:c>
      <x:c r="F21" s="105" t="str">
        <x:f>IF('Monthly Assessment'!H9="","",'Monthly Assessment'!L9)</x:f>
      </x:c>
      <x:c r="G21" s="18"/>
      <x:c r="H21" s="218"/>
      <x:c r="I21" s="219"/>
    </x:row>
    <x:row r="22">
      <x:c r="A22" s="105" t="str">
        <x:f>IF('Monthly Assessment'!A10="","",'Monthly Assessment'!A10)</x:f>
        <x:v>Team Member 4</x:v>
      </x:c>
      <x:c r="B22" s="110" t="str">
        <x:f>IF('Monthly Assessment'!H10="","",'Monthly Assessment'!B10)</x:f>
      </x:c>
      <x:c r="C22" s="110" t="str">
        <x:f>IF('Monthly Assessment'!H10="","",'Monthly Assessment'!D10)</x:f>
      </x:c>
      <x:c r="D22" s="110" t="str">
        <x:f>IF('Monthly Assessment'!H10="","",'Monthly Assessment'!F10)</x:f>
      </x:c>
      <x:c r="E22" s="110" t="str">
        <x:f>IF('Monthly Assessment'!H10="","",'Monthly Assessment'!H10)</x:f>
      </x:c>
      <x:c r="F22" s="105" t="str">
        <x:f>IF('Monthly Assessment'!H10="","",'Monthly Assessment'!L10)</x:f>
      </x:c>
      <x:c r="G22" s="18"/>
      <x:c r="H22" s="218"/>
      <x:c r="I22" s="219"/>
    </x:row>
    <x:row r="23">
      <x:c r="A23" s="105" t="str">
        <x:f>IF('Monthly Assessment'!A11="","",'Monthly Assessment'!A11)</x:f>
        <x:v>Team Member 5</x:v>
      </x:c>
      <x:c r="B23" s="110" t="str">
        <x:f>IF('Monthly Assessment'!H11="","",'Monthly Assessment'!B11)</x:f>
      </x:c>
      <x:c r="C23" s="110" t="str">
        <x:f>IF('Monthly Assessment'!H11="","",'Monthly Assessment'!D11)</x:f>
      </x:c>
      <x:c r="D23" s="110" t="str">
        <x:f>IF('Monthly Assessment'!H11="","",'Monthly Assessment'!F11)</x:f>
      </x:c>
      <x:c r="E23" s="110" t="str">
        <x:f>IF('Monthly Assessment'!H11="","",'Monthly Assessment'!H11)</x:f>
      </x:c>
      <x:c r="F23" s="105" t="str">
        <x:f>IF('Monthly Assessment'!H11="","",'Monthly Assessment'!L11)</x:f>
      </x:c>
      <x:c r="G23" s="18"/>
      <x:c r="H23" s="218"/>
      <x:c r="I23" s="219"/>
    </x:row>
    <x:row r="24">
      <x:c r="A24" s="105" t="str">
        <x:f>IF('Monthly Assessment'!A12="","",'Monthly Assessment'!A12)</x:f>
        <x:v>Team Member 6</x:v>
      </x:c>
      <x:c r="B24" s="110" t="str">
        <x:f>IF('Monthly Assessment'!H12="","",'Monthly Assessment'!B12)</x:f>
      </x:c>
      <x:c r="C24" s="110" t="str">
        <x:f>IF('Monthly Assessment'!H12="","",'Monthly Assessment'!D12)</x:f>
      </x:c>
      <x:c r="D24" s="110" t="str">
        <x:f>IF('Monthly Assessment'!H12="","",'Monthly Assessment'!F12)</x:f>
      </x:c>
      <x:c r="E24" s="110" t="str">
        <x:f>IF('Monthly Assessment'!H12="","",'Monthly Assessment'!H12)</x:f>
      </x:c>
      <x:c r="F24" s="105" t="str">
        <x:f>IF('Monthly Assessment'!H12="","",'Monthly Assessment'!L12)</x:f>
      </x:c>
      <x:c r="G24" s="18"/>
      <x:c r="H24" s="218"/>
      <x:c r="I24" s="219"/>
    </x:row>
    <x:row r="25">
      <x:c r="A25" s="105" t="str">
        <x:f>IF('Monthly Assessment'!A13="","",'Monthly Assessment'!A13)</x:f>
        <x:v>Team Member 7</x:v>
      </x:c>
      <x:c r="B25" s="110" t="str">
        <x:f>IF('Monthly Assessment'!H13="","",'Monthly Assessment'!B13)</x:f>
      </x:c>
      <x:c r="C25" s="110" t="str">
        <x:f>IF('Monthly Assessment'!H13="","",'Monthly Assessment'!D13)</x:f>
      </x:c>
      <x:c r="D25" s="110" t="str">
        <x:f>IF('Monthly Assessment'!H13="","",'Monthly Assessment'!F13)</x:f>
      </x:c>
      <x:c r="E25" s="110" t="str">
        <x:f>IF('Monthly Assessment'!H13="","",'Monthly Assessment'!H13)</x:f>
      </x:c>
      <x:c r="F25" s="105" t="str">
        <x:f>IF('Monthly Assessment'!H13="","",'Monthly Assessment'!L13)</x:f>
      </x:c>
      <x:c r="G25" s="18"/>
      <x:c r="H25" s="218"/>
      <x:c r="I25" s="219"/>
    </x:row>
    <x:row r="26">
      <x:c r="A26" s="105" t="str">
        <x:f>IF('Monthly Assessment'!A14="","",'Monthly Assessment'!A14)</x:f>
        <x:v>Team Member 8</x:v>
      </x:c>
      <x:c r="B26" s="110" t="str">
        <x:f>IF('Monthly Assessment'!H14="","",'Monthly Assessment'!B14)</x:f>
      </x:c>
      <x:c r="C26" s="110" t="str">
        <x:f>IF('Monthly Assessment'!H14="","",'Monthly Assessment'!D14)</x:f>
      </x:c>
      <x:c r="D26" s="110" t="str">
        <x:f>IF('Monthly Assessment'!H14="","",'Monthly Assessment'!F14)</x:f>
      </x:c>
      <x:c r="E26" s="110" t="str">
        <x:f>IF('Monthly Assessment'!H14="","",'Monthly Assessment'!H14)</x:f>
      </x:c>
      <x:c r="F26" s="105" t="str">
        <x:f>IF('Monthly Assessment'!H14="","",'Monthly Assessment'!L14)</x:f>
      </x:c>
      <x:c r="G26" s="18"/>
      <x:c r="H26" s="218"/>
      <x:c r="I26" s="219"/>
    </x:row>
    <x:row r="27">
      <x:c r="A27" s="105" t="str">
        <x:f>IF('Monthly Assessment'!A15="","",'Monthly Assessment'!A15)</x:f>
      </x:c>
      <x:c r="B27" s="110" t="str">
        <x:f>IF('Monthly Assessment'!H15="","",'Monthly Assessment'!B15)</x:f>
      </x:c>
      <x:c r="C27" s="110" t="str">
        <x:f>IF('Monthly Assessment'!H15="","",'Monthly Assessment'!D15)</x:f>
      </x:c>
      <x:c r="D27" s="110" t="str">
        <x:f>IF('Monthly Assessment'!H15="","",'Monthly Assessment'!F15)</x:f>
      </x:c>
      <x:c r="E27" s="110" t="str">
        <x:f>IF('Monthly Assessment'!H15="","",'Monthly Assessment'!H15)</x:f>
      </x:c>
      <x:c r="F27" s="105" t="str">
        <x:f>IF('Monthly Assessment'!H15="","",'Monthly Assessment'!L15)</x:f>
      </x:c>
      <x:c r="G27" s="18"/>
      <x:c r="H27" s="220"/>
      <x:c r="I27" s="221"/>
    </x:row>
    <x:row r="28">
      <x:c r="A28" s="112" t="str">
        <x:f>IF('Monthly Assessment'!A16="","",'Monthly Assessment'!A16)</x:f>
      </x:c>
      <x:c r="B28" s="117" t="str">
        <x:f>IF('Monthly Assessment'!H16="","",'Monthly Assessment'!B16)</x:f>
      </x:c>
      <x:c r="C28" s="117" t="str">
        <x:f>IF('Monthly Assessment'!H16="","",'Monthly Assessment'!D16)</x:f>
      </x:c>
      <x:c r="D28" s="117" t="str">
        <x:f>IF('Monthly Assessment'!H16="","",'Monthly Assessment'!F16)</x:f>
      </x:c>
      <x:c r="E28" s="117" t="str">
        <x:f>IF('Monthly Assessment'!H16="","",'Monthly Assessment'!H16)</x:f>
      </x:c>
      <x:c r="F28" s="112" t="str">
        <x:f>IF('Monthly Assessment'!H16="","",'Monthly Assessment'!L16)</x:f>
      </x:c>
      <x:c r="G28" s="18"/>
      <x:c r="H28" s="18"/>
      <x:c r="I28" s="18"/>
    </x:row>
    <x:row r="29">
      <x:c r="A29" s="18"/>
      <x:c r="B29" s="18"/>
      <x:c r="C29" s="18"/>
      <x:c r="D29" s="18"/>
      <x:c r="E29" s="18"/>
      <x:c r="F29" s="18"/>
      <x:c r="G29" s="18"/>
      <x:c r="H29" s="18"/>
      <x:c r="I29" s="18"/>
    </x:row>
  </x:sheetData>
  <x:mergeCells>
    <x:mergeCell ref="A1:I2"/>
    <x:mergeCell ref="A6:C6"/>
    <x:mergeCell ref="D6:F6"/>
    <x:mergeCell ref="G6:I6"/>
    <x:mergeCell ref="A7:C9"/>
    <x:mergeCell ref="D7:F9"/>
    <x:mergeCell ref="G7:I9"/>
    <x:mergeCell ref="A12:I12"/>
    <x:mergeCell ref="A13:I15"/>
    <x:mergeCell ref="H18:I18"/>
    <x:mergeCell ref="H19:I27"/>
  </x:mergeCells>
  <x:conditionalFormatting sqref="E19:E28">
    <x:cfRule type="dataBar" priority="1">
      <x:dataBar>
        <x:cfvo type="min"/>
        <x:cfvo type="max"/>
        <x:color rgb="FF157A6E"/>
      </x:dataBar>
      <x:extLst>
        <x:ext xmlns:x14="http://schemas.microsoft.com/office/spreadsheetml/2009/9/main" uri="{B025F937-C7B1-47D3-B67F-A62EFF666E3E}">
          <x14:id>{E5D2A047-4238-8741-E2B3-85669B88D1C8}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157A6E"/>
            </x14:dataBar>
          </x14:cfRule>
          <xm:sqref>E19:E28</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6" hidden="0" customWidth="1"/>
    <x:col min="4" max="4" width="15" hidden="0" customWidth="1"/>
    <x:col min="5" max="5" width="34" hidden="0" customWidth="1"/>
    <x:col min="6" max="6" width="17" hidden="0" customWidth="1"/>
    <x:col min="7" max="7" width="34" hidden="0" customWidth="1"/>
    <x:col min="8" max="8" width="14" hidden="0" customWidth="1"/>
    <x:col min="9" max="9" width="15" hidden="0" customWidth="1"/>
    <x:col min="10" max="10" width="17" hidden="0" customWidth="1"/>
    <x:col min="11" max="11" width="14" hidden="0" customWidth="1"/>
    <x:col min="12" max="12" width="16" hidden="0" customWidth="1"/>
    <x:col min="13" max="13" width="28" hidden="0" customWidth="1"/>
  </x:cols>
  <x:sheetData>
    <x:row r="1">
      <x:c r="A1" s="17" t="str">
        <x:v>Monthly KPI Assessment — Three Objectives</x:v>
      </x:c>
      <x:c r="B1" s="17"/>
      <x:c r="C1" s="17"/>
      <x:c r="D1" s="17"/>
      <x:c r="E1" s="17"/>
      <x:c r="F1" s="17"/>
      <x:c r="G1" s="17"/>
      <x:c r="H1" s="17"/>
      <x:c r="I1" s="17"/>
      <x:c r="J1" s="17"/>
      <x:c r="K1" s="17"/>
      <x:c r="L1" s="17"/>
      <x:c r="M1" s="17"/>
    </x:row>
    <x:row r="2">
      <x:c r="A2" s="17"/>
      <x:c r="B2" s="17"/>
      <x:c r="C2" s="17"/>
      <x:c r="D2" s="17"/>
      <x:c r="E2" s="17"/>
      <x:c r="F2" s="17"/>
      <x:c r="G2" s="17"/>
      <x:c r="H2" s="17"/>
      <x:c r="I2" s="17"/>
      <x:c r="J2" s="17"/>
      <x:c r="K2" s="17"/>
      <x:c r="L2" s="17"/>
      <x:c r="M2" s="17"/>
    </x:row>
    <x:row r="3">
      <x:c r="A3" s="18"/>
      <x:c r="B3" s="18"/>
      <x:c r="C3" s="18"/>
      <x:c r="D3" s="18"/>
      <x:c r="E3" s="18"/>
      <x:c r="F3" s="18"/>
      <x:c r="G3" s="18"/>
      <x:c r="H3" s="18"/>
      <x:c r="I3" s="18"/>
      <x:c r="J3" s="18"/>
      <x:c r="K3" s="18"/>
      <x:c r="L3" s="18"/>
      <x:c r="M3" s="18"/>
    </x:row>
    <x:row r="4">
      <x:c r="A4" s="102" t="str">
        <x:v>Selected month</x:v>
      </x:c>
      <x:c r="B4" s="103" t="n">
        <x:v>46204</x:v>
      </x:c>
      <x:c r="C4" s="18"/>
      <x:c r="D4" s="18"/>
      <x:c r="E4" s="18"/>
      <x:c r="F4" s="18"/>
      <x:c r="G4" s="18"/>
      <x:c r="H4" s="18"/>
      <x:c r="I4" s="18"/>
      <x:c r="J4" s="18"/>
      <x:c r="K4" s="18"/>
      <x:c r="L4" s="18"/>
      <x:c r="M4" s="18"/>
    </x:row>
    <x:row r="5">
      <x:c r="A5" s="18"/>
      <x:c r="B5" s="18"/>
      <x:c r="C5" s="18"/>
      <x:c r="D5" s="18"/>
      <x:c r="E5" s="18"/>
      <x:c r="F5" s="18"/>
      <x:c r="G5" s="18"/>
      <x:c r="H5" s="18"/>
      <x:c r="I5" s="18"/>
      <x:c r="J5" s="18"/>
      <x:c r="K5" s="18"/>
      <x:c r="L5" s="18"/>
      <x:c r="M5" s="18"/>
    </x:row>
    <x:row r="6">
      <x:c r="A6" s="104" t="str">
        <x:v>Employee</x:v>
      </x:c>
      <x:c r="B6" s="104" t="str">
        <x:v>Improvement score</x:v>
      </x:c>
      <x:c r="C6" s="104" t="str">
        <x:v>Improvement evidence count</x:v>
      </x:c>
      <x:c r="D6" s="104" t="str">
        <x:v>Responsibilities score</x:v>
      </x:c>
      <x:c r="E6" s="104" t="str">
        <x:v>Responsibilities evidence</x:v>
      </x:c>
      <x:c r="F6" s="104" t="str">
        <x:v>Expected behaviours score</x:v>
      </x:c>
      <x:c r="G6" s="104" t="str">
        <x:v>Behaviour evidence</x:v>
      </x:c>
      <x:c r="H6" s="104" t="str">
        <x:v>Overall score</x:v>
      </x:c>
      <x:c r="I6" s="104" t="str">
        <x:v>Previous winner?</x:v>
      </x:c>
      <x:c r="J6" s="104" t="str">
        <x:v>All evidence complete?</x:v>
      </x:c>
      <x:c r="K6" s="104" t="str">
        <x:v>Minimums met?</x:v>
      </x:c>
      <x:c r="L6" s="104" t="str">
        <x:v>Eligibility</x:v>
      </x:c>
      <x:c r="M6" s="104" t="str">
        <x:v>TL final note</x:v>
      </x:c>
    </x:row>
    <x:row r="7">
      <x:c r="A7" s="105" t="str">
        <x:f>IF('Team Setup'!A11="","",'Team Setup'!A11)</x:f>
        <x:v>Team Member 1</x:v>
      </x:c>
      <x:c r="B7" s="106" t="n">
        <x:f>IF(A7="","",IFERROR(MAXIFS('Improvement Log'!$J$6:$J$205,'Improvement Log'!$B$6:$B$205,$B$4,'Improvement Log'!$D$6:$D$205,A7,'Improvement Log'!$I$6:$I$205,"Verified"),0))</x:f>
        <x:v>4</x:v>
      </x:c>
      <x:c r="C7" s="106" t="n">
        <x:f>IF(A7="","",COUNTIFS('Improvement Log'!$B$6:$B$205,$B$4,'Improvement Log'!$D$6:$D$205,A7,'Improvement Log'!$I$6:$I$205,"Verified"))</x:f>
        <x:v>1</x:v>
      </x:c>
      <x:c r="D7" s="107" t="n">
        <x:v>4</x:v>
      </x:c>
      <x:c r="E7" s="108" t="str">
        <x:v>Completed 97% BAU responsibilities; closure record attached</x:v>
      </x:c>
      <x:c r="F7" s="109" t="n">
        <x:v>4</x:v>
      </x:c>
      <x:c r="G7" s="108" t="str">
        <x:v>Two peer shoutouts and no behaviour gaps</x:v>
      </x:c>
      <x:c r="H7" s="110" t="n">
        <x:f>IF(A7="","",IF(OR(B7="",D7="",F7=""),"",ROUND(B7*'Team Setup'!$B$5+D7*'Team Setup'!$B$6+F7*'Team Setup'!$B$7,2)))</x:f>
        <x:v>4</x:v>
      </x:c>
      <x:c r="I7" s="111" t="str">
        <x:v>No</x:v>
      </x:c>
      <x:c r="J7" s="105" t="str">
        <x:f>IF(A7="","",IF(AND(C7&gt;0,E7&lt;&gt;"",G7&lt;&gt;""),"Yes","No"))</x:f>
        <x:v>Yes</x:v>
      </x:c>
      <x:c r="K7" s="105" t="str">
        <x:f>IF(A7="","",IF(AND(B7&gt;='Team Setup'!$E$6,D7&gt;='Team Setup'!$E$6,F7&gt;='Team Setup'!$E$6,H7&gt;='Team Setup'!$E$5),"Yes","No"))</x:f>
        <x:v>Yes</x:v>
      </x:c>
      <x:c r="L7" s="105" t="str">
        <x:f>IF(A7="","",IF(AND(I7="No",J7="Yes",K7="Yes"),"Eligible","Not eligible"))</x:f>
        <x:v>Eligible</x:v>
      </x:c>
      <x:c r="M7" s="108"/>
    </x:row>
    <x:row r="8">
      <x:c r="A8" s="105" t="str">
        <x:f>IF('Team Setup'!A12="","",'Team Setup'!A12)</x:f>
        <x:v>Team Member 2</x:v>
      </x:c>
      <x:c r="B8" s="106" t="n">
        <x:f>IF(A8="","",IFERROR(MAXIFS('Improvement Log'!$J$6:$J$205,'Improvement Log'!$B$6:$B$205,$B$4,'Improvement Log'!$D$6:$D$205,A8,'Improvement Log'!$I$6:$I$205,"Verified"),0))</x:f>
        <x:v>1</x:v>
      </x:c>
      <x:c r="C8" s="106" t="n">
        <x:f>IF(A8="","",COUNTIFS('Improvement Log'!$B$6:$B$205,$B$4,'Improvement Log'!$D$6:$D$205,A8,'Improvement Log'!$I$6:$I$205,"Verified"))</x:f>
        <x:v>1</x:v>
      </x:c>
      <x:c r="D8" s="107" t="n">
        <x:v>3</x:v>
      </x:c>
      <x:c r="E8" s="108" t="str">
        <x:v>Completed 90% BAU responsibilities</x:v>
      </x:c>
      <x:c r="F8" s="109" t="n">
        <x:v>3</x:v>
      </x:c>
      <x:c r="G8" s="108" t="str">
        <x:v>No documented behaviour gaps</x:v>
      </x:c>
      <x:c r="H8" s="110" t="n">
        <x:f>IF(A8="","",IF(OR(B8="",D8="",F8=""),"",ROUND(B8*'Team Setup'!$B$5+D8*'Team Setup'!$B$6+F8*'Team Setup'!$B$7,2)))</x:f>
        <x:v>2.33</x:v>
      </x:c>
      <x:c r="I8" s="111" t="str">
        <x:v>No</x:v>
      </x:c>
      <x:c r="J8" s="105" t="str">
        <x:f>IF(A8="","",IF(AND(C8&gt;0,E8&lt;&gt;"",G8&lt;&gt;""),"Yes","No"))</x:f>
        <x:v>Yes</x:v>
      </x:c>
      <x:c r="K8" s="105" t="str">
        <x:f>IF(A8="","",IF(AND(B8&gt;='Team Setup'!$E$6,D8&gt;='Team Setup'!$E$6,F8&gt;='Team Setup'!$E$6,H8&gt;='Team Setup'!$E$5),"Yes","No"))</x:f>
        <x:v>No</x:v>
      </x:c>
      <x:c r="L8" s="105" t="str">
        <x:f>IF(A8="","",IF(AND(I8="No",J8="Yes",K8="Yes"),"Eligible","Not eligible"))</x:f>
        <x:v>Not eligible</x:v>
      </x:c>
      <x:c r="M8" s="108"/>
    </x:row>
    <x:row r="9">
      <x:c r="A9" s="105" t="str">
        <x:f>IF('Team Setup'!A13="","",'Team Setup'!A13)</x:f>
        <x:v>Team Member 3</x:v>
      </x:c>
      <x:c r="B9" s="106" t="n">
        <x:f>IF(A9="","",IFERROR(MAXIFS('Improvement Log'!$J$6:$J$205,'Improvement Log'!$B$6:$B$205,$B$4,'Improvement Log'!$D$6:$D$205,A9,'Improvement Log'!$I$6:$I$205,"Verified"),0))</x:f>
        <x:v>0</x:v>
      </x:c>
      <x:c r="C9" s="106" t="n">
        <x:f>IF(A9="","",COUNTIFS('Improvement Log'!$B$6:$B$205,$B$4,'Improvement Log'!$D$6:$D$205,A9,'Improvement Log'!$I$6:$I$205,"Verified"))</x:f>
        <x:v>0</x:v>
      </x:c>
      <x:c r="D9" s="107"/>
      <x:c r="E9" s="108"/>
      <x:c r="F9" s="109"/>
      <x:c r="G9" s="108"/>
      <x:c r="H9" s="110" t="str">
        <x:f>IF(A9="","",IF(OR(B9="",D9="",F9=""),"",ROUND(B9*'Team Setup'!$B$5+D9*'Team Setup'!$B$6+F9*'Team Setup'!$B$7,2)))</x:f>
      </x:c>
      <x:c r="I9" s="111"/>
      <x:c r="J9" s="105" t="str">
        <x:f>IF(A9="","",IF(AND(C9&gt;0,E9&lt;&gt;"",G9&lt;&gt;""),"Yes","No"))</x:f>
        <x:v>No</x:v>
      </x:c>
      <x:c r="K9" s="105" t="str">
        <x:f>IF(A9="","",IF(AND(B9&gt;='Team Setup'!$E$6,D9&gt;='Team Setup'!$E$6,F9&gt;='Team Setup'!$E$6,H9&gt;='Team Setup'!$E$5),"Yes","No"))</x:f>
        <x:v>No</x:v>
      </x:c>
      <x:c r="L9" s="105" t="str">
        <x:f>IF(A9="","",IF(AND(I9="No",J9="Yes",K9="Yes"),"Eligible","Not eligible"))</x:f>
        <x:v>Not eligible</x:v>
      </x:c>
      <x:c r="M9" s="108"/>
    </x:row>
    <x:row r="10">
      <x:c r="A10" s="105" t="str">
        <x:f>IF('Team Setup'!A14="","",'Team Setup'!A14)</x:f>
        <x:v>Team Member 4</x:v>
      </x:c>
      <x:c r="B10" s="106" t="n">
        <x:f>IF(A10="","",IFERROR(MAXIFS('Improvement Log'!$J$6:$J$205,'Improvement Log'!$B$6:$B$205,$B$4,'Improvement Log'!$D$6:$D$205,A10,'Improvement Log'!$I$6:$I$205,"Verified"),0))</x:f>
        <x:v>0</x:v>
      </x:c>
      <x:c r="C10" s="106" t="n">
        <x:f>IF(A10="","",COUNTIFS('Improvement Log'!$B$6:$B$205,$B$4,'Improvement Log'!$D$6:$D$205,A10,'Improvement Log'!$I$6:$I$205,"Verified"))</x:f>
        <x:v>0</x:v>
      </x:c>
      <x:c r="D10" s="107"/>
      <x:c r="E10" s="108"/>
      <x:c r="F10" s="109"/>
      <x:c r="G10" s="108"/>
      <x:c r="H10" s="110" t="str">
        <x:f>IF(A10="","",IF(OR(B10="",D10="",F10=""),"",ROUND(B10*'Team Setup'!$B$5+D10*'Team Setup'!$B$6+F10*'Team Setup'!$B$7,2)))</x:f>
      </x:c>
      <x:c r="I10" s="111"/>
      <x:c r="J10" s="105" t="str">
        <x:f>IF(A10="","",IF(AND(C10&gt;0,E10&lt;&gt;"",G10&lt;&gt;""),"Yes","No"))</x:f>
        <x:v>No</x:v>
      </x:c>
      <x:c r="K10" s="105" t="str">
        <x:f>IF(A10="","",IF(AND(B10&gt;='Team Setup'!$E$6,D10&gt;='Team Setup'!$E$6,F10&gt;='Team Setup'!$E$6,H10&gt;='Team Setup'!$E$5),"Yes","No"))</x:f>
        <x:v>No</x:v>
      </x:c>
      <x:c r="L10" s="105" t="str">
        <x:f>IF(A10="","",IF(AND(I10="No",J10="Yes",K10="Yes"),"Eligible","Not eligible"))</x:f>
        <x:v>Not eligible</x:v>
      </x:c>
      <x:c r="M10" s="108"/>
    </x:row>
    <x:row r="11">
      <x:c r="A11" s="105" t="str">
        <x:f>IF('Team Setup'!A15="","",'Team Setup'!A15)</x:f>
        <x:v>Team Member 5</x:v>
      </x:c>
      <x:c r="B11" s="106" t="n">
        <x:f>IF(A11="","",IFERROR(MAXIFS('Improvement Log'!$J$6:$J$205,'Improvement Log'!$B$6:$B$205,$B$4,'Improvement Log'!$D$6:$D$205,A11,'Improvement Log'!$I$6:$I$205,"Verified"),0))</x:f>
        <x:v>0</x:v>
      </x:c>
      <x:c r="C11" s="106" t="n">
        <x:f>IF(A11="","",COUNTIFS('Improvement Log'!$B$6:$B$205,$B$4,'Improvement Log'!$D$6:$D$205,A11,'Improvement Log'!$I$6:$I$205,"Verified"))</x:f>
        <x:v>0</x:v>
      </x:c>
      <x:c r="D11" s="107"/>
      <x:c r="E11" s="108"/>
      <x:c r="F11" s="109"/>
      <x:c r="G11" s="108"/>
      <x:c r="H11" s="110" t="str">
        <x:f>IF(A11="","",IF(OR(B11="",D11="",F11=""),"",ROUND(B11*'Team Setup'!$B$5+D11*'Team Setup'!$B$6+F11*'Team Setup'!$B$7,2)))</x:f>
      </x:c>
      <x:c r="I11" s="111"/>
      <x:c r="J11" s="105" t="str">
        <x:f>IF(A11="","",IF(AND(C11&gt;0,E11&lt;&gt;"",G11&lt;&gt;""),"Yes","No"))</x:f>
        <x:v>No</x:v>
      </x:c>
      <x:c r="K11" s="105" t="str">
        <x:f>IF(A11="","",IF(AND(B11&gt;='Team Setup'!$E$6,D11&gt;='Team Setup'!$E$6,F11&gt;='Team Setup'!$E$6,H11&gt;='Team Setup'!$E$5),"Yes","No"))</x:f>
        <x:v>No</x:v>
      </x:c>
      <x:c r="L11" s="105" t="str">
        <x:f>IF(A11="","",IF(AND(I11="No",J11="Yes",K11="Yes"),"Eligible","Not eligible"))</x:f>
        <x:v>Not eligible</x:v>
      </x:c>
      <x:c r="M11" s="108"/>
    </x:row>
    <x:row r="12">
      <x:c r="A12" s="105" t="str">
        <x:f>IF('Team Setup'!A16="","",'Team Setup'!A16)</x:f>
        <x:v>Team Member 6</x:v>
      </x:c>
      <x:c r="B12" s="106" t="n">
        <x:f>IF(A12="","",IFERROR(MAXIFS('Improvement Log'!$J$6:$J$205,'Improvement Log'!$B$6:$B$205,$B$4,'Improvement Log'!$D$6:$D$205,A12,'Improvement Log'!$I$6:$I$205,"Verified"),0))</x:f>
        <x:v>0</x:v>
      </x:c>
      <x:c r="C12" s="106" t="n">
        <x:f>IF(A12="","",COUNTIFS('Improvement Log'!$B$6:$B$205,$B$4,'Improvement Log'!$D$6:$D$205,A12,'Improvement Log'!$I$6:$I$205,"Verified"))</x:f>
        <x:v>0</x:v>
      </x:c>
      <x:c r="D12" s="107"/>
      <x:c r="E12" s="108"/>
      <x:c r="F12" s="109"/>
      <x:c r="G12" s="108"/>
      <x:c r="H12" s="110" t="str">
        <x:f>IF(A12="","",IF(OR(B12="",D12="",F12=""),"",ROUND(B12*'Team Setup'!$B$5+D12*'Team Setup'!$B$6+F12*'Team Setup'!$B$7,2)))</x:f>
      </x:c>
      <x:c r="I12" s="111"/>
      <x:c r="J12" s="105" t="str">
        <x:f>IF(A12="","",IF(AND(C12&gt;0,E12&lt;&gt;"",G12&lt;&gt;""),"Yes","No"))</x:f>
        <x:v>No</x:v>
      </x:c>
      <x:c r="K12" s="105" t="str">
        <x:f>IF(A12="","",IF(AND(B12&gt;='Team Setup'!$E$6,D12&gt;='Team Setup'!$E$6,F12&gt;='Team Setup'!$E$6,H12&gt;='Team Setup'!$E$5),"Yes","No"))</x:f>
        <x:v>No</x:v>
      </x:c>
      <x:c r="L12" s="105" t="str">
        <x:f>IF(A12="","",IF(AND(I12="No",J12="Yes",K12="Yes"),"Eligible","Not eligible"))</x:f>
        <x:v>Not eligible</x:v>
      </x:c>
      <x:c r="M12" s="108"/>
    </x:row>
    <x:row r="13">
      <x:c r="A13" s="105" t="str">
        <x:f>IF('Team Setup'!A17="","",'Team Setup'!A17)</x:f>
        <x:v>Team Member 7</x:v>
      </x:c>
      <x:c r="B13" s="106" t="n">
        <x:f>IF(A13="","",IFERROR(MAXIFS('Improvement Log'!$J$6:$J$205,'Improvement Log'!$B$6:$B$205,$B$4,'Improvement Log'!$D$6:$D$205,A13,'Improvement Log'!$I$6:$I$205,"Verified"),0))</x:f>
        <x:v>0</x:v>
      </x:c>
      <x:c r="C13" s="106" t="n">
        <x:f>IF(A13="","",COUNTIFS('Improvement Log'!$B$6:$B$205,$B$4,'Improvement Log'!$D$6:$D$205,A13,'Improvement Log'!$I$6:$I$205,"Verified"))</x:f>
        <x:v>0</x:v>
      </x:c>
      <x:c r="D13" s="107"/>
      <x:c r="E13" s="108"/>
      <x:c r="F13" s="109"/>
      <x:c r="G13" s="108"/>
      <x:c r="H13" s="110" t="str">
        <x:f>IF(A13="","",IF(OR(B13="",D13="",F13=""),"",ROUND(B13*'Team Setup'!$B$5+D13*'Team Setup'!$B$6+F13*'Team Setup'!$B$7,2)))</x:f>
      </x:c>
      <x:c r="I13" s="111"/>
      <x:c r="J13" s="105" t="str">
        <x:f>IF(A13="","",IF(AND(C13&gt;0,E13&lt;&gt;"",G13&lt;&gt;""),"Yes","No"))</x:f>
        <x:v>No</x:v>
      </x:c>
      <x:c r="K13" s="105" t="str">
        <x:f>IF(A13="","",IF(AND(B13&gt;='Team Setup'!$E$6,D13&gt;='Team Setup'!$E$6,F13&gt;='Team Setup'!$E$6,H13&gt;='Team Setup'!$E$5),"Yes","No"))</x:f>
        <x:v>No</x:v>
      </x:c>
      <x:c r="L13" s="105" t="str">
        <x:f>IF(A13="","",IF(AND(I13="No",J13="Yes",K13="Yes"),"Eligible","Not eligible"))</x:f>
        <x:v>Not eligible</x:v>
      </x:c>
      <x:c r="M13" s="108"/>
    </x:row>
    <x:row r="14">
      <x:c r="A14" s="105" t="str">
        <x:f>IF('Team Setup'!A18="","",'Team Setup'!A18)</x:f>
        <x:v>Team Member 8</x:v>
      </x:c>
      <x:c r="B14" s="106" t="n">
        <x:f>IF(A14="","",IFERROR(MAXIFS('Improvement Log'!$J$6:$J$205,'Improvement Log'!$B$6:$B$205,$B$4,'Improvement Log'!$D$6:$D$205,A14,'Improvement Log'!$I$6:$I$205,"Verified"),0))</x:f>
        <x:v>0</x:v>
      </x:c>
      <x:c r="C14" s="106" t="n">
        <x:f>IF(A14="","",COUNTIFS('Improvement Log'!$B$6:$B$205,$B$4,'Improvement Log'!$D$6:$D$205,A14,'Improvement Log'!$I$6:$I$205,"Verified"))</x:f>
        <x:v>0</x:v>
      </x:c>
      <x:c r="D14" s="107"/>
      <x:c r="E14" s="108"/>
      <x:c r="F14" s="109"/>
      <x:c r="G14" s="108"/>
      <x:c r="H14" s="110" t="str">
        <x:f>IF(A14="","",IF(OR(B14="",D14="",F14=""),"",ROUND(B14*'Team Setup'!$B$5+D14*'Team Setup'!$B$6+F14*'Team Setup'!$B$7,2)))</x:f>
      </x:c>
      <x:c r="I14" s="111"/>
      <x:c r="J14" s="105" t="str">
        <x:f>IF(A14="","",IF(AND(C14&gt;0,E14&lt;&gt;"",G14&lt;&gt;""),"Yes","No"))</x:f>
        <x:v>No</x:v>
      </x:c>
      <x:c r="K14" s="105" t="str">
        <x:f>IF(A14="","",IF(AND(B14&gt;='Team Setup'!$E$6,D14&gt;='Team Setup'!$E$6,F14&gt;='Team Setup'!$E$6,H14&gt;='Team Setup'!$E$5),"Yes","No"))</x:f>
        <x:v>No</x:v>
      </x:c>
      <x:c r="L14" s="105" t="str">
        <x:f>IF(A14="","",IF(AND(I14="No",J14="Yes",K14="Yes"),"Eligible","Not eligible"))</x:f>
        <x:v>Not eligible</x:v>
      </x:c>
      <x:c r="M14" s="108"/>
    </x:row>
    <x:row r="15">
      <x:c r="A15" s="105" t="str">
        <x:f>IF('Team Setup'!A19="","",'Team Setup'!A19)</x:f>
      </x:c>
      <x:c r="B15" s="106" t="str">
        <x:f>IF(A15="","",IFERROR(MAXIFS('Improvement Log'!$J$6:$J$205,'Improvement Log'!$B$6:$B$205,$B$4,'Improvement Log'!$D$6:$D$205,A15,'Improvement Log'!$I$6:$I$205,"Verified"),0))</x:f>
      </x:c>
      <x:c r="C15" s="106" t="str">
        <x:f>IF(A15="","",COUNTIFS('Improvement Log'!$B$6:$B$205,$B$4,'Improvement Log'!$D$6:$D$205,A15,'Improvement Log'!$I$6:$I$205,"Verified"))</x:f>
      </x:c>
      <x:c r="D15" s="107"/>
      <x:c r="E15" s="108"/>
      <x:c r="F15" s="109"/>
      <x:c r="G15" s="108"/>
      <x:c r="H15" s="110" t="str">
        <x:f>IF(A15="","",IF(OR(B15="",D15="",F15=""),"",ROUND(B15*'Team Setup'!$B$5+D15*'Team Setup'!$B$6+F15*'Team Setup'!$B$7,2)))</x:f>
      </x:c>
      <x:c r="I15" s="111"/>
      <x:c r="J15" s="105" t="str">
        <x:f>IF(A15="","",IF(AND(C15&gt;0,E15&lt;&gt;"",G15&lt;&gt;""),"Yes","No"))</x:f>
      </x:c>
      <x:c r="K15" s="105" t="str">
        <x:f>IF(A15="","",IF(AND(B15&gt;='Team Setup'!$E$6,D15&gt;='Team Setup'!$E$6,F15&gt;='Team Setup'!$E$6,H15&gt;='Team Setup'!$E$5),"Yes","No"))</x:f>
      </x:c>
      <x:c r="L15" s="105" t="str">
        <x:f>IF(A15="","",IF(AND(I15="No",J15="Yes",K15="Yes"),"Eligible","Not eligible"))</x:f>
      </x:c>
      <x:c r="M15" s="108"/>
    </x:row>
    <x:row r="16">
      <x:c r="A16" s="105" t="str">
        <x:f>IF('Team Setup'!A20="","",'Team Setup'!A20)</x:f>
      </x:c>
      <x:c r="B16" s="106" t="str">
        <x:f>IF(A16="","",IFERROR(MAXIFS('Improvement Log'!$J$6:$J$205,'Improvement Log'!$B$6:$B$205,$B$4,'Improvement Log'!$D$6:$D$205,A16,'Improvement Log'!$I$6:$I$205,"Verified"),0))</x:f>
      </x:c>
      <x:c r="C16" s="106" t="str">
        <x:f>IF(A16="","",COUNTIFS('Improvement Log'!$B$6:$B$205,$B$4,'Improvement Log'!$D$6:$D$205,A16,'Improvement Log'!$I$6:$I$205,"Verified"))</x:f>
      </x:c>
      <x:c r="D16" s="107"/>
      <x:c r="E16" s="108"/>
      <x:c r="F16" s="109"/>
      <x:c r="G16" s="108"/>
      <x:c r="H16" s="110" t="str">
        <x:f>IF(A16="","",IF(OR(B16="",D16="",F16=""),"",ROUND(B16*'Team Setup'!$B$5+D16*'Team Setup'!$B$6+F16*'Team Setup'!$B$7,2)))</x:f>
      </x:c>
      <x:c r="I16" s="111"/>
      <x:c r="J16" s="105" t="str">
        <x:f>IF(A16="","",IF(AND(C16&gt;0,E16&lt;&gt;"",G16&lt;&gt;""),"Yes","No"))</x:f>
      </x:c>
      <x:c r="K16" s="105" t="str">
        <x:f>IF(A16="","",IF(AND(B16&gt;='Team Setup'!$E$6,D16&gt;='Team Setup'!$E$6,F16&gt;='Team Setup'!$E$6,H16&gt;='Team Setup'!$E$5),"Yes","No"))</x:f>
      </x:c>
      <x:c r="L16" s="105" t="str">
        <x:f>IF(A16="","",IF(AND(I16="No",J16="Yes",K16="Yes"),"Eligible","Not eligible"))</x:f>
      </x:c>
      <x:c r="M16" s="108"/>
    </x:row>
    <x:row r="17">
      <x:c r="A17" s="105" t="str">
        <x:f>IF('Team Setup'!A21="","",'Team Setup'!A21)</x:f>
      </x:c>
      <x:c r="B17" s="106" t="str">
        <x:f>IF(A17="","",IFERROR(MAXIFS('Improvement Log'!$J$6:$J$205,'Improvement Log'!$B$6:$B$205,$B$4,'Improvement Log'!$D$6:$D$205,A17,'Improvement Log'!$I$6:$I$205,"Verified"),0))</x:f>
      </x:c>
      <x:c r="C17" s="106" t="str">
        <x:f>IF(A17="","",COUNTIFS('Improvement Log'!$B$6:$B$205,$B$4,'Improvement Log'!$D$6:$D$205,A17,'Improvement Log'!$I$6:$I$205,"Verified"))</x:f>
      </x:c>
      <x:c r="D17" s="107"/>
      <x:c r="E17" s="108"/>
      <x:c r="F17" s="109"/>
      <x:c r="G17" s="108"/>
      <x:c r="H17" s="110" t="str">
        <x:f>IF(A17="","",IF(OR(B17="",D17="",F17=""),"",ROUND(B17*'Team Setup'!$B$5+D17*'Team Setup'!$B$6+F17*'Team Setup'!$B$7,2)))</x:f>
      </x:c>
      <x:c r="I17" s="111"/>
      <x:c r="J17" s="105" t="str">
        <x:f>IF(A17="","",IF(AND(C17&gt;0,E17&lt;&gt;"",G17&lt;&gt;""),"Yes","No"))</x:f>
      </x:c>
      <x:c r="K17" s="105" t="str">
        <x:f>IF(A17="","",IF(AND(B17&gt;='Team Setup'!$E$6,D17&gt;='Team Setup'!$E$6,F17&gt;='Team Setup'!$E$6,H17&gt;='Team Setup'!$E$5),"Yes","No"))</x:f>
      </x:c>
      <x:c r="L17" s="105" t="str">
        <x:f>IF(A17="","",IF(AND(I17="No",J17="Yes",K17="Yes"),"Eligible","Not eligible"))</x:f>
      </x:c>
      <x:c r="M17" s="108"/>
    </x:row>
    <x:row r="18">
      <x:c r="A18" s="105" t="str">
        <x:f>IF('Team Setup'!A22="","",'Team Setup'!A22)</x:f>
      </x:c>
      <x:c r="B18" s="106" t="str">
        <x:f>IF(A18="","",IFERROR(MAXIFS('Improvement Log'!$J$6:$J$205,'Improvement Log'!$B$6:$B$205,$B$4,'Improvement Log'!$D$6:$D$205,A18,'Improvement Log'!$I$6:$I$205,"Verified"),0))</x:f>
      </x:c>
      <x:c r="C18" s="106" t="str">
        <x:f>IF(A18="","",COUNTIFS('Improvement Log'!$B$6:$B$205,$B$4,'Improvement Log'!$D$6:$D$205,A18,'Improvement Log'!$I$6:$I$205,"Verified"))</x:f>
      </x:c>
      <x:c r="D18" s="107"/>
      <x:c r="E18" s="108"/>
      <x:c r="F18" s="109"/>
      <x:c r="G18" s="108"/>
      <x:c r="H18" s="110" t="str">
        <x:f>IF(A18="","",IF(OR(B18="",D18="",F18=""),"",ROUND(B18*'Team Setup'!$B$5+D18*'Team Setup'!$B$6+F18*'Team Setup'!$B$7,2)))</x:f>
      </x:c>
      <x:c r="I18" s="111"/>
      <x:c r="J18" s="105" t="str">
        <x:f>IF(A18="","",IF(AND(C18&gt;0,E18&lt;&gt;"",G18&lt;&gt;""),"Yes","No"))</x:f>
      </x:c>
      <x:c r="K18" s="105" t="str">
        <x:f>IF(A18="","",IF(AND(B18&gt;='Team Setup'!$E$6,D18&gt;='Team Setup'!$E$6,F18&gt;='Team Setup'!$E$6,H18&gt;='Team Setup'!$E$5),"Yes","No"))</x:f>
      </x:c>
      <x:c r="L18" s="105" t="str">
        <x:f>IF(A18="","",IF(AND(I18="No",J18="Yes",K18="Yes"),"Eligible","Not eligible"))</x:f>
      </x:c>
      <x:c r="M18" s="108"/>
    </x:row>
    <x:row r="19">
      <x:c r="A19" s="105" t="str">
        <x:f>IF('Team Setup'!A23="","",'Team Setup'!A23)</x:f>
      </x:c>
      <x:c r="B19" s="106" t="str">
        <x:f>IF(A19="","",IFERROR(MAXIFS('Improvement Log'!$J$6:$J$205,'Improvement Log'!$B$6:$B$205,$B$4,'Improvement Log'!$D$6:$D$205,A19,'Improvement Log'!$I$6:$I$205,"Verified"),0))</x:f>
      </x:c>
      <x:c r="C19" s="106" t="str">
        <x:f>IF(A19="","",COUNTIFS('Improvement Log'!$B$6:$B$205,$B$4,'Improvement Log'!$D$6:$D$205,A19,'Improvement Log'!$I$6:$I$205,"Verified"))</x:f>
      </x:c>
      <x:c r="D19" s="107"/>
      <x:c r="E19" s="108"/>
      <x:c r="F19" s="109"/>
      <x:c r="G19" s="108"/>
      <x:c r="H19" s="110" t="str">
        <x:f>IF(A19="","",IF(OR(B19="",D19="",F19=""),"",ROUND(B19*'Team Setup'!$B$5+D19*'Team Setup'!$B$6+F19*'Team Setup'!$B$7,2)))</x:f>
      </x:c>
      <x:c r="I19" s="111"/>
      <x:c r="J19" s="105" t="str">
        <x:f>IF(A19="","",IF(AND(C19&gt;0,E19&lt;&gt;"",G19&lt;&gt;""),"Yes","No"))</x:f>
      </x:c>
      <x:c r="K19" s="105" t="str">
        <x:f>IF(A19="","",IF(AND(B19&gt;='Team Setup'!$E$6,D19&gt;='Team Setup'!$E$6,F19&gt;='Team Setup'!$E$6,H19&gt;='Team Setup'!$E$5),"Yes","No"))</x:f>
      </x:c>
      <x:c r="L19" s="105" t="str">
        <x:f>IF(A19="","",IF(AND(I19="No",J19="Yes",K19="Yes"),"Eligible","Not eligible"))</x:f>
      </x:c>
      <x:c r="M19" s="108"/>
    </x:row>
    <x:row r="20">
      <x:c r="A20" s="105" t="str">
        <x:f>IF('Team Setup'!A24="","",'Team Setup'!A24)</x:f>
      </x:c>
      <x:c r="B20" s="106" t="str">
        <x:f>IF(A20="","",IFERROR(MAXIFS('Improvement Log'!$J$6:$J$205,'Improvement Log'!$B$6:$B$205,$B$4,'Improvement Log'!$D$6:$D$205,A20,'Improvement Log'!$I$6:$I$205,"Verified"),0))</x:f>
      </x:c>
      <x:c r="C20" s="106" t="str">
        <x:f>IF(A20="","",COUNTIFS('Improvement Log'!$B$6:$B$205,$B$4,'Improvement Log'!$D$6:$D$205,A20,'Improvement Log'!$I$6:$I$205,"Verified"))</x:f>
      </x:c>
      <x:c r="D20" s="107"/>
      <x:c r="E20" s="108"/>
      <x:c r="F20" s="109"/>
      <x:c r="G20" s="108"/>
      <x:c r="H20" s="110" t="str">
        <x:f>IF(A20="","",IF(OR(B20="",D20="",F20=""),"",ROUND(B20*'Team Setup'!$B$5+D20*'Team Setup'!$B$6+F20*'Team Setup'!$B$7,2)))</x:f>
      </x:c>
      <x:c r="I20" s="111"/>
      <x:c r="J20" s="105" t="str">
        <x:f>IF(A20="","",IF(AND(C20&gt;0,E20&lt;&gt;"",G20&lt;&gt;""),"Yes","No"))</x:f>
      </x:c>
      <x:c r="K20" s="105" t="str">
        <x:f>IF(A20="","",IF(AND(B20&gt;='Team Setup'!$E$6,D20&gt;='Team Setup'!$E$6,F20&gt;='Team Setup'!$E$6,H20&gt;='Team Setup'!$E$5),"Yes","No"))</x:f>
      </x:c>
      <x:c r="L20" s="105" t="str">
        <x:f>IF(A20="","",IF(AND(I20="No",J20="Yes",K20="Yes"),"Eligible","Not eligible"))</x:f>
      </x:c>
      <x:c r="M20" s="108"/>
    </x:row>
    <x:row r="21">
      <x:c r="A21" s="105" t="str">
        <x:f>IF('Team Setup'!A25="","",'Team Setup'!A25)</x:f>
      </x:c>
      <x:c r="B21" s="106" t="str">
        <x:f>IF(A21="","",IFERROR(MAXIFS('Improvement Log'!$J$6:$J$205,'Improvement Log'!$B$6:$B$205,$B$4,'Improvement Log'!$D$6:$D$205,A21,'Improvement Log'!$I$6:$I$205,"Verified"),0))</x:f>
      </x:c>
      <x:c r="C21" s="106" t="str">
        <x:f>IF(A21="","",COUNTIFS('Improvement Log'!$B$6:$B$205,$B$4,'Improvement Log'!$D$6:$D$205,A21,'Improvement Log'!$I$6:$I$205,"Verified"))</x:f>
      </x:c>
      <x:c r="D21" s="107"/>
      <x:c r="E21" s="108"/>
      <x:c r="F21" s="109"/>
      <x:c r="G21" s="108"/>
      <x:c r="H21" s="110" t="str">
        <x:f>IF(A21="","",IF(OR(B21="",D21="",F21=""),"",ROUND(B21*'Team Setup'!$B$5+D21*'Team Setup'!$B$6+F21*'Team Setup'!$B$7,2)))</x:f>
      </x:c>
      <x:c r="I21" s="111"/>
      <x:c r="J21" s="105" t="str">
        <x:f>IF(A21="","",IF(AND(C21&gt;0,E21&lt;&gt;"",G21&lt;&gt;""),"Yes","No"))</x:f>
      </x:c>
      <x:c r="K21" s="105" t="str">
        <x:f>IF(A21="","",IF(AND(B21&gt;='Team Setup'!$E$6,D21&gt;='Team Setup'!$E$6,F21&gt;='Team Setup'!$E$6,H21&gt;='Team Setup'!$E$5),"Yes","No"))</x:f>
      </x:c>
      <x:c r="L21" s="105" t="str">
        <x:f>IF(A21="","",IF(AND(I21="No",J21="Yes",K21="Yes"),"Eligible","Not eligible"))</x:f>
      </x:c>
      <x:c r="M21" s="108"/>
    </x:row>
    <x:row r="22">
      <x:c r="A22" s="105" t="str">
        <x:f>IF('Team Setup'!A26="","",'Team Setup'!A26)</x:f>
      </x:c>
      <x:c r="B22" s="106" t="str">
        <x:f>IF(A22="","",IFERROR(MAXIFS('Improvement Log'!$J$6:$J$205,'Improvement Log'!$B$6:$B$205,$B$4,'Improvement Log'!$D$6:$D$205,A22,'Improvement Log'!$I$6:$I$205,"Verified"),0))</x:f>
      </x:c>
      <x:c r="C22" s="106" t="str">
        <x:f>IF(A22="","",COUNTIFS('Improvement Log'!$B$6:$B$205,$B$4,'Improvement Log'!$D$6:$D$205,A22,'Improvement Log'!$I$6:$I$205,"Verified"))</x:f>
      </x:c>
      <x:c r="D22" s="107"/>
      <x:c r="E22" s="108"/>
      <x:c r="F22" s="109"/>
      <x:c r="G22" s="108"/>
      <x:c r="H22" s="110" t="str">
        <x:f>IF(A22="","",IF(OR(B22="",D22="",F22=""),"",ROUND(B22*'Team Setup'!$B$5+D22*'Team Setup'!$B$6+F22*'Team Setup'!$B$7,2)))</x:f>
      </x:c>
      <x:c r="I22" s="111"/>
      <x:c r="J22" s="105" t="str">
        <x:f>IF(A22="","",IF(AND(C22&gt;0,E22&lt;&gt;"",G22&lt;&gt;""),"Yes","No"))</x:f>
      </x:c>
      <x:c r="K22" s="105" t="str">
        <x:f>IF(A22="","",IF(AND(B22&gt;='Team Setup'!$E$6,D22&gt;='Team Setup'!$E$6,F22&gt;='Team Setup'!$E$6,H22&gt;='Team Setup'!$E$5),"Yes","No"))</x:f>
      </x:c>
      <x:c r="L22" s="105" t="str">
        <x:f>IF(A22="","",IF(AND(I22="No",J22="Yes",K22="Yes"),"Eligible","Not eligible"))</x:f>
      </x:c>
      <x:c r="M22" s="108"/>
    </x:row>
    <x:row r="23">
      <x:c r="A23" s="105" t="str">
        <x:f>IF('Team Setup'!A27="","",'Team Setup'!A27)</x:f>
      </x:c>
      <x:c r="B23" s="106" t="str">
        <x:f>IF(A23="","",IFERROR(MAXIFS('Improvement Log'!$J$6:$J$205,'Improvement Log'!$B$6:$B$205,$B$4,'Improvement Log'!$D$6:$D$205,A23,'Improvement Log'!$I$6:$I$205,"Verified"),0))</x:f>
      </x:c>
      <x:c r="C23" s="106" t="str">
        <x:f>IF(A23="","",COUNTIFS('Improvement Log'!$B$6:$B$205,$B$4,'Improvement Log'!$D$6:$D$205,A23,'Improvement Log'!$I$6:$I$205,"Verified"))</x:f>
      </x:c>
      <x:c r="D23" s="107"/>
      <x:c r="E23" s="108"/>
      <x:c r="F23" s="109"/>
      <x:c r="G23" s="108"/>
      <x:c r="H23" s="110" t="str">
        <x:f>IF(A23="","",IF(OR(B23="",D23="",F23=""),"",ROUND(B23*'Team Setup'!$B$5+D23*'Team Setup'!$B$6+F23*'Team Setup'!$B$7,2)))</x:f>
      </x:c>
      <x:c r="I23" s="111"/>
      <x:c r="J23" s="105" t="str">
        <x:f>IF(A23="","",IF(AND(C23&gt;0,E23&lt;&gt;"",G23&lt;&gt;""),"Yes","No"))</x:f>
      </x:c>
      <x:c r="K23" s="105" t="str">
        <x:f>IF(A23="","",IF(AND(B23&gt;='Team Setup'!$E$6,D23&gt;='Team Setup'!$E$6,F23&gt;='Team Setup'!$E$6,H23&gt;='Team Setup'!$E$5),"Yes","No"))</x:f>
      </x:c>
      <x:c r="L23" s="105" t="str">
        <x:f>IF(A23="","",IF(AND(I23="No",J23="Yes",K23="Yes"),"Eligible","Not eligible"))</x:f>
      </x:c>
      <x:c r="M23" s="108"/>
    </x:row>
    <x:row r="24">
      <x:c r="A24" s="105" t="str">
        <x:f>IF('Team Setup'!A28="","",'Team Setup'!A28)</x:f>
      </x:c>
      <x:c r="B24" s="106" t="str">
        <x:f>IF(A24="","",IFERROR(MAXIFS('Improvement Log'!$J$6:$J$205,'Improvement Log'!$B$6:$B$205,$B$4,'Improvement Log'!$D$6:$D$205,A24,'Improvement Log'!$I$6:$I$205,"Verified"),0))</x:f>
      </x:c>
      <x:c r="C24" s="106" t="str">
        <x:f>IF(A24="","",COUNTIFS('Improvement Log'!$B$6:$B$205,$B$4,'Improvement Log'!$D$6:$D$205,A24,'Improvement Log'!$I$6:$I$205,"Verified"))</x:f>
      </x:c>
      <x:c r="D24" s="107"/>
      <x:c r="E24" s="108"/>
      <x:c r="F24" s="109"/>
      <x:c r="G24" s="108"/>
      <x:c r="H24" s="110" t="str">
        <x:f>IF(A24="","",IF(OR(B24="",D24="",F24=""),"",ROUND(B24*'Team Setup'!$B$5+D24*'Team Setup'!$B$6+F24*'Team Setup'!$B$7,2)))</x:f>
      </x:c>
      <x:c r="I24" s="111"/>
      <x:c r="J24" s="105" t="str">
        <x:f>IF(A24="","",IF(AND(C24&gt;0,E24&lt;&gt;"",G24&lt;&gt;""),"Yes","No"))</x:f>
      </x:c>
      <x:c r="K24" s="105" t="str">
        <x:f>IF(A24="","",IF(AND(B24&gt;='Team Setup'!$E$6,D24&gt;='Team Setup'!$E$6,F24&gt;='Team Setup'!$E$6,H24&gt;='Team Setup'!$E$5),"Yes","No"))</x:f>
      </x:c>
      <x:c r="L24" s="105" t="str">
        <x:f>IF(A24="","",IF(AND(I24="No",J24="Yes",K24="Yes"),"Eligible","Not eligible"))</x:f>
      </x:c>
      <x:c r="M24" s="108"/>
    </x:row>
    <x:row r="25">
      <x:c r="A25" s="105" t="str">
        <x:f>IF('Team Setup'!A29="","",'Team Setup'!A29)</x:f>
      </x:c>
      <x:c r="B25" s="106" t="str">
        <x:f>IF(A25="","",IFERROR(MAXIFS('Improvement Log'!$J$6:$J$205,'Improvement Log'!$B$6:$B$205,$B$4,'Improvement Log'!$D$6:$D$205,A25,'Improvement Log'!$I$6:$I$205,"Verified"),0))</x:f>
      </x:c>
      <x:c r="C25" s="106" t="str">
        <x:f>IF(A25="","",COUNTIFS('Improvement Log'!$B$6:$B$205,$B$4,'Improvement Log'!$D$6:$D$205,A25,'Improvement Log'!$I$6:$I$205,"Verified"))</x:f>
      </x:c>
      <x:c r="D25" s="107"/>
      <x:c r="E25" s="108"/>
      <x:c r="F25" s="109"/>
      <x:c r="G25" s="108"/>
      <x:c r="H25" s="110" t="str">
        <x:f>IF(A25="","",IF(OR(B25="",D25="",F25=""),"",ROUND(B25*'Team Setup'!$B$5+D25*'Team Setup'!$B$6+F25*'Team Setup'!$B$7,2)))</x:f>
      </x:c>
      <x:c r="I25" s="111"/>
      <x:c r="J25" s="105" t="str">
        <x:f>IF(A25="","",IF(AND(C25&gt;0,E25&lt;&gt;"",G25&lt;&gt;""),"Yes","No"))</x:f>
      </x:c>
      <x:c r="K25" s="105" t="str">
        <x:f>IF(A25="","",IF(AND(B25&gt;='Team Setup'!$E$6,D25&gt;='Team Setup'!$E$6,F25&gt;='Team Setup'!$E$6,H25&gt;='Team Setup'!$E$5),"Yes","No"))</x:f>
      </x:c>
      <x:c r="L25" s="105" t="str">
        <x:f>IF(A25="","",IF(AND(I25="No",J25="Yes",K25="Yes"),"Eligible","Not eligible"))</x:f>
      </x:c>
      <x:c r="M25" s="108"/>
    </x:row>
    <x:row r="26">
      <x:c r="A26" s="105" t="str">
        <x:f>IF('Team Setup'!A30="","",'Team Setup'!A30)</x:f>
      </x:c>
      <x:c r="B26" s="106" t="str">
        <x:f>IF(A26="","",IFERROR(MAXIFS('Improvement Log'!$J$6:$J$205,'Improvement Log'!$B$6:$B$205,$B$4,'Improvement Log'!$D$6:$D$205,A26,'Improvement Log'!$I$6:$I$205,"Verified"),0))</x:f>
      </x:c>
      <x:c r="C26" s="106" t="str">
        <x:f>IF(A26="","",COUNTIFS('Improvement Log'!$B$6:$B$205,$B$4,'Improvement Log'!$D$6:$D$205,A26,'Improvement Log'!$I$6:$I$205,"Verified"))</x:f>
      </x:c>
      <x:c r="D26" s="107"/>
      <x:c r="E26" s="108"/>
      <x:c r="F26" s="109"/>
      <x:c r="G26" s="108"/>
      <x:c r="H26" s="110" t="str">
        <x:f>IF(A26="","",IF(OR(B26="",D26="",F26=""),"",ROUND(B26*'Team Setup'!$B$5+D26*'Team Setup'!$B$6+F26*'Team Setup'!$B$7,2)))</x:f>
      </x:c>
      <x:c r="I26" s="111"/>
      <x:c r="J26" s="105" t="str">
        <x:f>IF(A26="","",IF(AND(C26&gt;0,E26&lt;&gt;"",G26&lt;&gt;""),"Yes","No"))</x:f>
      </x:c>
      <x:c r="K26" s="105" t="str">
        <x:f>IF(A26="","",IF(AND(B26&gt;='Team Setup'!$E$6,D26&gt;='Team Setup'!$E$6,F26&gt;='Team Setup'!$E$6,H26&gt;='Team Setup'!$E$5),"Yes","No"))</x:f>
      </x:c>
      <x:c r="L26" s="105" t="str">
        <x:f>IF(A26="","",IF(AND(I26="No",J26="Yes",K26="Yes"),"Eligible","Not eligible"))</x:f>
      </x:c>
      <x:c r="M26" s="108"/>
    </x:row>
    <x:row r="27">
      <x:c r="A27" s="105" t="str">
        <x:f>IF('Team Setup'!A31="","",'Team Setup'!A31)</x:f>
      </x:c>
      <x:c r="B27" s="106" t="str">
        <x:f>IF(A27="","",IFERROR(MAXIFS('Improvement Log'!$J$6:$J$205,'Improvement Log'!$B$6:$B$205,$B$4,'Improvement Log'!$D$6:$D$205,A27,'Improvement Log'!$I$6:$I$205,"Verified"),0))</x:f>
      </x:c>
      <x:c r="C27" s="106" t="str">
        <x:f>IF(A27="","",COUNTIFS('Improvement Log'!$B$6:$B$205,$B$4,'Improvement Log'!$D$6:$D$205,A27,'Improvement Log'!$I$6:$I$205,"Verified"))</x:f>
      </x:c>
      <x:c r="D27" s="107"/>
      <x:c r="E27" s="108"/>
      <x:c r="F27" s="109"/>
      <x:c r="G27" s="108"/>
      <x:c r="H27" s="110" t="str">
        <x:f>IF(A27="","",IF(OR(B27="",D27="",F27=""),"",ROUND(B27*'Team Setup'!$B$5+D27*'Team Setup'!$B$6+F27*'Team Setup'!$B$7,2)))</x:f>
      </x:c>
      <x:c r="I27" s="111"/>
      <x:c r="J27" s="105" t="str">
        <x:f>IF(A27="","",IF(AND(C27&gt;0,E27&lt;&gt;"",G27&lt;&gt;""),"Yes","No"))</x:f>
      </x:c>
      <x:c r="K27" s="105" t="str">
        <x:f>IF(A27="","",IF(AND(B27&gt;='Team Setup'!$E$6,D27&gt;='Team Setup'!$E$6,F27&gt;='Team Setup'!$E$6,H27&gt;='Team Setup'!$E$5),"Yes","No"))</x:f>
      </x:c>
      <x:c r="L27" s="105" t="str">
        <x:f>IF(A27="","",IF(AND(I27="No",J27="Yes",K27="Yes"),"Eligible","Not eligible"))</x:f>
      </x:c>
      <x:c r="M27" s="108"/>
    </x:row>
    <x:row r="28">
      <x:c r="A28" s="105" t="str">
        <x:f>IF('Team Setup'!A32="","",'Team Setup'!A32)</x:f>
      </x:c>
      <x:c r="B28" s="106" t="str">
        <x:f>IF(A28="","",IFERROR(MAXIFS('Improvement Log'!$J$6:$J$205,'Improvement Log'!$B$6:$B$205,$B$4,'Improvement Log'!$D$6:$D$205,A28,'Improvement Log'!$I$6:$I$205,"Verified"),0))</x:f>
      </x:c>
      <x:c r="C28" s="106" t="str">
        <x:f>IF(A28="","",COUNTIFS('Improvement Log'!$B$6:$B$205,$B$4,'Improvement Log'!$D$6:$D$205,A28,'Improvement Log'!$I$6:$I$205,"Verified"))</x:f>
      </x:c>
      <x:c r="D28" s="107"/>
      <x:c r="E28" s="108"/>
      <x:c r="F28" s="109"/>
      <x:c r="G28" s="108"/>
      <x:c r="H28" s="110" t="str">
        <x:f>IF(A28="","",IF(OR(B28="",D28="",F28=""),"",ROUND(B28*'Team Setup'!$B$5+D28*'Team Setup'!$B$6+F28*'Team Setup'!$B$7,2)))</x:f>
      </x:c>
      <x:c r="I28" s="111"/>
      <x:c r="J28" s="105" t="str">
        <x:f>IF(A28="","",IF(AND(C28&gt;0,E28&lt;&gt;"",G28&lt;&gt;""),"Yes","No"))</x:f>
      </x:c>
      <x:c r="K28" s="105" t="str">
        <x:f>IF(A28="","",IF(AND(B28&gt;='Team Setup'!$E$6,D28&gt;='Team Setup'!$E$6,F28&gt;='Team Setup'!$E$6,H28&gt;='Team Setup'!$E$5),"Yes","No"))</x:f>
      </x:c>
      <x:c r="L28" s="105" t="str">
        <x:f>IF(A28="","",IF(AND(I28="No",J28="Yes",K28="Yes"),"Eligible","Not eligible"))</x:f>
      </x:c>
      <x:c r="M28" s="108"/>
    </x:row>
    <x:row r="29">
      <x:c r="A29" s="105" t="str">
        <x:f>IF('Team Setup'!A33="","",'Team Setup'!A33)</x:f>
      </x:c>
      <x:c r="B29" s="106" t="str">
        <x:f>IF(A29="","",IFERROR(MAXIFS('Improvement Log'!$J$6:$J$205,'Improvement Log'!$B$6:$B$205,$B$4,'Improvement Log'!$D$6:$D$205,A29,'Improvement Log'!$I$6:$I$205,"Verified"),0))</x:f>
      </x:c>
      <x:c r="C29" s="106" t="str">
        <x:f>IF(A29="","",COUNTIFS('Improvement Log'!$B$6:$B$205,$B$4,'Improvement Log'!$D$6:$D$205,A29,'Improvement Log'!$I$6:$I$205,"Verified"))</x:f>
      </x:c>
      <x:c r="D29" s="107"/>
      <x:c r="E29" s="108"/>
      <x:c r="F29" s="109"/>
      <x:c r="G29" s="108"/>
      <x:c r="H29" s="110" t="str">
        <x:f>IF(A29="","",IF(OR(B29="",D29="",F29=""),"",ROUND(B29*'Team Setup'!$B$5+D29*'Team Setup'!$B$6+F29*'Team Setup'!$B$7,2)))</x:f>
      </x:c>
      <x:c r="I29" s="111"/>
      <x:c r="J29" s="105" t="str">
        <x:f>IF(A29="","",IF(AND(C29&gt;0,E29&lt;&gt;"",G29&lt;&gt;""),"Yes","No"))</x:f>
      </x:c>
      <x:c r="K29" s="105" t="str">
        <x:f>IF(A29="","",IF(AND(B29&gt;='Team Setup'!$E$6,D29&gt;='Team Setup'!$E$6,F29&gt;='Team Setup'!$E$6,H29&gt;='Team Setup'!$E$5),"Yes","No"))</x:f>
      </x:c>
      <x:c r="L29" s="105" t="str">
        <x:f>IF(A29="","",IF(AND(I29="No",J29="Yes",K29="Yes"),"Eligible","Not eligible"))</x:f>
      </x:c>
      <x:c r="M29" s="108"/>
    </x:row>
    <x:row r="30">
      <x:c r="A30" s="105" t="str">
        <x:f>IF('Team Setup'!A34="","",'Team Setup'!A34)</x:f>
      </x:c>
      <x:c r="B30" s="106" t="str">
        <x:f>IF(A30="","",IFERROR(MAXIFS('Improvement Log'!$J$6:$J$205,'Improvement Log'!$B$6:$B$205,$B$4,'Improvement Log'!$D$6:$D$205,A30,'Improvement Log'!$I$6:$I$205,"Verified"),0))</x:f>
      </x:c>
      <x:c r="C30" s="106" t="str">
        <x:f>IF(A30="","",COUNTIFS('Improvement Log'!$B$6:$B$205,$B$4,'Improvement Log'!$D$6:$D$205,A30,'Improvement Log'!$I$6:$I$205,"Verified"))</x:f>
      </x:c>
      <x:c r="D30" s="107"/>
      <x:c r="E30" s="108"/>
      <x:c r="F30" s="109"/>
      <x:c r="G30" s="108"/>
      <x:c r="H30" s="110" t="str">
        <x:f>IF(A30="","",IF(OR(B30="",D30="",F30=""),"",ROUND(B30*'Team Setup'!$B$5+D30*'Team Setup'!$B$6+F30*'Team Setup'!$B$7,2)))</x:f>
      </x:c>
      <x:c r="I30" s="111"/>
      <x:c r="J30" s="105" t="str">
        <x:f>IF(A30="","",IF(AND(C30&gt;0,E30&lt;&gt;"",G30&lt;&gt;""),"Yes","No"))</x:f>
      </x:c>
      <x:c r="K30" s="105" t="str">
        <x:f>IF(A30="","",IF(AND(B30&gt;='Team Setup'!$E$6,D30&gt;='Team Setup'!$E$6,F30&gt;='Team Setup'!$E$6,H30&gt;='Team Setup'!$E$5),"Yes","No"))</x:f>
      </x:c>
      <x:c r="L30" s="105" t="str">
        <x:f>IF(A30="","",IF(AND(I30="No",J30="Yes",K30="Yes"),"Eligible","Not eligible"))</x:f>
      </x:c>
      <x:c r="M30" s="108"/>
    </x:row>
    <x:row r="31">
      <x:c r="A31" s="105" t="str">
        <x:f>IF('Team Setup'!A35="","",'Team Setup'!A35)</x:f>
      </x:c>
      <x:c r="B31" s="106" t="str">
        <x:f>IF(A31="","",IFERROR(MAXIFS('Improvement Log'!$J$6:$J$205,'Improvement Log'!$B$6:$B$205,$B$4,'Improvement Log'!$D$6:$D$205,A31,'Improvement Log'!$I$6:$I$205,"Verified"),0))</x:f>
      </x:c>
      <x:c r="C31" s="106" t="str">
        <x:f>IF(A31="","",COUNTIFS('Improvement Log'!$B$6:$B$205,$B$4,'Improvement Log'!$D$6:$D$205,A31,'Improvement Log'!$I$6:$I$205,"Verified"))</x:f>
      </x:c>
      <x:c r="D31" s="107"/>
      <x:c r="E31" s="108"/>
      <x:c r="F31" s="109"/>
      <x:c r="G31" s="108"/>
      <x:c r="H31" s="110" t="str">
        <x:f>IF(A31="","",IF(OR(B31="",D31="",F31=""),"",ROUND(B31*'Team Setup'!$B$5+D31*'Team Setup'!$B$6+F31*'Team Setup'!$B$7,2)))</x:f>
      </x:c>
      <x:c r="I31" s="111"/>
      <x:c r="J31" s="105" t="str">
        <x:f>IF(A31="","",IF(AND(C31&gt;0,E31&lt;&gt;"",G31&lt;&gt;""),"Yes","No"))</x:f>
      </x:c>
      <x:c r="K31" s="105" t="str">
        <x:f>IF(A31="","",IF(AND(B31&gt;='Team Setup'!$E$6,D31&gt;='Team Setup'!$E$6,F31&gt;='Team Setup'!$E$6,H31&gt;='Team Setup'!$E$5),"Yes","No"))</x:f>
      </x:c>
      <x:c r="L31" s="105" t="str">
        <x:f>IF(A31="","",IF(AND(I31="No",J31="Yes",K31="Yes"),"Eligible","Not eligible"))</x:f>
      </x:c>
      <x:c r="M31" s="108"/>
    </x:row>
    <x:row r="32">
      <x:c r="A32" s="105" t="str">
        <x:f>IF('Team Setup'!A36="","",'Team Setup'!A36)</x:f>
      </x:c>
      <x:c r="B32" s="106" t="str">
        <x:f>IF(A32="","",IFERROR(MAXIFS('Improvement Log'!$J$6:$J$205,'Improvement Log'!$B$6:$B$205,$B$4,'Improvement Log'!$D$6:$D$205,A32,'Improvement Log'!$I$6:$I$205,"Verified"),0))</x:f>
      </x:c>
      <x:c r="C32" s="106" t="str">
        <x:f>IF(A32="","",COUNTIFS('Improvement Log'!$B$6:$B$205,$B$4,'Improvement Log'!$D$6:$D$205,A32,'Improvement Log'!$I$6:$I$205,"Verified"))</x:f>
      </x:c>
      <x:c r="D32" s="107"/>
      <x:c r="E32" s="108"/>
      <x:c r="F32" s="109"/>
      <x:c r="G32" s="108"/>
      <x:c r="H32" s="110" t="str">
        <x:f>IF(A32="","",IF(OR(B32="",D32="",F32=""),"",ROUND(B32*'Team Setup'!$B$5+D32*'Team Setup'!$B$6+F32*'Team Setup'!$B$7,2)))</x:f>
      </x:c>
      <x:c r="I32" s="111"/>
      <x:c r="J32" s="105" t="str">
        <x:f>IF(A32="","",IF(AND(C32&gt;0,E32&lt;&gt;"",G32&lt;&gt;""),"Yes","No"))</x:f>
      </x:c>
      <x:c r="K32" s="105" t="str">
        <x:f>IF(A32="","",IF(AND(B32&gt;='Team Setup'!$E$6,D32&gt;='Team Setup'!$E$6,F32&gt;='Team Setup'!$E$6,H32&gt;='Team Setup'!$E$5),"Yes","No"))</x:f>
      </x:c>
      <x:c r="L32" s="105" t="str">
        <x:f>IF(A32="","",IF(AND(I32="No",J32="Yes",K32="Yes"),"Eligible","Not eligible"))</x:f>
      </x:c>
      <x:c r="M32" s="108"/>
    </x:row>
    <x:row r="33">
      <x:c r="A33" s="105" t="str">
        <x:f>IF('Team Setup'!A37="","",'Team Setup'!A37)</x:f>
      </x:c>
      <x:c r="B33" s="106" t="str">
        <x:f>IF(A33="","",IFERROR(MAXIFS('Improvement Log'!$J$6:$J$205,'Improvement Log'!$B$6:$B$205,$B$4,'Improvement Log'!$D$6:$D$205,A33,'Improvement Log'!$I$6:$I$205,"Verified"),0))</x:f>
      </x:c>
      <x:c r="C33" s="106" t="str">
        <x:f>IF(A33="","",COUNTIFS('Improvement Log'!$B$6:$B$205,$B$4,'Improvement Log'!$D$6:$D$205,A33,'Improvement Log'!$I$6:$I$205,"Verified"))</x:f>
      </x:c>
      <x:c r="D33" s="107"/>
      <x:c r="E33" s="108"/>
      <x:c r="F33" s="109"/>
      <x:c r="G33" s="108"/>
      <x:c r="H33" s="110" t="str">
        <x:f>IF(A33="","",IF(OR(B33="",D33="",F33=""),"",ROUND(B33*'Team Setup'!$B$5+D33*'Team Setup'!$B$6+F33*'Team Setup'!$B$7,2)))</x:f>
      </x:c>
      <x:c r="I33" s="111"/>
      <x:c r="J33" s="105" t="str">
        <x:f>IF(A33="","",IF(AND(C33&gt;0,E33&lt;&gt;"",G33&lt;&gt;""),"Yes","No"))</x:f>
      </x:c>
      <x:c r="K33" s="105" t="str">
        <x:f>IF(A33="","",IF(AND(B33&gt;='Team Setup'!$E$6,D33&gt;='Team Setup'!$E$6,F33&gt;='Team Setup'!$E$6,H33&gt;='Team Setup'!$E$5),"Yes","No"))</x:f>
      </x:c>
      <x:c r="L33" s="105" t="str">
        <x:f>IF(A33="","",IF(AND(I33="No",J33="Yes",K33="Yes"),"Eligible","Not eligible"))</x:f>
      </x:c>
      <x:c r="M33" s="108"/>
    </x:row>
    <x:row r="34">
      <x:c r="A34" s="105" t="str">
        <x:f>IF('Team Setup'!A38="","",'Team Setup'!A38)</x:f>
      </x:c>
      <x:c r="B34" s="106" t="str">
        <x:f>IF(A34="","",IFERROR(MAXIFS('Improvement Log'!$J$6:$J$205,'Improvement Log'!$B$6:$B$205,$B$4,'Improvement Log'!$D$6:$D$205,A34,'Improvement Log'!$I$6:$I$205,"Verified"),0))</x:f>
      </x:c>
      <x:c r="C34" s="106" t="str">
        <x:f>IF(A34="","",COUNTIFS('Improvement Log'!$B$6:$B$205,$B$4,'Improvement Log'!$D$6:$D$205,A34,'Improvement Log'!$I$6:$I$205,"Verified"))</x:f>
      </x:c>
      <x:c r="D34" s="107"/>
      <x:c r="E34" s="108"/>
      <x:c r="F34" s="109"/>
      <x:c r="G34" s="108"/>
      <x:c r="H34" s="110" t="str">
        <x:f>IF(A34="","",IF(OR(B34="",D34="",F34=""),"",ROUND(B34*'Team Setup'!$B$5+D34*'Team Setup'!$B$6+F34*'Team Setup'!$B$7,2)))</x:f>
      </x:c>
      <x:c r="I34" s="111"/>
      <x:c r="J34" s="105" t="str">
        <x:f>IF(A34="","",IF(AND(C34&gt;0,E34&lt;&gt;"",G34&lt;&gt;""),"Yes","No"))</x:f>
      </x:c>
      <x:c r="K34" s="105" t="str">
        <x:f>IF(A34="","",IF(AND(B34&gt;='Team Setup'!$E$6,D34&gt;='Team Setup'!$E$6,F34&gt;='Team Setup'!$E$6,H34&gt;='Team Setup'!$E$5),"Yes","No"))</x:f>
      </x:c>
      <x:c r="L34" s="105" t="str">
        <x:f>IF(A34="","",IF(AND(I34="No",J34="Yes",K34="Yes"),"Eligible","Not eligible"))</x:f>
      </x:c>
      <x:c r="M34" s="108"/>
    </x:row>
    <x:row r="35">
      <x:c r="A35" s="105" t="str">
        <x:f>IF('Team Setup'!A39="","",'Team Setup'!A39)</x:f>
      </x:c>
      <x:c r="B35" s="106" t="str">
        <x:f>IF(A35="","",IFERROR(MAXIFS('Improvement Log'!$J$6:$J$205,'Improvement Log'!$B$6:$B$205,$B$4,'Improvement Log'!$D$6:$D$205,A35,'Improvement Log'!$I$6:$I$205,"Verified"),0))</x:f>
      </x:c>
      <x:c r="C35" s="106" t="str">
        <x:f>IF(A35="","",COUNTIFS('Improvement Log'!$B$6:$B$205,$B$4,'Improvement Log'!$D$6:$D$205,A35,'Improvement Log'!$I$6:$I$205,"Verified"))</x:f>
      </x:c>
      <x:c r="D35" s="107"/>
      <x:c r="E35" s="108"/>
      <x:c r="F35" s="109"/>
      <x:c r="G35" s="108"/>
      <x:c r="H35" s="110" t="str">
        <x:f>IF(A35="","",IF(OR(B35="",D35="",F35=""),"",ROUND(B35*'Team Setup'!$B$5+D35*'Team Setup'!$B$6+F35*'Team Setup'!$B$7,2)))</x:f>
      </x:c>
      <x:c r="I35" s="111"/>
      <x:c r="J35" s="105" t="str">
        <x:f>IF(A35="","",IF(AND(C35&gt;0,E35&lt;&gt;"",G35&lt;&gt;""),"Yes","No"))</x:f>
      </x:c>
      <x:c r="K35" s="105" t="str">
        <x:f>IF(A35="","",IF(AND(B35&gt;='Team Setup'!$E$6,D35&gt;='Team Setup'!$E$6,F35&gt;='Team Setup'!$E$6,H35&gt;='Team Setup'!$E$5),"Yes","No"))</x:f>
      </x:c>
      <x:c r="L35" s="105" t="str">
        <x:f>IF(A35="","",IF(AND(I35="No",J35="Yes",K35="Yes"),"Eligible","Not eligible"))</x:f>
      </x:c>
      <x:c r="M35" s="108"/>
    </x:row>
    <x:row r="36">
      <x:c r="A36" s="112" t="str">
        <x:f>IF('Team Setup'!A40="","",'Team Setup'!A40)</x:f>
      </x:c>
      <x:c r="B36" s="113" t="str">
        <x:f>IF(A36="","",IFERROR(MAXIFS('Improvement Log'!$J$6:$J$205,'Improvement Log'!$B$6:$B$205,$B$4,'Improvement Log'!$D$6:$D$205,A36,'Improvement Log'!$I$6:$I$205,"Verified"),0))</x:f>
      </x:c>
      <x:c r="C36" s="113" t="str">
        <x:f>IF(A36="","",COUNTIFS('Improvement Log'!$B$6:$B$205,$B$4,'Improvement Log'!$D$6:$D$205,A36,'Improvement Log'!$I$6:$I$205,"Verified"))</x:f>
      </x:c>
      <x:c r="D36" s="114"/>
      <x:c r="E36" s="115"/>
      <x:c r="F36" s="116"/>
      <x:c r="G36" s="115"/>
      <x:c r="H36" s="117" t="str">
        <x:f>IF(A36="","",IF(OR(B36="",D36="",F36=""),"",ROUND(B36*'Team Setup'!$B$5+D36*'Team Setup'!$B$6+F36*'Team Setup'!$B$7,2)))</x:f>
      </x:c>
      <x:c r="I36" s="118"/>
      <x:c r="J36" s="112" t="str">
        <x:f>IF(A36="","",IF(AND(C36&gt;0,E36&lt;&gt;"",G36&lt;&gt;""),"Yes","No"))</x:f>
      </x:c>
      <x:c r="K36" s="112" t="str">
        <x:f>IF(A36="","",IF(AND(B36&gt;='Team Setup'!$E$6,D36&gt;='Team Setup'!$E$6,F36&gt;='Team Setup'!$E$6,H36&gt;='Team Setup'!$E$5),"Yes","No"))</x:f>
      </x:c>
      <x:c r="L36" s="112" t="str">
        <x:f>IF(A36="","",IF(AND(I36="No",J36="Yes",K36="Yes"),"Eligible","Not eligible"))</x:f>
      </x:c>
      <x:c r="M36" s="115"/>
    </x:row>
    <x:row r="37">
      <x:c r="A37" s="18"/>
      <x:c r="B37" s="18"/>
      <x:c r="C37" s="18"/>
      <x:c r="D37" s="18"/>
      <x:c r="E37" s="18"/>
      <x:c r="F37" s="18"/>
      <x:c r="G37" s="18"/>
      <x:c r="H37" s="18"/>
      <x:c r="I37" s="18"/>
      <x:c r="J37" s="18"/>
      <x:c r="K37" s="18"/>
      <x:c r="L37" s="18"/>
      <x:c r="M37" s="18"/>
    </x:row>
    <x:row r="38">
      <x:c r="A38" s="18"/>
      <x:c r="B38" s="18"/>
      <x:c r="C38" s="18"/>
      <x:c r="D38" s="18"/>
      <x:c r="E38" s="18"/>
      <x:c r="F38" s="18"/>
      <x:c r="G38" s="18"/>
      <x:c r="H38" s="18"/>
      <x:c r="I38" s="18"/>
      <x:c r="J38" s="18"/>
      <x:c r="K38" s="18"/>
      <x:c r="L38" s="18"/>
      <x:c r="M38" s="18"/>
    </x:row>
    <x:row r="39">
      <x:c r="A39" s="23" t="str">
        <x:v>Responsibilities and Expected Behaviours must be rated using the measurable rubric and supported by evidence. Improvement score is the highest verified improvement level achieved that month. A winner must meet the overall minimum, every objective minimum, evidence requirement, and no-consecutive-winner rule.</x:v>
      </x:c>
      <x:c r="B39" s="23"/>
      <x:c r="C39" s="23"/>
      <x:c r="D39" s="23"/>
      <x:c r="E39" s="23"/>
      <x:c r="F39" s="23"/>
      <x:c r="G39" s="23"/>
      <x:c r="H39" s="23"/>
      <x:c r="I39" s="23"/>
      <x:c r="J39" s="23"/>
      <x:c r="K39" s="23"/>
      <x:c r="L39" s="23"/>
      <x:c r="M39" s="23"/>
    </x:row>
    <x:row r="40">
      <x:c r="A40" s="23"/>
      <x:c r="B40" s="23"/>
      <x:c r="C40" s="23"/>
      <x:c r="D40" s="23"/>
      <x:c r="E40" s="23"/>
      <x:c r="F40" s="23"/>
      <x:c r="G40" s="23"/>
      <x:c r="H40" s="23"/>
      <x:c r="I40" s="23"/>
      <x:c r="J40" s="23"/>
      <x:c r="K40" s="23"/>
      <x:c r="L40" s="23"/>
      <x:c r="M40" s="23"/>
    </x:row>
    <x:row r="41">
      <x:c r="A41" s="23"/>
      <x:c r="B41" s="23"/>
      <x:c r="C41" s="23"/>
      <x:c r="D41" s="23"/>
      <x:c r="E41" s="23"/>
      <x:c r="F41" s="23"/>
      <x:c r="G41" s="23"/>
      <x:c r="H41" s="23"/>
      <x:c r="I41" s="23"/>
      <x:c r="J41" s="23"/>
      <x:c r="K41" s="23"/>
      <x:c r="L41" s="23"/>
      <x:c r="M41" s="23"/>
    </x:row>
  </x:sheetData>
  <x:mergeCells>
    <x:mergeCell ref="A1:M2"/>
    <x:mergeCell ref="A39:M41"/>
  </x:mergeCells>
  <x:conditionalFormatting sqref="H7:H36">
    <x:cfRule type="colorScale" priority="1">
      <x:colorScale>
        <x:cfvo type="min"/>
        <x:cfvo type="percentile" val="50"/>
        <x:cfvo type="max"/>
        <x:color rgb="FFF8D7DA"/>
        <x:color rgb="FFFFF3CD"/>
        <x:color rgb="FFE4F4E8"/>
      </x:colorScale>
    </x:cfRule>
  </x:conditionalFormatting>
  <x:conditionalFormatting sqref="L7:L36">
    <x:cfRule type="containsText" dxfId="2" priority="2" operator="containsText" text="Eligible"/>
    <x:cfRule type="containsText" dxfId="3" priority="3" operator="containsText" text="Not eligible"/>
  </x:conditionalFormatting>
  <x:dataValidations count="3">
    <x:dataValidation type="whole" operator="between" sqref="D7:D36">
      <x:formula1>1</x:formula1>
      <x:formula2>5</x:formula2>
    </x:dataValidation>
    <x:dataValidation type="whole" operator="between" sqref="F7:F36">
      <x:formula1>1</x:formula1>
      <x:formula2>5</x:formula2>
    </x:dataValidation>
    <x:dataValidation type="list" sqref="I7:I36">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3" hidden="0" customWidth="1"/>
    <x:col min="4" max="4" width="20" hidden="0" customWidth="1"/>
    <x:col min="5" max="5" width="32" hidden="0" customWidth="1"/>
    <x:col min="6" max="6" width="42" hidden="0" customWidth="1"/>
    <x:col min="7" max="7" width="35" hidden="0" customWidth="1"/>
    <x:col min="8" max="8" width="36" hidden="0" customWidth="1"/>
    <x:col min="9" max="9" width="13" hidden="0" customWidth="1"/>
    <x:col min="10" max="10" width="14" hidden="0" customWidth="1"/>
    <x:col min="11" max="11" width="18" hidden="0" customWidth="1"/>
    <x:col min="12" max="12" width="30" hidden="0" customWidth="1"/>
  </x:cols>
  <x:sheetData>
    <x:row r="1">
      <x:c r="A1" s="17" t="str">
        <x:v>Improvement Contribution Log</x:v>
      </x:c>
      <x:c r="B1" s="17"/>
      <x:c r="C1" s="17"/>
      <x:c r="D1" s="17"/>
      <x:c r="E1" s="17"/>
      <x:c r="F1" s="17"/>
      <x:c r="G1" s="17"/>
      <x:c r="H1" s="17"/>
      <x:c r="I1" s="17"/>
      <x:c r="J1" s="17"/>
      <x:c r="K1" s="17"/>
      <x:c r="L1" s="17"/>
    </x:row>
    <x:row r="2">
      <x:c r="A2" s="17"/>
      <x:c r="B2" s="17"/>
      <x:c r="C2" s="17"/>
      <x:c r="D2" s="17"/>
      <x:c r="E2" s="17"/>
      <x:c r="F2" s="17"/>
      <x:c r="G2" s="17"/>
      <x:c r="H2" s="17"/>
      <x:c r="I2" s="17"/>
      <x:c r="J2" s="17"/>
      <x:c r="K2" s="17"/>
      <x:c r="L2" s="17"/>
    </x:row>
    <x:row r="3">
      <x:c r="A3" s="68" t="str">
        <x:v>Record the contribution, result and evidence. TL selects the verified 1–5 score using the rubric; the highest verified score for the month feeds the assessment.</x:v>
      </x:c>
      <x:c r="B3" s="68"/>
      <x:c r="C3" s="68"/>
      <x:c r="D3" s="68"/>
      <x:c r="E3" s="68"/>
      <x:c r="F3" s="68"/>
      <x:c r="G3" s="68"/>
      <x:c r="H3" s="68"/>
      <x:c r="I3" s="68"/>
      <x:c r="J3" s="68"/>
      <x:c r="K3" s="68"/>
      <x:c r="L3" s="68"/>
    </x:row>
    <x:row r="4">
      <x:c r="A4" s="18"/>
      <x:c r="B4" s="18"/>
      <x:c r="C4" s="18"/>
      <x:c r="D4" s="18"/>
      <x:c r="E4" s="18"/>
      <x:c r="F4" s="18"/>
      <x:c r="G4" s="18"/>
      <x:c r="H4" s="18"/>
      <x:c r="I4" s="18"/>
      <x:c r="J4" s="18"/>
      <x:c r="K4" s="18"/>
      <x:c r="L4" s="18"/>
    </x:row>
    <x:row r="5">
      <x:c r="A5" s="69" t="str">
        <x:v>Entry ID</x:v>
      </x:c>
      <x:c r="B5" s="69" t="str">
        <x:v>Month</x:v>
      </x:c>
      <x:c r="C5" s="69" t="str">
        <x:v>Date</x:v>
      </x:c>
      <x:c r="D5" s="69" t="str">
        <x:v>Employee</x:v>
      </x:c>
      <x:c r="E5" s="69" t="str">
        <x:v>Improvement title</x:v>
      </x:c>
      <x:c r="F5" s="69" t="str">
        <x:v>What changed</x:v>
      </x:c>
      <x:c r="G5" s="69" t="str">
        <x:v>Measurable result</x:v>
      </x:c>
      <x:c r="H5" s="69" t="str">
        <x:v>Evidence / link</x:v>
      </x:c>
      <x:c r="I5" s="69" t="str">
        <x:v>Status</x:v>
      </x:c>
      <x:c r="J5" s="69" t="str">
        <x:v>TL score (1–5)</x:v>
      </x:c>
      <x:c r="K5" s="69" t="str">
        <x:v>TL validated by</x:v>
      </x:c>
      <x:c r="L5" s="69" t="str">
        <x:v>TL notes</x:v>
      </x:c>
    </x:row>
    <x:row r="6">
      <x:c r="A6" s="70" t="n">
        <x:f>IF(C6="","",ROW()-5)</x:f>
        <x:v>1</x:v>
      </x:c>
      <x:c r="B6" s="71" t="n">
        <x:v>46204</x:v>
      </x:c>
      <x:c r="C6" s="72" t="n">
        <x:v>46206</x:v>
      </x:c>
      <x:c r="D6" s="73" t="str">
        <x:v>Team Member 1</x:v>
      </x:c>
      <x:c r="E6" s="74" t="str">
        <x:v>Campaign QA checklist</x:v>
      </x:c>
      <x:c r="F6" s="74" t="str">
        <x:v>Introduced a reusable QA checklist</x:v>
      </x:c>
      <x:c r="G6" s="74" t="str">
        <x:v>Adopted by the whole team; measured 12% fewer corrections</x:v>
      </x:c>
      <x:c r="H6" s="74" t="str">
        <x:v>Internal tracker / checklist link</x:v>
      </x:c>
      <x:c r="I6" s="73" t="str">
        <x:v>Verified</x:v>
      </x:c>
      <x:c r="J6" s="73" t="n">
        <x:v>4</x:v>
      </x:c>
      <x:c r="K6" s="73" t="str">
        <x:v>Team Lead</x:v>
      </x:c>
      <x:c r="L6" s="74" t="str">
        <x:v>Meets level 4 rubric</x:v>
      </x:c>
    </x:row>
    <x:row r="7">
      <x:c r="A7" s="70" t="n">
        <x:f>IF(C7="","",ROW()-5)</x:f>
        <x:v>2</x:v>
      </x:c>
      <x:c r="B7" s="71" t="n">
        <x:v>46204</x:v>
      </x:c>
      <x:c r="C7" s="72" t="n">
        <x:v>46211</x:v>
      </x:c>
      <x:c r="D7" s="73" t="str">
        <x:v>Team Member 2</x:v>
      </x:c>
      <x:c r="E7" s="74" t="str">
        <x:v>Naming convention</x:v>
      </x:c>
      <x:c r="F7" s="74" t="str">
        <x:v>Proposed a standard naming convention</x:v>
      </x:c>
      <x:c r="G7" s="74" t="str">
        <x:v>Accepted but not yet implemented</x:v>
      </x:c>
      <x:c r="H7" s="74" t="str">
        <x:v>Decision note</x:v>
      </x:c>
      <x:c r="I7" s="73" t="str">
        <x:v>Verified</x:v>
      </x:c>
      <x:c r="J7" s="73" t="n">
        <x:v>1</x:v>
      </x:c>
      <x:c r="K7" s="73" t="str">
        <x:v>Team Lead</x:v>
      </x:c>
      <x:c r="L7" s="74" t="str">
        <x:v>Meets level 1 rubric</x:v>
      </x:c>
    </x:row>
    <x:row r="8">
      <x:c r="A8" s="70" t="n">
        <x:f>IF(C8="","",ROW()-5)</x:f>
        <x:v>3</x:v>
      </x:c>
      <x:c r="B8" s="71" t="n">
        <x:v>46204</x:v>
      </x:c>
      <x:c r="C8" s="72" t="n">
        <x:v>46215</x:v>
      </x:c>
      <x:c r="D8" s="73" t="str">
        <x:v>Team Member 3</x:v>
      </x:c>
      <x:c r="E8" s="74" t="str">
        <x:v>Tracking automation</x:v>
      </x:c>
      <x:c r="F8" s="74" t="str">
        <x:v>Automated a recurring tracking step</x:v>
      </x:c>
      <x:c r="G8" s="74" t="str">
        <x:v>Result being measured</x:v>
      </x:c>
      <x:c r="H8" s="74" t="str">
        <x:v>Automation file</x:v>
      </x:c>
      <x:c r="I8" s="73" t="str">
        <x:v>Submitted</x:v>
      </x:c>
      <x:c r="J8" s="73" t="str"/>
      <x:c r="K8" s="73" t="str"/>
      <x:c r="L8" s="74" t="str">
        <x:v>Awaiting validation</x:v>
      </x:c>
    </x:row>
    <x:row r="9">
      <x:c r="A9" s="70" t="str">
        <x:f>IF(C9="","",ROW()-5)</x:f>
      </x:c>
      <x:c r="B9" s="71"/>
      <x:c r="C9" s="72"/>
      <x:c r="D9" s="73"/>
      <x:c r="E9" s="74"/>
      <x:c r="F9" s="74"/>
      <x:c r="G9" s="74"/>
      <x:c r="H9" s="74"/>
      <x:c r="I9" s="73"/>
      <x:c r="J9" s="73"/>
      <x:c r="K9" s="73"/>
      <x:c r="L9" s="74"/>
    </x:row>
    <x:row r="10">
      <x:c r="A10" s="70" t="str">
        <x:f>IF(C10="","",ROW()-5)</x:f>
      </x:c>
      <x:c r="B10" s="71"/>
      <x:c r="C10" s="72"/>
      <x:c r="D10" s="73"/>
      <x:c r="E10" s="74"/>
      <x:c r="F10" s="74"/>
      <x:c r="G10" s="74"/>
      <x:c r="H10" s="74"/>
      <x:c r="I10" s="73"/>
      <x:c r="J10" s="73"/>
      <x:c r="K10" s="73"/>
      <x:c r="L10" s="74"/>
    </x:row>
    <x:row r="11">
      <x:c r="A11" s="70" t="str">
        <x:f>IF(C11="","",ROW()-5)</x:f>
      </x:c>
      <x:c r="B11" s="71"/>
      <x:c r="C11" s="72"/>
      <x:c r="D11" s="73"/>
      <x:c r="E11" s="74"/>
      <x:c r="F11" s="74"/>
      <x:c r="G11" s="74"/>
      <x:c r="H11" s="74"/>
      <x:c r="I11" s="73"/>
      <x:c r="J11" s="73"/>
      <x:c r="K11" s="73"/>
      <x:c r="L11" s="74"/>
    </x:row>
    <x:row r="12">
      <x:c r="A12" s="70" t="str">
        <x:f>IF(C12="","",ROW()-5)</x:f>
      </x:c>
      <x:c r="B12" s="71"/>
      <x:c r="C12" s="72"/>
      <x:c r="D12" s="73"/>
      <x:c r="E12" s="74"/>
      <x:c r="F12" s="74"/>
      <x:c r="G12" s="74"/>
      <x:c r="H12" s="74"/>
      <x:c r="I12" s="73"/>
      <x:c r="J12" s="73"/>
      <x:c r="K12" s="73"/>
      <x:c r="L12" s="74"/>
    </x:row>
    <x:row r="13">
      <x:c r="A13" s="70" t="str">
        <x:f>IF(C13="","",ROW()-5)</x:f>
      </x:c>
      <x:c r="B13" s="71"/>
      <x:c r="C13" s="72"/>
      <x:c r="D13" s="73"/>
      <x:c r="E13" s="74"/>
      <x:c r="F13" s="74"/>
      <x:c r="G13" s="74"/>
      <x:c r="H13" s="74"/>
      <x:c r="I13" s="73"/>
      <x:c r="J13" s="73"/>
      <x:c r="K13" s="73"/>
      <x:c r="L13" s="74"/>
    </x:row>
    <x:row r="14">
      <x:c r="A14" s="70" t="str">
        <x:f>IF(C14="","",ROW()-5)</x:f>
      </x:c>
      <x:c r="B14" s="71"/>
      <x:c r="C14" s="72"/>
      <x:c r="D14" s="73"/>
      <x:c r="E14" s="74"/>
      <x:c r="F14" s="74"/>
      <x:c r="G14" s="74"/>
      <x:c r="H14" s="74"/>
      <x:c r="I14" s="73"/>
      <x:c r="J14" s="73"/>
      <x:c r="K14" s="73"/>
      <x:c r="L14" s="74"/>
    </x:row>
    <x:row r="15">
      <x:c r="A15" s="70" t="str">
        <x:f>IF(C15="","",ROW()-5)</x:f>
      </x:c>
      <x:c r="B15" s="71"/>
      <x:c r="C15" s="72"/>
      <x:c r="D15" s="73"/>
      <x:c r="E15" s="74"/>
      <x:c r="F15" s="74"/>
      <x:c r="G15" s="74"/>
      <x:c r="H15" s="74"/>
      <x:c r="I15" s="73"/>
      <x:c r="J15" s="73"/>
      <x:c r="K15" s="73"/>
      <x:c r="L15" s="74"/>
    </x:row>
    <x:row r="16">
      <x:c r="A16" s="70" t="str">
        <x:f>IF(C16="","",ROW()-5)</x:f>
      </x:c>
      <x:c r="B16" s="71"/>
      <x:c r="C16" s="72"/>
      <x:c r="D16" s="73"/>
      <x:c r="E16" s="74"/>
      <x:c r="F16" s="74"/>
      <x:c r="G16" s="74"/>
      <x:c r="H16" s="74"/>
      <x:c r="I16" s="73"/>
      <x:c r="J16" s="73"/>
      <x:c r="K16" s="73"/>
      <x:c r="L16" s="74"/>
    </x:row>
    <x:row r="17">
      <x:c r="A17" s="70" t="str">
        <x:f>IF(C17="","",ROW()-5)</x:f>
      </x:c>
      <x:c r="B17" s="71"/>
      <x:c r="C17" s="72"/>
      <x:c r="D17" s="73"/>
      <x:c r="E17" s="74"/>
      <x:c r="F17" s="74"/>
      <x:c r="G17" s="74"/>
      <x:c r="H17" s="74"/>
      <x:c r="I17" s="73"/>
      <x:c r="J17" s="73"/>
      <x:c r="K17" s="73"/>
      <x:c r="L17" s="74"/>
    </x:row>
    <x:row r="18">
      <x:c r="A18" s="70" t="str">
        <x:f>IF(C18="","",ROW()-5)</x:f>
      </x:c>
      <x:c r="B18" s="71"/>
      <x:c r="C18" s="72"/>
      <x:c r="D18" s="73"/>
      <x:c r="E18" s="74"/>
      <x:c r="F18" s="74"/>
      <x:c r="G18" s="74"/>
      <x:c r="H18" s="74"/>
      <x:c r="I18" s="73"/>
      <x:c r="J18" s="73"/>
      <x:c r="K18" s="73"/>
      <x:c r="L18" s="74"/>
    </x:row>
    <x:row r="19">
      <x:c r="A19" s="70" t="str">
        <x:f>IF(C19="","",ROW()-5)</x:f>
      </x:c>
      <x:c r="B19" s="71"/>
      <x:c r="C19" s="72"/>
      <x:c r="D19" s="73"/>
      <x:c r="E19" s="74"/>
      <x:c r="F19" s="74"/>
      <x:c r="G19" s="74"/>
      <x:c r="H19" s="74"/>
      <x:c r="I19" s="73"/>
      <x:c r="J19" s="73"/>
      <x:c r="K19" s="73"/>
      <x:c r="L19" s="74"/>
    </x:row>
    <x:row r="20">
      <x:c r="A20" s="70" t="str">
        <x:f>IF(C20="","",ROW()-5)</x:f>
      </x:c>
      <x:c r="B20" s="71"/>
      <x:c r="C20" s="72"/>
      <x:c r="D20" s="73"/>
      <x:c r="E20" s="74"/>
      <x:c r="F20" s="74"/>
      <x:c r="G20" s="74"/>
      <x:c r="H20" s="74"/>
      <x:c r="I20" s="73"/>
      <x:c r="J20" s="73"/>
      <x:c r="K20" s="73"/>
      <x:c r="L20" s="74"/>
    </x:row>
    <x:row r="21">
      <x:c r="A21" s="70" t="str">
        <x:f>IF(C21="","",ROW()-5)</x:f>
      </x:c>
      <x:c r="B21" s="71"/>
      <x:c r="C21" s="72"/>
      <x:c r="D21" s="73"/>
      <x:c r="E21" s="74"/>
      <x:c r="F21" s="74"/>
      <x:c r="G21" s="74"/>
      <x:c r="H21" s="74"/>
      <x:c r="I21" s="73"/>
      <x:c r="J21" s="73"/>
      <x:c r="K21" s="73"/>
      <x:c r="L21" s="74"/>
    </x:row>
    <x:row r="22">
      <x:c r="A22" s="70" t="str">
        <x:f>IF(C22="","",ROW()-5)</x:f>
      </x:c>
      <x:c r="B22" s="71"/>
      <x:c r="C22" s="72"/>
      <x:c r="D22" s="73"/>
      <x:c r="E22" s="74"/>
      <x:c r="F22" s="74"/>
      <x:c r="G22" s="74"/>
      <x:c r="H22" s="74"/>
      <x:c r="I22" s="73"/>
      <x:c r="J22" s="73"/>
      <x:c r="K22" s="73"/>
      <x:c r="L22" s="74"/>
    </x:row>
    <x:row r="23">
      <x:c r="A23" s="70" t="str">
        <x:f>IF(C23="","",ROW()-5)</x:f>
      </x:c>
      <x:c r="B23" s="71"/>
      <x:c r="C23" s="72"/>
      <x:c r="D23" s="73"/>
      <x:c r="E23" s="74"/>
      <x:c r="F23" s="74"/>
      <x:c r="G23" s="74"/>
      <x:c r="H23" s="74"/>
      <x:c r="I23" s="73"/>
      <x:c r="J23" s="73"/>
      <x:c r="K23" s="73"/>
      <x:c r="L23" s="74"/>
    </x:row>
    <x:row r="24">
      <x:c r="A24" s="70" t="str">
        <x:f>IF(C24="","",ROW()-5)</x:f>
      </x:c>
      <x:c r="B24" s="71"/>
      <x:c r="C24" s="72"/>
      <x:c r="D24" s="73"/>
      <x:c r="E24" s="74"/>
      <x:c r="F24" s="74"/>
      <x:c r="G24" s="74"/>
      <x:c r="H24" s="74"/>
      <x:c r="I24" s="73"/>
      <x:c r="J24" s="73"/>
      <x:c r="K24" s="73"/>
      <x:c r="L24" s="74"/>
    </x:row>
    <x:row r="25">
      <x:c r="A25" s="70" t="str">
        <x:f>IF(C25="","",ROW()-5)</x:f>
      </x:c>
      <x:c r="B25" s="71"/>
      <x:c r="C25" s="72"/>
      <x:c r="D25" s="73"/>
      <x:c r="E25" s="74"/>
      <x:c r="F25" s="74"/>
      <x:c r="G25" s="74"/>
      <x:c r="H25" s="74"/>
      <x:c r="I25" s="73"/>
      <x:c r="J25" s="73"/>
      <x:c r="K25" s="73"/>
      <x:c r="L25" s="74"/>
    </x:row>
    <x:row r="26">
      <x:c r="A26" s="70" t="str">
        <x:f>IF(C26="","",ROW()-5)</x:f>
      </x:c>
      <x:c r="B26" s="71"/>
      <x:c r="C26" s="72"/>
      <x:c r="D26" s="73"/>
      <x:c r="E26" s="74"/>
      <x:c r="F26" s="74"/>
      <x:c r="G26" s="74"/>
      <x:c r="H26" s="74"/>
      <x:c r="I26" s="73"/>
      <x:c r="J26" s="73"/>
      <x:c r="K26" s="73"/>
      <x:c r="L26" s="74"/>
    </x:row>
    <x:row r="27">
      <x:c r="A27" s="70" t="str">
        <x:f>IF(C27="","",ROW()-5)</x:f>
      </x:c>
      <x:c r="B27" s="71"/>
      <x:c r="C27" s="72"/>
      <x:c r="D27" s="73"/>
      <x:c r="E27" s="74"/>
      <x:c r="F27" s="74"/>
      <x:c r="G27" s="74"/>
      <x:c r="H27" s="74"/>
      <x:c r="I27" s="73"/>
      <x:c r="J27" s="73"/>
      <x:c r="K27" s="73"/>
      <x:c r="L27" s="74"/>
    </x:row>
    <x:row r="28">
      <x:c r="A28" s="70" t="str">
        <x:f>IF(C28="","",ROW()-5)</x:f>
      </x:c>
      <x:c r="B28" s="71"/>
      <x:c r="C28" s="72"/>
      <x:c r="D28" s="73"/>
      <x:c r="E28" s="74"/>
      <x:c r="F28" s="74"/>
      <x:c r="G28" s="74"/>
      <x:c r="H28" s="74"/>
      <x:c r="I28" s="73"/>
      <x:c r="J28" s="73"/>
      <x:c r="K28" s="73"/>
      <x:c r="L28" s="74"/>
    </x:row>
    <x:row r="29">
      <x:c r="A29" s="70" t="str">
        <x:f>IF(C29="","",ROW()-5)</x:f>
      </x:c>
      <x:c r="B29" s="71"/>
      <x:c r="C29" s="72"/>
      <x:c r="D29" s="73"/>
      <x:c r="E29" s="74"/>
      <x:c r="F29" s="74"/>
      <x:c r="G29" s="74"/>
      <x:c r="H29" s="74"/>
      <x:c r="I29" s="73"/>
      <x:c r="J29" s="73"/>
      <x:c r="K29" s="73"/>
      <x:c r="L29" s="74"/>
    </x:row>
    <x:row r="30">
      <x:c r="A30" s="70" t="str">
        <x:f>IF(C30="","",ROW()-5)</x:f>
      </x:c>
      <x:c r="B30" s="71"/>
      <x:c r="C30" s="72"/>
      <x:c r="D30" s="73"/>
      <x:c r="E30" s="74"/>
      <x:c r="F30" s="74"/>
      <x:c r="G30" s="74"/>
      <x:c r="H30" s="74"/>
      <x:c r="I30" s="73"/>
      <x:c r="J30" s="73"/>
      <x:c r="K30" s="73"/>
      <x:c r="L30" s="74"/>
    </x:row>
    <x:row r="31">
      <x:c r="A31" s="70" t="str">
        <x:f>IF(C31="","",ROW()-5)</x:f>
      </x:c>
      <x:c r="B31" s="71"/>
      <x:c r="C31" s="72"/>
      <x:c r="D31" s="73"/>
      <x:c r="E31" s="74"/>
      <x:c r="F31" s="74"/>
      <x:c r="G31" s="74"/>
      <x:c r="H31" s="74"/>
      <x:c r="I31" s="73"/>
      <x:c r="J31" s="73"/>
      <x:c r="K31" s="73"/>
      <x:c r="L31" s="74"/>
    </x:row>
    <x:row r="32">
      <x:c r="A32" s="70" t="str">
        <x:f>IF(C32="","",ROW()-5)</x:f>
      </x:c>
      <x:c r="B32" s="71"/>
      <x:c r="C32" s="72"/>
      <x:c r="D32" s="73"/>
      <x:c r="E32" s="74"/>
      <x:c r="F32" s="74"/>
      <x:c r="G32" s="74"/>
      <x:c r="H32" s="74"/>
      <x:c r="I32" s="73"/>
      <x:c r="J32" s="73"/>
      <x:c r="K32" s="73"/>
      <x:c r="L32" s="74"/>
    </x:row>
    <x:row r="33">
      <x:c r="A33" s="70" t="str">
        <x:f>IF(C33="","",ROW()-5)</x:f>
      </x:c>
      <x:c r="B33" s="71"/>
      <x:c r="C33" s="72"/>
      <x:c r="D33" s="73"/>
      <x:c r="E33" s="74"/>
      <x:c r="F33" s="74"/>
      <x:c r="G33" s="74"/>
      <x:c r="H33" s="74"/>
      <x:c r="I33" s="73"/>
      <x:c r="J33" s="73"/>
      <x:c r="K33" s="73"/>
      <x:c r="L33" s="74"/>
    </x:row>
    <x:row r="34">
      <x:c r="A34" s="70" t="str">
        <x:f>IF(C34="","",ROW()-5)</x:f>
      </x:c>
      <x:c r="B34" s="71"/>
      <x:c r="C34" s="72"/>
      <x:c r="D34" s="73"/>
      <x:c r="E34" s="74"/>
      <x:c r="F34" s="74"/>
      <x:c r="G34" s="74"/>
      <x:c r="H34" s="74"/>
      <x:c r="I34" s="73"/>
      <x:c r="J34" s="73"/>
      <x:c r="K34" s="73"/>
      <x:c r="L34" s="74"/>
    </x:row>
    <x:row r="35">
      <x:c r="A35" s="70" t="str">
        <x:f>IF(C35="","",ROW()-5)</x:f>
      </x:c>
      <x:c r="B35" s="71"/>
      <x:c r="C35" s="72"/>
      <x:c r="D35" s="73"/>
      <x:c r="E35" s="74"/>
      <x:c r="F35" s="74"/>
      <x:c r="G35" s="74"/>
      <x:c r="H35" s="74"/>
      <x:c r="I35" s="73"/>
      <x:c r="J35" s="73"/>
      <x:c r="K35" s="73"/>
      <x:c r="L35" s="74"/>
    </x:row>
    <x:row r="36">
      <x:c r="A36" s="70" t="str">
        <x:f>IF(C36="","",ROW()-5)</x:f>
      </x:c>
      <x:c r="B36" s="71"/>
      <x:c r="C36" s="72"/>
      <x:c r="D36" s="73"/>
      <x:c r="E36" s="74"/>
      <x:c r="F36" s="74"/>
      <x:c r="G36" s="74"/>
      <x:c r="H36" s="74"/>
      <x:c r="I36" s="73"/>
      <x:c r="J36" s="73"/>
      <x:c r="K36" s="73"/>
      <x:c r="L36" s="74"/>
    </x:row>
    <x:row r="37">
      <x:c r="A37" s="70" t="str">
        <x:f>IF(C37="","",ROW()-5)</x:f>
      </x:c>
      <x:c r="B37" s="71"/>
      <x:c r="C37" s="72"/>
      <x:c r="D37" s="73"/>
      <x:c r="E37" s="74"/>
      <x:c r="F37" s="74"/>
      <x:c r="G37" s="74"/>
      <x:c r="H37" s="74"/>
      <x:c r="I37" s="73"/>
      <x:c r="J37" s="73"/>
      <x:c r="K37" s="73"/>
      <x:c r="L37" s="74"/>
    </x:row>
    <x:row r="38">
      <x:c r="A38" s="70" t="str">
        <x:f>IF(C38="","",ROW()-5)</x:f>
      </x:c>
      <x:c r="B38" s="71"/>
      <x:c r="C38" s="72"/>
      <x:c r="D38" s="73"/>
      <x:c r="E38" s="74"/>
      <x:c r="F38" s="74"/>
      <x:c r="G38" s="74"/>
      <x:c r="H38" s="74"/>
      <x:c r="I38" s="73"/>
      <x:c r="J38" s="73"/>
      <x:c r="K38" s="73"/>
      <x:c r="L38" s="74"/>
    </x:row>
    <x:row r="39">
      <x:c r="A39" s="70" t="str">
        <x:f>IF(C39="","",ROW()-5)</x:f>
      </x:c>
      <x:c r="B39" s="71"/>
      <x:c r="C39" s="72"/>
      <x:c r="D39" s="73"/>
      <x:c r="E39" s="74"/>
      <x:c r="F39" s="74"/>
      <x:c r="G39" s="74"/>
      <x:c r="H39" s="74"/>
      <x:c r="I39" s="73"/>
      <x:c r="J39" s="73"/>
      <x:c r="K39" s="73"/>
      <x:c r="L39" s="74"/>
    </x:row>
    <x:row r="40">
      <x:c r="A40" s="70" t="str">
        <x:f>IF(C40="","",ROW()-5)</x:f>
      </x:c>
      <x:c r="B40" s="71"/>
      <x:c r="C40" s="72"/>
      <x:c r="D40" s="73"/>
      <x:c r="E40" s="74"/>
      <x:c r="F40" s="74"/>
      <x:c r="G40" s="74"/>
      <x:c r="H40" s="74"/>
      <x:c r="I40" s="73"/>
      <x:c r="J40" s="73"/>
      <x:c r="K40" s="73"/>
      <x:c r="L40" s="74"/>
    </x:row>
    <x:row r="41">
      <x:c r="A41" s="70" t="str">
        <x:f>IF(C41="","",ROW()-5)</x:f>
      </x:c>
      <x:c r="B41" s="71"/>
      <x:c r="C41" s="72"/>
      <x:c r="D41" s="73"/>
      <x:c r="E41" s="74"/>
      <x:c r="F41" s="74"/>
      <x:c r="G41" s="74"/>
      <x:c r="H41" s="74"/>
      <x:c r="I41" s="73"/>
      <x:c r="J41" s="73"/>
      <x:c r="K41" s="73"/>
      <x:c r="L41" s="74"/>
    </x:row>
    <x:row r="42">
      <x:c r="A42" s="70" t="str">
        <x:f>IF(C42="","",ROW()-5)</x:f>
      </x:c>
      <x:c r="B42" s="71"/>
      <x:c r="C42" s="72"/>
      <x:c r="D42" s="73"/>
      <x:c r="E42" s="74"/>
      <x:c r="F42" s="74"/>
      <x:c r="G42" s="74"/>
      <x:c r="H42" s="74"/>
      <x:c r="I42" s="73"/>
      <x:c r="J42" s="73"/>
      <x:c r="K42" s="73"/>
      <x:c r="L42" s="74"/>
    </x:row>
    <x:row r="43">
      <x:c r="A43" s="70" t="str">
        <x:f>IF(C43="","",ROW()-5)</x:f>
      </x:c>
      <x:c r="B43" s="71"/>
      <x:c r="C43" s="72"/>
      <x:c r="D43" s="73"/>
      <x:c r="E43" s="74"/>
      <x:c r="F43" s="74"/>
      <x:c r="G43" s="74"/>
      <x:c r="H43" s="74"/>
      <x:c r="I43" s="73"/>
      <x:c r="J43" s="73"/>
      <x:c r="K43" s="73"/>
      <x:c r="L43" s="74"/>
    </x:row>
    <x:row r="44">
      <x:c r="A44" s="70" t="str">
        <x:f>IF(C44="","",ROW()-5)</x:f>
      </x:c>
      <x:c r="B44" s="71"/>
      <x:c r="C44" s="72"/>
      <x:c r="D44" s="73"/>
      <x:c r="E44" s="74"/>
      <x:c r="F44" s="74"/>
      <x:c r="G44" s="74"/>
      <x:c r="H44" s="74"/>
      <x:c r="I44" s="73"/>
      <x:c r="J44" s="73"/>
      <x:c r="K44" s="73"/>
      <x:c r="L44" s="74"/>
    </x:row>
    <x:row r="45">
      <x:c r="A45" s="70" t="str">
        <x:f>IF(C45="","",ROW()-5)</x:f>
      </x:c>
      <x:c r="B45" s="71"/>
      <x:c r="C45" s="72"/>
      <x:c r="D45" s="73"/>
      <x:c r="E45" s="74"/>
      <x:c r="F45" s="74"/>
      <x:c r="G45" s="74"/>
      <x:c r="H45" s="74"/>
      <x:c r="I45" s="73"/>
      <x:c r="J45" s="73"/>
      <x:c r="K45" s="73"/>
      <x:c r="L45" s="74"/>
    </x:row>
    <x:row r="46">
      <x:c r="A46" s="70" t="str">
        <x:f>IF(C46="","",ROW()-5)</x:f>
      </x:c>
      <x:c r="B46" s="71"/>
      <x:c r="C46" s="72"/>
      <x:c r="D46" s="73"/>
      <x:c r="E46" s="74"/>
      <x:c r="F46" s="74"/>
      <x:c r="G46" s="74"/>
      <x:c r="H46" s="74"/>
      <x:c r="I46" s="73"/>
      <x:c r="J46" s="73"/>
      <x:c r="K46" s="73"/>
      <x:c r="L46" s="74"/>
    </x:row>
    <x:row r="47">
      <x:c r="A47" s="70" t="str">
        <x:f>IF(C47="","",ROW()-5)</x:f>
      </x:c>
      <x:c r="B47" s="71"/>
      <x:c r="C47" s="72"/>
      <x:c r="D47" s="73"/>
      <x:c r="E47" s="74"/>
      <x:c r="F47" s="74"/>
      <x:c r="G47" s="74"/>
      <x:c r="H47" s="74"/>
      <x:c r="I47" s="73"/>
      <x:c r="J47" s="73"/>
      <x:c r="K47" s="73"/>
      <x:c r="L47" s="74"/>
    </x:row>
    <x:row r="48">
      <x:c r="A48" s="70" t="str">
        <x:f>IF(C48="","",ROW()-5)</x:f>
      </x:c>
      <x:c r="B48" s="71"/>
      <x:c r="C48" s="72"/>
      <x:c r="D48" s="73"/>
      <x:c r="E48" s="74"/>
      <x:c r="F48" s="74"/>
      <x:c r="G48" s="74"/>
      <x:c r="H48" s="74"/>
      <x:c r="I48" s="73"/>
      <x:c r="J48" s="73"/>
      <x:c r="K48" s="73"/>
      <x:c r="L48" s="74"/>
    </x:row>
    <x:row r="49">
      <x:c r="A49" s="70" t="str">
        <x:f>IF(C49="","",ROW()-5)</x:f>
      </x:c>
      <x:c r="B49" s="71"/>
      <x:c r="C49" s="72"/>
      <x:c r="D49" s="73"/>
      <x:c r="E49" s="74"/>
      <x:c r="F49" s="74"/>
      <x:c r="G49" s="74"/>
      <x:c r="H49" s="74"/>
      <x:c r="I49" s="73"/>
      <x:c r="J49" s="73"/>
      <x:c r="K49" s="73"/>
      <x:c r="L49" s="74"/>
    </x:row>
    <x:row r="50">
      <x:c r="A50" s="70" t="str">
        <x:f>IF(C50="","",ROW()-5)</x:f>
      </x:c>
      <x:c r="B50" s="71"/>
      <x:c r="C50" s="72"/>
      <x:c r="D50" s="73"/>
      <x:c r="E50" s="74"/>
      <x:c r="F50" s="74"/>
      <x:c r="G50" s="74"/>
      <x:c r="H50" s="74"/>
      <x:c r="I50" s="73"/>
      <x:c r="J50" s="73"/>
      <x:c r="K50" s="73"/>
      <x:c r="L50" s="74"/>
    </x:row>
    <x:row r="51">
      <x:c r="A51" s="70" t="str">
        <x:f>IF(C51="","",ROW()-5)</x:f>
      </x:c>
      <x:c r="B51" s="71"/>
      <x:c r="C51" s="72"/>
      <x:c r="D51" s="73"/>
      <x:c r="E51" s="74"/>
      <x:c r="F51" s="74"/>
      <x:c r="G51" s="74"/>
      <x:c r="H51" s="74"/>
      <x:c r="I51" s="73"/>
      <x:c r="J51" s="73"/>
      <x:c r="K51" s="73"/>
      <x:c r="L51" s="74"/>
    </x:row>
    <x:row r="52">
      <x:c r="A52" s="70" t="str">
        <x:f>IF(C52="","",ROW()-5)</x:f>
      </x:c>
      <x:c r="B52" s="71"/>
      <x:c r="C52" s="72"/>
      <x:c r="D52" s="73"/>
      <x:c r="E52" s="74"/>
      <x:c r="F52" s="74"/>
      <x:c r="G52" s="74"/>
      <x:c r="H52" s="74"/>
      <x:c r="I52" s="73"/>
      <x:c r="J52" s="73"/>
      <x:c r="K52" s="73"/>
      <x:c r="L52" s="74"/>
    </x:row>
    <x:row r="53">
      <x:c r="A53" s="70" t="str">
        <x:f>IF(C53="","",ROW()-5)</x:f>
      </x:c>
      <x:c r="B53" s="71"/>
      <x:c r="C53" s="72"/>
      <x:c r="D53" s="73"/>
      <x:c r="E53" s="74"/>
      <x:c r="F53" s="74"/>
      <x:c r="G53" s="74"/>
      <x:c r="H53" s="74"/>
      <x:c r="I53" s="73"/>
      <x:c r="J53" s="73"/>
      <x:c r="K53" s="73"/>
      <x:c r="L53" s="74"/>
    </x:row>
    <x:row r="54">
      <x:c r="A54" s="70" t="str">
        <x:f>IF(C54="","",ROW()-5)</x:f>
      </x:c>
      <x:c r="B54" s="71"/>
      <x:c r="C54" s="72"/>
      <x:c r="D54" s="73"/>
      <x:c r="E54" s="74"/>
      <x:c r="F54" s="74"/>
      <x:c r="G54" s="74"/>
      <x:c r="H54" s="74"/>
      <x:c r="I54" s="73"/>
      <x:c r="J54" s="73"/>
      <x:c r="K54" s="73"/>
      <x:c r="L54" s="74"/>
    </x:row>
    <x:row r="55">
      <x:c r="A55" s="70" t="str">
        <x:f>IF(C55="","",ROW()-5)</x:f>
      </x:c>
      <x:c r="B55" s="71"/>
      <x:c r="C55" s="72"/>
      <x:c r="D55" s="73"/>
      <x:c r="E55" s="74"/>
      <x:c r="F55" s="74"/>
      <x:c r="G55" s="74"/>
      <x:c r="H55" s="74"/>
      <x:c r="I55" s="73"/>
      <x:c r="J55" s="73"/>
      <x:c r="K55" s="73"/>
      <x:c r="L55" s="74"/>
    </x:row>
    <x:row r="56">
      <x:c r="A56" s="70" t="str">
        <x:f>IF(C56="","",ROW()-5)</x:f>
      </x:c>
      <x:c r="B56" s="71"/>
      <x:c r="C56" s="72"/>
      <x:c r="D56" s="73"/>
      <x:c r="E56" s="74"/>
      <x:c r="F56" s="74"/>
      <x:c r="G56" s="74"/>
      <x:c r="H56" s="74"/>
      <x:c r="I56" s="73"/>
      <x:c r="J56" s="73"/>
      <x:c r="K56" s="73"/>
      <x:c r="L56" s="74"/>
    </x:row>
    <x:row r="57">
      <x:c r="A57" s="70" t="str">
        <x:f>IF(C57="","",ROW()-5)</x:f>
      </x:c>
      <x:c r="B57" s="71"/>
      <x:c r="C57" s="72"/>
      <x:c r="D57" s="73"/>
      <x:c r="E57" s="74"/>
      <x:c r="F57" s="74"/>
      <x:c r="G57" s="74"/>
      <x:c r="H57" s="74"/>
      <x:c r="I57" s="73"/>
      <x:c r="J57" s="73"/>
      <x:c r="K57" s="73"/>
      <x:c r="L57" s="74"/>
    </x:row>
    <x:row r="58">
      <x:c r="A58" s="70" t="str">
        <x:f>IF(C58="","",ROW()-5)</x:f>
      </x:c>
      <x:c r="B58" s="71"/>
      <x:c r="C58" s="72"/>
      <x:c r="D58" s="73"/>
      <x:c r="E58" s="74"/>
      <x:c r="F58" s="74"/>
      <x:c r="G58" s="74"/>
      <x:c r="H58" s="74"/>
      <x:c r="I58" s="73"/>
      <x:c r="J58" s="73"/>
      <x:c r="K58" s="73"/>
      <x:c r="L58" s="74"/>
    </x:row>
    <x:row r="59">
      <x:c r="A59" s="70" t="str">
        <x:f>IF(C59="","",ROW()-5)</x:f>
      </x:c>
      <x:c r="B59" s="71"/>
      <x:c r="C59" s="72"/>
      <x:c r="D59" s="73"/>
      <x:c r="E59" s="74"/>
      <x:c r="F59" s="74"/>
      <x:c r="G59" s="74"/>
      <x:c r="H59" s="74"/>
      <x:c r="I59" s="73"/>
      <x:c r="J59" s="73"/>
      <x:c r="K59" s="73"/>
      <x:c r="L59" s="74"/>
    </x:row>
    <x:row r="60">
      <x:c r="A60" s="70" t="str">
        <x:f>IF(C60="","",ROW()-5)</x:f>
      </x:c>
      <x:c r="B60" s="71"/>
      <x:c r="C60" s="72"/>
      <x:c r="D60" s="73"/>
      <x:c r="E60" s="74"/>
      <x:c r="F60" s="74"/>
      <x:c r="G60" s="74"/>
      <x:c r="H60" s="74"/>
      <x:c r="I60" s="73"/>
      <x:c r="J60" s="73"/>
      <x:c r="K60" s="73"/>
      <x:c r="L60" s="74"/>
    </x:row>
    <x:row r="61">
      <x:c r="A61" s="70" t="str">
        <x:f>IF(C61="","",ROW()-5)</x:f>
      </x:c>
      <x:c r="B61" s="71"/>
      <x:c r="C61" s="72"/>
      <x:c r="D61" s="73"/>
      <x:c r="E61" s="74"/>
      <x:c r="F61" s="74"/>
      <x:c r="G61" s="74"/>
      <x:c r="H61" s="74"/>
      <x:c r="I61" s="73"/>
      <x:c r="J61" s="73"/>
      <x:c r="K61" s="73"/>
      <x:c r="L61" s="74"/>
    </x:row>
    <x:row r="62">
      <x:c r="A62" s="70" t="str">
        <x:f>IF(C62="","",ROW()-5)</x:f>
      </x:c>
      <x:c r="B62" s="71"/>
      <x:c r="C62" s="72"/>
      <x:c r="D62" s="73"/>
      <x:c r="E62" s="74"/>
      <x:c r="F62" s="74"/>
      <x:c r="G62" s="74"/>
      <x:c r="H62" s="74"/>
      <x:c r="I62" s="73"/>
      <x:c r="J62" s="73"/>
      <x:c r="K62" s="73"/>
      <x:c r="L62" s="74"/>
    </x:row>
    <x:row r="63">
      <x:c r="A63" s="70" t="str">
        <x:f>IF(C63="","",ROW()-5)</x:f>
      </x:c>
      <x:c r="B63" s="71"/>
      <x:c r="C63" s="72"/>
      <x:c r="D63" s="73"/>
      <x:c r="E63" s="74"/>
      <x:c r="F63" s="74"/>
      <x:c r="G63" s="74"/>
      <x:c r="H63" s="74"/>
      <x:c r="I63" s="73"/>
      <x:c r="J63" s="73"/>
      <x:c r="K63" s="73"/>
      <x:c r="L63" s="74"/>
    </x:row>
    <x:row r="64">
      <x:c r="A64" s="70" t="str">
        <x:f>IF(C64="","",ROW()-5)</x:f>
      </x:c>
      <x:c r="B64" s="71"/>
      <x:c r="C64" s="72"/>
      <x:c r="D64" s="73"/>
      <x:c r="E64" s="74"/>
      <x:c r="F64" s="74"/>
      <x:c r="G64" s="74"/>
      <x:c r="H64" s="74"/>
      <x:c r="I64" s="73"/>
      <x:c r="J64" s="73"/>
      <x:c r="K64" s="73"/>
      <x:c r="L64" s="74"/>
    </x:row>
    <x:row r="65">
      <x:c r="A65" s="70" t="str">
        <x:f>IF(C65="","",ROW()-5)</x:f>
      </x:c>
      <x:c r="B65" s="71"/>
      <x:c r="C65" s="72"/>
      <x:c r="D65" s="73"/>
      <x:c r="E65" s="74"/>
      <x:c r="F65" s="74"/>
      <x:c r="G65" s="74"/>
      <x:c r="H65" s="74"/>
      <x:c r="I65" s="73"/>
      <x:c r="J65" s="73"/>
      <x:c r="K65" s="73"/>
      <x:c r="L65" s="74"/>
    </x:row>
    <x:row r="66">
      <x:c r="A66" s="70" t="str">
        <x:f>IF(C66="","",ROW()-5)</x:f>
      </x:c>
      <x:c r="B66" s="71"/>
      <x:c r="C66" s="72"/>
      <x:c r="D66" s="73"/>
      <x:c r="E66" s="74"/>
      <x:c r="F66" s="74"/>
      <x:c r="G66" s="74"/>
      <x:c r="H66" s="74"/>
      <x:c r="I66" s="73"/>
      <x:c r="J66" s="73"/>
      <x:c r="K66" s="73"/>
      <x:c r="L66" s="74"/>
    </x:row>
    <x:row r="67">
      <x:c r="A67" s="70" t="str">
        <x:f>IF(C67="","",ROW()-5)</x:f>
      </x:c>
      <x:c r="B67" s="71"/>
      <x:c r="C67" s="72"/>
      <x:c r="D67" s="73"/>
      <x:c r="E67" s="74"/>
      <x:c r="F67" s="74"/>
      <x:c r="G67" s="74"/>
      <x:c r="H67" s="74"/>
      <x:c r="I67" s="73"/>
      <x:c r="J67" s="73"/>
      <x:c r="K67" s="73"/>
      <x:c r="L67" s="74"/>
    </x:row>
    <x:row r="68">
      <x:c r="A68" s="70" t="str">
        <x:f>IF(C68="","",ROW()-5)</x:f>
      </x:c>
      <x:c r="B68" s="71"/>
      <x:c r="C68" s="72"/>
      <x:c r="D68" s="73"/>
      <x:c r="E68" s="74"/>
      <x:c r="F68" s="74"/>
      <x:c r="G68" s="74"/>
      <x:c r="H68" s="74"/>
      <x:c r="I68" s="73"/>
      <x:c r="J68" s="73"/>
      <x:c r="K68" s="73"/>
      <x:c r="L68" s="74"/>
    </x:row>
    <x:row r="69">
      <x:c r="A69" s="70" t="str">
        <x:f>IF(C69="","",ROW()-5)</x:f>
      </x:c>
      <x:c r="B69" s="71"/>
      <x:c r="C69" s="72"/>
      <x:c r="D69" s="73"/>
      <x:c r="E69" s="74"/>
      <x:c r="F69" s="74"/>
      <x:c r="G69" s="74"/>
      <x:c r="H69" s="74"/>
      <x:c r="I69" s="73"/>
      <x:c r="J69" s="73"/>
      <x:c r="K69" s="73"/>
      <x:c r="L69" s="74"/>
    </x:row>
    <x:row r="70">
      <x:c r="A70" s="70" t="str">
        <x:f>IF(C70="","",ROW()-5)</x:f>
      </x:c>
      <x:c r="B70" s="71"/>
      <x:c r="C70" s="72"/>
      <x:c r="D70" s="73"/>
      <x:c r="E70" s="74"/>
      <x:c r="F70" s="74"/>
      <x:c r="G70" s="74"/>
      <x:c r="H70" s="74"/>
      <x:c r="I70" s="73"/>
      <x:c r="J70" s="73"/>
      <x:c r="K70" s="73"/>
      <x:c r="L70" s="74"/>
    </x:row>
    <x:row r="71">
      <x:c r="A71" s="70" t="str">
        <x:f>IF(C71="","",ROW()-5)</x:f>
      </x:c>
      <x:c r="B71" s="71"/>
      <x:c r="C71" s="72"/>
      <x:c r="D71" s="73"/>
      <x:c r="E71" s="74"/>
      <x:c r="F71" s="74"/>
      <x:c r="G71" s="74"/>
      <x:c r="H71" s="74"/>
      <x:c r="I71" s="73"/>
      <x:c r="J71" s="73"/>
      <x:c r="K71" s="73"/>
      <x:c r="L71" s="74"/>
    </x:row>
    <x:row r="72">
      <x:c r="A72" s="70" t="str">
        <x:f>IF(C72="","",ROW()-5)</x:f>
      </x:c>
      <x:c r="B72" s="71"/>
      <x:c r="C72" s="72"/>
      <x:c r="D72" s="73"/>
      <x:c r="E72" s="74"/>
      <x:c r="F72" s="74"/>
      <x:c r="G72" s="74"/>
      <x:c r="H72" s="74"/>
      <x:c r="I72" s="73"/>
      <x:c r="J72" s="73"/>
      <x:c r="K72" s="73"/>
      <x:c r="L72" s="74"/>
    </x:row>
    <x:row r="73">
      <x:c r="A73" s="70" t="str">
        <x:f>IF(C73="","",ROW()-5)</x:f>
      </x:c>
      <x:c r="B73" s="71"/>
      <x:c r="C73" s="72"/>
      <x:c r="D73" s="73"/>
      <x:c r="E73" s="74"/>
      <x:c r="F73" s="74"/>
      <x:c r="G73" s="74"/>
      <x:c r="H73" s="74"/>
      <x:c r="I73" s="73"/>
      <x:c r="J73" s="73"/>
      <x:c r="K73" s="73"/>
      <x:c r="L73" s="74"/>
    </x:row>
    <x:row r="74">
      <x:c r="A74" s="70" t="str">
        <x:f>IF(C74="","",ROW()-5)</x:f>
      </x:c>
      <x:c r="B74" s="71"/>
      <x:c r="C74" s="72"/>
      <x:c r="D74" s="73"/>
      <x:c r="E74" s="74"/>
      <x:c r="F74" s="74"/>
      <x:c r="G74" s="74"/>
      <x:c r="H74" s="74"/>
      <x:c r="I74" s="73"/>
      <x:c r="J74" s="73"/>
      <x:c r="K74" s="73"/>
      <x:c r="L74" s="74"/>
    </x:row>
    <x:row r="75">
      <x:c r="A75" s="70" t="str">
        <x:f>IF(C75="","",ROW()-5)</x:f>
      </x:c>
      <x:c r="B75" s="71"/>
      <x:c r="C75" s="72"/>
      <x:c r="D75" s="73"/>
      <x:c r="E75" s="74"/>
      <x:c r="F75" s="74"/>
      <x:c r="G75" s="74"/>
      <x:c r="H75" s="74"/>
      <x:c r="I75" s="73"/>
      <x:c r="J75" s="73"/>
      <x:c r="K75" s="73"/>
      <x:c r="L75" s="74"/>
    </x:row>
    <x:row r="76">
      <x:c r="A76" s="70" t="str">
        <x:f>IF(C76="","",ROW()-5)</x:f>
      </x:c>
      <x:c r="B76" s="71"/>
      <x:c r="C76" s="72"/>
      <x:c r="D76" s="73"/>
      <x:c r="E76" s="74"/>
      <x:c r="F76" s="74"/>
      <x:c r="G76" s="74"/>
      <x:c r="H76" s="74"/>
      <x:c r="I76" s="73"/>
      <x:c r="J76" s="73"/>
      <x:c r="K76" s="73"/>
      <x:c r="L76" s="74"/>
    </x:row>
    <x:row r="77">
      <x:c r="A77" s="70" t="str">
        <x:f>IF(C77="","",ROW()-5)</x:f>
      </x:c>
      <x:c r="B77" s="71"/>
      <x:c r="C77" s="72"/>
      <x:c r="D77" s="73"/>
      <x:c r="E77" s="74"/>
      <x:c r="F77" s="74"/>
      <x:c r="G77" s="74"/>
      <x:c r="H77" s="74"/>
      <x:c r="I77" s="73"/>
      <x:c r="J77" s="73"/>
      <x:c r="K77" s="73"/>
      <x:c r="L77" s="74"/>
    </x:row>
    <x:row r="78">
      <x:c r="A78" s="70" t="str">
        <x:f>IF(C78="","",ROW()-5)</x:f>
      </x:c>
      <x:c r="B78" s="71"/>
      <x:c r="C78" s="72"/>
      <x:c r="D78" s="73"/>
      <x:c r="E78" s="74"/>
      <x:c r="F78" s="74"/>
      <x:c r="G78" s="74"/>
      <x:c r="H78" s="74"/>
      <x:c r="I78" s="73"/>
      <x:c r="J78" s="73"/>
      <x:c r="K78" s="73"/>
      <x:c r="L78" s="74"/>
    </x:row>
    <x:row r="79">
      <x:c r="A79" s="70" t="str">
        <x:f>IF(C79="","",ROW()-5)</x:f>
      </x:c>
      <x:c r="B79" s="71"/>
      <x:c r="C79" s="72"/>
      <x:c r="D79" s="73"/>
      <x:c r="E79" s="74"/>
      <x:c r="F79" s="74"/>
      <x:c r="G79" s="74"/>
      <x:c r="H79" s="74"/>
      <x:c r="I79" s="73"/>
      <x:c r="J79" s="73"/>
      <x:c r="K79" s="73"/>
      <x:c r="L79" s="74"/>
    </x:row>
    <x:row r="80">
      <x:c r="A80" s="70" t="str">
        <x:f>IF(C80="","",ROW()-5)</x:f>
      </x:c>
      <x:c r="B80" s="71"/>
      <x:c r="C80" s="72"/>
      <x:c r="D80" s="73"/>
      <x:c r="E80" s="74"/>
      <x:c r="F80" s="74"/>
      <x:c r="G80" s="74"/>
      <x:c r="H80" s="74"/>
      <x:c r="I80" s="73"/>
      <x:c r="J80" s="73"/>
      <x:c r="K80" s="73"/>
      <x:c r="L80" s="74"/>
    </x:row>
    <x:row r="81">
      <x:c r="A81" s="70" t="str">
        <x:f>IF(C81="","",ROW()-5)</x:f>
      </x:c>
      <x:c r="B81" s="71"/>
      <x:c r="C81" s="72"/>
      <x:c r="D81" s="73"/>
      <x:c r="E81" s="74"/>
      <x:c r="F81" s="74"/>
      <x:c r="G81" s="74"/>
      <x:c r="H81" s="74"/>
      <x:c r="I81" s="73"/>
      <x:c r="J81" s="73"/>
      <x:c r="K81" s="73"/>
      <x:c r="L81" s="74"/>
    </x:row>
    <x:row r="82">
      <x:c r="A82" s="70" t="str">
        <x:f>IF(C82="","",ROW()-5)</x:f>
      </x:c>
      <x:c r="B82" s="71"/>
      <x:c r="C82" s="72"/>
      <x:c r="D82" s="73"/>
      <x:c r="E82" s="74"/>
      <x:c r="F82" s="74"/>
      <x:c r="G82" s="74"/>
      <x:c r="H82" s="74"/>
      <x:c r="I82" s="73"/>
      <x:c r="J82" s="73"/>
      <x:c r="K82" s="73"/>
      <x:c r="L82" s="74"/>
    </x:row>
    <x:row r="83">
      <x:c r="A83" s="70" t="str">
        <x:f>IF(C83="","",ROW()-5)</x:f>
      </x:c>
      <x:c r="B83" s="71"/>
      <x:c r="C83" s="72"/>
      <x:c r="D83" s="73"/>
      <x:c r="E83" s="74"/>
      <x:c r="F83" s="74"/>
      <x:c r="G83" s="74"/>
      <x:c r="H83" s="74"/>
      <x:c r="I83" s="73"/>
      <x:c r="J83" s="73"/>
      <x:c r="K83" s="73"/>
      <x:c r="L83" s="74"/>
    </x:row>
    <x:row r="84">
      <x:c r="A84" s="70" t="str">
        <x:f>IF(C84="","",ROW()-5)</x:f>
      </x:c>
      <x:c r="B84" s="71"/>
      <x:c r="C84" s="72"/>
      <x:c r="D84" s="73"/>
      <x:c r="E84" s="74"/>
      <x:c r="F84" s="74"/>
      <x:c r="G84" s="74"/>
      <x:c r="H84" s="74"/>
      <x:c r="I84" s="73"/>
      <x:c r="J84" s="73"/>
      <x:c r="K84" s="73"/>
      <x:c r="L84" s="74"/>
    </x:row>
    <x:row r="85">
      <x:c r="A85" s="70" t="str">
        <x:f>IF(C85="","",ROW()-5)</x:f>
      </x:c>
      <x:c r="B85" s="71"/>
      <x:c r="C85" s="72"/>
      <x:c r="D85" s="73"/>
      <x:c r="E85" s="74"/>
      <x:c r="F85" s="74"/>
      <x:c r="G85" s="74"/>
      <x:c r="H85" s="74"/>
      <x:c r="I85" s="73"/>
      <x:c r="J85" s="73"/>
      <x:c r="K85" s="73"/>
      <x:c r="L85" s="74"/>
    </x:row>
    <x:row r="86">
      <x:c r="A86" s="70" t="str">
        <x:f>IF(C86="","",ROW()-5)</x:f>
      </x:c>
      <x:c r="B86" s="71"/>
      <x:c r="C86" s="72"/>
      <x:c r="D86" s="73"/>
      <x:c r="E86" s="74"/>
      <x:c r="F86" s="74"/>
      <x:c r="G86" s="74"/>
      <x:c r="H86" s="74"/>
      <x:c r="I86" s="73"/>
      <x:c r="J86" s="73"/>
      <x:c r="K86" s="73"/>
      <x:c r="L86" s="74"/>
    </x:row>
    <x:row r="87">
      <x:c r="A87" s="70" t="str">
        <x:f>IF(C87="","",ROW()-5)</x:f>
      </x:c>
      <x:c r="B87" s="71"/>
      <x:c r="C87" s="72"/>
      <x:c r="D87" s="73"/>
      <x:c r="E87" s="74"/>
      <x:c r="F87" s="74"/>
      <x:c r="G87" s="74"/>
      <x:c r="H87" s="74"/>
      <x:c r="I87" s="73"/>
      <x:c r="J87" s="73"/>
      <x:c r="K87" s="73"/>
      <x:c r="L87" s="74"/>
    </x:row>
    <x:row r="88">
      <x:c r="A88" s="70" t="str">
        <x:f>IF(C88="","",ROW()-5)</x:f>
      </x:c>
      <x:c r="B88" s="71"/>
      <x:c r="C88" s="72"/>
      <x:c r="D88" s="73"/>
      <x:c r="E88" s="74"/>
      <x:c r="F88" s="74"/>
      <x:c r="G88" s="74"/>
      <x:c r="H88" s="74"/>
      <x:c r="I88" s="73"/>
      <x:c r="J88" s="73"/>
      <x:c r="K88" s="73"/>
      <x:c r="L88" s="74"/>
    </x:row>
    <x:row r="89">
      <x:c r="A89" s="70" t="str">
        <x:f>IF(C89="","",ROW()-5)</x:f>
      </x:c>
      <x:c r="B89" s="71"/>
      <x:c r="C89" s="72"/>
      <x:c r="D89" s="73"/>
      <x:c r="E89" s="74"/>
      <x:c r="F89" s="74"/>
      <x:c r="G89" s="74"/>
      <x:c r="H89" s="74"/>
      <x:c r="I89" s="73"/>
      <x:c r="J89" s="73"/>
      <x:c r="K89" s="73"/>
      <x:c r="L89" s="74"/>
    </x:row>
    <x:row r="90">
      <x:c r="A90" s="70" t="str">
        <x:f>IF(C90="","",ROW()-5)</x:f>
      </x:c>
      <x:c r="B90" s="71"/>
      <x:c r="C90" s="72"/>
      <x:c r="D90" s="73"/>
      <x:c r="E90" s="74"/>
      <x:c r="F90" s="74"/>
      <x:c r="G90" s="74"/>
      <x:c r="H90" s="74"/>
      <x:c r="I90" s="73"/>
      <x:c r="J90" s="73"/>
      <x:c r="K90" s="73"/>
      <x:c r="L90" s="74"/>
    </x:row>
    <x:row r="91">
      <x:c r="A91" s="70" t="str">
        <x:f>IF(C91="","",ROW()-5)</x:f>
      </x:c>
      <x:c r="B91" s="71"/>
      <x:c r="C91" s="72"/>
      <x:c r="D91" s="73"/>
      <x:c r="E91" s="74"/>
      <x:c r="F91" s="74"/>
      <x:c r="G91" s="74"/>
      <x:c r="H91" s="74"/>
      <x:c r="I91" s="73"/>
      <x:c r="J91" s="73"/>
      <x:c r="K91" s="73"/>
      <x:c r="L91" s="74"/>
    </x:row>
    <x:row r="92">
      <x:c r="A92" s="70" t="str">
        <x:f>IF(C92="","",ROW()-5)</x:f>
      </x:c>
      <x:c r="B92" s="71"/>
      <x:c r="C92" s="72"/>
      <x:c r="D92" s="73"/>
      <x:c r="E92" s="74"/>
      <x:c r="F92" s="74"/>
      <x:c r="G92" s="74"/>
      <x:c r="H92" s="74"/>
      <x:c r="I92" s="73"/>
      <x:c r="J92" s="73"/>
      <x:c r="K92" s="73"/>
      <x:c r="L92" s="74"/>
    </x:row>
    <x:row r="93">
      <x:c r="A93" s="70" t="str">
        <x:f>IF(C93="","",ROW()-5)</x:f>
      </x:c>
      <x:c r="B93" s="71"/>
      <x:c r="C93" s="72"/>
      <x:c r="D93" s="73"/>
      <x:c r="E93" s="74"/>
      <x:c r="F93" s="74"/>
      <x:c r="G93" s="74"/>
      <x:c r="H93" s="74"/>
      <x:c r="I93" s="73"/>
      <x:c r="J93" s="73"/>
      <x:c r="K93" s="73"/>
      <x:c r="L93" s="74"/>
    </x:row>
    <x:row r="94">
      <x:c r="A94" s="70" t="str">
        <x:f>IF(C94="","",ROW()-5)</x:f>
      </x:c>
      <x:c r="B94" s="71"/>
      <x:c r="C94" s="72"/>
      <x:c r="D94" s="73"/>
      <x:c r="E94" s="74"/>
      <x:c r="F94" s="74"/>
      <x:c r="G94" s="74"/>
      <x:c r="H94" s="74"/>
      <x:c r="I94" s="73"/>
      <x:c r="J94" s="73"/>
      <x:c r="K94" s="73"/>
      <x:c r="L94" s="74"/>
    </x:row>
    <x:row r="95">
      <x:c r="A95" s="70" t="str">
        <x:f>IF(C95="","",ROW()-5)</x:f>
      </x:c>
      <x:c r="B95" s="71"/>
      <x:c r="C95" s="72"/>
      <x:c r="D95" s="73"/>
      <x:c r="E95" s="74"/>
      <x:c r="F95" s="74"/>
      <x:c r="G95" s="74"/>
      <x:c r="H95" s="74"/>
      <x:c r="I95" s="73"/>
      <x:c r="J95" s="73"/>
      <x:c r="K95" s="73"/>
      <x:c r="L95" s="74"/>
    </x:row>
    <x:row r="96">
      <x:c r="A96" s="70" t="str">
        <x:f>IF(C96="","",ROW()-5)</x:f>
      </x:c>
      <x:c r="B96" s="71"/>
      <x:c r="C96" s="72"/>
      <x:c r="D96" s="73"/>
      <x:c r="E96" s="74"/>
      <x:c r="F96" s="74"/>
      <x:c r="G96" s="74"/>
      <x:c r="H96" s="74"/>
      <x:c r="I96" s="73"/>
      <x:c r="J96" s="73"/>
      <x:c r="K96" s="73"/>
      <x:c r="L96" s="74"/>
    </x:row>
    <x:row r="97">
      <x:c r="A97" s="70" t="str">
        <x:f>IF(C97="","",ROW()-5)</x:f>
      </x:c>
      <x:c r="B97" s="71"/>
      <x:c r="C97" s="72"/>
      <x:c r="D97" s="73"/>
      <x:c r="E97" s="74"/>
      <x:c r="F97" s="74"/>
      <x:c r="G97" s="74"/>
      <x:c r="H97" s="74"/>
      <x:c r="I97" s="73"/>
      <x:c r="J97" s="73"/>
      <x:c r="K97" s="73"/>
      <x:c r="L97" s="74"/>
    </x:row>
    <x:row r="98">
      <x:c r="A98" s="70" t="str">
        <x:f>IF(C98="","",ROW()-5)</x:f>
      </x:c>
      <x:c r="B98" s="71"/>
      <x:c r="C98" s="72"/>
      <x:c r="D98" s="73"/>
      <x:c r="E98" s="74"/>
      <x:c r="F98" s="74"/>
      <x:c r="G98" s="74"/>
      <x:c r="H98" s="74"/>
      <x:c r="I98" s="73"/>
      <x:c r="J98" s="73"/>
      <x:c r="K98" s="73"/>
      <x:c r="L98" s="74"/>
    </x:row>
    <x:row r="99">
      <x:c r="A99" s="70" t="str">
        <x:f>IF(C99="","",ROW()-5)</x:f>
      </x:c>
      <x:c r="B99" s="71"/>
      <x:c r="C99" s="72"/>
      <x:c r="D99" s="73"/>
      <x:c r="E99" s="74"/>
      <x:c r="F99" s="74"/>
      <x:c r="G99" s="74"/>
      <x:c r="H99" s="74"/>
      <x:c r="I99" s="73"/>
      <x:c r="J99" s="73"/>
      <x:c r="K99" s="73"/>
      <x:c r="L99" s="74"/>
    </x:row>
    <x:row r="100">
      <x:c r="A100" s="70" t="str">
        <x:f>IF(C100="","",ROW()-5)</x:f>
      </x:c>
      <x:c r="B100" s="71"/>
      <x:c r="C100" s="72"/>
      <x:c r="D100" s="73"/>
      <x:c r="E100" s="74"/>
      <x:c r="F100" s="74"/>
      <x:c r="G100" s="74"/>
      <x:c r="H100" s="74"/>
      <x:c r="I100" s="73"/>
      <x:c r="J100" s="73"/>
      <x:c r="K100" s="73"/>
      <x:c r="L100" s="74"/>
    </x:row>
    <x:row r="101">
      <x:c r="A101" s="70" t="str">
        <x:f>IF(C101="","",ROW()-5)</x:f>
      </x:c>
      <x:c r="B101" s="71"/>
      <x:c r="C101" s="72"/>
      <x:c r="D101" s="73"/>
      <x:c r="E101" s="74"/>
      <x:c r="F101" s="74"/>
      <x:c r="G101" s="74"/>
      <x:c r="H101" s="74"/>
      <x:c r="I101" s="73"/>
      <x:c r="J101" s="73"/>
      <x:c r="K101" s="73"/>
      <x:c r="L101" s="74"/>
    </x:row>
    <x:row r="102">
      <x:c r="A102" s="70" t="str">
        <x:f>IF(C102="","",ROW()-5)</x:f>
      </x:c>
      <x:c r="B102" s="71"/>
      <x:c r="C102" s="72"/>
      <x:c r="D102" s="73"/>
      <x:c r="E102" s="74"/>
      <x:c r="F102" s="74"/>
      <x:c r="G102" s="74"/>
      <x:c r="H102" s="74"/>
      <x:c r="I102" s="73"/>
      <x:c r="J102" s="73"/>
      <x:c r="K102" s="73"/>
      <x:c r="L102" s="74"/>
    </x:row>
    <x:row r="103">
      <x:c r="A103" s="70" t="str">
        <x:f>IF(C103="","",ROW()-5)</x:f>
      </x:c>
      <x:c r="B103" s="71"/>
      <x:c r="C103" s="72"/>
      <x:c r="D103" s="73"/>
      <x:c r="E103" s="74"/>
      <x:c r="F103" s="74"/>
      <x:c r="G103" s="74"/>
      <x:c r="H103" s="74"/>
      <x:c r="I103" s="73"/>
      <x:c r="J103" s="73"/>
      <x:c r="K103" s="73"/>
      <x:c r="L103" s="74"/>
    </x:row>
    <x:row r="104">
      <x:c r="A104" s="70" t="str">
        <x:f>IF(C104="","",ROW()-5)</x:f>
      </x:c>
      <x:c r="B104" s="71"/>
      <x:c r="C104" s="72"/>
      <x:c r="D104" s="73"/>
      <x:c r="E104" s="74"/>
      <x:c r="F104" s="74"/>
      <x:c r="G104" s="74"/>
      <x:c r="H104" s="74"/>
      <x:c r="I104" s="73"/>
      <x:c r="J104" s="73"/>
      <x:c r="K104" s="73"/>
      <x:c r="L104" s="74"/>
    </x:row>
    <x:row r="105">
      <x:c r="A105" s="70" t="str">
        <x:f>IF(C105="","",ROW()-5)</x:f>
      </x:c>
      <x:c r="B105" s="71"/>
      <x:c r="C105" s="72"/>
      <x:c r="D105" s="73"/>
      <x:c r="E105" s="74"/>
      <x:c r="F105" s="74"/>
      <x:c r="G105" s="74"/>
      <x:c r="H105" s="74"/>
      <x:c r="I105" s="73"/>
      <x:c r="J105" s="73"/>
      <x:c r="K105" s="73"/>
      <x:c r="L105" s="74"/>
    </x:row>
    <x:row r="106">
      <x:c r="A106" s="70" t="str">
        <x:f>IF(C106="","",ROW()-5)</x:f>
      </x:c>
      <x:c r="B106" s="71"/>
      <x:c r="C106" s="72"/>
      <x:c r="D106" s="73"/>
      <x:c r="E106" s="74"/>
      <x:c r="F106" s="74"/>
      <x:c r="G106" s="74"/>
      <x:c r="H106" s="74"/>
      <x:c r="I106" s="73"/>
      <x:c r="J106" s="73"/>
      <x:c r="K106" s="73"/>
      <x:c r="L106" s="74"/>
    </x:row>
    <x:row r="107">
      <x:c r="A107" s="70" t="str">
        <x:f>IF(C107="","",ROW()-5)</x:f>
      </x:c>
      <x:c r="B107" s="71"/>
      <x:c r="C107" s="72"/>
      <x:c r="D107" s="73"/>
      <x:c r="E107" s="74"/>
      <x:c r="F107" s="74"/>
      <x:c r="G107" s="74"/>
      <x:c r="H107" s="74"/>
      <x:c r="I107" s="73"/>
      <x:c r="J107" s="73"/>
      <x:c r="K107" s="73"/>
      <x:c r="L107" s="74"/>
    </x:row>
    <x:row r="108">
      <x:c r="A108" s="70" t="str">
        <x:f>IF(C108="","",ROW()-5)</x:f>
      </x:c>
      <x:c r="B108" s="71"/>
      <x:c r="C108" s="72"/>
      <x:c r="D108" s="73"/>
      <x:c r="E108" s="74"/>
      <x:c r="F108" s="74"/>
      <x:c r="G108" s="74"/>
      <x:c r="H108" s="74"/>
      <x:c r="I108" s="73"/>
      <x:c r="J108" s="73"/>
      <x:c r="K108" s="73"/>
      <x:c r="L108" s="74"/>
    </x:row>
    <x:row r="109">
      <x:c r="A109" s="70" t="str">
        <x:f>IF(C109="","",ROW()-5)</x:f>
      </x:c>
      <x:c r="B109" s="71"/>
      <x:c r="C109" s="72"/>
      <x:c r="D109" s="73"/>
      <x:c r="E109" s="74"/>
      <x:c r="F109" s="74"/>
      <x:c r="G109" s="74"/>
      <x:c r="H109" s="74"/>
      <x:c r="I109" s="73"/>
      <x:c r="J109" s="73"/>
      <x:c r="K109" s="73"/>
      <x:c r="L109" s="74"/>
    </x:row>
    <x:row r="110">
      <x:c r="A110" s="70" t="str">
        <x:f>IF(C110="","",ROW()-5)</x:f>
      </x:c>
      <x:c r="B110" s="71"/>
      <x:c r="C110" s="72"/>
      <x:c r="D110" s="73"/>
      <x:c r="E110" s="74"/>
      <x:c r="F110" s="74"/>
      <x:c r="G110" s="74"/>
      <x:c r="H110" s="74"/>
      <x:c r="I110" s="73"/>
      <x:c r="J110" s="73"/>
      <x:c r="K110" s="73"/>
      <x:c r="L110" s="74"/>
    </x:row>
    <x:row r="111">
      <x:c r="A111" s="70" t="str">
        <x:f>IF(C111="","",ROW()-5)</x:f>
      </x:c>
      <x:c r="B111" s="71"/>
      <x:c r="C111" s="72"/>
      <x:c r="D111" s="73"/>
      <x:c r="E111" s="74"/>
      <x:c r="F111" s="74"/>
      <x:c r="G111" s="74"/>
      <x:c r="H111" s="74"/>
      <x:c r="I111" s="73"/>
      <x:c r="J111" s="73"/>
      <x:c r="K111" s="73"/>
      <x:c r="L111" s="74"/>
    </x:row>
    <x:row r="112">
      <x:c r="A112" s="70" t="str">
        <x:f>IF(C112="","",ROW()-5)</x:f>
      </x:c>
      <x:c r="B112" s="71"/>
      <x:c r="C112" s="72"/>
      <x:c r="D112" s="73"/>
      <x:c r="E112" s="74"/>
      <x:c r="F112" s="74"/>
      <x:c r="G112" s="74"/>
      <x:c r="H112" s="74"/>
      <x:c r="I112" s="73"/>
      <x:c r="J112" s="73"/>
      <x:c r="K112" s="73"/>
      <x:c r="L112" s="74"/>
    </x:row>
    <x:row r="113">
      <x:c r="A113" s="70" t="str">
        <x:f>IF(C113="","",ROW()-5)</x:f>
      </x:c>
      <x:c r="B113" s="71"/>
      <x:c r="C113" s="72"/>
      <x:c r="D113" s="73"/>
      <x:c r="E113" s="74"/>
      <x:c r="F113" s="74"/>
      <x:c r="G113" s="74"/>
      <x:c r="H113" s="74"/>
      <x:c r="I113" s="73"/>
      <x:c r="J113" s="73"/>
      <x:c r="K113" s="73"/>
      <x:c r="L113" s="74"/>
    </x:row>
    <x:row r="114">
      <x:c r="A114" s="70" t="str">
        <x:f>IF(C114="","",ROW()-5)</x:f>
      </x:c>
      <x:c r="B114" s="71"/>
      <x:c r="C114" s="72"/>
      <x:c r="D114" s="73"/>
      <x:c r="E114" s="74"/>
      <x:c r="F114" s="74"/>
      <x:c r="G114" s="74"/>
      <x:c r="H114" s="74"/>
      <x:c r="I114" s="73"/>
      <x:c r="J114" s="73"/>
      <x:c r="K114" s="73"/>
      <x:c r="L114" s="74"/>
    </x:row>
    <x:row r="115">
      <x:c r="A115" s="70" t="str">
        <x:f>IF(C115="","",ROW()-5)</x:f>
      </x:c>
      <x:c r="B115" s="71"/>
      <x:c r="C115" s="72"/>
      <x:c r="D115" s="73"/>
      <x:c r="E115" s="74"/>
      <x:c r="F115" s="74"/>
      <x:c r="G115" s="74"/>
      <x:c r="H115" s="74"/>
      <x:c r="I115" s="73"/>
      <x:c r="J115" s="73"/>
      <x:c r="K115" s="73"/>
      <x:c r="L115" s="74"/>
    </x:row>
    <x:row r="116">
      <x:c r="A116" s="70" t="str">
        <x:f>IF(C116="","",ROW()-5)</x:f>
      </x:c>
      <x:c r="B116" s="71"/>
      <x:c r="C116" s="72"/>
      <x:c r="D116" s="73"/>
      <x:c r="E116" s="74"/>
      <x:c r="F116" s="74"/>
      <x:c r="G116" s="74"/>
      <x:c r="H116" s="74"/>
      <x:c r="I116" s="73"/>
      <x:c r="J116" s="73"/>
      <x:c r="K116" s="73"/>
      <x:c r="L116" s="74"/>
    </x:row>
    <x:row r="117">
      <x:c r="A117" s="70" t="str">
        <x:f>IF(C117="","",ROW()-5)</x:f>
      </x:c>
      <x:c r="B117" s="71"/>
      <x:c r="C117" s="72"/>
      <x:c r="D117" s="73"/>
      <x:c r="E117" s="74"/>
      <x:c r="F117" s="74"/>
      <x:c r="G117" s="74"/>
      <x:c r="H117" s="74"/>
      <x:c r="I117" s="73"/>
      <x:c r="J117" s="73"/>
      <x:c r="K117" s="73"/>
      <x:c r="L117" s="74"/>
    </x:row>
    <x:row r="118">
      <x:c r="A118" s="70" t="str">
        <x:f>IF(C118="","",ROW()-5)</x:f>
      </x:c>
      <x:c r="B118" s="71"/>
      <x:c r="C118" s="72"/>
      <x:c r="D118" s="73"/>
      <x:c r="E118" s="74"/>
      <x:c r="F118" s="74"/>
      <x:c r="G118" s="74"/>
      <x:c r="H118" s="74"/>
      <x:c r="I118" s="73"/>
      <x:c r="J118" s="73"/>
      <x:c r="K118" s="73"/>
      <x:c r="L118" s="74"/>
    </x:row>
    <x:row r="119">
      <x:c r="A119" s="70" t="str">
        <x:f>IF(C119="","",ROW()-5)</x:f>
      </x:c>
      <x:c r="B119" s="71"/>
      <x:c r="C119" s="72"/>
      <x:c r="D119" s="73"/>
      <x:c r="E119" s="74"/>
      <x:c r="F119" s="74"/>
      <x:c r="G119" s="74"/>
      <x:c r="H119" s="74"/>
      <x:c r="I119" s="73"/>
      <x:c r="J119" s="73"/>
      <x:c r="K119" s="73"/>
      <x:c r="L119" s="74"/>
    </x:row>
    <x:row r="120">
      <x:c r="A120" s="70" t="str">
        <x:f>IF(C120="","",ROW()-5)</x:f>
      </x:c>
      <x:c r="B120" s="71"/>
      <x:c r="C120" s="72"/>
      <x:c r="D120" s="73"/>
      <x:c r="E120" s="74"/>
      <x:c r="F120" s="74"/>
      <x:c r="G120" s="74"/>
      <x:c r="H120" s="74"/>
      <x:c r="I120" s="73"/>
      <x:c r="J120" s="73"/>
      <x:c r="K120" s="73"/>
      <x:c r="L120" s="74"/>
    </x:row>
    <x:row r="121">
      <x:c r="A121" s="70" t="str">
        <x:f>IF(C121="","",ROW()-5)</x:f>
      </x:c>
      <x:c r="B121" s="71"/>
      <x:c r="C121" s="72"/>
      <x:c r="D121" s="73"/>
      <x:c r="E121" s="74"/>
      <x:c r="F121" s="74"/>
      <x:c r="G121" s="74"/>
      <x:c r="H121" s="74"/>
      <x:c r="I121" s="73"/>
      <x:c r="J121" s="73"/>
      <x:c r="K121" s="73"/>
      <x:c r="L121" s="74"/>
    </x:row>
    <x:row r="122">
      <x:c r="A122" s="70" t="str">
        <x:f>IF(C122="","",ROW()-5)</x:f>
      </x:c>
      <x:c r="B122" s="71"/>
      <x:c r="C122" s="72"/>
      <x:c r="D122" s="73"/>
      <x:c r="E122" s="74"/>
      <x:c r="F122" s="74"/>
      <x:c r="G122" s="74"/>
      <x:c r="H122" s="74"/>
      <x:c r="I122" s="73"/>
      <x:c r="J122" s="73"/>
      <x:c r="K122" s="73"/>
      <x:c r="L122" s="74"/>
    </x:row>
    <x:row r="123">
      <x:c r="A123" s="70" t="str">
        <x:f>IF(C123="","",ROW()-5)</x:f>
      </x:c>
      <x:c r="B123" s="71"/>
      <x:c r="C123" s="72"/>
      <x:c r="D123" s="73"/>
      <x:c r="E123" s="74"/>
      <x:c r="F123" s="74"/>
      <x:c r="G123" s="74"/>
      <x:c r="H123" s="74"/>
      <x:c r="I123" s="73"/>
      <x:c r="J123" s="73"/>
      <x:c r="K123" s="73"/>
      <x:c r="L123" s="74"/>
    </x:row>
    <x:row r="124">
      <x:c r="A124" s="70" t="str">
        <x:f>IF(C124="","",ROW()-5)</x:f>
      </x:c>
      <x:c r="B124" s="71"/>
      <x:c r="C124" s="72"/>
      <x:c r="D124" s="73"/>
      <x:c r="E124" s="74"/>
      <x:c r="F124" s="74"/>
      <x:c r="G124" s="74"/>
      <x:c r="H124" s="74"/>
      <x:c r="I124" s="73"/>
      <x:c r="J124" s="73"/>
      <x:c r="K124" s="73"/>
      <x:c r="L124" s="74"/>
    </x:row>
    <x:row r="125">
      <x:c r="A125" s="70" t="str">
        <x:f>IF(C125="","",ROW()-5)</x:f>
      </x:c>
      <x:c r="B125" s="71"/>
      <x:c r="C125" s="72"/>
      <x:c r="D125" s="73"/>
      <x:c r="E125" s="74"/>
      <x:c r="F125" s="74"/>
      <x:c r="G125" s="74"/>
      <x:c r="H125" s="74"/>
      <x:c r="I125" s="73"/>
      <x:c r="J125" s="73"/>
      <x:c r="K125" s="73"/>
      <x:c r="L125" s="74"/>
    </x:row>
    <x:row r="126">
      <x:c r="A126" s="70" t="str">
        <x:f>IF(C126="","",ROW()-5)</x:f>
      </x:c>
      <x:c r="B126" s="71"/>
      <x:c r="C126" s="72"/>
      <x:c r="D126" s="73"/>
      <x:c r="E126" s="74"/>
      <x:c r="F126" s="74"/>
      <x:c r="G126" s="74"/>
      <x:c r="H126" s="74"/>
      <x:c r="I126" s="73"/>
      <x:c r="J126" s="73"/>
      <x:c r="K126" s="73"/>
      <x:c r="L126" s="74"/>
    </x:row>
    <x:row r="127">
      <x:c r="A127" s="70" t="str">
        <x:f>IF(C127="","",ROW()-5)</x:f>
      </x:c>
      <x:c r="B127" s="71"/>
      <x:c r="C127" s="72"/>
      <x:c r="D127" s="73"/>
      <x:c r="E127" s="74"/>
      <x:c r="F127" s="74"/>
      <x:c r="G127" s="74"/>
      <x:c r="H127" s="74"/>
      <x:c r="I127" s="73"/>
      <x:c r="J127" s="73"/>
      <x:c r="K127" s="73"/>
      <x:c r="L127" s="74"/>
    </x:row>
    <x:row r="128">
      <x:c r="A128" s="70" t="str">
        <x:f>IF(C128="","",ROW()-5)</x:f>
      </x:c>
      <x:c r="B128" s="71"/>
      <x:c r="C128" s="72"/>
      <x:c r="D128" s="73"/>
      <x:c r="E128" s="74"/>
      <x:c r="F128" s="74"/>
      <x:c r="G128" s="74"/>
      <x:c r="H128" s="74"/>
      <x:c r="I128" s="73"/>
      <x:c r="J128" s="73"/>
      <x:c r="K128" s="73"/>
      <x:c r="L128" s="74"/>
    </x:row>
    <x:row r="129">
      <x:c r="A129" s="70" t="str">
        <x:f>IF(C129="","",ROW()-5)</x:f>
      </x:c>
      <x:c r="B129" s="71"/>
      <x:c r="C129" s="72"/>
      <x:c r="D129" s="73"/>
      <x:c r="E129" s="74"/>
      <x:c r="F129" s="74"/>
      <x:c r="G129" s="74"/>
      <x:c r="H129" s="74"/>
      <x:c r="I129" s="73"/>
      <x:c r="J129" s="73"/>
      <x:c r="K129" s="73"/>
      <x:c r="L129" s="74"/>
    </x:row>
    <x:row r="130">
      <x:c r="A130" s="70" t="str">
        <x:f>IF(C130="","",ROW()-5)</x:f>
      </x:c>
      <x:c r="B130" s="71"/>
      <x:c r="C130" s="72"/>
      <x:c r="D130" s="73"/>
      <x:c r="E130" s="74"/>
      <x:c r="F130" s="74"/>
      <x:c r="G130" s="74"/>
      <x:c r="H130" s="74"/>
      <x:c r="I130" s="73"/>
      <x:c r="J130" s="73"/>
      <x:c r="K130" s="73"/>
      <x:c r="L130" s="74"/>
    </x:row>
    <x:row r="131">
      <x:c r="A131" s="70" t="str">
        <x:f>IF(C131="","",ROW()-5)</x:f>
      </x:c>
      <x:c r="B131" s="71"/>
      <x:c r="C131" s="72"/>
      <x:c r="D131" s="73"/>
      <x:c r="E131" s="74"/>
      <x:c r="F131" s="74"/>
      <x:c r="G131" s="74"/>
      <x:c r="H131" s="74"/>
      <x:c r="I131" s="73"/>
      <x:c r="J131" s="73"/>
      <x:c r="K131" s="73"/>
      <x:c r="L131" s="74"/>
    </x:row>
    <x:row r="132">
      <x:c r="A132" s="70" t="str">
        <x:f>IF(C132="","",ROW()-5)</x:f>
      </x:c>
      <x:c r="B132" s="71"/>
      <x:c r="C132" s="72"/>
      <x:c r="D132" s="73"/>
      <x:c r="E132" s="74"/>
      <x:c r="F132" s="74"/>
      <x:c r="G132" s="74"/>
      <x:c r="H132" s="74"/>
      <x:c r="I132" s="73"/>
      <x:c r="J132" s="73"/>
      <x:c r="K132" s="73"/>
      <x:c r="L132" s="74"/>
    </x:row>
    <x:row r="133">
      <x:c r="A133" s="70" t="str">
        <x:f>IF(C133="","",ROW()-5)</x:f>
      </x:c>
      <x:c r="B133" s="71"/>
      <x:c r="C133" s="72"/>
      <x:c r="D133" s="73"/>
      <x:c r="E133" s="74"/>
      <x:c r="F133" s="74"/>
      <x:c r="G133" s="74"/>
      <x:c r="H133" s="74"/>
      <x:c r="I133" s="73"/>
      <x:c r="J133" s="73"/>
      <x:c r="K133" s="73"/>
      <x:c r="L133" s="74"/>
    </x:row>
    <x:row r="134">
      <x:c r="A134" s="70" t="str">
        <x:f>IF(C134="","",ROW()-5)</x:f>
      </x:c>
      <x:c r="B134" s="71"/>
      <x:c r="C134" s="72"/>
      <x:c r="D134" s="73"/>
      <x:c r="E134" s="74"/>
      <x:c r="F134" s="74"/>
      <x:c r="G134" s="74"/>
      <x:c r="H134" s="74"/>
      <x:c r="I134" s="73"/>
      <x:c r="J134" s="73"/>
      <x:c r="K134" s="73"/>
      <x:c r="L134" s="74"/>
    </x:row>
    <x:row r="135">
      <x:c r="A135" s="70" t="str">
        <x:f>IF(C135="","",ROW()-5)</x:f>
      </x:c>
      <x:c r="B135" s="71"/>
      <x:c r="C135" s="72"/>
      <x:c r="D135" s="73"/>
      <x:c r="E135" s="74"/>
      <x:c r="F135" s="74"/>
      <x:c r="G135" s="74"/>
      <x:c r="H135" s="74"/>
      <x:c r="I135" s="73"/>
      <x:c r="J135" s="73"/>
      <x:c r="K135" s="73"/>
      <x:c r="L135" s="74"/>
    </x:row>
    <x:row r="136">
      <x:c r="A136" s="70" t="str">
        <x:f>IF(C136="","",ROW()-5)</x:f>
      </x:c>
      <x:c r="B136" s="71"/>
      <x:c r="C136" s="72"/>
      <x:c r="D136" s="73"/>
      <x:c r="E136" s="74"/>
      <x:c r="F136" s="74"/>
      <x:c r="G136" s="74"/>
      <x:c r="H136" s="74"/>
      <x:c r="I136" s="73"/>
      <x:c r="J136" s="73"/>
      <x:c r="K136" s="73"/>
      <x:c r="L136" s="74"/>
    </x:row>
    <x:row r="137">
      <x:c r="A137" s="70" t="str">
        <x:f>IF(C137="","",ROW()-5)</x:f>
      </x:c>
      <x:c r="B137" s="71"/>
      <x:c r="C137" s="72"/>
      <x:c r="D137" s="73"/>
      <x:c r="E137" s="74"/>
      <x:c r="F137" s="74"/>
      <x:c r="G137" s="74"/>
      <x:c r="H137" s="74"/>
      <x:c r="I137" s="73"/>
      <x:c r="J137" s="73"/>
      <x:c r="K137" s="73"/>
      <x:c r="L137" s="74"/>
    </x:row>
    <x:row r="138">
      <x:c r="A138" s="70" t="str">
        <x:f>IF(C138="","",ROW()-5)</x:f>
      </x:c>
      <x:c r="B138" s="71"/>
      <x:c r="C138" s="72"/>
      <x:c r="D138" s="73"/>
      <x:c r="E138" s="74"/>
      <x:c r="F138" s="74"/>
      <x:c r="G138" s="74"/>
      <x:c r="H138" s="74"/>
      <x:c r="I138" s="73"/>
      <x:c r="J138" s="73"/>
      <x:c r="K138" s="73"/>
      <x:c r="L138" s="74"/>
    </x:row>
    <x:row r="139">
      <x:c r="A139" s="70" t="str">
        <x:f>IF(C139="","",ROW()-5)</x:f>
      </x:c>
      <x:c r="B139" s="71"/>
      <x:c r="C139" s="72"/>
      <x:c r="D139" s="73"/>
      <x:c r="E139" s="74"/>
      <x:c r="F139" s="74"/>
      <x:c r="G139" s="74"/>
      <x:c r="H139" s="74"/>
      <x:c r="I139" s="73"/>
      <x:c r="J139" s="73"/>
      <x:c r="K139" s="73"/>
      <x:c r="L139" s="74"/>
    </x:row>
    <x:row r="140">
      <x:c r="A140" s="70" t="str">
        <x:f>IF(C140="","",ROW()-5)</x:f>
      </x:c>
      <x:c r="B140" s="71"/>
      <x:c r="C140" s="72"/>
      <x:c r="D140" s="73"/>
      <x:c r="E140" s="74"/>
      <x:c r="F140" s="74"/>
      <x:c r="G140" s="74"/>
      <x:c r="H140" s="74"/>
      <x:c r="I140" s="73"/>
      <x:c r="J140" s="73"/>
      <x:c r="K140" s="73"/>
      <x:c r="L140" s="74"/>
    </x:row>
    <x:row r="141">
      <x:c r="A141" s="70" t="str">
        <x:f>IF(C141="","",ROW()-5)</x:f>
      </x:c>
      <x:c r="B141" s="71"/>
      <x:c r="C141" s="72"/>
      <x:c r="D141" s="73"/>
      <x:c r="E141" s="74"/>
      <x:c r="F141" s="74"/>
      <x:c r="G141" s="74"/>
      <x:c r="H141" s="74"/>
      <x:c r="I141" s="73"/>
      <x:c r="J141" s="73"/>
      <x:c r="K141" s="73"/>
      <x:c r="L141" s="74"/>
    </x:row>
    <x:row r="142">
      <x:c r="A142" s="70" t="str">
        <x:f>IF(C142="","",ROW()-5)</x:f>
      </x:c>
      <x:c r="B142" s="71"/>
      <x:c r="C142" s="72"/>
      <x:c r="D142" s="73"/>
      <x:c r="E142" s="74"/>
      <x:c r="F142" s="74"/>
      <x:c r="G142" s="74"/>
      <x:c r="H142" s="74"/>
      <x:c r="I142" s="73"/>
      <x:c r="J142" s="73"/>
      <x:c r="K142" s="73"/>
      <x:c r="L142" s="74"/>
    </x:row>
    <x:row r="143">
      <x:c r="A143" s="70" t="str">
        <x:f>IF(C143="","",ROW()-5)</x:f>
      </x:c>
      <x:c r="B143" s="71"/>
      <x:c r="C143" s="72"/>
      <x:c r="D143" s="73"/>
      <x:c r="E143" s="74"/>
      <x:c r="F143" s="74"/>
      <x:c r="G143" s="74"/>
      <x:c r="H143" s="74"/>
      <x:c r="I143" s="73"/>
      <x:c r="J143" s="73"/>
      <x:c r="K143" s="73"/>
      <x:c r="L143" s="74"/>
    </x:row>
    <x:row r="144">
      <x:c r="A144" s="70" t="str">
        <x:f>IF(C144="","",ROW()-5)</x:f>
      </x:c>
      <x:c r="B144" s="71"/>
      <x:c r="C144" s="72"/>
      <x:c r="D144" s="73"/>
      <x:c r="E144" s="74"/>
      <x:c r="F144" s="74"/>
      <x:c r="G144" s="74"/>
      <x:c r="H144" s="74"/>
      <x:c r="I144" s="73"/>
      <x:c r="J144" s="73"/>
      <x:c r="K144" s="73"/>
      <x:c r="L144" s="74"/>
    </x:row>
    <x:row r="145">
      <x:c r="A145" s="70" t="str">
        <x:f>IF(C145="","",ROW()-5)</x:f>
      </x:c>
      <x:c r="B145" s="71"/>
      <x:c r="C145" s="72"/>
      <x:c r="D145" s="73"/>
      <x:c r="E145" s="74"/>
      <x:c r="F145" s="74"/>
      <x:c r="G145" s="74"/>
      <x:c r="H145" s="74"/>
      <x:c r="I145" s="73"/>
      <x:c r="J145" s="73"/>
      <x:c r="K145" s="73"/>
      <x:c r="L145" s="74"/>
    </x:row>
    <x:row r="146">
      <x:c r="A146" s="70" t="str">
        <x:f>IF(C146="","",ROW()-5)</x:f>
      </x:c>
      <x:c r="B146" s="71"/>
      <x:c r="C146" s="72"/>
      <x:c r="D146" s="73"/>
      <x:c r="E146" s="74"/>
      <x:c r="F146" s="74"/>
      <x:c r="G146" s="74"/>
      <x:c r="H146" s="74"/>
      <x:c r="I146" s="73"/>
      <x:c r="J146" s="73"/>
      <x:c r="K146" s="73"/>
      <x:c r="L146" s="74"/>
    </x:row>
    <x:row r="147">
      <x:c r="A147" s="70" t="str">
        <x:f>IF(C147="","",ROW()-5)</x:f>
      </x:c>
      <x:c r="B147" s="71"/>
      <x:c r="C147" s="72"/>
      <x:c r="D147" s="73"/>
      <x:c r="E147" s="74"/>
      <x:c r="F147" s="74"/>
      <x:c r="G147" s="74"/>
      <x:c r="H147" s="74"/>
      <x:c r="I147" s="73"/>
      <x:c r="J147" s="73"/>
      <x:c r="K147" s="73"/>
      <x:c r="L147" s="74"/>
    </x:row>
    <x:row r="148">
      <x:c r="A148" s="70" t="str">
        <x:f>IF(C148="","",ROW()-5)</x:f>
      </x:c>
      <x:c r="B148" s="71"/>
      <x:c r="C148" s="72"/>
      <x:c r="D148" s="73"/>
      <x:c r="E148" s="74"/>
      <x:c r="F148" s="74"/>
      <x:c r="G148" s="74"/>
      <x:c r="H148" s="74"/>
      <x:c r="I148" s="73"/>
      <x:c r="J148" s="73"/>
      <x:c r="K148" s="73"/>
      <x:c r="L148" s="74"/>
    </x:row>
    <x:row r="149">
      <x:c r="A149" s="70" t="str">
        <x:f>IF(C149="","",ROW()-5)</x:f>
      </x:c>
      <x:c r="B149" s="71"/>
      <x:c r="C149" s="72"/>
      <x:c r="D149" s="73"/>
      <x:c r="E149" s="74"/>
      <x:c r="F149" s="74"/>
      <x:c r="G149" s="74"/>
      <x:c r="H149" s="74"/>
      <x:c r="I149" s="73"/>
      <x:c r="J149" s="73"/>
      <x:c r="K149" s="73"/>
      <x:c r="L149" s="74"/>
    </x:row>
    <x:row r="150">
      <x:c r="A150" s="70" t="str">
        <x:f>IF(C150="","",ROW()-5)</x:f>
      </x:c>
      <x:c r="B150" s="71"/>
      <x:c r="C150" s="72"/>
      <x:c r="D150" s="73"/>
      <x:c r="E150" s="74"/>
      <x:c r="F150" s="74"/>
      <x:c r="G150" s="74"/>
      <x:c r="H150" s="74"/>
      <x:c r="I150" s="73"/>
      <x:c r="J150" s="73"/>
      <x:c r="K150" s="73"/>
      <x:c r="L150" s="74"/>
    </x:row>
    <x:row r="151">
      <x:c r="A151" s="70" t="str">
        <x:f>IF(C151="","",ROW()-5)</x:f>
      </x:c>
      <x:c r="B151" s="71"/>
      <x:c r="C151" s="72"/>
      <x:c r="D151" s="73"/>
      <x:c r="E151" s="74"/>
      <x:c r="F151" s="74"/>
      <x:c r="G151" s="74"/>
      <x:c r="H151" s="74"/>
      <x:c r="I151" s="73"/>
      <x:c r="J151" s="73"/>
      <x:c r="K151" s="73"/>
      <x:c r="L151" s="74"/>
    </x:row>
    <x:row r="152">
      <x:c r="A152" s="70" t="str">
        <x:f>IF(C152="","",ROW()-5)</x:f>
      </x:c>
      <x:c r="B152" s="71"/>
      <x:c r="C152" s="72"/>
      <x:c r="D152" s="73"/>
      <x:c r="E152" s="74"/>
      <x:c r="F152" s="74"/>
      <x:c r="G152" s="74"/>
      <x:c r="H152" s="74"/>
      <x:c r="I152" s="73"/>
      <x:c r="J152" s="73"/>
      <x:c r="K152" s="73"/>
      <x:c r="L152" s="74"/>
    </x:row>
    <x:row r="153">
      <x:c r="A153" s="70" t="str">
        <x:f>IF(C153="","",ROW()-5)</x:f>
      </x:c>
      <x:c r="B153" s="71"/>
      <x:c r="C153" s="72"/>
      <x:c r="D153" s="73"/>
      <x:c r="E153" s="74"/>
      <x:c r="F153" s="74"/>
      <x:c r="G153" s="74"/>
      <x:c r="H153" s="74"/>
      <x:c r="I153" s="73"/>
      <x:c r="J153" s="73"/>
      <x:c r="K153" s="73"/>
      <x:c r="L153" s="74"/>
    </x:row>
    <x:row r="154">
      <x:c r="A154" s="70" t="str">
        <x:f>IF(C154="","",ROW()-5)</x:f>
      </x:c>
      <x:c r="B154" s="71"/>
      <x:c r="C154" s="72"/>
      <x:c r="D154" s="73"/>
      <x:c r="E154" s="74"/>
      <x:c r="F154" s="74"/>
      <x:c r="G154" s="74"/>
      <x:c r="H154" s="74"/>
      <x:c r="I154" s="73"/>
      <x:c r="J154" s="73"/>
      <x:c r="K154" s="73"/>
      <x:c r="L154" s="74"/>
    </x:row>
    <x:row r="155">
      <x:c r="A155" s="70" t="str">
        <x:f>IF(C155="","",ROW()-5)</x:f>
      </x:c>
      <x:c r="B155" s="71"/>
      <x:c r="C155" s="72"/>
      <x:c r="D155" s="73"/>
      <x:c r="E155" s="74"/>
      <x:c r="F155" s="74"/>
      <x:c r="G155" s="74"/>
      <x:c r="H155" s="74"/>
      <x:c r="I155" s="73"/>
      <x:c r="J155" s="73"/>
      <x:c r="K155" s="73"/>
      <x:c r="L155" s="74"/>
    </x:row>
    <x:row r="156">
      <x:c r="A156" s="70" t="str">
        <x:f>IF(C156="","",ROW()-5)</x:f>
      </x:c>
      <x:c r="B156" s="71"/>
      <x:c r="C156" s="72"/>
      <x:c r="D156" s="73"/>
      <x:c r="E156" s="74"/>
      <x:c r="F156" s="74"/>
      <x:c r="G156" s="74"/>
      <x:c r="H156" s="74"/>
      <x:c r="I156" s="73"/>
      <x:c r="J156" s="73"/>
      <x:c r="K156" s="73"/>
      <x:c r="L156" s="74"/>
    </x:row>
    <x:row r="157">
      <x:c r="A157" s="70" t="str">
        <x:f>IF(C157="","",ROW()-5)</x:f>
      </x:c>
      <x:c r="B157" s="71"/>
      <x:c r="C157" s="72"/>
      <x:c r="D157" s="73"/>
      <x:c r="E157" s="74"/>
      <x:c r="F157" s="74"/>
      <x:c r="G157" s="74"/>
      <x:c r="H157" s="74"/>
      <x:c r="I157" s="73"/>
      <x:c r="J157" s="73"/>
      <x:c r="K157" s="73"/>
      <x:c r="L157" s="74"/>
    </x:row>
    <x:row r="158">
      <x:c r="A158" s="70" t="str">
        <x:f>IF(C158="","",ROW()-5)</x:f>
      </x:c>
      <x:c r="B158" s="71"/>
      <x:c r="C158" s="72"/>
      <x:c r="D158" s="73"/>
      <x:c r="E158" s="74"/>
      <x:c r="F158" s="74"/>
      <x:c r="G158" s="74"/>
      <x:c r="H158" s="74"/>
      <x:c r="I158" s="73"/>
      <x:c r="J158" s="73"/>
      <x:c r="K158" s="73"/>
      <x:c r="L158" s="74"/>
    </x:row>
    <x:row r="159">
      <x:c r="A159" s="70" t="str">
        <x:f>IF(C159="","",ROW()-5)</x:f>
      </x:c>
      <x:c r="B159" s="71"/>
      <x:c r="C159" s="72"/>
      <x:c r="D159" s="73"/>
      <x:c r="E159" s="74"/>
      <x:c r="F159" s="74"/>
      <x:c r="G159" s="74"/>
      <x:c r="H159" s="74"/>
      <x:c r="I159" s="73"/>
      <x:c r="J159" s="73"/>
      <x:c r="K159" s="73"/>
      <x:c r="L159" s="74"/>
    </x:row>
    <x:row r="160">
      <x:c r="A160" s="70" t="str">
        <x:f>IF(C160="","",ROW()-5)</x:f>
      </x:c>
      <x:c r="B160" s="71"/>
      <x:c r="C160" s="72"/>
      <x:c r="D160" s="73"/>
      <x:c r="E160" s="74"/>
      <x:c r="F160" s="74"/>
      <x:c r="G160" s="74"/>
      <x:c r="H160" s="74"/>
      <x:c r="I160" s="73"/>
      <x:c r="J160" s="73"/>
      <x:c r="K160" s="73"/>
      <x:c r="L160" s="74"/>
    </x:row>
    <x:row r="161">
      <x:c r="A161" s="70" t="str">
        <x:f>IF(C161="","",ROW()-5)</x:f>
      </x:c>
      <x:c r="B161" s="71"/>
      <x:c r="C161" s="72"/>
      <x:c r="D161" s="73"/>
      <x:c r="E161" s="74"/>
      <x:c r="F161" s="74"/>
      <x:c r="G161" s="74"/>
      <x:c r="H161" s="74"/>
      <x:c r="I161" s="73"/>
      <x:c r="J161" s="73"/>
      <x:c r="K161" s="73"/>
      <x:c r="L161" s="74"/>
    </x:row>
    <x:row r="162">
      <x:c r="A162" s="70" t="str">
        <x:f>IF(C162="","",ROW()-5)</x:f>
      </x:c>
      <x:c r="B162" s="71"/>
      <x:c r="C162" s="72"/>
      <x:c r="D162" s="73"/>
      <x:c r="E162" s="74"/>
      <x:c r="F162" s="74"/>
      <x:c r="G162" s="74"/>
      <x:c r="H162" s="74"/>
      <x:c r="I162" s="73"/>
      <x:c r="J162" s="73"/>
      <x:c r="K162" s="73"/>
      <x:c r="L162" s="74"/>
    </x:row>
    <x:row r="163">
      <x:c r="A163" s="70" t="str">
        <x:f>IF(C163="","",ROW()-5)</x:f>
      </x:c>
      <x:c r="B163" s="71"/>
      <x:c r="C163" s="72"/>
      <x:c r="D163" s="73"/>
      <x:c r="E163" s="74"/>
      <x:c r="F163" s="74"/>
      <x:c r="G163" s="74"/>
      <x:c r="H163" s="74"/>
      <x:c r="I163" s="73"/>
      <x:c r="J163" s="73"/>
      <x:c r="K163" s="73"/>
      <x:c r="L163" s="74"/>
    </x:row>
    <x:row r="164">
      <x:c r="A164" s="70" t="str">
        <x:f>IF(C164="","",ROW()-5)</x:f>
      </x:c>
      <x:c r="B164" s="71"/>
      <x:c r="C164" s="72"/>
      <x:c r="D164" s="73"/>
      <x:c r="E164" s="74"/>
      <x:c r="F164" s="74"/>
      <x:c r="G164" s="74"/>
      <x:c r="H164" s="74"/>
      <x:c r="I164" s="73"/>
      <x:c r="J164" s="73"/>
      <x:c r="K164" s="73"/>
      <x:c r="L164" s="74"/>
    </x:row>
    <x:row r="165">
      <x:c r="A165" s="70" t="str">
        <x:f>IF(C165="","",ROW()-5)</x:f>
      </x:c>
      <x:c r="B165" s="71"/>
      <x:c r="C165" s="72"/>
      <x:c r="D165" s="73"/>
      <x:c r="E165" s="74"/>
      <x:c r="F165" s="74"/>
      <x:c r="G165" s="74"/>
      <x:c r="H165" s="74"/>
      <x:c r="I165" s="73"/>
      <x:c r="J165" s="73"/>
      <x:c r="K165" s="73"/>
      <x:c r="L165" s="74"/>
    </x:row>
    <x:row r="166">
      <x:c r="A166" s="70" t="str">
        <x:f>IF(C166="","",ROW()-5)</x:f>
      </x:c>
      <x:c r="B166" s="71"/>
      <x:c r="C166" s="72"/>
      <x:c r="D166" s="73"/>
      <x:c r="E166" s="74"/>
      <x:c r="F166" s="74"/>
      <x:c r="G166" s="74"/>
      <x:c r="H166" s="74"/>
      <x:c r="I166" s="73"/>
      <x:c r="J166" s="73"/>
      <x:c r="K166" s="73"/>
      <x:c r="L166" s="74"/>
    </x:row>
    <x:row r="167">
      <x:c r="A167" s="70" t="str">
        <x:f>IF(C167="","",ROW()-5)</x:f>
      </x:c>
      <x:c r="B167" s="71"/>
      <x:c r="C167" s="72"/>
      <x:c r="D167" s="73"/>
      <x:c r="E167" s="74"/>
      <x:c r="F167" s="74"/>
      <x:c r="G167" s="74"/>
      <x:c r="H167" s="74"/>
      <x:c r="I167" s="73"/>
      <x:c r="J167" s="73"/>
      <x:c r="K167" s="73"/>
      <x:c r="L167" s="74"/>
    </x:row>
    <x:row r="168">
      <x:c r="A168" s="70" t="str">
        <x:f>IF(C168="","",ROW()-5)</x:f>
      </x:c>
      <x:c r="B168" s="71"/>
      <x:c r="C168" s="72"/>
      <x:c r="D168" s="73"/>
      <x:c r="E168" s="74"/>
      <x:c r="F168" s="74"/>
      <x:c r="G168" s="74"/>
      <x:c r="H168" s="74"/>
      <x:c r="I168" s="73"/>
      <x:c r="J168" s="73"/>
      <x:c r="K168" s="73"/>
      <x:c r="L168" s="74"/>
    </x:row>
    <x:row r="169">
      <x:c r="A169" s="70" t="str">
        <x:f>IF(C169="","",ROW()-5)</x:f>
      </x:c>
      <x:c r="B169" s="71"/>
      <x:c r="C169" s="72"/>
      <x:c r="D169" s="73"/>
      <x:c r="E169" s="74"/>
      <x:c r="F169" s="74"/>
      <x:c r="G169" s="74"/>
      <x:c r="H169" s="74"/>
      <x:c r="I169" s="73"/>
      <x:c r="J169" s="73"/>
      <x:c r="K169" s="73"/>
      <x:c r="L169" s="74"/>
    </x:row>
    <x:row r="170">
      <x:c r="A170" s="70" t="str">
        <x:f>IF(C170="","",ROW()-5)</x:f>
      </x:c>
      <x:c r="B170" s="71"/>
      <x:c r="C170" s="72"/>
      <x:c r="D170" s="73"/>
      <x:c r="E170" s="74"/>
      <x:c r="F170" s="74"/>
      <x:c r="G170" s="74"/>
      <x:c r="H170" s="74"/>
      <x:c r="I170" s="73"/>
      <x:c r="J170" s="73"/>
      <x:c r="K170" s="73"/>
      <x:c r="L170" s="74"/>
    </x:row>
    <x:row r="171">
      <x:c r="A171" s="70" t="str">
        <x:f>IF(C171="","",ROW()-5)</x:f>
      </x:c>
      <x:c r="B171" s="71"/>
      <x:c r="C171" s="72"/>
      <x:c r="D171" s="73"/>
      <x:c r="E171" s="74"/>
      <x:c r="F171" s="74"/>
      <x:c r="G171" s="74"/>
      <x:c r="H171" s="74"/>
      <x:c r="I171" s="73"/>
      <x:c r="J171" s="73"/>
      <x:c r="K171" s="73"/>
      <x:c r="L171" s="74"/>
    </x:row>
    <x:row r="172">
      <x:c r="A172" s="70" t="str">
        <x:f>IF(C172="","",ROW()-5)</x:f>
      </x:c>
      <x:c r="B172" s="71"/>
      <x:c r="C172" s="72"/>
      <x:c r="D172" s="73"/>
      <x:c r="E172" s="74"/>
      <x:c r="F172" s="74"/>
      <x:c r="G172" s="74"/>
      <x:c r="H172" s="74"/>
      <x:c r="I172" s="73"/>
      <x:c r="J172" s="73"/>
      <x:c r="K172" s="73"/>
      <x:c r="L172" s="74"/>
    </x:row>
    <x:row r="173">
      <x:c r="A173" s="70" t="str">
        <x:f>IF(C173="","",ROW()-5)</x:f>
      </x:c>
      <x:c r="B173" s="71"/>
      <x:c r="C173" s="72"/>
      <x:c r="D173" s="73"/>
      <x:c r="E173" s="74"/>
      <x:c r="F173" s="74"/>
      <x:c r="G173" s="74"/>
      <x:c r="H173" s="74"/>
      <x:c r="I173" s="73"/>
      <x:c r="J173" s="73"/>
      <x:c r="K173" s="73"/>
      <x:c r="L173" s="74"/>
    </x:row>
    <x:row r="174">
      <x:c r="A174" s="70" t="str">
        <x:f>IF(C174="","",ROW()-5)</x:f>
      </x:c>
      <x:c r="B174" s="71"/>
      <x:c r="C174" s="72"/>
      <x:c r="D174" s="73"/>
      <x:c r="E174" s="74"/>
      <x:c r="F174" s="74"/>
      <x:c r="G174" s="74"/>
      <x:c r="H174" s="74"/>
      <x:c r="I174" s="73"/>
      <x:c r="J174" s="73"/>
      <x:c r="K174" s="73"/>
      <x:c r="L174" s="74"/>
    </x:row>
    <x:row r="175">
      <x:c r="A175" s="70" t="str">
        <x:f>IF(C175="","",ROW()-5)</x:f>
      </x:c>
      <x:c r="B175" s="71"/>
      <x:c r="C175" s="72"/>
      <x:c r="D175" s="73"/>
      <x:c r="E175" s="74"/>
      <x:c r="F175" s="74"/>
      <x:c r="G175" s="74"/>
      <x:c r="H175" s="74"/>
      <x:c r="I175" s="73"/>
      <x:c r="J175" s="73"/>
      <x:c r="K175" s="73"/>
      <x:c r="L175" s="74"/>
    </x:row>
    <x:row r="176">
      <x:c r="A176" s="70" t="str">
        <x:f>IF(C176="","",ROW()-5)</x:f>
      </x:c>
      <x:c r="B176" s="71"/>
      <x:c r="C176" s="72"/>
      <x:c r="D176" s="73"/>
      <x:c r="E176" s="74"/>
      <x:c r="F176" s="74"/>
      <x:c r="G176" s="74"/>
      <x:c r="H176" s="74"/>
      <x:c r="I176" s="73"/>
      <x:c r="J176" s="73"/>
      <x:c r="K176" s="73"/>
      <x:c r="L176" s="74"/>
    </x:row>
    <x:row r="177">
      <x:c r="A177" s="70" t="str">
        <x:f>IF(C177="","",ROW()-5)</x:f>
      </x:c>
      <x:c r="B177" s="71"/>
      <x:c r="C177" s="72"/>
      <x:c r="D177" s="73"/>
      <x:c r="E177" s="74"/>
      <x:c r="F177" s="74"/>
      <x:c r="G177" s="74"/>
      <x:c r="H177" s="74"/>
      <x:c r="I177" s="73"/>
      <x:c r="J177" s="73"/>
      <x:c r="K177" s="73"/>
      <x:c r="L177" s="74"/>
    </x:row>
    <x:row r="178">
      <x:c r="A178" s="70" t="str">
        <x:f>IF(C178="","",ROW()-5)</x:f>
      </x:c>
      <x:c r="B178" s="71"/>
      <x:c r="C178" s="72"/>
      <x:c r="D178" s="73"/>
      <x:c r="E178" s="74"/>
      <x:c r="F178" s="74"/>
      <x:c r="G178" s="74"/>
      <x:c r="H178" s="74"/>
      <x:c r="I178" s="73"/>
      <x:c r="J178" s="73"/>
      <x:c r="K178" s="73"/>
      <x:c r="L178" s="74"/>
    </x:row>
    <x:row r="179">
      <x:c r="A179" s="70" t="str">
        <x:f>IF(C179="","",ROW()-5)</x:f>
      </x:c>
      <x:c r="B179" s="71"/>
      <x:c r="C179" s="72"/>
      <x:c r="D179" s="73"/>
      <x:c r="E179" s="74"/>
      <x:c r="F179" s="74"/>
      <x:c r="G179" s="74"/>
      <x:c r="H179" s="74"/>
      <x:c r="I179" s="73"/>
      <x:c r="J179" s="73"/>
      <x:c r="K179" s="73"/>
      <x:c r="L179" s="74"/>
    </x:row>
    <x:row r="180">
      <x:c r="A180" s="70" t="str">
        <x:f>IF(C180="","",ROW()-5)</x:f>
      </x:c>
      <x:c r="B180" s="71"/>
      <x:c r="C180" s="72"/>
      <x:c r="D180" s="73"/>
      <x:c r="E180" s="74"/>
      <x:c r="F180" s="74"/>
      <x:c r="G180" s="74"/>
      <x:c r="H180" s="74"/>
      <x:c r="I180" s="73"/>
      <x:c r="J180" s="73"/>
      <x:c r="K180" s="73"/>
      <x:c r="L180" s="74"/>
    </x:row>
    <x:row r="181">
      <x:c r="A181" s="70" t="str">
        <x:f>IF(C181="","",ROW()-5)</x:f>
      </x:c>
      <x:c r="B181" s="71"/>
      <x:c r="C181" s="72"/>
      <x:c r="D181" s="73"/>
      <x:c r="E181" s="74"/>
      <x:c r="F181" s="74"/>
      <x:c r="G181" s="74"/>
      <x:c r="H181" s="74"/>
      <x:c r="I181" s="73"/>
      <x:c r="J181" s="73"/>
      <x:c r="K181" s="73"/>
      <x:c r="L181" s="74"/>
    </x:row>
    <x:row r="182">
      <x:c r="A182" s="70" t="str">
        <x:f>IF(C182="","",ROW()-5)</x:f>
      </x:c>
      <x:c r="B182" s="71"/>
      <x:c r="C182" s="72"/>
      <x:c r="D182" s="73"/>
      <x:c r="E182" s="74"/>
      <x:c r="F182" s="74"/>
      <x:c r="G182" s="74"/>
      <x:c r="H182" s="74"/>
      <x:c r="I182" s="73"/>
      <x:c r="J182" s="73"/>
      <x:c r="K182" s="73"/>
      <x:c r="L182" s="74"/>
    </x:row>
    <x:row r="183">
      <x:c r="A183" s="70" t="str">
        <x:f>IF(C183="","",ROW()-5)</x:f>
      </x:c>
      <x:c r="B183" s="71"/>
      <x:c r="C183" s="72"/>
      <x:c r="D183" s="73"/>
      <x:c r="E183" s="74"/>
      <x:c r="F183" s="74"/>
      <x:c r="G183" s="74"/>
      <x:c r="H183" s="74"/>
      <x:c r="I183" s="73"/>
      <x:c r="J183" s="73"/>
      <x:c r="K183" s="73"/>
      <x:c r="L183" s="74"/>
    </x:row>
    <x:row r="184">
      <x:c r="A184" s="70" t="str">
        <x:f>IF(C184="","",ROW()-5)</x:f>
      </x:c>
      <x:c r="B184" s="71"/>
      <x:c r="C184" s="72"/>
      <x:c r="D184" s="73"/>
      <x:c r="E184" s="74"/>
      <x:c r="F184" s="74"/>
      <x:c r="G184" s="74"/>
      <x:c r="H184" s="74"/>
      <x:c r="I184" s="73"/>
      <x:c r="J184" s="73"/>
      <x:c r="K184" s="73"/>
      <x:c r="L184" s="74"/>
    </x:row>
    <x:row r="185">
      <x:c r="A185" s="70" t="str">
        <x:f>IF(C185="","",ROW()-5)</x:f>
      </x:c>
      <x:c r="B185" s="71"/>
      <x:c r="C185" s="72"/>
      <x:c r="D185" s="73"/>
      <x:c r="E185" s="74"/>
      <x:c r="F185" s="74"/>
      <x:c r="G185" s="74"/>
      <x:c r="H185" s="74"/>
      <x:c r="I185" s="73"/>
      <x:c r="J185" s="73"/>
      <x:c r="K185" s="73"/>
      <x:c r="L185" s="74"/>
    </x:row>
    <x:row r="186">
      <x:c r="A186" s="70" t="str">
        <x:f>IF(C186="","",ROW()-5)</x:f>
      </x:c>
      <x:c r="B186" s="71"/>
      <x:c r="C186" s="72"/>
      <x:c r="D186" s="73"/>
      <x:c r="E186" s="74"/>
      <x:c r="F186" s="74"/>
      <x:c r="G186" s="74"/>
      <x:c r="H186" s="74"/>
      <x:c r="I186" s="73"/>
      <x:c r="J186" s="73"/>
      <x:c r="K186" s="73"/>
      <x:c r="L186" s="74"/>
    </x:row>
    <x:row r="187">
      <x:c r="A187" s="70" t="str">
        <x:f>IF(C187="","",ROW()-5)</x:f>
      </x:c>
      <x:c r="B187" s="71"/>
      <x:c r="C187" s="72"/>
      <x:c r="D187" s="73"/>
      <x:c r="E187" s="74"/>
      <x:c r="F187" s="74"/>
      <x:c r="G187" s="74"/>
      <x:c r="H187" s="74"/>
      <x:c r="I187" s="73"/>
      <x:c r="J187" s="73"/>
      <x:c r="K187" s="73"/>
      <x:c r="L187" s="74"/>
    </x:row>
    <x:row r="188">
      <x:c r="A188" s="70" t="str">
        <x:f>IF(C188="","",ROW()-5)</x:f>
      </x:c>
      <x:c r="B188" s="71"/>
      <x:c r="C188" s="72"/>
      <x:c r="D188" s="73"/>
      <x:c r="E188" s="74"/>
      <x:c r="F188" s="74"/>
      <x:c r="G188" s="74"/>
      <x:c r="H188" s="74"/>
      <x:c r="I188" s="73"/>
      <x:c r="J188" s="73"/>
      <x:c r="K188" s="73"/>
      <x:c r="L188" s="74"/>
    </x:row>
    <x:row r="189">
      <x:c r="A189" s="70" t="str">
        <x:f>IF(C189="","",ROW()-5)</x:f>
      </x:c>
      <x:c r="B189" s="71"/>
      <x:c r="C189" s="72"/>
      <x:c r="D189" s="73"/>
      <x:c r="E189" s="74"/>
      <x:c r="F189" s="74"/>
      <x:c r="G189" s="74"/>
      <x:c r="H189" s="74"/>
      <x:c r="I189" s="73"/>
      <x:c r="J189" s="73"/>
      <x:c r="K189" s="73"/>
      <x:c r="L189" s="74"/>
    </x:row>
    <x:row r="190">
      <x:c r="A190" s="70" t="str">
        <x:f>IF(C190="","",ROW()-5)</x:f>
      </x:c>
      <x:c r="B190" s="71"/>
      <x:c r="C190" s="72"/>
      <x:c r="D190" s="73"/>
      <x:c r="E190" s="74"/>
      <x:c r="F190" s="74"/>
      <x:c r="G190" s="74"/>
      <x:c r="H190" s="74"/>
      <x:c r="I190" s="73"/>
      <x:c r="J190" s="73"/>
      <x:c r="K190" s="73"/>
      <x:c r="L190" s="74"/>
    </x:row>
    <x:row r="191">
      <x:c r="A191" s="70" t="str">
        <x:f>IF(C191="","",ROW()-5)</x:f>
      </x:c>
      <x:c r="B191" s="71"/>
      <x:c r="C191" s="72"/>
      <x:c r="D191" s="73"/>
      <x:c r="E191" s="74"/>
      <x:c r="F191" s="74"/>
      <x:c r="G191" s="74"/>
      <x:c r="H191" s="74"/>
      <x:c r="I191" s="73"/>
      <x:c r="J191" s="73"/>
      <x:c r="K191" s="73"/>
      <x:c r="L191" s="74"/>
    </x:row>
    <x:row r="192">
      <x:c r="A192" s="70" t="str">
        <x:f>IF(C192="","",ROW()-5)</x:f>
      </x:c>
      <x:c r="B192" s="71"/>
      <x:c r="C192" s="72"/>
      <x:c r="D192" s="73"/>
      <x:c r="E192" s="74"/>
      <x:c r="F192" s="74"/>
      <x:c r="G192" s="74"/>
      <x:c r="H192" s="74"/>
      <x:c r="I192" s="73"/>
      <x:c r="J192" s="73"/>
      <x:c r="K192" s="73"/>
      <x:c r="L192" s="74"/>
    </x:row>
    <x:row r="193">
      <x:c r="A193" s="70" t="str">
        <x:f>IF(C193="","",ROW()-5)</x:f>
      </x:c>
      <x:c r="B193" s="71"/>
      <x:c r="C193" s="72"/>
      <x:c r="D193" s="73"/>
      <x:c r="E193" s="74"/>
      <x:c r="F193" s="74"/>
      <x:c r="G193" s="74"/>
      <x:c r="H193" s="74"/>
      <x:c r="I193" s="73"/>
      <x:c r="J193" s="73"/>
      <x:c r="K193" s="73"/>
      <x:c r="L193" s="74"/>
    </x:row>
    <x:row r="194">
      <x:c r="A194" s="70" t="str">
        <x:f>IF(C194="","",ROW()-5)</x:f>
      </x:c>
      <x:c r="B194" s="71"/>
      <x:c r="C194" s="72"/>
      <x:c r="D194" s="73"/>
      <x:c r="E194" s="74"/>
      <x:c r="F194" s="74"/>
      <x:c r="G194" s="74"/>
      <x:c r="H194" s="74"/>
      <x:c r="I194" s="73"/>
      <x:c r="J194" s="73"/>
      <x:c r="K194" s="73"/>
      <x:c r="L194" s="74"/>
    </x:row>
    <x:row r="195">
      <x:c r="A195" s="70" t="str">
        <x:f>IF(C195="","",ROW()-5)</x:f>
      </x:c>
      <x:c r="B195" s="71"/>
      <x:c r="C195" s="72"/>
      <x:c r="D195" s="73"/>
      <x:c r="E195" s="74"/>
      <x:c r="F195" s="74"/>
      <x:c r="G195" s="74"/>
      <x:c r="H195" s="74"/>
      <x:c r="I195" s="73"/>
      <x:c r="J195" s="73"/>
      <x:c r="K195" s="73"/>
      <x:c r="L195" s="74"/>
    </x:row>
    <x:row r="196">
      <x:c r="A196" s="70" t="str">
        <x:f>IF(C196="","",ROW()-5)</x:f>
      </x:c>
      <x:c r="B196" s="71"/>
      <x:c r="C196" s="72"/>
      <x:c r="D196" s="73"/>
      <x:c r="E196" s="74"/>
      <x:c r="F196" s="74"/>
      <x:c r="G196" s="74"/>
      <x:c r="H196" s="74"/>
      <x:c r="I196" s="73"/>
      <x:c r="J196" s="73"/>
      <x:c r="K196" s="73"/>
      <x:c r="L196" s="74"/>
    </x:row>
    <x:row r="197">
      <x:c r="A197" s="70" t="str">
        <x:f>IF(C197="","",ROW()-5)</x:f>
      </x:c>
      <x:c r="B197" s="71"/>
      <x:c r="C197" s="72"/>
      <x:c r="D197" s="73"/>
      <x:c r="E197" s="74"/>
      <x:c r="F197" s="74"/>
      <x:c r="G197" s="74"/>
      <x:c r="H197" s="74"/>
      <x:c r="I197" s="73"/>
      <x:c r="J197" s="73"/>
      <x:c r="K197" s="73"/>
      <x:c r="L197" s="74"/>
    </x:row>
    <x:row r="198">
      <x:c r="A198" s="70" t="str">
        <x:f>IF(C198="","",ROW()-5)</x:f>
      </x:c>
      <x:c r="B198" s="71"/>
      <x:c r="C198" s="72"/>
      <x:c r="D198" s="73"/>
      <x:c r="E198" s="74"/>
      <x:c r="F198" s="74"/>
      <x:c r="G198" s="74"/>
      <x:c r="H198" s="74"/>
      <x:c r="I198" s="73"/>
      <x:c r="J198" s="73"/>
      <x:c r="K198" s="73"/>
      <x:c r="L198" s="74"/>
    </x:row>
    <x:row r="199">
      <x:c r="A199" s="70" t="str">
        <x:f>IF(C199="","",ROW()-5)</x:f>
      </x:c>
      <x:c r="B199" s="71"/>
      <x:c r="C199" s="72"/>
      <x:c r="D199" s="73"/>
      <x:c r="E199" s="74"/>
      <x:c r="F199" s="74"/>
      <x:c r="G199" s="74"/>
      <x:c r="H199" s="74"/>
      <x:c r="I199" s="73"/>
      <x:c r="J199" s="73"/>
      <x:c r="K199" s="73"/>
      <x:c r="L199" s="74"/>
    </x:row>
    <x:row r="200">
      <x:c r="A200" s="70" t="str">
        <x:f>IF(C200="","",ROW()-5)</x:f>
      </x:c>
      <x:c r="B200" s="71"/>
      <x:c r="C200" s="72"/>
      <x:c r="D200" s="73"/>
      <x:c r="E200" s="74"/>
      <x:c r="F200" s="74"/>
      <x:c r="G200" s="74"/>
      <x:c r="H200" s="74"/>
      <x:c r="I200" s="73"/>
      <x:c r="J200" s="73"/>
      <x:c r="K200" s="73"/>
      <x:c r="L200" s="74"/>
    </x:row>
    <x:row r="201">
      <x:c r="A201" s="70" t="str">
        <x:f>IF(C201="","",ROW()-5)</x:f>
      </x:c>
      <x:c r="B201" s="71"/>
      <x:c r="C201" s="72"/>
      <x:c r="D201" s="73"/>
      <x:c r="E201" s="74"/>
      <x:c r="F201" s="74"/>
      <x:c r="G201" s="74"/>
      <x:c r="H201" s="74"/>
      <x:c r="I201" s="73"/>
      <x:c r="J201" s="73"/>
      <x:c r="K201" s="73"/>
      <x:c r="L201" s="74"/>
    </x:row>
    <x:row r="202">
      <x:c r="A202" s="70" t="str">
        <x:f>IF(C202="","",ROW()-5)</x:f>
      </x:c>
      <x:c r="B202" s="71"/>
      <x:c r="C202" s="72"/>
      <x:c r="D202" s="73"/>
      <x:c r="E202" s="74"/>
      <x:c r="F202" s="74"/>
      <x:c r="G202" s="74"/>
      <x:c r="H202" s="74"/>
      <x:c r="I202" s="73"/>
      <x:c r="J202" s="73"/>
      <x:c r="K202" s="73"/>
      <x:c r="L202" s="74"/>
    </x:row>
    <x:row r="203">
      <x:c r="A203" s="70" t="str">
        <x:f>IF(C203="","",ROW()-5)</x:f>
      </x:c>
      <x:c r="B203" s="71"/>
      <x:c r="C203" s="72"/>
      <x:c r="D203" s="73"/>
      <x:c r="E203" s="74"/>
      <x:c r="F203" s="74"/>
      <x:c r="G203" s="74"/>
      <x:c r="H203" s="74"/>
      <x:c r="I203" s="73"/>
      <x:c r="J203" s="73"/>
      <x:c r="K203" s="73"/>
      <x:c r="L203" s="74"/>
    </x:row>
    <x:row r="204">
      <x:c r="A204" s="70" t="str">
        <x:f>IF(C204="","",ROW()-5)</x:f>
      </x:c>
      <x:c r="B204" s="71"/>
      <x:c r="C204" s="72"/>
      <x:c r="D204" s="73"/>
      <x:c r="E204" s="74"/>
      <x:c r="F204" s="74"/>
      <x:c r="G204" s="74"/>
      <x:c r="H204" s="74"/>
      <x:c r="I204" s="73"/>
      <x:c r="J204" s="73"/>
      <x:c r="K204" s="73"/>
      <x:c r="L204" s="74"/>
    </x:row>
    <x:row r="205">
      <x:c r="A205" s="75" t="str">
        <x:f>IF(C205="","",ROW()-5)</x:f>
      </x:c>
      <x:c r="B205" s="76"/>
      <x:c r="C205" s="77"/>
      <x:c r="D205" s="78"/>
      <x:c r="E205" s="79"/>
      <x:c r="F205" s="79"/>
      <x:c r="G205" s="79"/>
      <x:c r="H205" s="79"/>
      <x:c r="I205" s="78"/>
      <x:c r="J205" s="78"/>
      <x:c r="K205" s="78"/>
      <x:c r="L205" s="79"/>
    </x:row>
  </x:sheetData>
  <x:mergeCells>
    <x:mergeCell ref="A1:L2"/>
    <x:mergeCell ref="A3:L3"/>
  </x:mergeCells>
  <x:conditionalFormatting sqref="I6:I205">
    <x:cfRule type="containsText" dxfId="0" priority="1" operator="containsText" text="Verified"/>
    <x:cfRule type="containsText" dxfId="1" priority="2" operator="containsText" text="Rejected"/>
  </x:conditionalFormatting>
  <x:dataValidations count="3">
    <x:dataValidation type="list" sqref="D6:D205">
      <x:formula1>'Team Setup'!$A$11:$A$40</x:formula1>
    </x:dataValidation>
    <x:dataValidation type="list" sqref="I6:I205">
      <x:formula1>"Submitted,Verified,Rejected"</x:formula1>
    </x:dataValidation>
    <x:dataValidation type="whole" operator="between" sqref="J6:J205">
      <x:formula1>1</x:formula1>
      <x:formula2>5</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9" hidden="0" customWidth="1"/>
    <x:col min="3" max="3" width="67" hidden="0" customWidth="1"/>
    <x:col min="4" max="4" width="53" hidden="0" customWidth="1"/>
  </x:cols>
  <x:sheetData>
    <x:row r="1">
      <x:c r="A1" s="17" t="str">
        <x:v>Monthly KPI — Measurable 1–5 Scoring Rubrics</x:v>
      </x:c>
      <x:c r="B1" s="17"/>
      <x:c r="C1" s="17"/>
      <x:c r="D1" s="17"/>
    </x:row>
    <x:row r="2">
      <x:c r="A2" s="17"/>
      <x:c r="B2" s="17"/>
      <x:c r="C2" s="17"/>
      <x:c r="D2" s="17"/>
    </x:row>
    <x:row r="3">
      <x:c r="A3" s="18"/>
      <x:c r="B3" s="18"/>
      <x:c r="C3" s="18"/>
      <x:c r="D3" s="18"/>
    </x:row>
    <x:row r="4">
      <x:c r="A4" s="19" t="str">
        <x:v>KPI objective</x:v>
      </x:c>
      <x:c r="B4" s="19" t="str">
        <x:v>Score</x:v>
      </x:c>
      <x:c r="C4" s="19" t="str">
        <x:v>Measurable standard</x:v>
      </x:c>
      <x:c r="D4" s="19" t="str">
        <x:v>Required evidence</x:v>
      </x:c>
    </x:row>
    <x:row r="5" ht="44" customHeight="1">
      <x:c r="A5" s="44" t="str">
        <x:v>Improvement Contribution</x:v>
      </x:c>
      <x:c r="B5" s="45" t="n">
        <x:v>1</x:v>
      </x:c>
      <x:c r="C5" s="44" t="str">
        <x:v>Accepted idea; not yet implemented.</x:v>
      </x:c>
      <x:c r="D5" s="44" t="str">
        <x:v>Approval, accepted suggestion, or decision record.</x:v>
      </x:c>
    </x:row>
    <x:row r="6" ht="44" customHeight="1">
      <x:c r="A6" s="46" t="str"/>
      <x:c r="B6" s="47" t="n">
        <x:v>2</x:v>
      </x:c>
      <x:c r="C6" s="46" t="str">
        <x:v>Small change implemented in one task, process, or personal workflow.</x:v>
      </x:c>
      <x:c r="D6" s="46" t="str">
        <x:v>Before/after example showing the change is in use.</x:v>
      </x:c>
    </x:row>
    <x:row r="7" ht="44" customHeight="1">
      <x:c r="A7" s="46" t="str"/>
      <x:c r="B7" s="47" t="n">
        <x:v>3</x:v>
      </x:c>
      <x:c r="C7" s="46" t="str">
        <x:v>Implemented and adopted by at least 2 colleagues, or used in one recurring team workflow.</x:v>
      </x:c>
      <x:c r="D7" s="46" t="str">
        <x:v>Adoption proof, reusable file, or repeated-use record.</x:v>
      </x:c>
    </x:row>
    <x:row r="8" ht="44" customHeight="1">
      <x:c r="A8" s="46" t="str"/>
      <x:c r="B8" s="47" t="n">
        <x:v>4</x:v>
      </x:c>
      <x:c r="C8" s="46" t="str">
        <x:v>Adopted team-wide and demonstrates at least 10% improvement in time, errors, steps, or turnaround.</x:v>
      </x:c>
      <x:c r="D8" s="46" t="str">
        <x:v>Baseline and after-result with calculation or system record.</x:v>
      </x:c>
    </x:row>
    <x:row r="9" ht="44" customHeight="1">
      <x:c r="A9" s="46" t="str"/>
      <x:c r="B9" s="47" t="n">
        <x:v>5</x:v>
      </x:c>
      <x:c r="C9" s="46" t="str">
        <x:v>Sustained for at least 2 months or adopted across sub-teams, with at least 20% measurable improvement or a recurring issue eliminated.</x:v>
      </x:c>
      <x:c r="D9" s="46" t="str">
        <x:v>Trend, cross-team adoption, or documented elimination of the issue.</x:v>
      </x:c>
    </x:row>
    <x:row r="10" ht="44" customHeight="1">
      <x:c r="A10" s="44" t="str">
        <x:v>Responsibilities</x:v>
      </x:c>
      <x:c r="B10" s="45" t="n">
        <x:v>1</x:v>
      </x:c>
      <x:c r="C10" s="44" t="str">
        <x:v>Less than 70% of agreed monthly BAU responsibilities completed, or repeated ownership gaps.</x:v>
      </x:c>
      <x:c r="D10" s="44" t="str">
        <x:v>Monthly responsibility checklist and exceptions.</x:v>
      </x:c>
    </x:row>
    <x:row r="11" ht="44" customHeight="1">
      <x:c r="A11" s="46" t="str"/>
      <x:c r="B11" s="47" t="n">
        <x:v>2</x:v>
      </x:c>
      <x:c r="C11" s="46" t="str">
        <x:v>70%–84% of agreed monthly BAU responsibilities completed.</x:v>
      </x:c>
      <x:c r="D11" s="46" t="str">
        <x:v>Completed items divided by agreed BAU items.</x:v>
      </x:c>
    </x:row>
    <x:row r="12" ht="44" customHeight="1">
      <x:c r="A12" s="46" t="str"/>
      <x:c r="B12" s="47" t="n">
        <x:v>3</x:v>
      </x:c>
      <x:c r="C12" s="46" t="str">
        <x:v>85%–94% completed; core responsibilities handled with only routine follow-up.</x:v>
      </x:c>
      <x:c r="D12" s="46" t="str">
        <x:v>Completed items divided by agreed BAU items plus TL notes.</x:v>
      </x:c>
    </x:row>
    <x:row r="13" ht="44" customHeight="1">
      <x:c r="A13" s="46" t="str"/>
      <x:c r="B13" s="47" t="n">
        <x:v>4</x:v>
      </x:c>
      <x:c r="C13" s="46" t="str">
        <x:v>95%–99% completed; work independently owned and closed without escalation.</x:v>
      </x:c>
      <x:c r="D13" s="46" t="str">
        <x:v>Completion record and evidence of closure/ownership.</x:v>
      </x:c>
    </x:row>
    <x:row r="14" ht="44" customHeight="1">
      <x:c r="A14" s="46" t="str"/>
      <x:c r="B14" s="47" t="n">
        <x:v>5</x:v>
      </x:c>
      <x:c r="C14" s="46" t="str">
        <x:v>100% completed, plus one documented example of proactive ownership, coverage, or issue prevention.</x:v>
      </x:c>
      <x:c r="D14" s="46" t="str">
        <x:v>Completion record plus the proactive example.</x:v>
      </x:c>
    </x:row>
    <x:row r="15" ht="44" customHeight="1">
      <x:c r="A15" s="44" t="str">
        <x:v>Expected Behaviours</x:v>
      </x:c>
      <x:c r="B15" s="45" t="n">
        <x:v>1</x:v>
      </x:c>
      <x:c r="C15" s="44" t="str">
        <x:v>Two or more documented behaviour gaps during the month.</x:v>
      </x:c>
      <x:c r="D15" s="44" t="str">
        <x:v>Dated feedback or incident records.</x:v>
      </x:c>
    </x:row>
    <x:row r="16" ht="44" customHeight="1">
      <x:c r="A16" s="46" t="str"/>
      <x:c r="B16" s="47" t="n">
        <x:v>2</x:v>
      </x:c>
      <x:c r="C16" s="46" t="str">
        <x:v>One documented gap, or repeated reminders needed to meet team standards.</x:v>
      </x:c>
      <x:c r="D16" s="46" t="str">
        <x:v>Dated feedback or reminder records.</x:v>
      </x:c>
    </x:row>
    <x:row r="17" ht="44" customHeight="1">
      <x:c r="A17" s="46" t="str"/>
      <x:c r="B17" s="47" t="n">
        <x:v>3</x:v>
      </x:c>
      <x:c r="C17" s="46" t="str">
        <x:v>Consistently meets expected behaviours with no documented gap.</x:v>
      </x:c>
      <x:c r="D17" s="46" t="str">
        <x:v>TL observation and monthly check-in record.</x:v>
      </x:c>
    </x:row>
    <x:row r="18" ht="44" customHeight="1">
      <x:c r="A18" s="46" t="str"/>
      <x:c r="B18" s="47" t="n">
        <x:v>4</x:v>
      </x:c>
      <x:c r="C18" s="46" t="str">
        <x:v>Meets level 3 and has at least 2 documented positive examples or peer acknowledgements.</x:v>
      </x:c>
      <x:c r="D18" s="46" t="str">
        <x:v>Two dated examples, shoutouts, or feedback items.</x:v>
      </x:c>
    </x:row>
    <x:row r="19" ht="44" customHeight="1">
      <x:c r="A19" s="48" t="str"/>
      <x:c r="B19" s="49" t="n">
        <x:v>5</x:v>
      </x:c>
      <x:c r="C19" s="48" t="str">
        <x:v>Role-model behaviour: at least 3 positive examples and evidence that others adopted or benefited from the behaviour; no documented gaps.</x:v>
      </x:c>
      <x:c r="D19" s="48" t="str">
        <x:v>Three examples plus adoption or team-impact evidence.</x:v>
      </x:c>
    </x:row>
    <x:row r="20">
      <x:c r="A20" s="18"/>
      <x:c r="B20" s="18"/>
      <x:c r="C20" s="18"/>
      <x:c r="D20" s="18"/>
    </x:row>
    <x:row r="21">
      <x:c r="A21" s="18"/>
      <x:c r="B21" s="18"/>
      <x:c r="C21" s="18"/>
      <x:c r="D21" s="18"/>
    </x:row>
    <x:row r="22">
      <x:c r="A22" s="23" t="str">
        <x:v>Scoring principle: rate the result demonstrated during the month—not effort or intention. If evidence does not support the selected level, use the highest lower level that is fully supported.</x:v>
      </x:c>
      <x:c r="B22" s="23"/>
      <x:c r="C22" s="23"/>
      <x:c r="D22" s="23"/>
    </x:row>
    <x:row r="23">
      <x:c r="A23" s="23"/>
      <x:c r="B23" s="23"/>
      <x:c r="C23" s="23"/>
      <x:c r="D23" s="23"/>
    </x:row>
    <x:row r="24">
      <x:c r="A24" s="23"/>
      <x:c r="B24" s="23"/>
      <x:c r="C24" s="23"/>
      <x:c r="D24" s="23"/>
    </x:row>
  </x:sheetData>
  <x:mergeCells>
    <x:mergeCell ref="A1:D2"/>
    <x:mergeCell ref="A22:D24"/>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15" hidden="0" customWidth="1"/>
    <x:col min="3" max="3" width="3" hidden="0" customWidth="1"/>
    <x:col min="4" max="4" width="34" hidden="0" customWidth="1"/>
    <x:col min="5" max="5" width="24" hidden="0" customWidth="1"/>
    <x:col min="6" max="6" width="24" hidden="0" customWidth="1"/>
  </x:cols>
  <x:sheetData>
    <x:row r="1">
      <x:c r="A1" s="17" t="str">
        <x:v>Spotlight KPI — Team Setup</x:v>
      </x:c>
      <x:c r="B1" s="17"/>
      <x:c r="C1" s="17"/>
      <x:c r="D1" s="17"/>
      <x:c r="E1" s="17"/>
      <x:c r="F1" s="17"/>
    </x:row>
    <x:row r="2">
      <x:c r="A2" s="17"/>
      <x:c r="B2" s="17"/>
      <x:c r="C2" s="17"/>
      <x:c r="D2" s="17"/>
      <x:c r="E2" s="17"/>
      <x:c r="F2" s="17"/>
    </x:row>
    <x:row r="3">
      <x:c r="A3" s="18"/>
      <x:c r="B3" s="18"/>
      <x:c r="C3" s="18"/>
      <x:c r="D3" s="18"/>
      <x:c r="E3" s="18"/>
      <x:c r="F3" s="18"/>
    </x:row>
    <x:row r="4">
      <x:c r="A4" s="19" t="str">
        <x:v>KPI objective</x:v>
      </x:c>
      <x:c r="B4" s="19" t="str">
        <x:v>Weight</x:v>
      </x:c>
      <x:c r="C4" s="18"/>
      <x:c r="D4" s="19" t="str">
        <x:v>Eligibility rule</x:v>
      </x:c>
      <x:c r="E4" s="19" t="str">
        <x:v>Value</x:v>
      </x:c>
      <x:c r="F4" s="18"/>
    </x:row>
    <x:row r="5">
      <x:c r="A5" s="18" t="str">
        <x:v>Improvement Contribution</x:v>
      </x:c>
      <x:c r="B5" s="20" t="n">
        <x:v>0.333</x:v>
      </x:c>
      <x:c r="C5" s="18"/>
      <x:c r="D5" s="18" t="str">
        <x:v>Minimum overall score</x:v>
      </x:c>
      <x:c r="E5" s="21" t="n">
        <x:v>3</x:v>
      </x:c>
      <x:c r="F5" s="18"/>
    </x:row>
    <x:row r="6">
      <x:c r="A6" s="18" t="str">
        <x:v>Responsibilities</x:v>
      </x:c>
      <x:c r="B6" s="20" t="n">
        <x:v>0.333</x:v>
      </x:c>
      <x:c r="C6" s="18"/>
      <x:c r="D6" s="18" t="str">
        <x:v>Minimum score for each objective</x:v>
      </x:c>
      <x:c r="E6" s="21" t="n">
        <x:v>2</x:v>
      </x:c>
      <x:c r="F6" s="18"/>
    </x:row>
    <x:row r="7">
      <x:c r="A7" s="18" t="str">
        <x:v>Expected Behaviours</x:v>
      </x:c>
      <x:c r="B7" s="20" t="n">
        <x:v>0.334</x:v>
      </x:c>
      <x:c r="C7" s="18"/>
      <x:c r="D7" s="18" t="str">
        <x:v>Evidence required for all three objectives</x:v>
      </x:c>
      <x:c r="E7" s="21" t="str">
        <x:v>Yes</x:v>
      </x:c>
      <x:c r="F7" s="18"/>
    </x:row>
    <x:row r="8">
      <x:c r="A8" s="18"/>
      <x:c r="B8" s="18"/>
      <x:c r="C8" s="18"/>
      <x:c r="D8" s="18" t="str">
        <x:v>Consecutive winner allowed?</x:v>
      </x:c>
      <x:c r="E8" s="21" t="str">
        <x:v>No</x:v>
      </x:c>
      <x:c r="F8" s="18"/>
    </x:row>
    <x:row r="9">
      <x:c r="A9" s="18"/>
      <x:c r="B9" s="18"/>
      <x:c r="C9" s="18"/>
      <x:c r="D9" s="18"/>
      <x:c r="E9" s="18"/>
      <x:c r="F9" s="18"/>
    </x:row>
    <x:row r="10">
      <x:c r="A10" s="19" t="str">
        <x:v>Team member</x:v>
      </x:c>
      <x:c r="B10" s="19" t="str">
        <x:v>Active?</x:v>
      </x:c>
      <x:c r="C10" s="18"/>
      <x:c r="D10" s="19" t="str">
        <x:v>Monthly process</x:v>
      </x:c>
      <x:c r="E10" s="19"/>
      <x:c r="F10" s="19"/>
    </x:row>
    <x:row r="11">
      <x:c r="A11" s="18" t="str">
        <x:v>Team Member 1</x:v>
      </x:c>
      <x:c r="B11" s="18" t="str">
        <x:v>Yes</x:v>
      </x:c>
      <x:c r="C11" s="18"/>
      <x:c r="D11" s="22" t="str">
        <x:v>1. Staff or TL records improvement evidence in the Improvement Log.
2. TL verifies the improvement score against the 1–5 rubric.
3. TL completes Responsibilities and Expected Behaviours ratings in Monthly Assessment.
4. Evidence is mandatory for every rating.
5. Dashboard identifies the highest eligible overall score.
The three KPI objectives are separate from quarterly OKRs.</x:v>
      </x:c>
      <x:c r="E11" s="22"/>
      <x:c r="F11" s="22"/>
    </x:row>
    <x:row r="12">
      <x:c r="A12" s="18" t="str">
        <x:v>Team Member 2</x:v>
      </x:c>
      <x:c r="B12" s="18" t="str">
        <x:v>Yes</x:v>
      </x:c>
      <x:c r="C12" s="18"/>
      <x:c r="D12" s="22"/>
      <x:c r="E12" s="22"/>
      <x:c r="F12" s="22"/>
    </x:row>
    <x:row r="13">
      <x:c r="A13" s="18" t="str">
        <x:v>Team Member 3</x:v>
      </x:c>
      <x:c r="B13" s="18" t="str">
        <x:v>Yes</x:v>
      </x:c>
      <x:c r="C13" s="18"/>
      <x:c r="D13" s="22"/>
      <x:c r="E13" s="22"/>
      <x:c r="F13" s="22"/>
    </x:row>
    <x:row r="14">
      <x:c r="A14" s="18" t="str">
        <x:v>Team Member 4</x:v>
      </x:c>
      <x:c r="B14" s="18" t="str">
        <x:v>Yes</x:v>
      </x:c>
      <x:c r="C14" s="18"/>
      <x:c r="D14" s="22"/>
      <x:c r="E14" s="22"/>
      <x:c r="F14" s="22"/>
    </x:row>
    <x:row r="15">
      <x:c r="A15" s="18" t="str">
        <x:v>Team Member 5</x:v>
      </x:c>
      <x:c r="B15" s="18" t="str">
        <x:v>Yes</x:v>
      </x:c>
      <x:c r="C15" s="18"/>
      <x:c r="D15" s="22"/>
      <x:c r="E15" s="22"/>
      <x:c r="F15" s="22"/>
    </x:row>
    <x:row r="16">
      <x:c r="A16" s="18" t="str">
        <x:v>Team Member 6</x:v>
      </x:c>
      <x:c r="B16" s="18" t="str">
        <x:v>Yes</x:v>
      </x:c>
      <x:c r="C16" s="18"/>
      <x:c r="D16" s="22"/>
      <x:c r="E16" s="22"/>
      <x:c r="F16" s="22"/>
    </x:row>
    <x:row r="17">
      <x:c r="A17" s="18" t="str">
        <x:v>Team Member 7</x:v>
      </x:c>
      <x:c r="B17" s="18" t="str">
        <x:v>Yes</x:v>
      </x:c>
      <x:c r="C17" s="18"/>
      <x:c r="D17" s="22"/>
      <x:c r="E17" s="22"/>
      <x:c r="F17" s="22"/>
    </x:row>
    <x:row r="18">
      <x:c r="A18" s="18" t="str">
        <x:v>Team Member 8</x:v>
      </x:c>
      <x:c r="B18" s="18" t="str">
        <x:v>Yes</x:v>
      </x:c>
      <x:c r="C18" s="18"/>
      <x:c r="D18" s="22"/>
      <x:c r="E18" s="22"/>
      <x:c r="F18" s="22"/>
    </x:row>
    <x:row r="19">
      <x:c r="A19" s="18" t="str"/>
      <x:c r="B19" s="18" t="str"/>
      <x:c r="C19" s="18"/>
      <x:c r="D19" s="22"/>
      <x:c r="E19" s="22"/>
      <x:c r="F19" s="22"/>
    </x:row>
    <x:row r="20">
      <x:c r="A20" s="18" t="str"/>
      <x:c r="B20" s="18" t="str"/>
      <x:c r="C20" s="18"/>
      <x:c r="D20" s="22"/>
      <x:c r="E20" s="22"/>
      <x:c r="F20" s="22"/>
    </x:row>
    <x:row r="21">
      <x:c r="A21" s="18" t="str"/>
      <x:c r="B21" s="18" t="str"/>
      <x:c r="C21" s="18"/>
      <x:c r="D21" s="22"/>
      <x:c r="E21" s="22"/>
      <x:c r="F21" s="22"/>
    </x:row>
    <x:row r="22">
      <x:c r="A22" s="18" t="str"/>
      <x:c r="B22" s="18" t="str"/>
      <x:c r="C22" s="18"/>
      <x:c r="D22" s="22"/>
      <x:c r="E22" s="22"/>
      <x:c r="F22" s="22"/>
    </x:row>
    <x:row r="23">
      <x:c r="A23" s="18" t="str"/>
      <x:c r="B23" s="18" t="str"/>
      <x:c r="C23" s="18"/>
      <x:c r="D23" s="18"/>
      <x:c r="E23" s="18"/>
      <x:c r="F23" s="18"/>
    </x:row>
    <x:row r="24">
      <x:c r="A24" s="18" t="str"/>
      <x:c r="B24" s="18" t="str"/>
      <x:c r="C24" s="18"/>
      <x:c r="D24" s="18"/>
      <x:c r="E24" s="18"/>
      <x:c r="F24" s="18"/>
    </x:row>
    <x:row r="25">
      <x:c r="A25" s="18" t="str"/>
      <x:c r="B25" s="18" t="str"/>
      <x:c r="C25" s="18"/>
      <x:c r="D25" s="18"/>
      <x:c r="E25" s="18"/>
      <x:c r="F25" s="18"/>
    </x:row>
    <x:row r="26">
      <x:c r="A26" s="18" t="str"/>
      <x:c r="B26" s="18" t="str"/>
      <x:c r="C26" s="18"/>
      <x:c r="D26" s="18"/>
      <x:c r="E26" s="18"/>
      <x:c r="F26" s="18"/>
    </x:row>
    <x:row r="27">
      <x:c r="A27" s="18" t="str"/>
      <x:c r="B27" s="18" t="str"/>
      <x:c r="C27" s="18"/>
      <x:c r="D27" s="18"/>
      <x:c r="E27" s="18"/>
      <x:c r="F27" s="18"/>
    </x:row>
    <x:row r="28">
      <x:c r="A28" s="18" t="str"/>
      <x:c r="B28" s="18" t="str"/>
      <x:c r="C28" s="18"/>
      <x:c r="D28" s="18"/>
      <x:c r="E28" s="18"/>
      <x:c r="F28" s="18"/>
    </x:row>
    <x:row r="29">
      <x:c r="A29" s="18" t="str"/>
      <x:c r="B29" s="18" t="str"/>
      <x:c r="C29" s="18"/>
      <x:c r="D29" s="18"/>
      <x:c r="E29" s="18"/>
      <x:c r="F29" s="18"/>
    </x:row>
    <x:row r="30">
      <x:c r="A30" s="18" t="str"/>
      <x:c r="B30" s="18" t="str"/>
      <x:c r="C30" s="18"/>
      <x:c r="D30" s="18"/>
      <x:c r="E30" s="18"/>
      <x:c r="F30" s="18"/>
    </x:row>
    <x:row r="31">
      <x:c r="A31" s="18" t="str"/>
      <x:c r="B31" s="18" t="str"/>
      <x:c r="C31" s="18"/>
      <x:c r="D31" s="18"/>
      <x:c r="E31" s="18"/>
      <x:c r="F31" s="18"/>
    </x:row>
    <x:row r="32">
      <x:c r="A32" s="18" t="str"/>
      <x:c r="B32" s="18" t="str"/>
      <x:c r="C32" s="18"/>
      <x:c r="D32" s="18"/>
      <x:c r="E32" s="18"/>
      <x:c r="F32" s="18"/>
    </x:row>
    <x:row r="33">
      <x:c r="A33" s="18" t="str"/>
      <x:c r="B33" s="18" t="str"/>
      <x:c r="C33" s="18"/>
      <x:c r="D33" s="18"/>
      <x:c r="E33" s="18"/>
      <x:c r="F33" s="18"/>
    </x:row>
    <x:row r="34">
      <x:c r="A34" s="18" t="str"/>
      <x:c r="B34" s="18" t="str"/>
      <x:c r="C34" s="18"/>
      <x:c r="D34" s="18"/>
      <x:c r="E34" s="18"/>
      <x:c r="F34" s="18"/>
    </x:row>
    <x:row r="35">
      <x:c r="A35" s="18" t="str"/>
      <x:c r="B35" s="18" t="str"/>
      <x:c r="C35" s="18"/>
      <x:c r="D35" s="18"/>
      <x:c r="E35" s="18"/>
      <x:c r="F35" s="18"/>
    </x:row>
    <x:row r="36">
      <x:c r="A36" s="18" t="str"/>
      <x:c r="B36" s="18" t="str"/>
      <x:c r="C36" s="18"/>
      <x:c r="D36" s="18"/>
      <x:c r="E36" s="18"/>
      <x:c r="F36" s="18"/>
    </x:row>
    <x:row r="37">
      <x:c r="A37" s="18" t="str"/>
      <x:c r="B37" s="18" t="str"/>
      <x:c r="C37" s="18"/>
      <x:c r="D37" s="18"/>
      <x:c r="E37" s="18"/>
      <x:c r="F37" s="18"/>
    </x:row>
    <x:row r="38">
      <x:c r="A38" s="18" t="str"/>
      <x:c r="B38" s="18" t="str"/>
      <x:c r="C38" s="18"/>
      <x:c r="D38" s="18"/>
      <x:c r="E38" s="18"/>
      <x:c r="F38" s="18"/>
    </x:row>
    <x:row r="39">
      <x:c r="A39" s="18" t="str"/>
      <x:c r="B39" s="18" t="str"/>
      <x:c r="C39" s="18"/>
      <x:c r="D39" s="18"/>
      <x:c r="E39" s="18"/>
      <x:c r="F39" s="18"/>
    </x:row>
    <x:row r="40">
      <x:c r="A40" s="18" t="str"/>
      <x:c r="B40" s="18" t="str"/>
      <x:c r="C40" s="18"/>
      <x:c r="D40" s="18"/>
      <x:c r="E40" s="18"/>
      <x:c r="F40" s="18"/>
    </x:row>
    <x:row r="41">
      <x:c r="A41" s="18"/>
      <x:c r="B41" s="18"/>
      <x:c r="C41" s="18"/>
      <x:c r="D41" s="18"/>
      <x:c r="E41" s="18"/>
      <x:c r="F41" s="18"/>
    </x:row>
    <x:row r="42">
      <x:c r="A42" s="18"/>
      <x:c r="B42" s="18"/>
      <x:c r="C42" s="18"/>
      <x:c r="D42" s="18"/>
      <x:c r="E42" s="18"/>
      <x:c r="F42" s="18"/>
    </x:row>
    <x:row r="43">
      <x:c r="A43" s="23" t="str">
        <x:v>Weights are editable but must total 100%. Recommended default: equal weighting. Replace the placeholder names before using the tracker.</x:v>
      </x:c>
      <x:c r="B43" s="23"/>
      <x:c r="C43" s="23"/>
      <x:c r="D43" s="23"/>
      <x:c r="E43" s="23"/>
      <x:c r="F43" s="23"/>
    </x:row>
    <x:row r="44">
      <x:c r="A44" s="23"/>
      <x:c r="B44" s="23"/>
      <x:c r="C44" s="23"/>
      <x:c r="D44" s="23"/>
      <x:c r="E44" s="23"/>
      <x:c r="F44" s="23"/>
    </x:row>
    <x:row r="45">
      <x:c r="A45" s="23"/>
      <x:c r="B45" s="23"/>
      <x:c r="C45" s="23"/>
      <x:c r="D45" s="23"/>
      <x:c r="E45" s="23"/>
      <x:c r="F45" s="23"/>
    </x:row>
  </x:sheetData>
  <x:mergeCells>
    <x:mergeCell ref="A1:F2"/>
    <x:mergeCell ref="D10:F10"/>
    <x:mergeCell ref="D11:F22"/>
    <x:mergeCell ref="A43:F45"/>
  </x:mergeCells>
  <x:dataValidations count="1">
    <x:dataValidation type="list" sqref="B11:B40">
      <x:formula1>"Yes,No"</x:formula1>
    </x:dataValidation>
  </x:dataValidations>
  <x:pageMargins left="0.7" right="0.7" top="0.75" bottom="0.75" header="0.3" footer="0.3"/>
</x:worksheet>
</file>